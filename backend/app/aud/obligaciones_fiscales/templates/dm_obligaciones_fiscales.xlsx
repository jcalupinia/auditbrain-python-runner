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926" firstSheet="2" activeTab="8" autoFilterDateGrouping="1"/>
  </bookViews>
  <sheets>
    <sheet xmlns:r="http://schemas.openxmlformats.org/officeDocument/2006/relationships" name="DM  Programa de Auditoria" sheetId="1" state="visible" r:id="rId1"/>
    <sheet xmlns:r="http://schemas.openxmlformats.org/officeDocument/2006/relationships" name="DM1 Cuestionario de Auditoria " sheetId="2" state="visible" r:id="rId2"/>
    <sheet xmlns:r="http://schemas.openxmlformats.org/officeDocument/2006/relationships" name="DM2 Cédula Sumaria" sheetId="3" state="visible" r:id="rId3"/>
    <sheet xmlns:r="http://schemas.openxmlformats.org/officeDocument/2006/relationships" name="DM3 Revisión de saldos" sheetId="4" state="visible" r:id="rId4"/>
    <sheet xmlns:r="http://schemas.openxmlformats.org/officeDocument/2006/relationships" name="DM4 Compras " sheetId="5" state="visible" r:id="rId5"/>
    <sheet xmlns:r="http://schemas.openxmlformats.org/officeDocument/2006/relationships" name="DM5 Ventas " sheetId="6" state="visible" r:id="rId6"/>
    <sheet xmlns:r="http://schemas.openxmlformats.org/officeDocument/2006/relationships" name="DM6 IVA" sheetId="7" state="visible" r:id="rId7"/>
    <sheet xmlns:r="http://schemas.openxmlformats.org/officeDocument/2006/relationships" name="DM7 Retenciones x pagar" sheetId="8" state="visible" r:id="rId8"/>
    <sheet xmlns:r="http://schemas.openxmlformats.org/officeDocument/2006/relationships" name="DM8 ATS" sheetId="9" state="visible" r:id="rId9"/>
    <sheet xmlns:r="http://schemas.openxmlformats.org/officeDocument/2006/relationships" name="DM9 Límite costos y gastos" sheetId="10" state="visible" r:id="rId10"/>
    <sheet xmlns:r="http://schemas.openxmlformats.org/officeDocument/2006/relationships" name="DM10 Hoja de hallazgos" sheetId="11" state="visible" r:id="rId11"/>
  </sheets>
  <definedNames>
    <definedName name="_xlnm.Print_Area" localSheetId="0">'DM  Programa de Auditoria'!$A$6:$G$39</definedName>
    <definedName name="_xlnm.Print_Area" localSheetId="1">'DM1 Cuestionario de Auditoria '!$A$4:$WVO$41</definedName>
    <definedName name="_xlnm.Print_Area" localSheetId="2">'DM2 Cédula Sumaria'!$A$1:$O$48</definedName>
    <definedName name="_xlnm.Print_Area" localSheetId="3">'DM3 Revisión de saldos'!$A$5:$D$100</definedName>
    <definedName name="_xlnm.Print_Area" localSheetId="5">'DM5 Ventas '!$A$1:$R$68</definedName>
    <definedName name="_xlnm.Print_Area" localSheetId="8">'DM8 ATS'!$A$1:$O$118</definedName>
    <definedName name="_xlnm.Print_Area" localSheetId="10">'DM10 Hoja de hallazgos'!$A$1:$F$26</definedName>
  </definedNames>
  <calcPr calcId="191029" fullCalcOnLoad="1"/>
</workbook>
</file>

<file path=xl/styles.xml><?xml version="1.0" encoding="utf-8"?>
<styleSheet xmlns="http://schemas.openxmlformats.org/spreadsheetml/2006/main">
  <numFmts count="9">
    <numFmt numFmtId="164" formatCode="&quot;$&quot;#,##0_);[Red]\(&quot;$&quot;#,##0\)"/>
    <numFmt numFmtId="165" formatCode="#,##0.00;\(#,##0.00\)"/>
    <numFmt numFmtId="166" formatCode="&quot;$&quot;#,##0"/>
    <numFmt numFmtId="167" formatCode="_(* #,##0_);_(* \(#,##0\);_(* &quot;-&quot;??_);_(@_)"/>
    <numFmt numFmtId="168" formatCode="_ * #,##0_ ;_ * \-#,##0_ ;_ * &quot;-&quot;??_ ;_ @_ "/>
    <numFmt numFmtId="169" formatCode="_-* #,##0.00\ _€_-;\-* #,##0.00\ _€_-;_-* &quot;-&quot;??\ _€_-;_-@_-"/>
    <numFmt numFmtId="170" formatCode="_ * #,##0.00_ ;_ * \-#,##0.00_ ;_ * &quot;-&quot;??_ ;_ @_ "/>
    <numFmt numFmtId="171" formatCode="[$-C0A]d\-mmm\-yy;@"/>
    <numFmt numFmtId="172" formatCode="d&quot; de &quot;mmm&quot; de &quot;yy"/>
  </numFmts>
  <fonts count="35">
    <font>
      <name val="Calibri"/>
      <family val="2"/>
      <color theme="1"/>
      <sz val="11"/>
      <scheme val="minor"/>
    </font>
    <font>
      <name val="Arial"/>
      <family val="2"/>
      <color theme="1"/>
      <sz val="10"/>
    </font>
    <font>
      <name val="Arial"/>
      <family val="2"/>
      <color theme="1"/>
      <sz val="10"/>
    </font>
    <font>
      <name val="Calibri"/>
      <family val="2"/>
      <color theme="1"/>
      <sz val="11"/>
      <scheme val="minor"/>
    </font>
    <font>
      <name val="Arial"/>
      <family val="2"/>
      <sz val="10"/>
    </font>
    <font>
      <name val="Calibri"/>
      <family val="2"/>
      <color indexed="8"/>
      <sz val="11"/>
    </font>
    <font>
      <name val="Arial"/>
      <family val="2"/>
      <color indexed="8"/>
      <sz val="10"/>
    </font>
    <font>
      <name val="Arial"/>
      <family val="2"/>
      <b val="1"/>
      <color rgb="FFFF0000"/>
      <sz val="10"/>
    </font>
    <font>
      <name val="MS Sans Serif"/>
      <family val="2"/>
      <color indexed="8"/>
      <sz val="10"/>
    </font>
    <font>
      <name val="Arial"/>
      <family val="2"/>
      <color theme="1"/>
      <sz val="10"/>
    </font>
    <font>
      <name val="Arial"/>
      <family val="2"/>
      <b val="1"/>
      <color theme="1"/>
      <sz val="10"/>
    </font>
    <font>
      <name val="Arial"/>
      <family val="2"/>
      <b val="1"/>
      <color theme="0"/>
      <sz val="10"/>
    </font>
    <font>
      <name val="Wingdings"/>
      <charset val="2"/>
      <b val="1"/>
      <color indexed="10"/>
      <sz val="10"/>
    </font>
    <font>
      <name val="Arial"/>
      <family val="2"/>
      <b val="1"/>
      <color indexed="10"/>
      <sz val="10"/>
    </font>
    <font>
      <name val="Arial"/>
      <family val="2"/>
      <color theme="0"/>
      <sz val="10"/>
    </font>
    <font>
      <name val="Arial"/>
      <family val="2"/>
      <color indexed="10"/>
      <sz val="10"/>
    </font>
    <font>
      <name val="Calibri"/>
      <family val="2"/>
      <color theme="10"/>
      <sz val="11"/>
      <u val="single"/>
    </font>
    <font>
      <name val="Arial"/>
      <family val="2"/>
      <sz val="10"/>
      <u val="single"/>
    </font>
    <font>
      <name val="Arial"/>
      <family val="2"/>
      <b val="1"/>
      <sz val="10"/>
      <u val="single"/>
    </font>
    <font>
      <name val="Arial"/>
      <family val="2"/>
      <b val="1"/>
      <sz val="10"/>
    </font>
    <font>
      <name val="Arial"/>
      <family val="2"/>
      <b val="1"/>
      <color rgb="FF000000"/>
      <sz val="10"/>
    </font>
    <font>
      <name val="Arial"/>
      <family val="2"/>
      <b val="1"/>
      <color indexed="8"/>
      <sz val="10"/>
    </font>
    <font>
      <name val="Arial"/>
      <family val="2"/>
      <b val="1"/>
      <color indexed="8"/>
      <sz val="10"/>
      <u val="single"/>
    </font>
    <font>
      <name val="Arial"/>
      <family val="2"/>
      <color rgb="FFFF0000"/>
      <sz val="10"/>
    </font>
    <font>
      <name val="Arial"/>
      <family val="2"/>
      <color theme="1"/>
      <sz val="9"/>
    </font>
    <font>
      <name val="Arial"/>
      <family val="2"/>
      <b val="1"/>
      <color theme="0"/>
      <sz val="9"/>
    </font>
    <font>
      <name val="Arial"/>
      <family val="2"/>
      <sz val="9"/>
    </font>
    <font>
      <name val="Arial"/>
      <family val="2"/>
      <b val="1"/>
      <sz val="9"/>
    </font>
    <font>
      <name val="Arial"/>
      <family val="2"/>
      <b val="1"/>
      <color indexed="10"/>
      <sz val="9"/>
    </font>
    <font>
      <name val="Arial"/>
      <family val="2"/>
      <b val="1"/>
      <color indexed="12"/>
      <sz val="10"/>
    </font>
    <font>
      <name val="Arial"/>
      <family val="2"/>
      <color rgb="FFFF0000"/>
      <sz val="10"/>
      <u val="singleAccounting"/>
    </font>
    <font>
      <name val="Calibri"/>
      <family val="2"/>
      <color theme="1"/>
      <sz val="10"/>
      <scheme val="minor"/>
    </font>
    <font>
      <name val="Arial"/>
      <family val="2"/>
      <b val="1"/>
      <i val="1"/>
      <sz val="10"/>
    </font>
    <font>
      <name val="Arial"/>
      <family val="2"/>
      <b val="1"/>
      <color indexed="56"/>
      <sz val="10"/>
    </font>
    <font>
      <name val="Arial"/>
      <family val="2"/>
      <b val="1"/>
      <color indexed="62"/>
      <sz val="10"/>
    </font>
  </fonts>
  <fills count="14">
    <fill>
      <patternFill/>
    </fill>
    <fill>
      <patternFill patternType="gray125"/>
    </fill>
    <fill>
      <patternFill patternType="solid">
        <fgColor theme="0"/>
        <bgColor indexed="64"/>
      </patternFill>
    </fill>
    <fill>
      <patternFill patternType="solid">
        <fgColor theme="0"/>
        <bgColor rgb="FF000000"/>
      </patternFill>
    </fill>
    <fill>
      <patternFill patternType="solid">
        <fgColor indexed="9"/>
        <bgColor indexed="64"/>
      </patternFill>
    </fill>
    <fill>
      <patternFill patternType="solid">
        <fgColor theme="9" tint="0.3999755851924192"/>
        <bgColor indexed="64"/>
      </patternFill>
    </fill>
    <fill>
      <patternFill patternType="solid">
        <fgColor theme="4" tint="-0.249977111117893"/>
        <bgColor indexed="64"/>
      </patternFill>
    </fill>
    <fill>
      <patternFill patternType="solid">
        <fgColor theme="5" tint="0.5999938962981048"/>
        <bgColor indexed="64"/>
      </patternFill>
    </fill>
    <fill>
      <patternFill patternType="solid">
        <fgColor rgb="FFFFFF00"/>
        <bgColor indexed="64"/>
      </patternFill>
    </fill>
    <fill>
      <patternFill patternType="solid">
        <fgColor theme="3" tint="0.399975585192419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indexed="9"/>
        <bgColor indexed="26"/>
      </patternFill>
    </fill>
    <fill>
      <patternFill patternType="solid">
        <fgColor theme="0" tint="-0.0499893185216834"/>
        <bgColor indexed="64"/>
      </patternFill>
    </fill>
  </fills>
  <borders count="82">
    <border>
      <left/>
      <right/>
      <top/>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right/>
      <top style="medium">
        <color indexed="64"/>
      </top>
      <bottom style="double">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style="dotted">
        <color auto="1"/>
      </right>
      <top/>
      <bottom style="dotted">
        <color auto="1"/>
      </bottom>
      <diagonal/>
    </border>
    <border>
      <left style="dotted">
        <color indexed="64"/>
      </left>
      <right/>
      <top style="dotted">
        <color indexed="64"/>
      </top>
      <bottom style="dotted">
        <color indexed="64"/>
      </bottom>
      <diagonal/>
    </border>
    <border>
      <left/>
      <right style="dotted">
        <color indexed="64"/>
      </right>
      <top style="dotted">
        <color indexed="64"/>
      </top>
      <bottom style="dotted">
        <color indexed="64"/>
      </bottom>
      <diagonal/>
    </border>
    <border>
      <left/>
      <right/>
      <top style="dotted">
        <color indexed="64"/>
      </top>
      <bottom style="dotted">
        <color indexed="64"/>
      </bottom>
      <diagonal/>
    </border>
    <border>
      <left style="dotted">
        <color auto="1"/>
      </left>
      <right/>
      <top style="thin">
        <color indexed="64"/>
      </top>
      <bottom style="double">
        <color indexed="64"/>
      </bottom>
      <diagonal/>
    </border>
    <border>
      <left style="dotted">
        <color auto="1"/>
      </left>
      <right style="dotted">
        <color auto="1"/>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theme="0"/>
      </top>
      <bottom style="medium">
        <color theme="0"/>
      </bottom>
      <diagonal/>
    </border>
    <border>
      <left/>
      <right/>
      <top style="medium">
        <color theme="0"/>
      </top>
      <bottom style="medium">
        <color theme="0"/>
      </bottom>
      <diagonal/>
    </border>
    <border>
      <left/>
      <right style="medium">
        <color indexed="64"/>
      </right>
      <top style="medium">
        <color theme="0"/>
      </top>
      <bottom style="medium">
        <color theme="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theme="0"/>
      </bottom>
      <diagonal/>
    </border>
    <border>
      <left/>
      <right/>
      <top/>
      <bottom style="medium">
        <color theme="0"/>
      </bottom>
      <diagonal/>
    </border>
    <border>
      <left/>
      <right style="medium">
        <color indexed="64"/>
      </right>
      <top/>
      <bottom style="medium">
        <color theme="0"/>
      </bottom>
      <diagonal/>
    </border>
    <border>
      <left style="medium">
        <color indexed="64"/>
      </left>
      <right/>
      <top style="dotted">
        <color indexed="64"/>
      </top>
      <bottom/>
      <diagonal/>
    </border>
    <border>
      <left style="medium">
        <color indexed="64"/>
      </left>
      <right/>
      <top/>
      <bottom style="dotted">
        <color indexed="64"/>
      </bottom>
      <diagonal/>
    </border>
    <border>
      <left style="medium">
        <color indexed="64"/>
      </left>
      <right style="dotted">
        <color indexed="64"/>
      </right>
      <top style="dotted">
        <color indexed="64"/>
      </top>
      <bottom style="dotted">
        <color indexed="64"/>
      </bottom>
      <diagonal/>
    </border>
    <border>
      <left style="dotted">
        <color theme="0" tint="-0.1499679555650502"/>
      </left>
      <right style="dotted">
        <color theme="0" tint="-0.1499679555650502"/>
      </right>
      <top style="dotted">
        <color theme="0" tint="-0.1499679555650502"/>
      </top>
      <bottom style="dotted">
        <color theme="0" tint="-0.1499679555650502"/>
      </bottom>
      <diagonal/>
    </border>
    <border>
      <left style="medium">
        <color indexed="64"/>
      </left>
      <right/>
      <top style="medium">
        <color theme="0"/>
      </top>
      <bottom style="thin">
        <color theme="2" tint="-0.09997863704336681"/>
      </bottom>
      <diagonal/>
    </border>
    <border>
      <left/>
      <right/>
      <top style="medium">
        <color theme="0"/>
      </top>
      <bottom style="thin">
        <color theme="2" tint="-0.09997863704336681"/>
      </bottom>
      <diagonal/>
    </border>
    <border>
      <left style="thin">
        <color theme="2" tint="-0.09997863704336681"/>
      </left>
      <right style="thin">
        <color theme="2" tint="-0.09997863704336681"/>
      </right>
      <top style="thin">
        <color theme="2" tint="-0.09997863704336681"/>
      </top>
      <bottom style="thin">
        <color theme="2" tint="-0.09997863704336681"/>
      </bottom>
      <diagonal/>
    </border>
    <border>
      <left style="thin">
        <color theme="2" tint="-0.09997863704336681"/>
      </left>
      <right/>
      <top style="thin">
        <color theme="2" tint="-0.09997863704336681"/>
      </top>
      <bottom style="thin">
        <color theme="2" tint="-0.0999786370433668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dotted">
        <color indexed="64"/>
      </right>
      <top style="dotted">
        <color indexed="64"/>
      </top>
      <bottom/>
      <diagonal/>
    </border>
    <border>
      <left style="medium">
        <color indexed="64"/>
      </left>
      <right style="dotted">
        <color indexed="64"/>
      </right>
      <top/>
      <bottom/>
      <diagonal/>
    </border>
    <border>
      <left style="medium">
        <color indexed="64"/>
      </left>
      <right style="medium">
        <color indexed="64"/>
      </right>
      <top style="medium">
        <color indexed="64"/>
      </top>
      <bottom style="medium">
        <color theme="0"/>
      </bottom>
      <diagonal/>
    </border>
    <border>
      <left style="medium">
        <color indexed="64"/>
      </left>
      <right style="medium">
        <color indexed="64"/>
      </right>
      <top style="medium">
        <color theme="0"/>
      </top>
      <bottom style="medium">
        <color theme="0"/>
      </bottom>
      <diagonal/>
    </border>
    <border>
      <left/>
      <right/>
      <top style="medium">
        <color theme="0"/>
      </top>
      <bottom/>
      <diagonal/>
    </border>
    <border>
      <left/>
      <right style="medium">
        <color indexed="64"/>
      </right>
      <top style="medium">
        <color theme="0"/>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style="dotted">
        <color auto="1"/>
      </left>
      <right style="dotted">
        <color auto="1"/>
      </right>
      <top style="dotted">
        <color auto="1"/>
      </top>
      <bottom style="dotted">
        <color auto="1"/>
      </bottom>
      <diagonal/>
    </border>
    <border>
      <left style="dotted">
        <color auto="1"/>
      </left>
      <right/>
      <top/>
      <bottom/>
      <diagonal/>
    </border>
    <border>
      <left/>
      <right/>
      <top style="dotted">
        <color theme="0" tint="-0.1499679555650502"/>
      </top>
      <bottom/>
      <diagonal/>
    </border>
    <border>
      <left/>
      <right style="dotted">
        <color theme="0" tint="-0.1499679555650502"/>
      </right>
      <top style="dotted">
        <color theme="0" tint="-0.1499679555650502"/>
      </top>
      <bottom/>
      <diagonal/>
    </border>
    <border>
      <left/>
      <right/>
      <top style="dotted">
        <color theme="0" tint="-0.1499679555650502"/>
      </top>
      <bottom style="dotted">
        <color theme="0" tint="-0.1499679555650502"/>
      </bottom>
      <diagonal/>
    </border>
    <border>
      <left/>
      <right style="dotted">
        <color theme="0" tint="-0.1499679555650502"/>
      </right>
      <top style="dotted">
        <color theme="0" tint="-0.1499679555650502"/>
      </top>
      <bottom style="dotted">
        <color theme="0" tint="-0.1499679555650502"/>
      </bottom>
      <diagonal/>
    </border>
    <border>
      <left style="dotted">
        <color theme="0" tint="-0.1499679555650502"/>
      </left>
      <right/>
      <top/>
      <bottom/>
      <diagonal/>
    </border>
    <border>
      <left/>
      <right style="dotted">
        <color theme="0" tint="-0.1499679555650502"/>
      </right>
      <top/>
      <bottom/>
      <diagonal/>
    </border>
    <border>
      <left style="dotted">
        <color theme="0" tint="-0.1499679555650502"/>
      </left>
      <right/>
      <top/>
      <bottom style="dotted">
        <color theme="0" tint="-0.1499679555650502"/>
      </bottom>
      <diagonal/>
    </border>
    <border>
      <left/>
      <right/>
      <top/>
      <bottom style="dotted">
        <color theme="0" tint="-0.1499679555650502"/>
      </bottom>
      <diagonal/>
    </border>
    <border>
      <left/>
      <right style="dotted">
        <color theme="0" tint="-0.1499679555650502"/>
      </right>
      <top/>
      <bottom style="dotted">
        <color theme="0" tint="-0.149967955565050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top style="medium">
        <color indexed="64"/>
      </top>
      <bottom style="medium">
        <color theme="0"/>
      </bottom>
      <diagonal/>
    </border>
  </borders>
  <cellStyleXfs count="25">
    <xf numFmtId="0" fontId="3" fillId="0" borderId="0"/>
    <xf numFmtId="43" fontId="3" fillId="0" borderId="0"/>
    <xf numFmtId="0" fontId="4" fillId="0" borderId="0"/>
    <xf numFmtId="43" fontId="4" fillId="0" borderId="0"/>
    <xf numFmtId="9" fontId="4" fillId="0" borderId="0"/>
    <xf numFmtId="43" fontId="4" fillId="0" borderId="0"/>
    <xf numFmtId="169" fontId="5" fillId="0" borderId="0"/>
    <xf numFmtId="169" fontId="3" fillId="0" borderId="0"/>
    <xf numFmtId="0" fontId="6" fillId="0" borderId="0" applyAlignment="1">
      <alignment vertical="top"/>
    </xf>
    <xf numFmtId="0" fontId="6" fillId="0" borderId="0" applyAlignment="1">
      <alignment vertical="top"/>
    </xf>
    <xf numFmtId="0" fontId="4" fillId="0" borderId="0"/>
    <xf numFmtId="9" fontId="4" fillId="0" borderId="0"/>
    <xf numFmtId="0" fontId="8" fillId="0" borderId="0"/>
    <xf numFmtId="0" fontId="16" fillId="0" borderId="0" applyAlignment="1" applyProtection="1">
      <alignment vertical="top"/>
      <protection locked="0" hidden="0"/>
    </xf>
    <xf numFmtId="43" fontId="4" fillId="0" borderId="0"/>
    <xf numFmtId="9" fontId="4" fillId="0" borderId="0"/>
    <xf numFmtId="43" fontId="4" fillId="0" borderId="0"/>
    <xf numFmtId="43" fontId="4" fillId="0" borderId="0"/>
    <xf numFmtId="43" fontId="4" fillId="0" borderId="0"/>
    <xf numFmtId="0" fontId="4" fillId="0" borderId="0"/>
    <xf numFmtId="9" fontId="4" fillId="0" borderId="0"/>
    <xf numFmtId="0" fontId="4" fillId="0" borderId="0"/>
    <xf numFmtId="9" fontId="4" fillId="0" borderId="0"/>
    <xf numFmtId="172" fontId="4" fillId="0" borderId="0"/>
    <xf numFmtId="9" fontId="3" fillId="0" borderId="0"/>
  </cellStyleXfs>
  <cellXfs count="585">
    <xf numFmtId="0" fontId="0" fillId="0" borderId="0" pivotButton="0" quotePrefix="0" xfId="0"/>
    <xf numFmtId="0" fontId="9" fillId="2" borderId="0" pivotButton="0" quotePrefix="0" xfId="0"/>
    <xf numFmtId="0" fontId="7" fillId="2" borderId="0" applyAlignment="1" pivotButton="0" quotePrefix="0" xfId="0">
      <alignment horizontal="left"/>
    </xf>
    <xf numFmtId="0" fontId="7" fillId="2" borderId="0" pivotButton="0" quotePrefix="0" xfId="0"/>
    <xf numFmtId="0" fontId="7" fillId="2" borderId="0" applyAlignment="1" pivotButton="0" quotePrefix="0" xfId="0">
      <alignment horizontal="left" vertical="center"/>
    </xf>
    <xf numFmtId="0" fontId="7" fillId="2" borderId="0" applyAlignment="1" pivotButton="0" quotePrefix="0" xfId="0">
      <alignment horizontal="right"/>
    </xf>
    <xf numFmtId="0" fontId="7" fillId="2" borderId="0" applyAlignment="1" pivotButton="0" quotePrefix="0" xfId="0">
      <alignment horizontal="center" vertical="center"/>
    </xf>
    <xf numFmtId="0" fontId="7" fillId="0" borderId="0" applyAlignment="1" pivotButton="0" quotePrefix="0" xfId="0">
      <alignment horizontal="center" vertical="center"/>
    </xf>
    <xf numFmtId="0" fontId="10" fillId="2" borderId="0" pivotButton="0" quotePrefix="0" xfId="0"/>
    <xf numFmtId="0" fontId="10" fillId="4" borderId="0" pivotButton="0" quotePrefix="0" xfId="0"/>
    <xf numFmtId="0" fontId="12" fillId="4" borderId="0" applyAlignment="1" pivotButton="0" quotePrefix="0" xfId="0">
      <alignment horizontal="center"/>
    </xf>
    <xf numFmtId="0" fontId="13" fillId="4" borderId="0" applyAlignment="1" pivotButton="0" quotePrefix="0" xfId="0">
      <alignment horizontal="center"/>
    </xf>
    <xf numFmtId="0" fontId="12" fillId="4" borderId="0" applyAlignment="1" pivotButton="0" quotePrefix="0" xfId="0">
      <alignment horizontal="left"/>
    </xf>
    <xf numFmtId="0" fontId="7" fillId="0" borderId="0" applyAlignment="1" pivotButton="0" quotePrefix="0" xfId="0">
      <alignment horizontal="right"/>
    </xf>
    <xf numFmtId="0" fontId="7" fillId="0" borderId="0" applyAlignment="1" pivotButton="0" quotePrefix="0" xfId="0">
      <alignment horizontal="left"/>
    </xf>
    <xf numFmtId="0" fontId="4" fillId="2" borderId="0" pivotButton="0" quotePrefix="0" xfId="0"/>
    <xf numFmtId="0" fontId="7" fillId="2" borderId="0" applyAlignment="1" pivotButton="0" quotePrefix="0" xfId="0">
      <alignment horizontal="center"/>
    </xf>
    <xf numFmtId="0" fontId="18" fillId="2" borderId="0" pivotButton="0" quotePrefix="0" xfId="2"/>
    <xf numFmtId="0" fontId="19" fillId="2" borderId="0" pivotButton="0" quotePrefix="0" xfId="2"/>
    <xf numFmtId="0" fontId="19" fillId="2" borderId="0" pivotButton="0" quotePrefix="0" xfId="0"/>
    <xf numFmtId="0" fontId="11" fillId="6" borderId="0" applyAlignment="1" pivotButton="0" quotePrefix="0" xfId="0">
      <alignment horizontal="center"/>
    </xf>
    <xf numFmtId="164" fontId="19" fillId="2" borderId="0" applyAlignment="1" pivotButton="0" quotePrefix="0" xfId="2">
      <alignment horizontal="center"/>
    </xf>
    <xf numFmtId="0" fontId="19" fillId="2" borderId="0" applyAlignment="1" pivotButton="0" quotePrefix="0" xfId="2">
      <alignment horizontal="right"/>
    </xf>
    <xf numFmtId="0" fontId="4" fillId="2" borderId="0" applyAlignment="1" pivotButton="0" quotePrefix="0" xfId="0">
      <alignment horizontal="center" vertical="center" wrapText="1"/>
    </xf>
    <xf numFmtId="0" fontId="7" fillId="2" borderId="0" applyAlignment="1" pivotButton="0" quotePrefix="0" xfId="2">
      <alignment horizontal="center"/>
    </xf>
    <xf numFmtId="4" fontId="4" fillId="2" borderId="0" pivotButton="0" quotePrefix="0" xfId="0"/>
    <xf numFmtId="0" fontId="20" fillId="3" borderId="0" pivotButton="0" quotePrefix="0" xfId="12"/>
    <xf numFmtId="0" fontId="6" fillId="2" borderId="0" pivotButton="0" quotePrefix="0" xfId="12"/>
    <xf numFmtId="0" fontId="10" fillId="2" borderId="0" applyAlignment="1" pivotButton="0" quotePrefix="0" xfId="0">
      <alignment horizontal="center"/>
    </xf>
    <xf numFmtId="4" fontId="7" fillId="2" borderId="0" applyAlignment="1" pivotButton="0" quotePrefix="0" xfId="1">
      <alignment horizontal="center"/>
    </xf>
    <xf numFmtId="4" fontId="10" fillId="2" borderId="0" pivotButton="0" quotePrefix="0" xfId="1"/>
    <xf numFmtId="4" fontId="10" fillId="2" borderId="0" pivotButton="0" quotePrefix="0" xfId="0"/>
    <xf numFmtId="0" fontId="21" fillId="2" borderId="0" applyAlignment="1" pivotButton="0" quotePrefix="0" xfId="0">
      <alignment horizontal="left"/>
    </xf>
    <xf numFmtId="0" fontId="21" fillId="2" borderId="0" applyAlignment="1" pivotButton="0" quotePrefix="0" xfId="0">
      <alignment horizontal="justify"/>
    </xf>
    <xf numFmtId="0" fontId="6" fillId="2" borderId="0" applyAlignment="1" pivotButton="0" quotePrefix="0" xfId="0">
      <alignment horizontal="left" indent="1"/>
    </xf>
    <xf numFmtId="165" fontId="6" fillId="2" borderId="0" applyAlignment="1" pivotButton="0" quotePrefix="0" xfId="0">
      <alignment horizontal="right"/>
    </xf>
    <xf numFmtId="39" fontId="10" fillId="2" borderId="0" pivotButton="0" quotePrefix="0" xfId="1"/>
    <xf numFmtId="0" fontId="21" fillId="2" borderId="0" applyAlignment="1" pivotButton="0" quotePrefix="0" xfId="0">
      <alignment horizontal="center"/>
    </xf>
    <xf numFmtId="0" fontId="6" fillId="2" borderId="0" pivotButton="0" quotePrefix="0" xfId="0"/>
    <xf numFmtId="0" fontId="21" fillId="2" borderId="0" pivotButton="0" quotePrefix="0" xfId="0"/>
    <xf numFmtId="4" fontId="6" fillId="2" borderId="0" pivotButton="0" quotePrefix="0" xfId="1"/>
    <xf numFmtId="4" fontId="21" fillId="2" borderId="0" applyAlignment="1" pivotButton="0" quotePrefix="0" xfId="0">
      <alignment horizontal="center"/>
    </xf>
    <xf numFmtId="40" fontId="6" fillId="2" borderId="0" pivotButton="0" quotePrefix="0" xfId="0"/>
    <xf numFmtId="4" fontId="7" fillId="2" borderId="0" pivotButton="0" quotePrefix="0" xfId="0"/>
    <xf numFmtId="4" fontId="7" fillId="2" borderId="0" applyAlignment="1" pivotButton="0" quotePrefix="0" xfId="0">
      <alignment horizontal="center"/>
    </xf>
    <xf numFmtId="4" fontId="10" fillId="2" borderId="0" applyAlignment="1" pivotButton="0" quotePrefix="0" xfId="1">
      <alignment horizontal="right"/>
    </xf>
    <xf numFmtId="4" fontId="10" fillId="2" borderId="0" applyAlignment="1" pivotButton="0" quotePrefix="0" xfId="1">
      <alignment horizontal="center"/>
    </xf>
    <xf numFmtId="0" fontId="10" fillId="5" borderId="0" applyAlignment="1" pivotButton="0" quotePrefix="0" xfId="0">
      <alignment horizontal="center"/>
    </xf>
    <xf numFmtId="43" fontId="10" fillId="2" borderId="0" pivotButton="0" quotePrefix="0" xfId="1"/>
    <xf numFmtId="0" fontId="13" fillId="4" borderId="0" applyAlignment="1" pivotButton="0" quotePrefix="0" xfId="0">
      <alignment horizontal="left"/>
    </xf>
    <xf numFmtId="4" fontId="4" fillId="2" borderId="0" pivotButton="0" quotePrefix="0" xfId="1"/>
    <xf numFmtId="4" fontId="10" fillId="2" borderId="2" pivotButton="0" quotePrefix="0" xfId="1"/>
    <xf numFmtId="4" fontId="10" fillId="2" borderId="0" applyAlignment="1" pivotButton="0" quotePrefix="0" xfId="0">
      <alignment horizontal="right"/>
    </xf>
    <xf numFmtId="4" fontId="7" fillId="2" borderId="0" applyAlignment="1" pivotButton="0" quotePrefix="0" xfId="0">
      <alignment horizontal="left"/>
    </xf>
    <xf numFmtId="0" fontId="13" fillId="4" borderId="0" applyAlignment="1" pivotButton="0" quotePrefix="0" xfId="0">
      <alignment horizontal="right"/>
    </xf>
    <xf numFmtId="4" fontId="11" fillId="2" borderId="0" pivotButton="0" quotePrefix="0" xfId="1"/>
    <xf numFmtId="4" fontId="7" fillId="2" borderId="0" applyAlignment="1" pivotButton="0" quotePrefix="0" xfId="0">
      <alignment horizontal="left" vertical="center"/>
    </xf>
    <xf numFmtId="0" fontId="14" fillId="2" borderId="0" pivotButton="0" quotePrefix="0" xfId="0"/>
    <xf numFmtId="4" fontId="4" fillId="2" borderId="0" applyAlignment="1" pivotButton="0" quotePrefix="0" xfId="1">
      <alignment wrapText="1"/>
    </xf>
    <xf numFmtId="0" fontId="10" fillId="2" borderId="12" applyAlignment="1" pivotButton="0" quotePrefix="0" xfId="0">
      <alignment horizontal="left" vertical="top" wrapText="1" indent="2"/>
    </xf>
    <xf numFmtId="0" fontId="10" fillId="2" borderId="13" applyAlignment="1" pivotButton="0" quotePrefix="0" xfId="0">
      <alignment horizontal="left" vertical="top" wrapText="1" indent="2"/>
    </xf>
    <xf numFmtId="0" fontId="7" fillId="2" borderId="5" applyAlignment="1" pivotButton="0" quotePrefix="0" xfId="0">
      <alignment horizontal="center" vertical="center" wrapText="1"/>
    </xf>
    <xf numFmtId="14" fontId="9" fillId="2" borderId="5" applyAlignment="1" pivotButton="0" quotePrefix="0" xfId="0">
      <alignment horizontal="center" vertical="center" wrapText="1"/>
    </xf>
    <xf numFmtId="0" fontId="10" fillId="2" borderId="5" applyAlignment="1" pivotButton="0" quotePrefix="0" xfId="0">
      <alignment horizontal="center" vertical="top" wrapText="1"/>
    </xf>
    <xf numFmtId="0" fontId="7" fillId="2" borderId="5" applyAlignment="1" pivotButton="0" quotePrefix="0" xfId="0">
      <alignment horizontal="center" vertical="top" wrapText="1"/>
    </xf>
    <xf numFmtId="0" fontId="9" fillId="2" borderId="5" applyAlignment="1" pivotButton="0" quotePrefix="0" xfId="0">
      <alignment horizontal="center" vertical="top" wrapText="1"/>
    </xf>
    <xf numFmtId="0" fontId="10" fillId="2" borderId="5" applyAlignment="1" pivotButton="0" quotePrefix="0" xfId="0">
      <alignment vertical="top" wrapText="1"/>
    </xf>
    <xf numFmtId="0" fontId="9" fillId="2" borderId="5" applyAlignment="1" pivotButton="0" quotePrefix="0" xfId="0">
      <alignment horizontal="justify" vertical="center" wrapText="1"/>
    </xf>
    <xf numFmtId="0" fontId="6" fillId="4" borderId="0" pivotButton="0" quotePrefix="0" xfId="0"/>
    <xf numFmtId="0" fontId="21" fillId="4" borderId="0" pivotButton="0" quotePrefix="0" xfId="0"/>
    <xf numFmtId="0" fontId="6" fillId="4" borderId="6" pivotButton="0" quotePrefix="0" xfId="0"/>
    <xf numFmtId="0" fontId="6" fillId="4" borderId="7" pivotButton="0" quotePrefix="0" xfId="0"/>
    <xf numFmtId="0" fontId="6" fillId="4" borderId="8" pivotButton="0" quotePrefix="0" xfId="0"/>
    <xf numFmtId="0" fontId="13" fillId="4" borderId="9" pivotButton="0" quotePrefix="0" xfId="0"/>
    <xf numFmtId="0" fontId="6" fillId="4" borderId="10" pivotButton="0" quotePrefix="0" xfId="0"/>
    <xf numFmtId="0" fontId="12" fillId="4" borderId="9" applyAlignment="1" pivotButton="0" quotePrefix="0" xfId="0">
      <alignment horizontal="center"/>
    </xf>
    <xf numFmtId="0" fontId="13" fillId="4" borderId="9" applyAlignment="1" pivotButton="0" quotePrefix="0" xfId="0">
      <alignment horizontal="center"/>
    </xf>
    <xf numFmtId="0" fontId="15" fillId="4" borderId="9" pivotButton="0" quotePrefix="0" xfId="0"/>
    <xf numFmtId="0" fontId="6" fillId="4" borderId="11" pivotButton="0" quotePrefix="0" xfId="0"/>
    <xf numFmtId="0" fontId="6" fillId="4" borderId="12" pivotButton="0" quotePrefix="0" xfId="0"/>
    <xf numFmtId="0" fontId="6" fillId="4" borderId="13" pivotButton="0" quotePrefix="0" xfId="0"/>
    <xf numFmtId="0" fontId="6" fillId="4" borderId="9" pivotButton="0" quotePrefix="0" xfId="0"/>
    <xf numFmtId="0" fontId="19" fillId="4" borderId="9" pivotButton="0" quotePrefix="0" xfId="13"/>
    <xf numFmtId="0" fontId="4" fillId="4" borderId="0" pivotButton="0" quotePrefix="0" xfId="0"/>
    <xf numFmtId="0" fontId="17" fillId="4" borderId="0" pivotButton="0" quotePrefix="0" xfId="13"/>
    <xf numFmtId="0" fontId="4" fillId="4" borderId="10" pivotButton="0" quotePrefix="0" xfId="0"/>
    <xf numFmtId="0" fontId="19" fillId="0" borderId="0" applyAlignment="1" pivotButton="0" quotePrefix="0" xfId="0">
      <alignment horizontal="left"/>
    </xf>
    <xf numFmtId="4" fontId="11" fillId="6" borderId="5" pivotButton="0" quotePrefix="0" xfId="1"/>
    <xf numFmtId="4" fontId="19" fillId="2" borderId="5" applyAlignment="1" pivotButton="0" quotePrefix="0" xfId="1">
      <alignment horizontal="right"/>
    </xf>
    <xf numFmtId="0" fontId="19" fillId="2" borderId="5" pivotButton="0" quotePrefix="0" xfId="0"/>
    <xf numFmtId="4" fontId="19" fillId="2" borderId="5" pivotButton="0" quotePrefix="0" xfId="1"/>
    <xf numFmtId="4" fontId="11" fillId="2" borderId="19" pivotButton="0" quotePrefix="0" xfId="1"/>
    <xf numFmtId="4" fontId="11" fillId="2" borderId="18" applyAlignment="1" pivotButton="0" quotePrefix="0" xfId="1">
      <alignment horizontal="right"/>
    </xf>
    <xf numFmtId="0" fontId="11" fillId="2" borderId="19" pivotButton="0" quotePrefix="0" xfId="0"/>
    <xf numFmtId="0" fontId="19" fillId="2" borderId="0" applyAlignment="1" pivotButton="0" quotePrefix="0" xfId="2">
      <alignment vertical="top"/>
    </xf>
    <xf numFmtId="4" fontId="10" fillId="2" borderId="5" pivotButton="0" quotePrefix="0" xfId="1"/>
    <xf numFmtId="4" fontId="6" fillId="2" borderId="5" applyAlignment="1" pivotButton="0" quotePrefix="0" xfId="1">
      <alignment horizontal="right"/>
    </xf>
    <xf numFmtId="0" fontId="21" fillId="2" borderId="18" pivotButton="0" quotePrefix="0" xfId="0"/>
    <xf numFmtId="0" fontId="6" fillId="2" borderId="18" applyAlignment="1" pivotButton="0" quotePrefix="0" xfId="0">
      <alignment horizontal="left"/>
    </xf>
    <xf numFmtId="39" fontId="19" fillId="2" borderId="5" pivotButton="0" quotePrefix="0" xfId="1"/>
    <xf numFmtId="39" fontId="10" fillId="2" borderId="5" pivotButton="0" quotePrefix="0" xfId="1"/>
    <xf numFmtId="0" fontId="10" fillId="2" borderId="5" pivotButton="0" quotePrefix="0" xfId="0"/>
    <xf numFmtId="0" fontId="19" fillId="2" borderId="5" applyAlignment="1" pivotButton="0" quotePrefix="0" xfId="0">
      <alignment horizontal="center"/>
    </xf>
    <xf numFmtId="0" fontId="4" fillId="2" borderId="5" pivotButton="0" quotePrefix="0" xfId="0"/>
    <xf numFmtId="4" fontId="4" fillId="2" borderId="5" pivotButton="0" quotePrefix="0" xfId="1"/>
    <xf numFmtId="4" fontId="19" fillId="2" borderId="5" applyAlignment="1" pivotButton="0" quotePrefix="0" xfId="0">
      <alignment horizontal="center"/>
    </xf>
    <xf numFmtId="4" fontId="19" fillId="2" borderId="5" pivotButton="0" quotePrefix="0" xfId="0"/>
    <xf numFmtId="4" fontId="4" fillId="2" borderId="5" pivotButton="0" quotePrefix="0" xfId="0"/>
    <xf numFmtId="4" fontId="11" fillId="6" borderId="5" pivotButton="0" quotePrefix="0" xfId="0"/>
    <xf numFmtId="0" fontId="4" fillId="2" borderId="5" applyAlignment="1" pivotButton="0" quotePrefix="0" xfId="0">
      <alignment horizontal="left"/>
    </xf>
    <xf numFmtId="0" fontId="19" fillId="2" borderId="0" applyAlignment="1" pivotButton="0" quotePrefix="0" xfId="2">
      <alignment horizontal="left" vertical="top"/>
    </xf>
    <xf numFmtId="0" fontId="19" fillId="2" borderId="0" applyAlignment="1" pivotButton="0" quotePrefix="0" xfId="0">
      <alignment horizontal="left"/>
    </xf>
    <xf numFmtId="0" fontId="7" fillId="2" borderId="0" applyAlignment="1" pivotButton="0" quotePrefix="0" xfId="0">
      <alignment horizontal="right" vertical="center"/>
    </xf>
    <xf numFmtId="4" fontId="19" fillId="0" borderId="5" pivotButton="0" quotePrefix="0" xfId="1"/>
    <xf numFmtId="4" fontId="6" fillId="2" borderId="5" applyAlignment="1" pivotButton="0" quotePrefix="0" xfId="0">
      <alignment horizontal="right"/>
    </xf>
    <xf numFmtId="4" fontId="7" fillId="2" borderId="0" pivotButton="0" quotePrefix="0" xfId="1"/>
    <xf numFmtId="4" fontId="10" fillId="2" borderId="5" applyAlignment="1" pivotButton="0" quotePrefix="0" xfId="1">
      <alignment horizontal="right"/>
    </xf>
    <xf numFmtId="4" fontId="6" fillId="0" borderId="5" applyAlignment="1" pivotButton="0" quotePrefix="0" xfId="1">
      <alignment vertical="top"/>
    </xf>
    <xf numFmtId="43" fontId="6" fillId="0" borderId="5" applyAlignment="1" pivotButton="0" quotePrefix="0" xfId="1">
      <alignment vertical="top"/>
    </xf>
    <xf numFmtId="10" fontId="6" fillId="0" borderId="5" applyAlignment="1" pivotButton="0" quotePrefix="0" xfId="1">
      <alignment horizontal="right" vertical="top"/>
    </xf>
    <xf numFmtId="0" fontId="12" fillId="0" borderId="9" applyAlignment="1" pivotButton="0" quotePrefix="0" xfId="0">
      <alignment horizontal="center"/>
    </xf>
    <xf numFmtId="39" fontId="6" fillId="0" borderId="5" pivotButton="0" quotePrefix="0" xfId="1"/>
    <xf numFmtId="4" fontId="6" fillId="0" borderId="5" applyAlignment="1" pivotButton="0" quotePrefix="0" xfId="1">
      <alignment horizontal="right" vertical="center"/>
    </xf>
    <xf numFmtId="0" fontId="13" fillId="0" borderId="5" applyAlignment="1" pivotButton="0" quotePrefix="0" xfId="0">
      <alignment horizontal="center"/>
    </xf>
    <xf numFmtId="0" fontId="6" fillId="0" borderId="5" applyAlignment="1" pivotButton="0" quotePrefix="0" xfId="0">
      <alignment vertical="top"/>
    </xf>
    <xf numFmtId="39" fontId="19" fillId="0" borderId="5" pivotButton="0" quotePrefix="0" xfId="1"/>
    <xf numFmtId="0" fontId="4" fillId="0" borderId="5" pivotButton="0" quotePrefix="0" xfId="0"/>
    <xf numFmtId="4" fontId="10" fillId="0" borderId="5" pivotButton="0" quotePrefix="0" xfId="1"/>
    <xf numFmtId="0" fontId="4" fillId="8" borderId="5" pivotButton="0" quotePrefix="0" xfId="0"/>
    <xf numFmtId="4" fontId="23" fillId="2" borderId="0" pivotButton="0" quotePrefix="0" xfId="1"/>
    <xf numFmtId="0" fontId="4" fillId="9" borderId="5" pivotButton="0" quotePrefix="0" xfId="0"/>
    <xf numFmtId="0" fontId="10" fillId="0" borderId="5" pivotButton="0" quotePrefix="0" xfId="0"/>
    <xf numFmtId="0" fontId="27" fillId="2" borderId="23" pivotButton="0" quotePrefix="0" xfId="0"/>
    <xf numFmtId="15" fontId="26" fillId="2" borderId="0" applyAlignment="1" pivotButton="0" quotePrefix="0" xfId="0">
      <alignment horizontal="left"/>
    </xf>
    <xf numFmtId="0" fontId="28" fillId="2" borderId="23" applyAlignment="1" pivotButton="0" quotePrefix="0" xfId="0">
      <alignment horizontal="center"/>
    </xf>
    <xf numFmtId="0" fontId="24" fillId="2" borderId="24" pivotButton="0" quotePrefix="0" xfId="0"/>
    <xf numFmtId="0" fontId="28" fillId="2" borderId="31" applyAlignment="1" pivotButton="0" quotePrefix="0" xfId="0">
      <alignment horizontal="center"/>
    </xf>
    <xf numFmtId="0" fontId="24" fillId="2" borderId="32" pivotButton="0" quotePrefix="0" xfId="0"/>
    <xf numFmtId="0" fontId="26" fillId="2" borderId="0" applyAlignment="1" pivotButton="0" quotePrefix="0" xfId="0">
      <alignment horizontal="left"/>
    </xf>
    <xf numFmtId="15" fontId="26" fillId="2" borderId="0" pivotButton="0" quotePrefix="0" xfId="0"/>
    <xf numFmtId="0" fontId="28" fillId="2" borderId="0" applyAlignment="1" pivotButton="0" quotePrefix="0" xfId="0">
      <alignment horizontal="center"/>
    </xf>
    <xf numFmtId="0" fontId="24" fillId="2" borderId="0" pivotButton="0" quotePrefix="0" xfId="0"/>
    <xf numFmtId="0" fontId="9" fillId="2" borderId="22" pivotButton="0" quotePrefix="0" xfId="0"/>
    <xf numFmtId="0" fontId="9" fillId="2" borderId="23" pivotButton="0" quotePrefix="0" xfId="0"/>
    <xf numFmtId="0" fontId="9" fillId="2" borderId="24" pivotButton="0" quotePrefix="0" xfId="0"/>
    <xf numFmtId="0" fontId="9" fillId="2" borderId="26" pivotButton="0" quotePrefix="0" xfId="0"/>
    <xf numFmtId="0" fontId="10" fillId="2" borderId="37" applyAlignment="1" pivotButton="0" quotePrefix="0" xfId="0">
      <alignment horizontal="left" vertical="top" wrapText="1" indent="2"/>
    </xf>
    <xf numFmtId="0" fontId="10" fillId="2" borderId="38" applyAlignment="1" pivotButton="0" quotePrefix="0" xfId="0">
      <alignment horizontal="center" vertical="center" wrapText="1"/>
    </xf>
    <xf numFmtId="0" fontId="10" fillId="2" borderId="30" pivotButton="0" quotePrefix="0" xfId="0"/>
    <xf numFmtId="0" fontId="4" fillId="2" borderId="31" pivotButton="0" quotePrefix="0" xfId="0"/>
    <xf numFmtId="0" fontId="9" fillId="2" borderId="31" pivotButton="0" quotePrefix="0" xfId="0"/>
    <xf numFmtId="0" fontId="9" fillId="2" borderId="32" pivotButton="0" quotePrefix="0" xfId="0"/>
    <xf numFmtId="0" fontId="11" fillId="11" borderId="38" applyAlignment="1" pivotButton="0" quotePrefix="0" xfId="0">
      <alignment horizontal="center" vertical="center" wrapText="1"/>
    </xf>
    <xf numFmtId="0" fontId="11" fillId="11" borderId="5" applyAlignment="1" pivotButton="0" quotePrefix="0" xfId="0">
      <alignment horizontal="center" vertical="center" wrapText="1"/>
    </xf>
    <xf numFmtId="0" fontId="10" fillId="2" borderId="25" pivotButton="0" quotePrefix="0" xfId="0"/>
    <xf numFmtId="1" fontId="10" fillId="2" borderId="0" pivotButton="0" quotePrefix="0" xfId="0"/>
    <xf numFmtId="0" fontId="11" fillId="11" borderId="38" applyAlignment="1" pivotButton="0" quotePrefix="0" xfId="0">
      <alignment horizontal="center" wrapText="1"/>
    </xf>
    <xf numFmtId="0" fontId="11" fillId="11" borderId="5" applyAlignment="1" pivotButton="0" quotePrefix="0" xfId="0">
      <alignment horizontal="center" wrapText="1"/>
    </xf>
    <xf numFmtId="0" fontId="19" fillId="2" borderId="23" pivotButton="0" quotePrefix="0" xfId="0"/>
    <xf numFmtId="15" fontId="4" fillId="2" borderId="0" applyAlignment="1" pivotButton="0" quotePrefix="0" xfId="0">
      <alignment horizontal="left"/>
    </xf>
    <xf numFmtId="0" fontId="13" fillId="2" borderId="23" applyAlignment="1" pivotButton="0" quotePrefix="0" xfId="0">
      <alignment horizontal="center"/>
    </xf>
    <xf numFmtId="15" fontId="4" fillId="2" borderId="31" pivotButton="0" quotePrefix="0" xfId="0"/>
    <xf numFmtId="0" fontId="13" fillId="2" borderId="31" applyAlignment="1" pivotButton="0" quotePrefix="0" xfId="0">
      <alignment horizontal="center"/>
    </xf>
    <xf numFmtId="0" fontId="11" fillId="11" borderId="5" applyAlignment="1" pivotButton="0" quotePrefix="0" xfId="0">
      <alignment horizontal="center"/>
    </xf>
    <xf numFmtId="15" fontId="11" fillId="11" borderId="5" applyAlignment="1" pivotButton="0" quotePrefix="0" xfId="0">
      <alignment horizontal="center" vertical="center"/>
    </xf>
    <xf numFmtId="0" fontId="11" fillId="11" borderId="18" applyAlignment="1" pivotButton="0" quotePrefix="0" xfId="0">
      <alignment horizontal="center"/>
    </xf>
    <xf numFmtId="4" fontId="11" fillId="11" borderId="5" applyAlignment="1" pivotButton="0" quotePrefix="0" xfId="1">
      <alignment horizontal="right" vertical="center"/>
    </xf>
    <xf numFmtId="0" fontId="7" fillId="11" borderId="5" applyAlignment="1" pivotButton="0" quotePrefix="0" xfId="0">
      <alignment horizontal="center"/>
    </xf>
    <xf numFmtId="0" fontId="11" fillId="11" borderId="5" pivotButton="0" quotePrefix="0" xfId="0"/>
    <xf numFmtId="0" fontId="14" fillId="11" borderId="5" pivotButton="0" quotePrefix="0" xfId="0"/>
    <xf numFmtId="0" fontId="11" fillId="11" borderId="0" applyAlignment="1" pivotButton="0" quotePrefix="0" xfId="0">
      <alignment horizontal="center"/>
    </xf>
    <xf numFmtId="4" fontId="11" fillId="11" borderId="5" applyAlignment="1" pivotButton="0" quotePrefix="0" xfId="0">
      <alignment horizontal="center"/>
    </xf>
    <xf numFmtId="0" fontId="11" fillId="11" borderId="18" pivotButton="0" quotePrefix="0" xfId="0"/>
    <xf numFmtId="4" fontId="11" fillId="11" borderId="5" pivotButton="0" quotePrefix="0" xfId="1"/>
    <xf numFmtId="4" fontId="11" fillId="11" borderId="5" applyAlignment="1" pivotButton="0" quotePrefix="0" xfId="1">
      <alignment horizontal="right"/>
    </xf>
    <xf numFmtId="0" fontId="11" fillId="11" borderId="0" pivotButton="0" quotePrefix="0" xfId="0"/>
    <xf numFmtId="4" fontId="11" fillId="11" borderId="1" pivotButton="0" quotePrefix="0" xfId="1"/>
    <xf numFmtId="4" fontId="11" fillId="11" borderId="1" applyAlignment="1" pivotButton="0" quotePrefix="0" xfId="1">
      <alignment horizontal="right"/>
    </xf>
    <xf numFmtId="0" fontId="6" fillId="0" borderId="17" applyAlignment="1" pivotButton="0" quotePrefix="0" xfId="0">
      <alignment vertical="top"/>
    </xf>
    <xf numFmtId="0" fontId="6" fillId="0" borderId="18" applyAlignment="1" pivotButton="0" quotePrefix="0" xfId="0">
      <alignment vertical="top"/>
    </xf>
    <xf numFmtId="0" fontId="11" fillId="11" borderId="21" pivotButton="0" quotePrefix="0" xfId="0"/>
    <xf numFmtId="4" fontId="11" fillId="11" borderId="21" pivotButton="0" quotePrefix="0" xfId="1"/>
    <xf numFmtId="4" fontId="11" fillId="11" borderId="20" pivotButton="0" quotePrefix="0" xfId="1"/>
    <xf numFmtId="39" fontId="11" fillId="11" borderId="5" pivotButton="0" quotePrefix="0" xfId="1"/>
    <xf numFmtId="0" fontId="11" fillId="11" borderId="5" applyAlignment="1" pivotButton="0" quotePrefix="0" xfId="2">
      <alignment horizontal="center" vertical="center" wrapText="1"/>
    </xf>
    <xf numFmtId="166" fontId="11" fillId="11" borderId="5" applyAlignment="1" pivotButton="0" quotePrefix="0" xfId="2">
      <alignment horizontal="center" vertical="center" wrapText="1"/>
    </xf>
    <xf numFmtId="0" fontId="11" fillId="11" borderId="5" pivotButton="0" quotePrefix="0" xfId="2"/>
    <xf numFmtId="4" fontId="11" fillId="11" borderId="5" pivotButton="0" quotePrefix="0" xfId="2"/>
    <xf numFmtId="0" fontId="11" fillId="11" borderId="39" applyAlignment="1" pivotButton="0" quotePrefix="0" xfId="2">
      <alignment horizontal="center" vertical="center" wrapText="1"/>
    </xf>
    <xf numFmtId="4" fontId="11" fillId="11" borderId="39" pivotButton="0" quotePrefix="0" xfId="2"/>
    <xf numFmtId="0" fontId="11" fillId="10" borderId="0" pivotButton="0" quotePrefix="0" xfId="0"/>
    <xf numFmtId="165" fontId="11" fillId="10" borderId="4" applyAlignment="1" pivotButton="0" quotePrefix="0" xfId="0">
      <alignment horizontal="right"/>
    </xf>
    <xf numFmtId="0" fontId="11" fillId="10" borderId="0" applyAlignment="1" pivotButton="0" quotePrefix="0" xfId="0">
      <alignment horizontal="center" vertical="center" wrapText="1"/>
    </xf>
    <xf numFmtId="14" fontId="2" fillId="2" borderId="5" applyAlignment="1" pivotButton="0" quotePrefix="0" xfId="0">
      <alignment horizontal="center" vertical="center" wrapText="1"/>
    </xf>
    <xf numFmtId="0" fontId="2" fillId="2" borderId="0" pivotButton="0" quotePrefix="0" xfId="0"/>
    <xf numFmtId="0" fontId="2" fillId="2" borderId="24" pivotButton="0" quotePrefix="0" xfId="0"/>
    <xf numFmtId="0" fontId="2" fillId="2" borderId="32" pivotButton="0" quotePrefix="0" xfId="0"/>
    <xf numFmtId="0" fontId="2" fillId="2" borderId="22" pivotButton="0" quotePrefix="0" xfId="0"/>
    <xf numFmtId="0" fontId="2" fillId="2" borderId="23" pivotButton="0" quotePrefix="0" xfId="0"/>
    <xf numFmtId="0" fontId="2" fillId="2" borderId="26" pivotButton="0" quotePrefix="0" xfId="0"/>
    <xf numFmtId="0" fontId="2" fillId="2" borderId="5" applyAlignment="1" pivotButton="0" quotePrefix="0" xfId="0">
      <alignment horizontal="justify" vertical="top" wrapText="1"/>
    </xf>
    <xf numFmtId="0" fontId="2" fillId="2" borderId="5" applyAlignment="1" pivotButton="0" quotePrefix="0" xfId="0">
      <alignment vertical="top" wrapText="1"/>
    </xf>
    <xf numFmtId="0" fontId="2" fillId="2" borderId="25" pivotButton="0" quotePrefix="0" xfId="0"/>
    <xf numFmtId="0" fontId="2" fillId="2" borderId="30" pivotButton="0" quotePrefix="0" xfId="0"/>
    <xf numFmtId="0" fontId="2" fillId="2" borderId="31" pivotButton="0" quotePrefix="0" xfId="0"/>
    <xf numFmtId="0" fontId="2" fillId="4" borderId="0" pivotButton="0" quotePrefix="0" xfId="0"/>
    <xf numFmtId="0" fontId="7" fillId="2" borderId="0" applyAlignment="1" pivotButton="0" quotePrefix="0" xfId="0">
      <alignment vertical="center"/>
    </xf>
    <xf numFmtId="0" fontId="2" fillId="4" borderId="11" pivotButton="0" quotePrefix="0" xfId="0"/>
    <xf numFmtId="0" fontId="2" fillId="4" borderId="12" pivotButton="0" quotePrefix="0" xfId="0"/>
    <xf numFmtId="0" fontId="2" fillId="0" borderId="0" pivotButton="0" quotePrefix="0" xfId="0"/>
    <xf numFmtId="14" fontId="2" fillId="0" borderId="5" pivotButton="0" quotePrefix="0" xfId="0"/>
    <xf numFmtId="0" fontId="2" fillId="2" borderId="0" applyAlignment="1" pivotButton="0" quotePrefix="0" xfId="0">
      <alignment horizontal="left"/>
    </xf>
    <xf numFmtId="4" fontId="2" fillId="2" borderId="0" applyAlignment="1" pivotButton="0" quotePrefix="0" xfId="0">
      <alignment horizontal="right"/>
    </xf>
    <xf numFmtId="4" fontId="2" fillId="2" borderId="3" pivotButton="0" quotePrefix="0" xfId="1"/>
    <xf numFmtId="167" fontId="2" fillId="2" borderId="0" pivotButton="0" quotePrefix="0" xfId="1"/>
    <xf numFmtId="4" fontId="2" fillId="2" borderId="0" pivotButton="0" quotePrefix="0" xfId="1"/>
    <xf numFmtId="4" fontId="2" fillId="2" borderId="3" applyAlignment="1" pivotButton="0" quotePrefix="0" xfId="0">
      <alignment horizontal="right"/>
    </xf>
    <xf numFmtId="4" fontId="2" fillId="2" borderId="0" pivotButton="0" quotePrefix="0" xfId="0"/>
    <xf numFmtId="4" fontId="2" fillId="2" borderId="3" pivotButton="0" quotePrefix="0" xfId="0"/>
    <xf numFmtId="4" fontId="2" fillId="2" borderId="0" applyAlignment="1" pivotButton="0" quotePrefix="0" xfId="1">
      <alignment horizontal="right"/>
    </xf>
    <xf numFmtId="4" fontId="2" fillId="2" borderId="3" applyAlignment="1" pivotButton="0" quotePrefix="0" xfId="1">
      <alignment horizontal="right"/>
    </xf>
    <xf numFmtId="0" fontId="2" fillId="2" borderId="0" applyAlignment="1" pivotButton="0" quotePrefix="0" xfId="0">
      <alignment horizontal="right"/>
    </xf>
    <xf numFmtId="0" fontId="2" fillId="2" borderId="0" applyAlignment="1" pivotButton="0" quotePrefix="0" xfId="0">
      <alignment horizontal="center"/>
    </xf>
    <xf numFmtId="40" fontId="2" fillId="2" borderId="0" pivotButton="0" quotePrefix="0" xfId="0"/>
    <xf numFmtId="0" fontId="2" fillId="2" borderId="18" pivotButton="0" quotePrefix="0" xfId="0"/>
    <xf numFmtId="4" fontId="2" fillId="2" borderId="5" pivotButton="0" quotePrefix="0" xfId="1"/>
    <xf numFmtId="0" fontId="2" fillId="2" borderId="18" applyAlignment="1" pivotButton="0" quotePrefix="0" xfId="0">
      <alignment horizontal="left"/>
    </xf>
    <xf numFmtId="43" fontId="2" fillId="2" borderId="0" pivotButton="0" quotePrefix="0" xfId="1"/>
    <xf numFmtId="4" fontId="2" fillId="2" borderId="0" applyAlignment="1" pivotButton="0" quotePrefix="0" xfId="0">
      <alignment horizontal="left"/>
    </xf>
    <xf numFmtId="4" fontId="2" fillId="2" borderId="16" pivotButton="0" quotePrefix="0" xfId="1"/>
    <xf numFmtId="14" fontId="2" fillId="2" borderId="0" pivotButton="0" quotePrefix="0" xfId="0"/>
    <xf numFmtId="4" fontId="2" fillId="2" borderId="5" applyAlignment="1" pivotButton="0" quotePrefix="0" xfId="1">
      <alignment horizontal="right"/>
    </xf>
    <xf numFmtId="39" fontId="2" fillId="2" borderId="0" pivotButton="0" quotePrefix="0" xfId="1"/>
    <xf numFmtId="0" fontId="2" fillId="2" borderId="5" pivotButton="0" quotePrefix="0" xfId="0"/>
    <xf numFmtId="0" fontId="4" fillId="2" borderId="0" applyAlignment="1" pivotButton="0" quotePrefix="0" xfId="2">
      <alignment vertical="top"/>
    </xf>
    <xf numFmtId="0" fontId="6" fillId="0" borderId="0" pivotButton="0" quotePrefix="0" xfId="8"/>
    <xf numFmtId="0" fontId="6" fillId="2" borderId="0" pivotButton="0" quotePrefix="0" xfId="8"/>
    <xf numFmtId="0" fontId="21" fillId="0" borderId="0" pivotButton="0" quotePrefix="0" xfId="8"/>
    <xf numFmtId="0" fontId="21" fillId="0" borderId="0" applyAlignment="1" pivotButton="0" quotePrefix="0" xfId="8">
      <alignment horizontal="center"/>
    </xf>
    <xf numFmtId="0" fontId="4" fillId="2" borderId="0" pivotButton="0" quotePrefix="0" xfId="8"/>
    <xf numFmtId="0" fontId="29" fillId="2" borderId="0" applyAlignment="1" pivotButton="0" quotePrefix="0" xfId="13">
      <alignment horizontal="center"/>
    </xf>
    <xf numFmtId="0" fontId="18" fillId="2" borderId="0" pivotButton="0" quotePrefix="0" xfId="8"/>
    <xf numFmtId="0" fontId="19" fillId="2" borderId="0" pivotButton="0" quotePrefix="0" xfId="8"/>
    <xf numFmtId="164" fontId="19" fillId="2" borderId="0" applyAlignment="1" pivotButton="0" quotePrefix="0" xfId="8">
      <alignment horizontal="center"/>
    </xf>
    <xf numFmtId="0" fontId="19" fillId="2" borderId="0" applyAlignment="1" pivotButton="0" quotePrefix="0" xfId="8">
      <alignment horizontal="right"/>
    </xf>
    <xf numFmtId="0" fontId="11" fillId="11" borderId="5" applyAlignment="1" pivotButton="0" quotePrefix="0" xfId="8">
      <alignment horizontal="center" vertical="center" wrapText="1"/>
    </xf>
    <xf numFmtId="4" fontId="6" fillId="2" borderId="0" pivotButton="0" quotePrefix="0" xfId="8"/>
    <xf numFmtId="0" fontId="4" fillId="2" borderId="0" applyAlignment="1" pivotButton="0" quotePrefix="0" xfId="8">
      <alignment horizontal="center" vertical="center" wrapText="1"/>
    </xf>
    <xf numFmtId="166" fontId="11" fillId="11" borderId="5" applyAlignment="1" pivotButton="0" quotePrefix="0" xfId="8">
      <alignment horizontal="center" vertical="center" wrapText="1"/>
    </xf>
    <xf numFmtId="168" fontId="11" fillId="11" borderId="5" applyAlignment="1" pivotButton="0" quotePrefix="0" xfId="14">
      <alignment horizontal="center" vertical="center" wrapText="1"/>
    </xf>
    <xf numFmtId="4" fontId="21" fillId="8" borderId="0" pivotButton="0" quotePrefix="0" xfId="8"/>
    <xf numFmtId="0" fontId="4" fillId="2" borderId="5" pivotButton="0" quotePrefix="0" xfId="8"/>
    <xf numFmtId="4" fontId="4" fillId="2" borderId="5" pivotButton="0" quotePrefix="0" xfId="14"/>
    <xf numFmtId="10" fontId="4" fillId="2" borderId="5" applyAlignment="1" pivotButton="0" quotePrefix="0" xfId="15">
      <alignment horizontal="center"/>
    </xf>
    <xf numFmtId="4" fontId="4" fillId="2" borderId="5" pivotButton="0" quotePrefix="0" xfId="16"/>
    <xf numFmtId="10" fontId="4" fillId="2" borderId="5" pivotButton="0" quotePrefix="0" xfId="15"/>
    <xf numFmtId="4" fontId="4" fillId="0" borderId="5" applyAlignment="1" pivotButton="0" quotePrefix="0" xfId="14">
      <alignment wrapText="1"/>
    </xf>
    <xf numFmtId="4" fontId="4" fillId="0" borderId="5" pivotButton="0" quotePrefix="0" xfId="14"/>
    <xf numFmtId="4" fontId="4" fillId="2" borderId="5" pivotButton="0" quotePrefix="0" xfId="8"/>
    <xf numFmtId="4" fontId="4" fillId="2" borderId="0" pivotButton="0" quotePrefix="0" xfId="8"/>
    <xf numFmtId="4" fontId="4" fillId="0" borderId="5" pivotButton="0" quotePrefix="0" xfId="16"/>
    <xf numFmtId="4" fontId="4" fillId="2" borderId="5" applyAlignment="1" pivotButton="0" quotePrefix="0" xfId="16">
      <alignment wrapText="1"/>
    </xf>
    <xf numFmtId="0" fontId="4" fillId="0" borderId="0" pivotButton="0" quotePrefix="0" xfId="8"/>
    <xf numFmtId="4" fontId="4" fillId="2" borderId="5" pivotButton="0" quotePrefix="0" xfId="17"/>
    <xf numFmtId="0" fontId="19" fillId="2" borderId="5" pivotButton="0" quotePrefix="0" xfId="8"/>
    <xf numFmtId="4" fontId="19" fillId="2" borderId="5" pivotButton="0" quotePrefix="0" xfId="8"/>
    <xf numFmtId="1" fontId="19" fillId="2" borderId="5" pivotButton="0" quotePrefix="0" xfId="8"/>
    <xf numFmtId="4" fontId="19" fillId="2" borderId="5" pivotButton="0" quotePrefix="0" xfId="14"/>
    <xf numFmtId="168" fontId="4" fillId="2" borderId="0" pivotButton="0" quotePrefix="0" xfId="8"/>
    <xf numFmtId="43" fontId="30" fillId="2" borderId="0" pivotButton="0" quotePrefix="0" xfId="17"/>
    <xf numFmtId="169" fontId="30" fillId="2" borderId="0" pivotButton="0" quotePrefix="0" xfId="8"/>
    <xf numFmtId="0" fontId="19" fillId="0" borderId="0" applyAlignment="1" pivotButton="0" quotePrefix="0" xfId="8">
      <alignment horizontal="center"/>
    </xf>
    <xf numFmtId="4" fontId="19" fillId="0" borderId="0" applyAlignment="1" pivotButton="0" quotePrefix="0" xfId="8">
      <alignment horizontal="center"/>
    </xf>
    <xf numFmtId="4" fontId="21" fillId="2" borderId="0" pivotButton="0" quotePrefix="0" xfId="8"/>
    <xf numFmtId="0" fontId="21" fillId="2" borderId="0" pivotButton="0" quotePrefix="0" xfId="8"/>
    <xf numFmtId="0" fontId="4" fillId="2" borderId="0" pivotButton="0" quotePrefix="0" xfId="2"/>
    <xf numFmtId="0" fontId="4" fillId="2" borderId="5" pivotButton="0" quotePrefix="0" xfId="2"/>
    <xf numFmtId="4" fontId="4" fillId="2" borderId="5" pivotButton="0" quotePrefix="0" xfId="3"/>
    <xf numFmtId="4" fontId="4" fillId="0" borderId="5" pivotButton="0" quotePrefix="0" xfId="3"/>
    <xf numFmtId="4" fontId="4" fillId="7" borderId="5" pivotButton="0" quotePrefix="0" xfId="3"/>
    <xf numFmtId="4" fontId="4" fillId="2" borderId="5" pivotButton="0" quotePrefix="0" xfId="2"/>
    <xf numFmtId="0" fontId="2" fillId="0" borderId="39" pivotButton="0" quotePrefix="0" xfId="0"/>
    <xf numFmtId="4" fontId="4" fillId="0" borderId="39" applyAlignment="1" pivotButton="0" quotePrefix="0" xfId="3">
      <alignment vertical="center"/>
    </xf>
    <xf numFmtId="4" fontId="4" fillId="2" borderId="39" applyAlignment="1" pivotButton="0" quotePrefix="0" xfId="3">
      <alignment vertical="center"/>
    </xf>
    <xf numFmtId="0" fontId="31" fillId="0" borderId="39" pivotButton="0" quotePrefix="0" xfId="0"/>
    <xf numFmtId="0" fontId="4" fillId="2" borderId="0" applyAlignment="1" pivotButton="0" quotePrefix="0" xfId="2">
      <alignment horizontal="center"/>
    </xf>
    <xf numFmtId="4" fontId="4" fillId="2" borderId="0" pivotButton="0" quotePrefix="0" xfId="2"/>
    <xf numFmtId="0" fontId="2" fillId="2" borderId="5" applyAlignment="1" pivotButton="0" quotePrefix="0" xfId="0">
      <alignment horizontal="left"/>
    </xf>
    <xf numFmtId="165" fontId="6" fillId="0" borderId="0" applyAlignment="1" pivotButton="0" quotePrefix="0" xfId="0">
      <alignment horizontal="right"/>
    </xf>
    <xf numFmtId="0" fontId="19" fillId="4" borderId="42" applyAlignment="1" pivotButton="0" quotePrefix="0" xfId="8">
      <alignment vertical="center"/>
    </xf>
    <xf numFmtId="0" fontId="4" fillId="4" borderId="42" applyAlignment="1" pivotButton="0" quotePrefix="0" xfId="8">
      <alignment vertical="center"/>
    </xf>
    <xf numFmtId="14" fontId="4" fillId="4" borderId="43" applyAlignment="1" pivotButton="0" quotePrefix="0" xfId="8">
      <alignment horizontal="left" vertical="center"/>
    </xf>
    <xf numFmtId="170" fontId="19" fillId="4" borderId="42" applyAlignment="1" pivotButton="0" quotePrefix="0" xfId="18">
      <alignment horizontal="left" vertical="center"/>
    </xf>
    <xf numFmtId="0" fontId="7" fillId="4" borderId="42" applyAlignment="1" pivotButton="0" quotePrefix="0" xfId="8">
      <alignment horizontal="center" vertical="center"/>
    </xf>
    <xf numFmtId="170" fontId="19" fillId="4" borderId="42" applyAlignment="1" pivotButton="0" quotePrefix="0" xfId="18">
      <alignment vertical="center"/>
    </xf>
    <xf numFmtId="14" fontId="4" fillId="4" borderId="42" applyAlignment="1" pivotButton="0" quotePrefix="0" xfId="8">
      <alignment vertical="center"/>
    </xf>
    <xf numFmtId="0" fontId="11" fillId="11" borderId="44" applyAlignment="1" pivotButton="0" quotePrefix="0" xfId="0">
      <alignment horizontal="center" vertical="center"/>
    </xf>
    <xf numFmtId="0" fontId="11" fillId="11" borderId="45" applyAlignment="1" pivotButton="0" quotePrefix="0" xfId="0">
      <alignment horizontal="center" vertical="center"/>
    </xf>
    <xf numFmtId="0" fontId="11" fillId="11" borderId="46" applyAlignment="1" pivotButton="0" quotePrefix="0" xfId="0">
      <alignment horizontal="center" vertical="center"/>
    </xf>
    <xf numFmtId="0" fontId="2" fillId="0" borderId="47" applyAlignment="1" pivotButton="0" quotePrefix="0" xfId="0">
      <alignment horizontal="center" vertical="center"/>
    </xf>
    <xf numFmtId="0" fontId="2" fillId="0" borderId="48" applyAlignment="1" pivotButton="0" quotePrefix="0" xfId="0">
      <alignment vertical="center" wrapText="1"/>
    </xf>
    <xf numFmtId="0" fontId="7" fillId="0" borderId="48" applyAlignment="1" pivotButton="0" quotePrefix="0" xfId="0">
      <alignment horizontal="center" vertical="center"/>
    </xf>
    <xf numFmtId="0" fontId="2" fillId="0" borderId="49" applyAlignment="1" pivotButton="0" quotePrefix="0" xfId="0">
      <alignment vertical="center"/>
    </xf>
    <xf numFmtId="0" fontId="2" fillId="0" borderId="25" applyAlignment="1" pivotButton="0" quotePrefix="0" xfId="0">
      <alignment vertical="center"/>
    </xf>
    <xf numFmtId="0" fontId="2" fillId="0" borderId="0" applyAlignment="1" pivotButton="0" quotePrefix="0" xfId="0">
      <alignment vertical="center" wrapText="1"/>
    </xf>
    <xf numFmtId="0" fontId="2" fillId="0" borderId="26" applyAlignment="1" pivotButton="0" quotePrefix="0" xfId="0">
      <alignment vertical="center"/>
    </xf>
    <xf numFmtId="0" fontId="2" fillId="0" borderId="0" applyAlignment="1" pivotButton="0" quotePrefix="0" xfId="0">
      <alignment vertical="center"/>
    </xf>
    <xf numFmtId="0" fontId="10" fillId="0" borderId="25" pivotButton="0" quotePrefix="0" xfId="0"/>
    <xf numFmtId="0" fontId="2" fillId="0" borderId="26" pivotButton="0" quotePrefix="0" xfId="0"/>
    <xf numFmtId="0" fontId="2" fillId="0" borderId="30" pivotButton="0" quotePrefix="0" xfId="0"/>
    <xf numFmtId="0" fontId="2" fillId="0" borderId="31" pivotButton="0" quotePrefix="0" xfId="0"/>
    <xf numFmtId="0" fontId="2" fillId="0" borderId="32" pivotButton="0" quotePrefix="0" xfId="0"/>
    <xf numFmtId="0" fontId="19" fillId="2" borderId="0" pivotButton="0" quotePrefix="0" xfId="19"/>
    <xf numFmtId="0" fontId="4" fillId="2" borderId="30" applyAlignment="1" pivotButton="0" quotePrefix="0" xfId="0">
      <alignment vertical="center"/>
    </xf>
    <xf numFmtId="0" fontId="4" fillId="2" borderId="31" applyAlignment="1" pivotButton="0" quotePrefix="0" xfId="0">
      <alignment vertical="center"/>
    </xf>
    <xf numFmtId="0" fontId="4" fillId="2" borderId="30" pivotButton="0" quotePrefix="0" xfId="0"/>
    <xf numFmtId="4" fontId="1" fillId="2" borderId="0" pivotButton="0" quotePrefix="0" xfId="0"/>
    <xf numFmtId="0" fontId="1" fillId="2" borderId="0" pivotButton="0" quotePrefix="0" xfId="0"/>
    <xf numFmtId="0" fontId="1" fillId="2" borderId="24" pivotButton="0" quotePrefix="0" xfId="0"/>
    <xf numFmtId="0" fontId="1" fillId="2" borderId="32" pivotButton="0" quotePrefix="0" xfId="0"/>
    <xf numFmtId="0" fontId="4" fillId="2" borderId="0" applyAlignment="1" pivotButton="0" quotePrefix="0" xfId="19">
      <alignment horizontal="left"/>
    </xf>
    <xf numFmtId="0" fontId="4" fillId="12" borderId="0" applyAlignment="1" pivotButton="0" quotePrefix="1" xfId="0">
      <alignment horizontal="left" vertical="top"/>
    </xf>
    <xf numFmtId="0" fontId="4" fillId="2" borderId="0" pivotButton="0" quotePrefix="0" xfId="19"/>
    <xf numFmtId="0" fontId="1" fillId="0" borderId="0" pivotButton="0" quotePrefix="0" xfId="0"/>
    <xf numFmtId="0" fontId="19" fillId="2" borderId="0" applyAlignment="1" pivotButton="0" quotePrefix="0" xfId="19">
      <alignment horizontal="right"/>
    </xf>
    <xf numFmtId="0" fontId="18" fillId="2" borderId="0" pivotButton="0" quotePrefix="0" xfId="19"/>
    <xf numFmtId="0" fontId="32" fillId="2" borderId="0" pivotButton="0" quotePrefix="0" xfId="19"/>
    <xf numFmtId="0" fontId="19" fillId="2" borderId="0" applyAlignment="1" pivotButton="0" quotePrefix="0" xfId="19">
      <alignment horizontal="center"/>
    </xf>
    <xf numFmtId="0" fontId="19" fillId="13" borderId="48" applyAlignment="1" pivotButton="0" quotePrefix="0" xfId="19">
      <alignment horizontal="center" vertical="center" wrapText="1"/>
    </xf>
    <xf numFmtId="0" fontId="4" fillId="2" borderId="48" applyAlignment="1" pivotButton="0" quotePrefix="0" xfId="19">
      <alignment horizontal="center" vertical="center" wrapText="1"/>
    </xf>
    <xf numFmtId="0" fontId="23" fillId="2" borderId="48" applyAlignment="1" pivotButton="0" quotePrefix="0" xfId="19">
      <alignment horizontal="center" vertical="center" wrapText="1"/>
    </xf>
    <xf numFmtId="4" fontId="4" fillId="0" borderId="48" applyAlignment="1" pivotButton="0" quotePrefix="0" xfId="19">
      <alignment horizontal="right" vertical="center" wrapText="1"/>
    </xf>
    <xf numFmtId="0" fontId="1" fillId="0" borderId="48" pivotButton="0" quotePrefix="0" xfId="0"/>
    <xf numFmtId="0" fontId="19" fillId="2" borderId="48" applyAlignment="1" pivotButton="0" quotePrefix="0" xfId="19">
      <alignment horizontal="center" vertical="center" wrapText="1"/>
    </xf>
    <xf numFmtId="0" fontId="7" fillId="2" borderId="48" applyAlignment="1" pivotButton="0" quotePrefix="0" xfId="19">
      <alignment horizontal="center" vertical="center" wrapText="1"/>
    </xf>
    <xf numFmtId="4" fontId="19" fillId="0" borderId="48" applyAlignment="1" pivotButton="0" quotePrefix="0" xfId="19">
      <alignment horizontal="right" vertical="center" wrapText="1"/>
    </xf>
    <xf numFmtId="10" fontId="4" fillId="0" borderId="48" applyAlignment="1" applyProtection="1" pivotButton="0" quotePrefix="0" xfId="20">
      <alignment horizontal="right" vertical="center" wrapText="1"/>
      <protection locked="0" hidden="0"/>
    </xf>
    <xf numFmtId="4" fontId="19" fillId="0" borderId="48" applyAlignment="1" applyProtection="1" pivotButton="0" quotePrefix="0" xfId="19">
      <alignment horizontal="right" vertical="center" wrapText="1"/>
      <protection locked="0" hidden="0"/>
    </xf>
    <xf numFmtId="0" fontId="4" fillId="2" borderId="50" applyAlignment="1" pivotButton="0" quotePrefix="0" xfId="19">
      <alignment horizontal="center" vertical="center" wrapText="1"/>
    </xf>
    <xf numFmtId="0" fontId="23" fillId="2" borderId="1" applyAlignment="1" pivotButton="0" quotePrefix="0" xfId="19">
      <alignment horizontal="center" vertical="center" wrapText="1"/>
    </xf>
    <xf numFmtId="4" fontId="4" fillId="0" borderId="51" applyAlignment="1" pivotButton="0" quotePrefix="0" xfId="19">
      <alignment horizontal="right" vertical="center" wrapText="1"/>
    </xf>
    <xf numFmtId="4" fontId="4" fillId="0" borderId="48" applyAlignment="1" applyProtection="1" pivotButton="0" quotePrefix="0" xfId="19">
      <alignment horizontal="right" vertical="center" wrapText="1"/>
      <protection locked="0" hidden="0"/>
    </xf>
    <xf numFmtId="4" fontId="4" fillId="0" borderId="51" applyAlignment="1" applyProtection="1" pivotButton="0" quotePrefix="0" xfId="19">
      <alignment horizontal="right" vertical="center" wrapText="1"/>
      <protection locked="0" hidden="0"/>
    </xf>
    <xf numFmtId="0" fontId="7" fillId="13" borderId="48" applyAlignment="1" pivotButton="0" quotePrefix="0" xfId="19">
      <alignment horizontal="center" vertical="center" wrapText="1"/>
    </xf>
    <xf numFmtId="0" fontId="4" fillId="2" borderId="0" applyAlignment="1" pivotButton="0" quotePrefix="0" xfId="19">
      <alignment horizontal="center"/>
    </xf>
    <xf numFmtId="0" fontId="4" fillId="2" borderId="48" applyAlignment="1" pivotButton="0" quotePrefix="0" xfId="19">
      <alignment horizontal="center" vertical="top"/>
    </xf>
    <xf numFmtId="4" fontId="4" fillId="0" borderId="48" applyProtection="1" pivotButton="0" quotePrefix="0" xfId="19">
      <protection locked="0" hidden="0"/>
    </xf>
    <xf numFmtId="4" fontId="4" fillId="2" borderId="48" applyProtection="1" pivotButton="0" quotePrefix="0" xfId="19">
      <protection locked="0" hidden="0"/>
    </xf>
    <xf numFmtId="4" fontId="19" fillId="2" borderId="48" applyAlignment="1" applyProtection="1" pivotButton="0" quotePrefix="0" xfId="19">
      <alignment horizontal="right" vertical="center" wrapText="1"/>
      <protection locked="0" hidden="0"/>
    </xf>
    <xf numFmtId="10" fontId="4" fillId="2" borderId="48" applyProtection="1" pivotButton="0" quotePrefix="0" xfId="20">
      <protection locked="0" hidden="0"/>
    </xf>
    <xf numFmtId="4" fontId="19" fillId="2" borderId="48" applyProtection="1" pivotButton="0" quotePrefix="0" xfId="19">
      <protection locked="0" hidden="0"/>
    </xf>
    <xf numFmtId="0" fontId="4" fillId="2" borderId="50" applyAlignment="1" pivotButton="0" quotePrefix="0" xfId="19">
      <alignment horizontal="justify" vertical="top"/>
    </xf>
    <xf numFmtId="0" fontId="7" fillId="2" borderId="1" applyAlignment="1" pivotButton="0" quotePrefix="0" xfId="19">
      <alignment horizontal="center" vertical="center" wrapText="1"/>
    </xf>
    <xf numFmtId="4" fontId="4" fillId="2" borderId="51" applyProtection="1" pivotButton="0" quotePrefix="0" xfId="19">
      <protection locked="0" hidden="0"/>
    </xf>
    <xf numFmtId="0" fontId="19" fillId="13" borderId="48" applyAlignment="1" pivotButton="0" quotePrefix="0" xfId="19">
      <alignment horizontal="center" vertical="top"/>
    </xf>
    <xf numFmtId="4" fontId="19" fillId="13" borderId="48" applyAlignment="1" applyProtection="1" pivotButton="0" quotePrefix="0" xfId="19">
      <alignment horizontal="right" vertical="center" wrapText="1"/>
      <protection locked="0" hidden="0"/>
    </xf>
    <xf numFmtId="4" fontId="4" fillId="2" borderId="50" applyProtection="1" pivotButton="0" quotePrefix="0" xfId="19">
      <protection locked="0" hidden="0"/>
    </xf>
    <xf numFmtId="4" fontId="4" fillId="2" borderId="50" applyAlignment="1" pivotButton="0" quotePrefix="0" xfId="19">
      <alignment horizontal="right" vertical="center" wrapText="1"/>
    </xf>
    <xf numFmtId="4" fontId="19" fillId="2" borderId="50" applyAlignment="1" applyProtection="1" pivotButton="0" quotePrefix="0" xfId="19">
      <alignment horizontal="right" vertical="center" wrapText="1"/>
      <protection locked="0" hidden="0"/>
    </xf>
    <xf numFmtId="10" fontId="4" fillId="2" borderId="50" applyAlignment="1" applyProtection="1" pivotButton="0" quotePrefix="0" xfId="20">
      <alignment horizontal="right" vertical="center" wrapText="1"/>
      <protection locked="0" hidden="0"/>
    </xf>
    <xf numFmtId="0" fontId="4" fillId="2" borderId="1" applyAlignment="1" pivotButton="0" quotePrefix="0" xfId="19">
      <alignment horizontal="center" vertical="center" wrapText="1"/>
    </xf>
    <xf numFmtId="4" fontId="4" fillId="2" borderId="1" applyProtection="1" pivotButton="0" quotePrefix="0" xfId="19">
      <protection locked="0" hidden="0"/>
    </xf>
    <xf numFmtId="4" fontId="19" fillId="13" borderId="50" applyAlignment="1" applyProtection="1" pivotButton="0" quotePrefix="0" xfId="19">
      <alignment horizontal="right" vertical="center" wrapText="1"/>
      <protection locked="0" hidden="0"/>
    </xf>
    <xf numFmtId="0" fontId="19" fillId="13" borderId="50" applyAlignment="1" pivotButton="0" quotePrefix="0" xfId="19">
      <alignment horizontal="center" vertical="center" wrapText="1"/>
    </xf>
    <xf numFmtId="4" fontId="4" fillId="0" borderId="50" applyProtection="1" pivotButton="0" quotePrefix="0" xfId="19">
      <protection locked="0" hidden="0"/>
    </xf>
    <xf numFmtId="10" fontId="4" fillId="2" borderId="50" applyProtection="1" pivotButton="0" quotePrefix="0" xfId="20">
      <protection locked="0" hidden="0"/>
    </xf>
    <xf numFmtId="4" fontId="19" fillId="2" borderId="50" applyProtection="1" pivotButton="0" quotePrefix="0" xfId="19">
      <protection locked="0" hidden="0"/>
    </xf>
    <xf numFmtId="4" fontId="19" fillId="0" borderId="50" applyProtection="1" pivotButton="0" quotePrefix="0" xfId="19">
      <protection locked="0" hidden="0"/>
    </xf>
    <xf numFmtId="4" fontId="4" fillId="0" borderId="1" applyProtection="1" pivotButton="0" quotePrefix="0" xfId="19">
      <protection locked="0" hidden="0"/>
    </xf>
    <xf numFmtId="0" fontId="19" fillId="2" borderId="48" applyAlignment="1" pivotButton="0" quotePrefix="0" xfId="19">
      <alignment horizontal="center" vertical="top"/>
    </xf>
    <xf numFmtId="10" fontId="19" fillId="2" borderId="48" applyProtection="1" pivotButton="0" quotePrefix="0" xfId="19">
      <protection locked="0" hidden="0"/>
    </xf>
    <xf numFmtId="9" fontId="1" fillId="0" borderId="0" pivotButton="0" quotePrefix="0" xfId="0"/>
    <xf numFmtId="10" fontId="4" fillId="2" borderId="48" applyAlignment="1" applyProtection="1" pivotButton="0" quotePrefix="0" xfId="20">
      <alignment horizontal="right" vertical="center" wrapText="1"/>
      <protection locked="0" hidden="0"/>
    </xf>
    <xf numFmtId="10" fontId="1" fillId="0" borderId="0" pivotButton="0" quotePrefix="0" xfId="0"/>
    <xf numFmtId="4" fontId="4" fillId="2" borderId="48" applyAlignment="1" pivotButton="0" quotePrefix="0" xfId="19">
      <alignment horizontal="right" vertical="center" wrapText="1"/>
    </xf>
    <xf numFmtId="0" fontId="4" fillId="2" borderId="50" applyAlignment="1" pivotButton="0" quotePrefix="0" xfId="19">
      <alignment horizontal="center" vertical="top"/>
    </xf>
    <xf numFmtId="4" fontId="19" fillId="2" borderId="48" applyAlignment="1" pivotButton="0" quotePrefix="0" xfId="19">
      <alignment horizontal="right" vertical="center" wrapText="1"/>
    </xf>
    <xf numFmtId="171" fontId="19" fillId="0" borderId="0" applyAlignment="1" pivotButton="0" quotePrefix="0" xfId="23">
      <alignment vertical="center" wrapText="1"/>
    </xf>
    <xf numFmtId="171" fontId="4" fillId="0" borderId="0" applyAlignment="1" pivotButton="0" quotePrefix="0" xfId="23">
      <alignment vertical="center" wrapText="1"/>
    </xf>
    <xf numFmtId="0" fontId="1" fillId="0" borderId="0" applyAlignment="1" pivotButton="0" quotePrefix="0" xfId="0">
      <alignment vertical="center"/>
    </xf>
    <xf numFmtId="0" fontId="1" fillId="0" borderId="57" pivotButton="0" quotePrefix="0" xfId="0"/>
    <xf numFmtId="0" fontId="1" fillId="0" borderId="3" pivotButton="0" quotePrefix="0" xfId="0"/>
    <xf numFmtId="0" fontId="1" fillId="0" borderId="3" applyAlignment="1" pivotButton="0" quotePrefix="0" xfId="0">
      <alignment vertical="center"/>
    </xf>
    <xf numFmtId="0" fontId="1" fillId="0" borderId="58" applyAlignment="1" pivotButton="0" quotePrefix="0" xfId="0">
      <alignment vertical="center"/>
    </xf>
    <xf numFmtId="0" fontId="4" fillId="12" borderId="0" applyAlignment="1" pivotButton="0" quotePrefix="0" xfId="0">
      <alignment vertical="center" wrapText="1"/>
    </xf>
    <xf numFmtId="4" fontId="1" fillId="2" borderId="5" pivotButton="0" quotePrefix="0" xfId="1"/>
    <xf numFmtId="0" fontId="1" fillId="0" borderId="39" pivotButton="0" quotePrefix="0" xfId="0"/>
    <xf numFmtId="0" fontId="1" fillId="0" borderId="5" pivotButton="0" quotePrefix="0" xfId="0"/>
    <xf numFmtId="0" fontId="1" fillId="2" borderId="5" applyAlignment="1" pivotButton="0" quotePrefix="0" xfId="0">
      <alignment horizontal="center" vertical="center" wrapText="1"/>
    </xf>
    <xf numFmtId="9" fontId="6" fillId="0" borderId="5" applyAlignment="1" pivotButton="0" quotePrefix="0" xfId="24">
      <alignment horizontal="right" vertical="top"/>
    </xf>
    <xf numFmtId="0" fontId="23" fillId="2" borderId="0" pivotButton="0" quotePrefix="0" xfId="0"/>
    <xf numFmtId="0" fontId="11" fillId="11" borderId="5" applyAlignment="1" pivotButton="0" quotePrefix="0" xfId="8">
      <alignment horizontal="center" vertical="center" wrapText="1"/>
    </xf>
    <xf numFmtId="0" fontId="26" fillId="2" borderId="30" applyAlignment="1" pivotButton="0" quotePrefix="0" xfId="0">
      <alignment horizontal="left"/>
    </xf>
    <xf numFmtId="0" fontId="26" fillId="2" borderId="31" applyAlignment="1" pivotButton="0" quotePrefix="0" xfId="0">
      <alignment horizontal="left"/>
    </xf>
    <xf numFmtId="0" fontId="25" fillId="11" borderId="22" applyAlignment="1" pivotButton="0" quotePrefix="0" xfId="0">
      <alignment horizontal="center" vertical="center"/>
    </xf>
    <xf numFmtId="0" fontId="25" fillId="11" borderId="23" applyAlignment="1" pivotButton="0" quotePrefix="0" xfId="0">
      <alignment horizontal="center" vertical="center"/>
    </xf>
    <xf numFmtId="0" fontId="25" fillId="11" borderId="24" applyAlignment="1" pivotButton="0" quotePrefix="0" xfId="0">
      <alignment horizontal="center" vertical="center"/>
    </xf>
    <xf numFmtId="0" fontId="25" fillId="11" borderId="33" applyAlignment="1" pivotButton="0" quotePrefix="0" xfId="0">
      <alignment horizontal="center" vertical="center"/>
    </xf>
    <xf numFmtId="0" fontId="25" fillId="11" borderId="34" applyAlignment="1" pivotButton="0" quotePrefix="0" xfId="0">
      <alignment horizontal="center" vertical="center"/>
    </xf>
    <xf numFmtId="0" fontId="25" fillId="11" borderId="35" applyAlignment="1" pivotButton="0" quotePrefix="0" xfId="0">
      <alignment horizontal="center" vertical="center"/>
    </xf>
    <xf numFmtId="0" fontId="27" fillId="2" borderId="22" applyAlignment="1" pivotButton="0" quotePrefix="0" xfId="0">
      <alignment horizontal="left"/>
    </xf>
    <xf numFmtId="0" fontId="27" fillId="2" borderId="23" applyAlignment="1" pivotButton="0" quotePrefix="0" xfId="0">
      <alignment horizontal="left"/>
    </xf>
    <xf numFmtId="0" fontId="27" fillId="2" borderId="24" applyAlignment="1" pivotButton="0" quotePrefix="0" xfId="0">
      <alignment horizontal="left"/>
    </xf>
    <xf numFmtId="0" fontId="28" fillId="2" borderId="31" applyAlignment="1" pivotButton="0" quotePrefix="0" xfId="0">
      <alignment horizontal="left"/>
    </xf>
    <xf numFmtId="0" fontId="28" fillId="2" borderId="32" applyAlignment="1" pivotButton="0" quotePrefix="0" xfId="0">
      <alignment horizontal="left"/>
    </xf>
    <xf numFmtId="0" fontId="25" fillId="11" borderId="27" applyAlignment="1" pivotButton="0" quotePrefix="0" xfId="0">
      <alignment horizontal="center" vertical="center"/>
    </xf>
    <xf numFmtId="0" fontId="25" fillId="11" borderId="28" applyAlignment="1" pivotButton="0" quotePrefix="0" xfId="0">
      <alignment horizontal="center" vertical="center"/>
    </xf>
    <xf numFmtId="0" fontId="25" fillId="11" borderId="29" applyAlignment="1" pivotButton="0" quotePrefix="0" xfId="0">
      <alignment horizontal="center" vertical="center"/>
    </xf>
    <xf numFmtId="0" fontId="27" fillId="2" borderId="22" applyAlignment="1" pivotButton="0" quotePrefix="0" xfId="0">
      <alignment horizontal="left" vertical="center"/>
    </xf>
    <xf numFmtId="0" fontId="27" fillId="2" borderId="23" applyAlignment="1" pivotButton="0" quotePrefix="0" xfId="0">
      <alignment horizontal="left" vertical="center"/>
    </xf>
    <xf numFmtId="0" fontId="27" fillId="2" borderId="24" applyAlignment="1" pivotButton="0" quotePrefix="0" xfId="0">
      <alignment horizontal="left" vertical="center"/>
    </xf>
    <xf numFmtId="0" fontId="26" fillId="2" borderId="30" applyAlignment="1" pivotButton="0" quotePrefix="0" xfId="0">
      <alignment horizontal="left" vertical="center"/>
    </xf>
    <xf numFmtId="0" fontId="26" fillId="2" borderId="31" applyAlignment="1" pivotButton="0" quotePrefix="0" xfId="0">
      <alignment horizontal="left" vertical="center"/>
    </xf>
    <xf numFmtId="14" fontId="26" fillId="2" borderId="31" applyAlignment="1" pivotButton="0" quotePrefix="0" xfId="0">
      <alignment horizontal="left" vertical="center"/>
    </xf>
    <xf numFmtId="0" fontId="26" fillId="2" borderId="32" applyAlignment="1" pivotButton="0" quotePrefix="0" xfId="0">
      <alignment horizontal="left" vertical="center"/>
    </xf>
    <xf numFmtId="0" fontId="10" fillId="2" borderId="36" applyAlignment="1" pivotButton="0" quotePrefix="0" xfId="0">
      <alignment horizontal="center" vertical="top" wrapText="1"/>
    </xf>
    <xf numFmtId="0" fontId="10" fillId="2" borderId="7" applyAlignment="1" pivotButton="0" quotePrefix="0" xfId="0">
      <alignment horizontal="center" vertical="top" wrapText="1"/>
    </xf>
    <xf numFmtId="0" fontId="10" fillId="2" borderId="8" applyAlignment="1" pivotButton="0" quotePrefix="0" xfId="0">
      <alignment horizontal="center" vertical="top" wrapText="1"/>
    </xf>
    <xf numFmtId="0" fontId="10" fillId="2" borderId="25" applyAlignment="1" pivotButton="0" quotePrefix="0" xfId="0">
      <alignment horizontal="justify" vertical="top" wrapText="1"/>
    </xf>
    <xf numFmtId="0" fontId="10" fillId="2" borderId="0" applyAlignment="1" pivotButton="0" quotePrefix="0" xfId="0">
      <alignment horizontal="justify" vertical="top" wrapText="1"/>
    </xf>
    <xf numFmtId="0" fontId="10" fillId="2" borderId="10" applyAlignment="1" pivotButton="0" quotePrefix="0" xfId="0">
      <alignment horizontal="justify" vertical="top" wrapText="1"/>
    </xf>
    <xf numFmtId="0" fontId="9" fillId="2" borderId="25" applyAlignment="1" pivotButton="0" quotePrefix="0" xfId="0">
      <alignment horizontal="justify" vertical="top" wrapText="1"/>
    </xf>
    <xf numFmtId="0" fontId="9" fillId="2" borderId="0" applyAlignment="1" pivotButton="0" quotePrefix="0" xfId="0">
      <alignment horizontal="justify" vertical="top" wrapText="1"/>
    </xf>
    <xf numFmtId="0" fontId="9" fillId="2" borderId="10" applyAlignment="1" pivotButton="0" quotePrefix="0" xfId="0">
      <alignment horizontal="justify" vertical="top" wrapText="1"/>
    </xf>
    <xf numFmtId="0" fontId="10" fillId="2" borderId="25" applyAlignment="1" pivotButton="0" quotePrefix="0" xfId="0">
      <alignment horizontal="justify" vertical="top"/>
    </xf>
    <xf numFmtId="0" fontId="10" fillId="2" borderId="0" applyAlignment="1" pivotButton="0" quotePrefix="0" xfId="0">
      <alignment horizontal="justify" vertical="top"/>
    </xf>
    <xf numFmtId="0" fontId="10" fillId="2" borderId="10" applyAlignment="1" pivotButton="0" quotePrefix="0" xfId="0">
      <alignment horizontal="justify" vertical="top"/>
    </xf>
    <xf numFmtId="0" fontId="4" fillId="2" borderId="30" applyAlignment="1" pivotButton="0" quotePrefix="0" xfId="0">
      <alignment horizontal="left"/>
    </xf>
    <xf numFmtId="0" fontId="4" fillId="2" borderId="31" applyAlignment="1" pivotButton="0" quotePrefix="0" xfId="0">
      <alignment horizontal="left"/>
    </xf>
    <xf numFmtId="0" fontId="19" fillId="2" borderId="22" applyAlignment="1" pivotButton="0" quotePrefix="0" xfId="0">
      <alignment horizontal="left"/>
    </xf>
    <xf numFmtId="0" fontId="19" fillId="2" borderId="23" applyAlignment="1" pivotButton="0" quotePrefix="0" xfId="0">
      <alignment horizontal="left"/>
    </xf>
    <xf numFmtId="0" fontId="19" fillId="2" borderId="24" applyAlignment="1" pivotButton="0" quotePrefix="0" xfId="0">
      <alignment horizontal="left"/>
    </xf>
    <xf numFmtId="0" fontId="13" fillId="2" borderId="31" applyAlignment="1" pivotButton="0" quotePrefix="0" xfId="0">
      <alignment horizontal="left"/>
    </xf>
    <xf numFmtId="0" fontId="13" fillId="2" borderId="32" applyAlignment="1" pivotButton="0" quotePrefix="0" xfId="0">
      <alignment horizontal="left"/>
    </xf>
    <xf numFmtId="0" fontId="11" fillId="11" borderId="22" applyAlignment="1" pivotButton="0" quotePrefix="0" xfId="0">
      <alignment horizontal="center" vertical="center"/>
    </xf>
    <xf numFmtId="0" fontId="11" fillId="11" borderId="23" applyAlignment="1" pivotButton="0" quotePrefix="0" xfId="0">
      <alignment horizontal="center" vertical="center"/>
    </xf>
    <xf numFmtId="0" fontId="11" fillId="11" borderId="24" applyAlignment="1" pivotButton="0" quotePrefix="0" xfId="0">
      <alignment horizontal="center" vertical="center"/>
    </xf>
    <xf numFmtId="0" fontId="11" fillId="11" borderId="33" applyAlignment="1" pivotButton="0" quotePrefix="0" xfId="0">
      <alignment horizontal="center" vertical="center"/>
    </xf>
    <xf numFmtId="0" fontId="11" fillId="11" borderId="34" applyAlignment="1" pivotButton="0" quotePrefix="0" xfId="0">
      <alignment horizontal="center" vertical="center"/>
    </xf>
    <xf numFmtId="0" fontId="11" fillId="11" borderId="35" applyAlignment="1" pivotButton="0" quotePrefix="0" xfId="0">
      <alignment horizontal="center" vertical="center"/>
    </xf>
    <xf numFmtId="0" fontId="11" fillId="11" borderId="27" applyAlignment="1" pivotButton="0" quotePrefix="0" xfId="0">
      <alignment horizontal="center" vertical="center"/>
    </xf>
    <xf numFmtId="0" fontId="11" fillId="11" borderId="28" applyAlignment="1" pivotButton="0" quotePrefix="0" xfId="0">
      <alignment horizontal="center" vertical="center"/>
    </xf>
    <xf numFmtId="0" fontId="11" fillId="11" borderId="29" applyAlignment="1" pivotButton="0" quotePrefix="0" xfId="0">
      <alignment horizontal="center" vertical="center"/>
    </xf>
    <xf numFmtId="0" fontId="19" fillId="2" borderId="22" applyAlignment="1" pivotButton="0" quotePrefix="0" xfId="0">
      <alignment horizontal="left" vertical="center"/>
    </xf>
    <xf numFmtId="0" fontId="19" fillId="2" borderId="23" applyAlignment="1" pivotButton="0" quotePrefix="0" xfId="0">
      <alignment horizontal="left" vertical="center"/>
    </xf>
    <xf numFmtId="0" fontId="19" fillId="2" borderId="24" applyAlignment="1" pivotButton="0" quotePrefix="0" xfId="0">
      <alignment horizontal="left" vertical="center"/>
    </xf>
    <xf numFmtId="0" fontId="4" fillId="2" borderId="30" applyAlignment="1" pivotButton="0" quotePrefix="0" xfId="0">
      <alignment horizontal="left" vertical="center"/>
    </xf>
    <xf numFmtId="0" fontId="4" fillId="2" borderId="31" applyAlignment="1" pivotButton="0" quotePrefix="0" xfId="0">
      <alignment horizontal="left" vertical="center"/>
    </xf>
    <xf numFmtId="14" fontId="4" fillId="2" borderId="31" applyAlignment="1" pivotButton="0" quotePrefix="0" xfId="0">
      <alignment horizontal="left" vertical="center"/>
    </xf>
    <xf numFmtId="0" fontId="4" fillId="2" borderId="32" applyAlignment="1" pivotButton="0" quotePrefix="0" xfId="0">
      <alignment horizontal="left" vertical="center"/>
    </xf>
    <xf numFmtId="0" fontId="11" fillId="11" borderId="17" applyAlignment="1" pivotButton="0" quotePrefix="0" xfId="0">
      <alignment horizontal="center"/>
    </xf>
    <xf numFmtId="0" fontId="11" fillId="11" borderId="18" applyAlignment="1" pivotButton="0" quotePrefix="0" xfId="0">
      <alignment horizontal="center"/>
    </xf>
    <xf numFmtId="0" fontId="11" fillId="11" borderId="5" applyAlignment="1" pivotButton="0" quotePrefix="0" xfId="0">
      <alignment horizontal="center" vertical="center" wrapText="1"/>
    </xf>
    <xf numFmtId="0" fontId="11" fillId="11" borderId="5" applyAlignment="1" pivotButton="0" quotePrefix="0" xfId="0">
      <alignment horizontal="center" vertical="center"/>
    </xf>
    <xf numFmtId="0" fontId="11" fillId="11" borderId="5" applyAlignment="1" pivotButton="0" quotePrefix="0" xfId="0">
      <alignment horizontal="center"/>
    </xf>
    <xf numFmtId="4" fontId="2" fillId="2" borderId="0" applyAlignment="1" pivotButton="0" quotePrefix="0" xfId="1">
      <alignment horizontal="center"/>
    </xf>
    <xf numFmtId="4" fontId="7" fillId="2" borderId="0" applyAlignment="1" pivotButton="0" quotePrefix="0" xfId="0">
      <alignment horizontal="center"/>
    </xf>
    <xf numFmtId="0" fontId="11" fillId="11" borderId="14" applyAlignment="1" pivotButton="0" quotePrefix="0" xfId="0">
      <alignment horizontal="center" vertical="center" wrapText="1"/>
    </xf>
    <xf numFmtId="0" fontId="11" fillId="11" borderId="15" applyAlignment="1" pivotButton="0" quotePrefix="0" xfId="0">
      <alignment horizontal="center" vertical="center" wrapText="1"/>
    </xf>
    <xf numFmtId="0" fontId="11" fillId="11" borderId="16" applyAlignment="1" pivotButton="0" quotePrefix="0" xfId="0">
      <alignment horizontal="center" vertical="center" wrapText="1"/>
    </xf>
    <xf numFmtId="0" fontId="11" fillId="11" borderId="14" applyAlignment="1" pivotButton="0" quotePrefix="0" xfId="0">
      <alignment horizontal="center" vertical="center"/>
    </xf>
    <xf numFmtId="0" fontId="11" fillId="11" borderId="15" applyAlignment="1" pivotButton="0" quotePrefix="0" xfId="0">
      <alignment horizontal="center" vertical="center"/>
    </xf>
    <xf numFmtId="0" fontId="11" fillId="11" borderId="16" applyAlignment="1" pivotButton="0" quotePrefix="0" xfId="0">
      <alignment horizontal="center" vertical="center"/>
    </xf>
    <xf numFmtId="0" fontId="11" fillId="11" borderId="0" applyAlignment="1" pivotButton="0" quotePrefix="0" xfId="0">
      <alignment horizontal="center" vertical="center" wrapText="1"/>
    </xf>
    <xf numFmtId="0" fontId="21" fillId="0" borderId="0" applyAlignment="1" pivotButton="0" quotePrefix="0" xfId="8">
      <alignment horizontal="center"/>
    </xf>
    <xf numFmtId="0" fontId="11" fillId="11" borderId="5" applyAlignment="1" pivotButton="0" quotePrefix="0" xfId="8">
      <alignment horizontal="center" vertical="center" wrapText="1"/>
    </xf>
    <xf numFmtId="0" fontId="11" fillId="11" borderId="5" applyAlignment="1" pivotButton="0" quotePrefix="0" xfId="8">
      <alignment horizontal="center"/>
    </xf>
    <xf numFmtId="0" fontId="7" fillId="2" borderId="0" applyAlignment="1" pivotButton="0" quotePrefix="0" xfId="0">
      <alignment horizontal="center" vertical="center"/>
    </xf>
    <xf numFmtId="0" fontId="11" fillId="11" borderId="5" applyAlignment="1" pivotButton="0" quotePrefix="0" xfId="2">
      <alignment horizontal="center" vertical="center" wrapText="1"/>
    </xf>
    <xf numFmtId="0" fontId="11" fillId="11" borderId="39" applyAlignment="1" pivotButton="0" quotePrefix="0" xfId="2">
      <alignment horizontal="center"/>
    </xf>
    <xf numFmtId="0" fontId="11" fillId="11" borderId="39" applyAlignment="1" pivotButton="0" quotePrefix="0" xfId="2">
      <alignment horizontal="justify"/>
    </xf>
    <xf numFmtId="0" fontId="11" fillId="11" borderId="5" applyAlignment="1" pivotButton="0" quotePrefix="0" xfId="2">
      <alignment horizontal="center"/>
    </xf>
    <xf numFmtId="0" fontId="11" fillId="11" borderId="39" applyAlignment="1" pivotButton="0" quotePrefix="0" xfId="2">
      <alignment horizontal="center" vertical="center" wrapText="1"/>
    </xf>
    <xf numFmtId="0" fontId="22" fillId="2" borderId="0" applyAlignment="1" pivotButton="0" quotePrefix="0" xfId="0">
      <alignment horizontal="center" wrapText="1"/>
    </xf>
    <xf numFmtId="0" fontId="4" fillId="2" borderId="52" applyAlignment="1" pivotButton="0" quotePrefix="0" xfId="19">
      <alignment horizontal="left" vertical="top" wrapText="1"/>
    </xf>
    <xf numFmtId="0" fontId="4" fillId="2" borderId="0" applyAlignment="1" pivotButton="0" quotePrefix="0" xfId="19">
      <alignment horizontal="left" vertical="top" wrapText="1"/>
    </xf>
    <xf numFmtId="0" fontId="4" fillId="2" borderId="53" applyAlignment="1" pivotButton="0" quotePrefix="0" xfId="19">
      <alignment horizontal="left" vertical="top" wrapText="1"/>
    </xf>
    <xf numFmtId="0" fontId="4" fillId="12" borderId="54" applyAlignment="1" pivotButton="0" quotePrefix="0" xfId="0">
      <alignment horizontal="left" vertical="center" wrapText="1"/>
    </xf>
    <xf numFmtId="0" fontId="4" fillId="12" borderId="55" applyAlignment="1" pivotButton="0" quotePrefix="0" xfId="0">
      <alignment horizontal="left" vertical="center" wrapText="1"/>
    </xf>
    <xf numFmtId="0" fontId="4" fillId="12" borderId="56" applyAlignment="1" pivotButton="0" quotePrefix="0" xfId="0">
      <alignment horizontal="left" vertical="center" wrapText="1"/>
    </xf>
    <xf numFmtId="0" fontId="4" fillId="12" borderId="52" applyAlignment="1" pivotButton="0" quotePrefix="0" xfId="0">
      <alignment horizontal="left" vertical="center" wrapText="1"/>
    </xf>
    <xf numFmtId="0" fontId="4" fillId="12" borderId="0" applyAlignment="1" pivotButton="0" quotePrefix="0" xfId="0">
      <alignment horizontal="left" vertical="center" wrapText="1"/>
    </xf>
    <xf numFmtId="0" fontId="4" fillId="12" borderId="53" applyAlignment="1" pivotButton="0" quotePrefix="0" xfId="0">
      <alignment horizontal="left" vertical="center" wrapText="1"/>
    </xf>
    <xf numFmtId="0" fontId="4" fillId="12" borderId="57" applyAlignment="1" pivotButton="0" quotePrefix="0" xfId="0">
      <alignment horizontal="left" vertical="center" wrapText="1"/>
    </xf>
    <xf numFmtId="0" fontId="4" fillId="12" borderId="3" applyAlignment="1" pivotButton="0" quotePrefix="0" xfId="0">
      <alignment horizontal="left" vertical="center" wrapText="1"/>
    </xf>
    <xf numFmtId="0" fontId="4" fillId="12" borderId="58" applyAlignment="1" pivotButton="0" quotePrefix="0" xfId="0">
      <alignment horizontal="left" vertical="center" wrapText="1"/>
    </xf>
    <xf numFmtId="0" fontId="4" fillId="2" borderId="54" applyAlignment="1" pivotButton="0" quotePrefix="0" xfId="19">
      <alignment horizontal="left" vertical="top" wrapText="1"/>
    </xf>
    <xf numFmtId="0" fontId="4" fillId="2" borderId="55" applyAlignment="1" pivotButton="0" quotePrefix="0" xfId="19">
      <alignment horizontal="left" vertical="top" wrapText="1"/>
    </xf>
    <xf numFmtId="0" fontId="4" fillId="2" borderId="56" applyAlignment="1" pivotButton="0" quotePrefix="0" xfId="19">
      <alignment horizontal="left" vertical="top" wrapText="1"/>
    </xf>
    <xf numFmtId="0" fontId="19" fillId="2" borderId="52" applyAlignment="1" pivotButton="0" quotePrefix="0" xfId="19">
      <alignment horizontal="left" vertical="top" wrapText="1"/>
    </xf>
    <xf numFmtId="0" fontId="19" fillId="2" borderId="0" applyAlignment="1" pivotButton="0" quotePrefix="0" xfId="19">
      <alignment horizontal="left" vertical="top" wrapText="1"/>
    </xf>
    <xf numFmtId="0" fontId="4" fillId="2" borderId="48" applyAlignment="1" pivotButton="0" quotePrefix="0" xfId="19">
      <alignment horizontal="justify" vertical="center" wrapText="1"/>
    </xf>
    <xf numFmtId="0" fontId="19" fillId="2" borderId="48" applyAlignment="1" pivotButton="0" quotePrefix="0" xfId="19">
      <alignment horizontal="justify" vertical="center" wrapText="1"/>
    </xf>
    <xf numFmtId="0" fontId="4" fillId="2" borderId="1" applyAlignment="1" pivotButton="0" quotePrefix="0" xfId="19">
      <alignment horizontal="justify" vertical="center" wrapText="1"/>
    </xf>
    <xf numFmtId="0" fontId="19" fillId="13" borderId="48" applyAlignment="1" pivotButton="0" quotePrefix="0" xfId="19">
      <alignment horizontal="justify" vertical="center" wrapText="1"/>
    </xf>
    <xf numFmtId="0" fontId="19" fillId="13" borderId="48" applyAlignment="1" pivotButton="0" quotePrefix="0" xfId="19">
      <alignment horizontal="center" vertical="center" wrapText="1"/>
    </xf>
    <xf numFmtId="0" fontId="2" fillId="0" borderId="25"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26" applyAlignment="1" pivotButton="0" quotePrefix="0" xfId="0">
      <alignment horizontal="center" vertical="center" wrapText="1"/>
    </xf>
    <xf numFmtId="0" fontId="11" fillId="11" borderId="40" applyAlignment="1" pivotButton="0" quotePrefix="0" xfId="0">
      <alignment horizontal="center" vertical="center"/>
    </xf>
    <xf numFmtId="0" fontId="11" fillId="11" borderId="41" applyAlignment="1" pivotButton="0" quotePrefix="0" xfId="0">
      <alignment horizontal="center" vertical="center"/>
    </xf>
    <xf numFmtId="15" fontId="26" fillId="2" borderId="31" applyAlignment="1" pivotButton="0" quotePrefix="0" xfId="0">
      <alignment horizontal="left"/>
    </xf>
    <xf numFmtId="15" fontId="4" fillId="2" borderId="31" applyAlignment="1" pivotButton="0" quotePrefix="0" xfId="0">
      <alignment horizontal="left"/>
    </xf>
    <xf numFmtId="0" fontId="1" fillId="2" borderId="18" pivotButton="0" quotePrefix="0" xfId="0"/>
    <xf numFmtId="0" fontId="1" fillId="2" borderId="18" applyAlignment="1" pivotButton="0" quotePrefix="0" xfId="0">
      <alignment horizontal="left"/>
    </xf>
    <xf numFmtId="0" fontId="11" fillId="11" borderId="17" applyAlignment="1" pivotButton="0" quotePrefix="0" xfId="8">
      <alignment horizontal="center"/>
    </xf>
    <xf numFmtId="0" fontId="11" fillId="11" borderId="19" applyAlignment="1" pivotButton="0" quotePrefix="0" xfId="8">
      <alignment horizontal="center"/>
    </xf>
    <xf numFmtId="0" fontId="11" fillId="11" borderId="18" applyAlignment="1" pivotButton="0" quotePrefix="0" xfId="8">
      <alignment horizontal="center"/>
    </xf>
    <xf numFmtId="0" fontId="11" fillId="11" borderId="17" applyAlignment="1" pivotButton="0" quotePrefix="0" xfId="8">
      <alignment horizontal="center" vertical="center" wrapText="1"/>
    </xf>
    <xf numFmtId="0" fontId="11" fillId="11" borderId="19" applyAlignment="1" pivotButton="0" quotePrefix="0" xfId="8">
      <alignment horizontal="center" vertical="center" wrapText="1"/>
    </xf>
    <xf numFmtId="0" fontId="11" fillId="11" borderId="18" applyAlignment="1" pivotButton="0" quotePrefix="0" xfId="8">
      <alignment horizontal="center" vertical="center" wrapText="1"/>
    </xf>
    <xf numFmtId="4" fontId="19" fillId="8" borderId="5" pivotButton="0" quotePrefix="0" xfId="8"/>
    <xf numFmtId="0" fontId="25" fillId="11" borderId="61" applyAlignment="1" pivotButton="0" quotePrefix="0" xfId="0">
      <alignment horizontal="center" vertical="center"/>
    </xf>
    <xf numFmtId="0" fontId="0" fillId="0" borderId="23" pivotButton="0" quotePrefix="0" xfId="0"/>
    <xf numFmtId="0" fontId="0" fillId="0" borderId="24" pivotButton="0" quotePrefix="0" xfId="0"/>
    <xf numFmtId="0" fontId="0" fillId="0" borderId="33" pivotButton="0" quotePrefix="0" xfId="0"/>
    <xf numFmtId="0" fontId="0" fillId="0" borderId="34" pivotButton="0" quotePrefix="0" xfId="0"/>
    <xf numFmtId="0" fontId="0" fillId="0" borderId="35" pivotButton="0" quotePrefix="0" xfId="0"/>
    <xf numFmtId="0" fontId="25" fillId="11" borderId="62" applyAlignment="1" pivotButton="0" quotePrefix="0" xfId="0">
      <alignment horizontal="center" vertical="center"/>
    </xf>
    <xf numFmtId="0" fontId="0" fillId="0" borderId="28" pivotButton="0" quotePrefix="0" xfId="0"/>
    <xf numFmtId="0" fontId="0" fillId="0" borderId="29" pivotButton="0" quotePrefix="0" xfId="0"/>
    <xf numFmtId="0" fontId="0" fillId="0" borderId="31" pivotButton="0" quotePrefix="0" xfId="0"/>
    <xf numFmtId="14" fontId="26" fillId="2" borderId="32" applyAlignment="1" pivotButton="0" quotePrefix="0" xfId="0">
      <alignment horizontal="left" vertical="center"/>
    </xf>
    <xf numFmtId="0" fontId="0" fillId="0" borderId="32" pivotButton="0" quotePrefix="0" xfId="0"/>
    <xf numFmtId="0" fontId="10" fillId="2" borderId="59" applyAlignment="1" pivotButton="0" quotePrefix="0" xfId="0">
      <alignment horizontal="center" vertical="top" wrapText="1"/>
    </xf>
    <xf numFmtId="0" fontId="0" fillId="0" borderId="7" pivotButton="0" quotePrefix="0" xfId="0"/>
    <xf numFmtId="0" fontId="0" fillId="0" borderId="8" pivotButton="0" quotePrefix="0" xfId="0"/>
    <xf numFmtId="0" fontId="9" fillId="2" borderId="60" applyAlignment="1" pivotButton="0" quotePrefix="0" xfId="0">
      <alignment horizontal="justify" vertical="top" wrapText="1"/>
    </xf>
    <xf numFmtId="0" fontId="0" fillId="0" borderId="10" pivotButton="0" quotePrefix="0" xfId="0"/>
    <xf numFmtId="0" fontId="10" fillId="2" borderId="60" applyAlignment="1" pivotButton="0" quotePrefix="0" xfId="0">
      <alignment horizontal="justify" vertical="top"/>
    </xf>
    <xf numFmtId="0" fontId="10" fillId="2" borderId="60" applyAlignment="1" pivotButton="0" quotePrefix="0" xfId="0">
      <alignment horizontal="justify" vertical="top" wrapText="1"/>
    </xf>
    <xf numFmtId="0" fontId="11" fillId="11" borderId="61" applyAlignment="1" pivotButton="0" quotePrefix="0" xfId="0">
      <alignment horizontal="center" vertical="center"/>
    </xf>
    <xf numFmtId="0" fontId="11" fillId="11" borderId="62" applyAlignment="1" pivotButton="0" quotePrefix="0" xfId="0">
      <alignment horizontal="center" vertical="center"/>
    </xf>
    <xf numFmtId="14" fontId="4" fillId="2" borderId="32" applyAlignment="1" pivotButton="0" quotePrefix="0" xfId="0">
      <alignment horizontal="left" vertical="center"/>
    </xf>
    <xf numFmtId="0" fontId="0" fillId="0" borderId="18" pivotButton="0" quotePrefix="0" xfId="0"/>
    <xf numFmtId="0" fontId="0" fillId="0" borderId="66" pivotButton="0" quotePrefix="0" xfId="0"/>
    <xf numFmtId="43" fontId="6" fillId="0" borderId="5" applyAlignment="1" pivotButton="0" quotePrefix="0" xfId="1">
      <alignment vertical="top"/>
    </xf>
    <xf numFmtId="167" fontId="2" fillId="2" borderId="0" pivotButton="0" quotePrefix="0" xfId="1"/>
    <xf numFmtId="43" fontId="10" fillId="2" borderId="0" pivotButton="0" quotePrefix="0" xfId="1"/>
    <xf numFmtId="0" fontId="11" fillId="11" borderId="67" applyAlignment="1" pivotButton="0" quotePrefix="0" xfId="0">
      <alignment horizontal="center" vertical="center" wrapText="1"/>
    </xf>
    <xf numFmtId="0" fontId="0" fillId="0" borderId="15" pivotButton="0" quotePrefix="0" xfId="0"/>
    <xf numFmtId="43" fontId="2" fillId="2" borderId="0" pivotButton="0" quotePrefix="0" xfId="1"/>
    <xf numFmtId="0" fontId="0" fillId="0" borderId="16" pivotButton="0" quotePrefix="0" xfId="0"/>
    <xf numFmtId="0" fontId="11" fillId="11" borderId="67" applyAlignment="1" pivotButton="0" quotePrefix="0" xfId="0">
      <alignment horizontal="center" vertical="center"/>
    </xf>
    <xf numFmtId="164" fontId="19" fillId="2" borderId="0" applyAlignment="1" pivotButton="0" quotePrefix="0" xfId="8">
      <alignment horizontal="center"/>
    </xf>
    <xf numFmtId="0" fontId="0" fillId="0" borderId="19" pivotButton="0" quotePrefix="0" xfId="0"/>
    <xf numFmtId="0" fontId="0" fillId="0" borderId="65" pivotButton="0" quotePrefix="0" xfId="0"/>
    <xf numFmtId="0" fontId="0" fillId="0" borderId="11" pivotButton="0" quotePrefix="0" xfId="0"/>
    <xf numFmtId="0" fontId="0" fillId="0" borderId="12" pivotButton="0" quotePrefix="0" xfId="0"/>
    <xf numFmtId="0" fontId="0" fillId="0" borderId="13" pivotButton="0" quotePrefix="0" xfId="0"/>
    <xf numFmtId="166" fontId="11" fillId="11" borderId="5" applyAlignment="1" pivotButton="0" quotePrefix="0" xfId="8">
      <alignment horizontal="center" vertical="center" wrapText="1"/>
    </xf>
    <xf numFmtId="43" fontId="30" fillId="2" borderId="0" pivotButton="0" quotePrefix="0" xfId="17"/>
    <xf numFmtId="169" fontId="30" fillId="2" borderId="0" pivotButton="0" quotePrefix="0" xfId="8"/>
    <xf numFmtId="164" fontId="19" fillId="2" borderId="0" applyAlignment="1" pivotButton="0" quotePrefix="0" xfId="2">
      <alignment horizontal="center"/>
    </xf>
    <xf numFmtId="166" fontId="11" fillId="11" borderId="5" applyAlignment="1" pivotButton="0" quotePrefix="0" xfId="2">
      <alignment horizontal="center" vertical="center" wrapText="1"/>
    </xf>
    <xf numFmtId="0" fontId="0" fillId="0" borderId="69" pivotButton="0" quotePrefix="0" xfId="0"/>
    <xf numFmtId="0" fontId="0" fillId="0" borderId="70" pivotButton="0" quotePrefix="0" xfId="0"/>
    <xf numFmtId="0" fontId="0" fillId="0" borderId="71" pivotButton="0" quotePrefix="0" xfId="0"/>
    <xf numFmtId="0" fontId="0" fillId="0" borderId="72" pivotButton="0" quotePrefix="0" xfId="0"/>
    <xf numFmtId="0" fontId="0" fillId="0" borderId="73" pivotButton="0" quotePrefix="0" xfId="0"/>
    <xf numFmtId="0" fontId="0" fillId="0" borderId="74" pivotButton="0" quotePrefix="0" xfId="0"/>
    <xf numFmtId="0" fontId="0" fillId="0" borderId="75" pivotButton="0" quotePrefix="0" xfId="0"/>
    <xf numFmtId="0" fontId="0" fillId="0" borderId="76" pivotButton="0" quotePrefix="0" xfId="0"/>
    <xf numFmtId="0" fontId="0" fillId="0" borderId="77" pivotButton="0" quotePrefix="0" xfId="0"/>
    <xf numFmtId="165" fontId="6" fillId="0" borderId="0" applyAlignment="1" pivotButton="0" quotePrefix="0" xfId="0">
      <alignment horizontal="right"/>
    </xf>
    <xf numFmtId="165" fontId="6" fillId="2" borderId="0" applyAlignment="1" pivotButton="0" quotePrefix="0" xfId="0">
      <alignment horizontal="right"/>
    </xf>
    <xf numFmtId="165" fontId="11" fillId="10" borderId="4" applyAlignment="1" pivotButton="0" quotePrefix="0" xfId="0">
      <alignment horizontal="right"/>
    </xf>
    <xf numFmtId="0" fontId="0" fillId="0" borderId="1" pivotButton="0" quotePrefix="0" xfId="0"/>
    <xf numFmtId="0" fontId="0" fillId="0" borderId="51" pivotButton="0" quotePrefix="0" xfId="0"/>
    <xf numFmtId="0" fontId="4" fillId="2" borderId="78" applyAlignment="1" pivotButton="0" quotePrefix="0" xfId="19">
      <alignment horizontal="left" vertical="top" wrapText="1"/>
    </xf>
    <xf numFmtId="0" fontId="0" fillId="0" borderId="55" pivotButton="0" quotePrefix="0" xfId="0"/>
    <xf numFmtId="0" fontId="0" fillId="0" borderId="56" pivotButton="0" quotePrefix="0" xfId="0"/>
    <xf numFmtId="0" fontId="4" fillId="2" borderId="79" applyAlignment="1" pivotButton="0" quotePrefix="0" xfId="19">
      <alignment horizontal="left" vertical="top" wrapText="1"/>
    </xf>
    <xf numFmtId="0" fontId="0" fillId="0" borderId="53" pivotButton="0" quotePrefix="0" xfId="0"/>
    <xf numFmtId="0" fontId="4" fillId="12" borderId="48" applyAlignment="1" pivotButton="0" quotePrefix="0" xfId="0">
      <alignment horizontal="left" vertical="center" wrapText="1"/>
    </xf>
    <xf numFmtId="0" fontId="0" fillId="0" borderId="52" pivotButton="0" quotePrefix="0" xfId="0"/>
    <xf numFmtId="0" fontId="0" fillId="0" borderId="57" pivotButton="0" quotePrefix="0" xfId="0"/>
    <xf numFmtId="0" fontId="0" fillId="0" borderId="3" pivotButton="0" quotePrefix="0" xfId="0"/>
    <xf numFmtId="0" fontId="0" fillId="0" borderId="58" pivotButton="0" quotePrefix="0" xfId="0"/>
    <xf numFmtId="0" fontId="11" fillId="11" borderId="81" applyAlignment="1" pivotButton="0" quotePrefix="0" xfId="0">
      <alignment horizontal="center" vertical="center"/>
    </xf>
    <xf numFmtId="0" fontId="0" fillId="0" borderId="41" pivotButton="0" quotePrefix="0" xfId="0"/>
    <xf numFmtId="170" fontId="19" fillId="4" borderId="42" applyAlignment="1" pivotButton="0" quotePrefix="0" xfId="18">
      <alignment horizontal="left" vertical="center"/>
    </xf>
    <xf numFmtId="170" fontId="19" fillId="4" borderId="42" applyAlignment="1" pivotButton="0" quotePrefix="0" xfId="18">
      <alignment vertical="center"/>
    </xf>
    <xf numFmtId="0" fontId="2" fillId="0" borderId="80" applyAlignment="1" pivotButton="0" quotePrefix="0" xfId="0">
      <alignment horizontal="center" vertical="center" wrapText="1"/>
    </xf>
    <xf numFmtId="0" fontId="0" fillId="0" borderId="26" pivotButton="0" quotePrefix="0" xfId="0"/>
  </cellXfs>
  <cellStyles count="25">
    <cellStyle name="Normal" xfId="0" builtinId="0"/>
    <cellStyle name="Millares" xfId="1" builtinId="3"/>
    <cellStyle name="Normal 2" xfId="2"/>
    <cellStyle name="Millares_papel de trabajo1 2" xfId="3"/>
    <cellStyle name="Porcentual 2" xfId="4"/>
    <cellStyle name="Comma_ANALISIS1 2" xfId="5"/>
    <cellStyle name="Coma 2" xfId="6"/>
    <cellStyle name="Millares 2" xfId="7"/>
    <cellStyle name="Normal 2 2" xfId="8"/>
    <cellStyle name="Normal 3" xfId="9"/>
    <cellStyle name="Normal 2 3 2" xfId="10"/>
    <cellStyle name="Porcentaje 2" xfId="11"/>
    <cellStyle name="Normal 4" xfId="12"/>
    <cellStyle name="Hipervínculo" xfId="13" builtinId="8"/>
    <cellStyle name="Millares_papel de trabajo1 2 2" xfId="14"/>
    <cellStyle name="Porcentual 2 3" xfId="15"/>
    <cellStyle name="Comma_ANALISIS1 2 2" xfId="16"/>
    <cellStyle name="Millares 10" xfId="17"/>
    <cellStyle name="Millares 2 3" xfId="18"/>
    <cellStyle name="Normal 2 2 2" xfId="19"/>
    <cellStyle name="Porcentaje 2 12" xfId="20"/>
    <cellStyle name="Normal 2 2 2 23" xfId="21"/>
    <cellStyle name="Porcentual 2 3 2" xfId="22"/>
    <cellStyle name="Normal 2 2 14" xfId="23"/>
    <cellStyle name="Porcentaje" xfId="24"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zoomScaleNormal="100" workbookViewId="0">
      <selection activeCell="A1" sqref="A1:E2"/>
    </sheetView>
  </sheetViews>
  <sheetFormatPr baseColWidth="10" defaultColWidth="11.42578125" defaultRowHeight="12.75"/>
  <cols>
    <col width="11.42578125" customWidth="1" style="1" min="1" max="1"/>
    <col width="55.42578125" customWidth="1" style="1" min="2" max="2"/>
    <col width="11.42578125" customWidth="1" style="1" min="3" max="4"/>
    <col width="23.85546875" customWidth="1" style="1" min="5" max="5"/>
    <col width="19.5703125" customWidth="1" style="1" min="6" max="6"/>
    <col width="2.28515625" customWidth="1" style="1" min="7" max="7"/>
    <col width="11.42578125" customWidth="1" style="1" min="8" max="16384"/>
  </cols>
  <sheetData>
    <row r="1" ht="30.75" customHeight="1">
      <c r="A1" s="512" t="inlineStr">
        <is>
          <t>OBLIGACIONES FISCALES</t>
        </is>
      </c>
      <c r="B1" s="513" t="n"/>
      <c r="C1" s="513" t="n"/>
      <c r="D1" s="513" t="n"/>
      <c r="E1" s="514" t="n"/>
    </row>
    <row r="2" ht="13.5" customHeight="1" thickBot="1">
      <c r="A2" s="515" t="n"/>
      <c r="B2" s="516" t="n"/>
      <c r="C2" s="516" t="n"/>
      <c r="D2" s="516" t="n"/>
      <c r="E2" s="517" t="n"/>
    </row>
    <row r="3" ht="19.5" customHeight="1" thickBot="1">
      <c r="A3" s="518" t="inlineStr">
        <is>
          <t xml:space="preserve">Programa </t>
        </is>
      </c>
      <c r="B3" s="519" t="n"/>
      <c r="C3" s="519" t="n"/>
      <c r="D3" s="519" t="n"/>
      <c r="E3" s="520" t="n"/>
    </row>
    <row r="4">
      <c r="A4" s="408" t="inlineStr">
        <is>
          <t>Nombre del cliente</t>
        </is>
      </c>
      <c r="B4" s="513" t="n"/>
      <c r="C4" s="513" t="n"/>
      <c r="D4" s="410" t="inlineStr">
        <is>
          <t>Periodo terminado</t>
        </is>
      </c>
      <c r="E4" s="514" t="n"/>
    </row>
    <row r="5" ht="13.5" customHeight="1" thickBot="1">
      <c r="A5" s="411" t="n"/>
      <c r="B5" s="521" t="n"/>
      <c r="C5" s="521" t="n"/>
      <c r="D5" s="522" t="n"/>
      <c r="E5" s="523" t="n"/>
    </row>
    <row r="6">
      <c r="A6" s="400" t="inlineStr">
        <is>
          <t xml:space="preserve">Preparado por: </t>
        </is>
      </c>
      <c r="B6" s="513" t="n"/>
      <c r="C6" s="132" t="inlineStr">
        <is>
          <t>Fecha:</t>
        </is>
      </c>
      <c r="D6" s="402" t="inlineStr">
        <is>
          <t>Referencia</t>
        </is>
      </c>
      <c r="E6" s="514" t="n"/>
    </row>
    <row r="7" ht="13.5" customHeight="1" thickBot="1">
      <c r="A7" s="392" t="n"/>
      <c r="B7" s="521" t="n"/>
      <c r="C7" s="133" t="n"/>
      <c r="D7" s="404" t="inlineStr">
        <is>
          <t>DM</t>
        </is>
      </c>
      <c r="E7" s="523" t="n"/>
    </row>
    <row r="8">
      <c r="A8" s="400" t="inlineStr">
        <is>
          <t xml:space="preserve">Revisado por: </t>
        </is>
      </c>
      <c r="B8" s="513" t="n"/>
      <c r="C8" s="132" t="inlineStr">
        <is>
          <t>Fecha:</t>
        </is>
      </c>
      <c r="D8" s="134" t="n"/>
      <c r="E8" s="135" t="n"/>
    </row>
    <row r="9" ht="13.5" customHeight="1" thickBot="1">
      <c r="A9" s="392" t="n"/>
      <c r="B9" s="521" t="n"/>
      <c r="C9" s="501" t="n"/>
      <c r="D9" s="136" t="n"/>
      <c r="E9" s="137" t="n"/>
    </row>
    <row r="10" ht="13.5" customHeight="1" thickBot="1">
      <c r="A10" s="138" t="n"/>
      <c r="B10" s="138" t="n"/>
      <c r="C10" s="139" t="n"/>
      <c r="D10" s="140" t="n"/>
      <c r="E10" s="141" t="n"/>
    </row>
    <row r="11">
      <c r="A11" s="142" t="n"/>
      <c r="B11" s="143" t="n"/>
      <c r="C11" s="143" t="n"/>
      <c r="D11" s="143" t="n"/>
      <c r="E11" s="143" t="n"/>
      <c r="F11" s="143" t="n"/>
      <c r="G11" s="144" t="n"/>
    </row>
    <row r="12">
      <c r="A12" s="524" t="n"/>
      <c r="B12" s="525" t="n"/>
      <c r="C12" s="525" t="n"/>
      <c r="D12" s="525" t="n"/>
      <c r="E12" s="525" t="n"/>
      <c r="F12" s="526" t="n"/>
      <c r="G12" s="145" t="n"/>
    </row>
    <row r="13" ht="27" customHeight="1">
      <c r="A13" s="527" t="inlineStr">
        <is>
          <t>1. Naturaleza de la cuenta.- Al efectuar la revisión de impuestos se combinan cuentas de activo y pasivo, por lo tanto en esta revisión tenemos cuenta con saldo deudor y cuentas con saldo acreedor.</t>
        </is>
      </c>
      <c r="F13" s="528" t="n"/>
      <c r="G13" s="145" t="n"/>
    </row>
    <row r="14" ht="15" customHeight="1">
      <c r="A14" s="529" t="inlineStr">
        <is>
          <t>Se debita.- Las compras realizadas por la Compañía y el Iva en Compras</t>
        </is>
      </c>
      <c r="F14" s="528" t="n"/>
      <c r="G14" s="145" t="n"/>
    </row>
    <row r="15" ht="15" customHeight="1">
      <c r="A15" s="530" t="inlineStr">
        <is>
          <t>Se acredita.- Las retenciones de renta e Iva efectuadas por la Compañía, Las ventas realizadas por la Compañía,el Iva en Ventas</t>
        </is>
      </c>
      <c r="F15" s="528" t="n"/>
      <c r="G15" s="145" t="n"/>
    </row>
    <row r="16" ht="15" customHeight="1">
      <c r="A16" s="530" t="inlineStr">
        <is>
          <t>II.- OBJETIVOS</t>
        </is>
      </c>
      <c r="F16" s="528" t="n"/>
      <c r="G16" s="145" t="n"/>
    </row>
    <row r="17" ht="15" customHeight="1">
      <c r="A17" s="530" t="inlineStr">
        <is>
          <t>1.     Analizar los riesgos inherentes respecto al no cumplimiento de las Obligaciones Fiscales</t>
        </is>
      </c>
      <c r="F17" s="528" t="n"/>
      <c r="G17" s="145" t="n"/>
    </row>
    <row r="18" ht="15" customHeight="1">
      <c r="A18" s="530" t="inlineStr">
        <is>
          <t>2.     Analizar el control interno sobre las Obligaciones Fiscales</t>
        </is>
      </c>
      <c r="F18" s="528" t="n"/>
      <c r="G18" s="145" t="n"/>
    </row>
    <row r="19" ht="15" customHeight="1">
      <c r="A19" s="530" t="inlineStr">
        <is>
          <t>4.     Confirmar la integridad de la Información Tributaria</t>
        </is>
      </c>
      <c r="F19" s="528" t="n"/>
      <c r="G19" s="145" t="n"/>
    </row>
    <row r="20" ht="15" customHeight="1">
      <c r="A20" s="530" t="inlineStr">
        <is>
          <t>5.     Determinar si las declaraciones y anexos tributarios efectuadas están realizadas correctamente</t>
        </is>
      </c>
      <c r="F20" s="528" t="n"/>
      <c r="G20" s="145" t="n"/>
    </row>
    <row r="21" ht="15" customHeight="1">
      <c r="A21" s="530" t="inlineStr">
        <is>
          <t>7.     Determinar el cumplimiento adecuado y oportuno de las obligaciones fiscales</t>
        </is>
      </c>
      <c r="F21" s="528" t="n"/>
      <c r="G21" s="145" t="n"/>
    </row>
    <row r="22" ht="15" customHeight="1">
      <c r="A22" s="146" t="n"/>
      <c r="B22" s="59" t="n"/>
      <c r="C22" s="59" t="n"/>
      <c r="D22" s="59" t="n"/>
      <c r="E22" s="59" t="n"/>
      <c r="F22" s="60" t="n"/>
      <c r="G22" s="145" t="n"/>
    </row>
    <row r="23" ht="27" customHeight="1">
      <c r="A23" s="152" t="inlineStr">
        <is>
          <t>Nº</t>
        </is>
      </c>
      <c r="B23" s="452" t="inlineStr">
        <is>
          <t>Procedimiento</t>
        </is>
      </c>
      <c r="C23" s="452" t="inlineStr">
        <is>
          <t>Referencia</t>
        </is>
      </c>
      <c r="D23" s="452" t="inlineStr">
        <is>
          <t>Fecha</t>
        </is>
      </c>
      <c r="E23" s="452" t="inlineStr">
        <is>
          <t>Elaborado por</t>
        </is>
      </c>
      <c r="F23" s="452" t="inlineStr">
        <is>
          <t>Observación</t>
        </is>
      </c>
      <c r="G23" s="145" t="n"/>
    </row>
    <row r="24" ht="51" customHeight="1">
      <c r="A24" s="147" t="n">
        <v>1</v>
      </c>
      <c r="B24" s="67" t="inlineStr">
        <is>
          <t>Evalué los procedimientos de control interno mediante la aplicación del cuestionario de control interno,  determine el alcance  del trabajo  y determine el riesgo de control.</t>
        </is>
      </c>
      <c r="C24" s="61" t="inlineStr">
        <is>
          <t>DM1</t>
        </is>
      </c>
      <c r="D24" s="193" t="n"/>
      <c r="E24" s="388" t="n"/>
      <c r="F24" s="63" t="n"/>
      <c r="G24" s="145" t="n"/>
    </row>
    <row r="25">
      <c r="A25" s="147" t="n">
        <v>2</v>
      </c>
      <c r="B25" s="67" t="inlineStr">
        <is>
          <t>Realice la sumaria para esta cuenta</t>
        </is>
      </c>
      <c r="C25" s="64" t="inlineStr">
        <is>
          <t>DM2</t>
        </is>
      </c>
      <c r="D25" s="62">
        <f>+D24</f>
        <v/>
      </c>
      <c r="E25" s="62">
        <f>+E24</f>
        <v/>
      </c>
      <c r="F25" s="63" t="n"/>
      <c r="G25" s="145" t="n"/>
    </row>
    <row r="26" ht="26.45" customHeight="1">
      <c r="A26" s="147" t="n">
        <v>4</v>
      </c>
      <c r="B26" s="67" t="inlineStr">
        <is>
          <t>Elaboramos una prueba de saldos globales a la fecha de corte.</t>
        </is>
      </c>
      <c r="C26" s="61" t="inlineStr">
        <is>
          <t>DM3</t>
        </is>
      </c>
      <c r="D26" s="62">
        <f>+D25</f>
        <v/>
      </c>
      <c r="E26" s="62">
        <f>+E25</f>
        <v/>
      </c>
      <c r="F26" s="63" t="n"/>
      <c r="G26" s="145" t="n"/>
    </row>
    <row r="27" ht="35.45" customHeight="1">
      <c r="A27" s="147" t="n">
        <v>5</v>
      </c>
      <c r="B27" s="67" t="inlineStr">
        <is>
          <t>Conciliar el valor en libros de compras 12, 0% e IVA compras con el formulario 104</t>
        </is>
      </c>
      <c r="C27" s="61" t="inlineStr">
        <is>
          <t>DM4</t>
        </is>
      </c>
      <c r="D27" s="62">
        <f>+D26</f>
        <v/>
      </c>
      <c r="E27" s="62">
        <f>+E26</f>
        <v/>
      </c>
      <c r="F27" s="63" t="n"/>
      <c r="G27" s="145" t="n"/>
    </row>
    <row r="28" ht="42.6" customHeight="1">
      <c r="A28" s="147" t="n">
        <v>6</v>
      </c>
      <c r="B28" s="67" t="inlineStr">
        <is>
          <t>Conciliar el valor en libros de Ventas e IVA ventas respecto al formulario 104</t>
        </is>
      </c>
      <c r="C28" s="61" t="inlineStr">
        <is>
          <t>DM5</t>
        </is>
      </c>
      <c r="D28" s="62">
        <f>+D27</f>
        <v/>
      </c>
      <c r="E28" s="62">
        <f>+E27</f>
        <v/>
      </c>
      <c r="F28" s="63" t="n"/>
      <c r="G28" s="145" t="n"/>
    </row>
    <row r="29" ht="56.1" customHeight="1">
      <c r="A29" s="147" t="n">
        <v>7</v>
      </c>
      <c r="B29" s="67" t="inlineStr">
        <is>
          <t>Elaborar el cuadro de conciliación de compras, ventas, retenciones en la fuente libros respecto a los valores declarados en el formulario 104</t>
        </is>
      </c>
      <c r="C29" s="61" t="inlineStr">
        <is>
          <t>DM6</t>
        </is>
      </c>
      <c r="D29" s="62">
        <f>+D28</f>
        <v/>
      </c>
      <c r="E29" s="62">
        <f>+E28</f>
        <v/>
      </c>
      <c r="F29" s="65" t="n"/>
      <c r="G29" s="145" t="n"/>
    </row>
    <row r="30" ht="32.1" customHeight="1">
      <c r="A30" s="147" t="n">
        <v>8</v>
      </c>
      <c r="B30" s="67" t="inlineStr">
        <is>
          <t>Conciliar los valores de retenciones en la fuente de IVA por pagar libros respecto formulario  104</t>
        </is>
      </c>
      <c r="C30" s="61" t="inlineStr">
        <is>
          <t>DM7</t>
        </is>
      </c>
      <c r="D30" s="62">
        <f>+D29</f>
        <v/>
      </c>
      <c r="E30" s="62">
        <f>+E29</f>
        <v/>
      </c>
      <c r="F30" s="65" t="n"/>
      <c r="G30" s="145" t="n"/>
    </row>
    <row r="31" ht="25.5" customHeight="1">
      <c r="A31" s="147" t="n">
        <v>9</v>
      </c>
      <c r="B31" s="67" t="inlineStr">
        <is>
          <t>Conciliar los valores de retenciones en la fuente de renta por pagar libros respecto formulario  103</t>
        </is>
      </c>
      <c r="C31" s="61" t="inlineStr">
        <is>
          <t>DM7</t>
        </is>
      </c>
      <c r="D31" s="62">
        <f>+D30</f>
        <v/>
      </c>
      <c r="E31" s="62">
        <f>+E30</f>
        <v/>
      </c>
      <c r="F31" s="65" t="n"/>
      <c r="G31" s="145" t="n"/>
    </row>
    <row r="32">
      <c r="A32" s="147" t="n">
        <v>10</v>
      </c>
      <c r="B32" s="67" t="inlineStr">
        <is>
          <t>Conciliar los anexos ATS con los formularios 103 y 104</t>
        </is>
      </c>
      <c r="C32" s="61" t="inlineStr">
        <is>
          <t>DM8</t>
        </is>
      </c>
      <c r="D32" s="62">
        <f>+D31</f>
        <v/>
      </c>
      <c r="E32" s="62">
        <f>+E31</f>
        <v/>
      </c>
      <c r="F32" s="65" t="n"/>
      <c r="G32" s="145" t="n"/>
    </row>
    <row r="33" ht="25.5" customHeight="1">
      <c r="A33" s="147" t="n">
        <v>11</v>
      </c>
      <c r="B33" s="67" t="inlineStr">
        <is>
          <t>Elaborar la Hoja de Hallazgos con las observaciones determinadas</t>
        </is>
      </c>
      <c r="C33" s="61" t="inlineStr">
        <is>
          <t>DM9</t>
        </is>
      </c>
      <c r="D33" s="62">
        <f>+D32</f>
        <v/>
      </c>
      <c r="E33" s="62">
        <f>+E32</f>
        <v/>
      </c>
      <c r="F33" s="65" t="n"/>
      <c r="G33" s="145" t="n"/>
    </row>
    <row r="34" ht="13.5" customHeight="1" thickBot="1">
      <c r="A34" s="148" t="n"/>
      <c r="B34" s="149" t="n"/>
      <c r="C34" s="150" t="n"/>
      <c r="D34" s="150" t="n"/>
      <c r="E34" s="150" t="n"/>
      <c r="F34" s="150" t="n"/>
      <c r="G34" s="151" t="n"/>
    </row>
  </sheetData>
  <mergeCells count="22">
    <mergeCell ref="A16:F16"/>
    <mergeCell ref="A12:F12"/>
    <mergeCell ref="A18:F18"/>
    <mergeCell ref="A21:F21"/>
    <mergeCell ref="A6:B6"/>
    <mergeCell ref="D6:E6"/>
    <mergeCell ref="A7:B7"/>
    <mergeCell ref="A5:C5"/>
    <mergeCell ref="A14:F14"/>
    <mergeCell ref="A17:F17"/>
    <mergeCell ref="A20:F20"/>
    <mergeCell ref="A4:C4"/>
    <mergeCell ref="A3:E3"/>
    <mergeCell ref="D7:E7"/>
    <mergeCell ref="A19:F19"/>
    <mergeCell ref="A13:F13"/>
    <mergeCell ref="D4:E4"/>
    <mergeCell ref="A1:E2"/>
    <mergeCell ref="A8:B8"/>
    <mergeCell ref="A15:F15"/>
    <mergeCell ref="D5:E5"/>
    <mergeCell ref="A9:B9"/>
  </mergeCells>
  <hyperlinks>
    <hyperlink ref="A25" location="'F-1 Cédula sumaria'!A1" display="'F-1 Cédula sumaria'!A1"/>
    <hyperlink ref="A27" location="'E-1-3 Gasto libros vs. Audit'!A1" display="'E-1-3 Gasto libros vs. Audit'!A1"/>
    <hyperlink ref="A29" location="'F-1-1-3 Constatación física'!A1" display="'F-1-1-3 Constatación física'!A1"/>
    <hyperlink ref="A30" location="'F-1-1-3 Constatación física'!A1" display="'F-1-1-3 Constatación física'!A1"/>
    <hyperlink ref="A31" location="'F-1-1-3 Constatación física'!A1" display="'F-1-1-3 Constatación física'!A1"/>
    <hyperlink ref="A32" location="'F-1-1-3 Constatación física'!A1" display="'F-1-1-3 Constatación física'!A1"/>
    <hyperlink ref="A33" location="'F-1-1-3 Constatación física'!A1" display="'F-1-1-3 Constatación física'!A1"/>
  </hyperlinks>
  <pageMargins left="0.7" right="0.7" top="0.75" bottom="0.75" header="0.3" footer="0.3"/>
  <pageSetup orientation="portrait" paperSize="9" scale="60"/>
</worksheet>
</file>

<file path=xl/worksheets/sheet2.xml><?xml version="1.0" encoding="utf-8"?>
<worksheet xmlns="http://schemas.openxmlformats.org/spreadsheetml/2006/main">
  <sheetPr>
    <outlinePr summaryBelow="1" summaryRight="1"/>
    <pageSetUpPr/>
  </sheetPr>
  <dimension ref="A1:H30"/>
  <sheetViews>
    <sheetView zoomScaleNormal="100" workbookViewId="0">
      <selection activeCell="A3" sqref="A3:E3"/>
    </sheetView>
  </sheetViews>
  <sheetFormatPr baseColWidth="10" defaultRowHeight="12.75"/>
  <cols>
    <col width="7.85546875" bestFit="1" customWidth="1" style="194" min="1" max="1"/>
    <col width="53" customWidth="1" style="194" min="2" max="2"/>
    <col width="18" customWidth="1" style="194" min="3" max="3"/>
    <col width="17.42578125" customWidth="1" style="194" min="4" max="4"/>
    <col width="16.7109375" customWidth="1" style="194" min="5" max="5"/>
    <col width="8" customWidth="1" style="194" min="6" max="6"/>
    <col width="22.5703125" customWidth="1" style="194" min="7" max="7"/>
    <col width="3.140625" customWidth="1" style="194" min="8" max="8"/>
    <col width="11.42578125" customWidth="1" style="194" min="9" max="256"/>
    <col width="7.85546875" bestFit="1" customWidth="1" style="194" min="257" max="257"/>
    <col width="42.42578125" customWidth="1" style="194" min="258" max="258"/>
    <col width="6" customWidth="1" style="194" min="259" max="261"/>
    <col width="8" customWidth="1" style="194" min="262" max="262"/>
    <col width="28.7109375" customWidth="1" style="194" min="263" max="263"/>
    <col width="11.42578125" customWidth="1" style="194" min="264" max="512"/>
    <col width="7.85546875" bestFit="1" customWidth="1" style="194" min="513" max="513"/>
    <col width="42.42578125" customWidth="1" style="194" min="514" max="514"/>
    <col width="6" customWidth="1" style="194" min="515" max="517"/>
    <col width="8" customWidth="1" style="194" min="518" max="518"/>
    <col width="28.7109375" customWidth="1" style="194" min="519" max="519"/>
    <col width="11.42578125" customWidth="1" style="194" min="520" max="768"/>
    <col width="7.85546875" bestFit="1" customWidth="1" style="194" min="769" max="769"/>
    <col width="42.42578125" customWidth="1" style="194" min="770" max="770"/>
    <col width="6" customWidth="1" style="194" min="771" max="773"/>
    <col width="8" customWidth="1" style="194" min="774" max="774"/>
    <col width="28.7109375" customWidth="1" style="194" min="775" max="775"/>
    <col width="11.42578125" customWidth="1" style="194" min="776" max="1024"/>
    <col width="7.85546875" bestFit="1" customWidth="1" style="194" min="1025" max="1025"/>
    <col width="42.42578125" customWidth="1" style="194" min="1026" max="1026"/>
    <col width="6" customWidth="1" style="194" min="1027" max="1029"/>
    <col width="8" customWidth="1" style="194" min="1030" max="1030"/>
    <col width="28.7109375" customWidth="1" style="194" min="1031" max="1031"/>
    <col width="11.42578125" customWidth="1" style="194" min="1032" max="1280"/>
    <col width="7.85546875" bestFit="1" customWidth="1" style="194" min="1281" max="1281"/>
    <col width="42.42578125" customWidth="1" style="194" min="1282" max="1282"/>
    <col width="6" customWidth="1" style="194" min="1283" max="1285"/>
    <col width="8" customWidth="1" style="194" min="1286" max="1286"/>
    <col width="28.7109375" customWidth="1" style="194" min="1287" max="1287"/>
    <col width="11.42578125" customWidth="1" style="194" min="1288" max="1536"/>
    <col width="7.85546875" bestFit="1" customWidth="1" style="194" min="1537" max="1537"/>
    <col width="42.42578125" customWidth="1" style="194" min="1538" max="1538"/>
    <col width="6" customWidth="1" style="194" min="1539" max="1541"/>
    <col width="8" customWidth="1" style="194" min="1542" max="1542"/>
    <col width="28.7109375" customWidth="1" style="194" min="1543" max="1543"/>
    <col width="11.42578125" customWidth="1" style="194" min="1544" max="1792"/>
    <col width="7.85546875" bestFit="1" customWidth="1" style="194" min="1793" max="1793"/>
    <col width="42.42578125" customWidth="1" style="194" min="1794" max="1794"/>
    <col width="6" customWidth="1" style="194" min="1795" max="1797"/>
    <col width="8" customWidth="1" style="194" min="1798" max="1798"/>
    <col width="28.7109375" customWidth="1" style="194" min="1799" max="1799"/>
    <col width="11.42578125" customWidth="1" style="194" min="1800" max="2048"/>
    <col width="7.85546875" bestFit="1" customWidth="1" style="194" min="2049" max="2049"/>
    <col width="42.42578125" customWidth="1" style="194" min="2050" max="2050"/>
    <col width="6" customWidth="1" style="194" min="2051" max="2053"/>
    <col width="8" customWidth="1" style="194" min="2054" max="2054"/>
    <col width="28.7109375" customWidth="1" style="194" min="2055" max="2055"/>
    <col width="11.42578125" customWidth="1" style="194" min="2056" max="2304"/>
    <col width="7.85546875" bestFit="1" customWidth="1" style="194" min="2305" max="2305"/>
    <col width="42.42578125" customWidth="1" style="194" min="2306" max="2306"/>
    <col width="6" customWidth="1" style="194" min="2307" max="2309"/>
    <col width="8" customWidth="1" style="194" min="2310" max="2310"/>
    <col width="28.7109375" customWidth="1" style="194" min="2311" max="2311"/>
    <col width="11.42578125" customWidth="1" style="194" min="2312" max="2560"/>
    <col width="7.85546875" bestFit="1" customWidth="1" style="194" min="2561" max="2561"/>
    <col width="42.42578125" customWidth="1" style="194" min="2562" max="2562"/>
    <col width="6" customWidth="1" style="194" min="2563" max="2565"/>
    <col width="8" customWidth="1" style="194" min="2566" max="2566"/>
    <col width="28.7109375" customWidth="1" style="194" min="2567" max="2567"/>
    <col width="11.42578125" customWidth="1" style="194" min="2568" max="2816"/>
    <col width="7.85546875" bestFit="1" customWidth="1" style="194" min="2817" max="2817"/>
    <col width="42.42578125" customWidth="1" style="194" min="2818" max="2818"/>
    <col width="6" customWidth="1" style="194" min="2819" max="2821"/>
    <col width="8" customWidth="1" style="194" min="2822" max="2822"/>
    <col width="28.7109375" customWidth="1" style="194" min="2823" max="2823"/>
    <col width="11.42578125" customWidth="1" style="194" min="2824" max="3072"/>
    <col width="7.85546875" bestFit="1" customWidth="1" style="194" min="3073" max="3073"/>
    <col width="42.42578125" customWidth="1" style="194" min="3074" max="3074"/>
    <col width="6" customWidth="1" style="194" min="3075" max="3077"/>
    <col width="8" customWidth="1" style="194" min="3078" max="3078"/>
    <col width="28.7109375" customWidth="1" style="194" min="3079" max="3079"/>
    <col width="11.42578125" customWidth="1" style="194" min="3080" max="3328"/>
    <col width="7.85546875" bestFit="1" customWidth="1" style="194" min="3329" max="3329"/>
    <col width="42.42578125" customWidth="1" style="194" min="3330" max="3330"/>
    <col width="6" customWidth="1" style="194" min="3331" max="3333"/>
    <col width="8" customWidth="1" style="194" min="3334" max="3334"/>
    <col width="28.7109375" customWidth="1" style="194" min="3335" max="3335"/>
    <col width="11.42578125" customWidth="1" style="194" min="3336" max="3584"/>
    <col width="7.85546875" bestFit="1" customWidth="1" style="194" min="3585" max="3585"/>
    <col width="42.42578125" customWidth="1" style="194" min="3586" max="3586"/>
    <col width="6" customWidth="1" style="194" min="3587" max="3589"/>
    <col width="8" customWidth="1" style="194" min="3590" max="3590"/>
    <col width="28.7109375" customWidth="1" style="194" min="3591" max="3591"/>
    <col width="11.42578125" customWidth="1" style="194" min="3592" max="3840"/>
    <col width="7.85546875" bestFit="1" customWidth="1" style="194" min="3841" max="3841"/>
    <col width="42.42578125" customWidth="1" style="194" min="3842" max="3842"/>
    <col width="6" customWidth="1" style="194" min="3843" max="3845"/>
    <col width="8" customWidth="1" style="194" min="3846" max="3846"/>
    <col width="28.7109375" customWidth="1" style="194" min="3847" max="3847"/>
    <col width="11.42578125" customWidth="1" style="194" min="3848" max="4096"/>
    <col width="7.85546875" bestFit="1" customWidth="1" style="194" min="4097" max="4097"/>
    <col width="42.42578125" customWidth="1" style="194" min="4098" max="4098"/>
    <col width="6" customWidth="1" style="194" min="4099" max="4101"/>
    <col width="8" customWidth="1" style="194" min="4102" max="4102"/>
    <col width="28.7109375" customWidth="1" style="194" min="4103" max="4103"/>
    <col width="11.42578125" customWidth="1" style="194" min="4104" max="4352"/>
    <col width="7.85546875" bestFit="1" customWidth="1" style="194" min="4353" max="4353"/>
    <col width="42.42578125" customWidth="1" style="194" min="4354" max="4354"/>
    <col width="6" customWidth="1" style="194" min="4355" max="4357"/>
    <col width="8" customWidth="1" style="194" min="4358" max="4358"/>
    <col width="28.7109375" customWidth="1" style="194" min="4359" max="4359"/>
    <col width="11.42578125" customWidth="1" style="194" min="4360" max="4608"/>
    <col width="7.85546875" bestFit="1" customWidth="1" style="194" min="4609" max="4609"/>
    <col width="42.42578125" customWidth="1" style="194" min="4610" max="4610"/>
    <col width="6" customWidth="1" style="194" min="4611" max="4613"/>
    <col width="8" customWidth="1" style="194" min="4614" max="4614"/>
    <col width="28.7109375" customWidth="1" style="194" min="4615" max="4615"/>
    <col width="11.42578125" customWidth="1" style="194" min="4616" max="4864"/>
    <col width="7.85546875" bestFit="1" customWidth="1" style="194" min="4865" max="4865"/>
    <col width="42.42578125" customWidth="1" style="194" min="4866" max="4866"/>
    <col width="6" customWidth="1" style="194" min="4867" max="4869"/>
    <col width="8" customWidth="1" style="194" min="4870" max="4870"/>
    <col width="28.7109375" customWidth="1" style="194" min="4871" max="4871"/>
    <col width="11.42578125" customWidth="1" style="194" min="4872" max="5120"/>
    <col width="7.85546875" bestFit="1" customWidth="1" style="194" min="5121" max="5121"/>
    <col width="42.42578125" customWidth="1" style="194" min="5122" max="5122"/>
    <col width="6" customWidth="1" style="194" min="5123" max="5125"/>
    <col width="8" customWidth="1" style="194" min="5126" max="5126"/>
    <col width="28.7109375" customWidth="1" style="194" min="5127" max="5127"/>
    <col width="11.42578125" customWidth="1" style="194" min="5128" max="5376"/>
    <col width="7.85546875" bestFit="1" customWidth="1" style="194" min="5377" max="5377"/>
    <col width="42.42578125" customWidth="1" style="194" min="5378" max="5378"/>
    <col width="6" customWidth="1" style="194" min="5379" max="5381"/>
    <col width="8" customWidth="1" style="194" min="5382" max="5382"/>
    <col width="28.7109375" customWidth="1" style="194" min="5383" max="5383"/>
    <col width="11.42578125" customWidth="1" style="194" min="5384" max="5632"/>
    <col width="7.85546875" bestFit="1" customWidth="1" style="194" min="5633" max="5633"/>
    <col width="42.42578125" customWidth="1" style="194" min="5634" max="5634"/>
    <col width="6" customWidth="1" style="194" min="5635" max="5637"/>
    <col width="8" customWidth="1" style="194" min="5638" max="5638"/>
    <col width="28.7109375" customWidth="1" style="194" min="5639" max="5639"/>
    <col width="11.42578125" customWidth="1" style="194" min="5640" max="5888"/>
    <col width="7.85546875" bestFit="1" customWidth="1" style="194" min="5889" max="5889"/>
    <col width="42.42578125" customWidth="1" style="194" min="5890" max="5890"/>
    <col width="6" customWidth="1" style="194" min="5891" max="5893"/>
    <col width="8" customWidth="1" style="194" min="5894" max="5894"/>
    <col width="28.7109375" customWidth="1" style="194" min="5895" max="5895"/>
    <col width="11.42578125" customWidth="1" style="194" min="5896" max="6144"/>
    <col width="7.85546875" bestFit="1" customWidth="1" style="194" min="6145" max="6145"/>
    <col width="42.42578125" customWidth="1" style="194" min="6146" max="6146"/>
    <col width="6" customWidth="1" style="194" min="6147" max="6149"/>
    <col width="8" customWidth="1" style="194" min="6150" max="6150"/>
    <col width="28.7109375" customWidth="1" style="194" min="6151" max="6151"/>
    <col width="11.42578125" customWidth="1" style="194" min="6152" max="6400"/>
    <col width="7.85546875" bestFit="1" customWidth="1" style="194" min="6401" max="6401"/>
    <col width="42.42578125" customWidth="1" style="194" min="6402" max="6402"/>
    <col width="6" customWidth="1" style="194" min="6403" max="6405"/>
    <col width="8" customWidth="1" style="194" min="6406" max="6406"/>
    <col width="28.7109375" customWidth="1" style="194" min="6407" max="6407"/>
    <col width="11.42578125" customWidth="1" style="194" min="6408" max="6656"/>
    <col width="7.85546875" bestFit="1" customWidth="1" style="194" min="6657" max="6657"/>
    <col width="42.42578125" customWidth="1" style="194" min="6658" max="6658"/>
    <col width="6" customWidth="1" style="194" min="6659" max="6661"/>
    <col width="8" customWidth="1" style="194" min="6662" max="6662"/>
    <col width="28.7109375" customWidth="1" style="194" min="6663" max="6663"/>
    <col width="11.42578125" customWidth="1" style="194" min="6664" max="6912"/>
    <col width="7.85546875" bestFit="1" customWidth="1" style="194" min="6913" max="6913"/>
    <col width="42.42578125" customWidth="1" style="194" min="6914" max="6914"/>
    <col width="6" customWidth="1" style="194" min="6915" max="6917"/>
    <col width="8" customWidth="1" style="194" min="6918" max="6918"/>
    <col width="28.7109375" customWidth="1" style="194" min="6919" max="6919"/>
    <col width="11.42578125" customWidth="1" style="194" min="6920" max="7168"/>
    <col width="7.85546875" bestFit="1" customWidth="1" style="194" min="7169" max="7169"/>
    <col width="42.42578125" customWidth="1" style="194" min="7170" max="7170"/>
    <col width="6" customWidth="1" style="194" min="7171" max="7173"/>
    <col width="8" customWidth="1" style="194" min="7174" max="7174"/>
    <col width="28.7109375" customWidth="1" style="194" min="7175" max="7175"/>
    <col width="11.42578125" customWidth="1" style="194" min="7176" max="7424"/>
    <col width="7.85546875" bestFit="1" customWidth="1" style="194" min="7425" max="7425"/>
    <col width="42.42578125" customWidth="1" style="194" min="7426" max="7426"/>
    <col width="6" customWidth="1" style="194" min="7427" max="7429"/>
    <col width="8" customWidth="1" style="194" min="7430" max="7430"/>
    <col width="28.7109375" customWidth="1" style="194" min="7431" max="7431"/>
    <col width="11.42578125" customWidth="1" style="194" min="7432" max="7680"/>
    <col width="7.85546875" bestFit="1" customWidth="1" style="194" min="7681" max="7681"/>
    <col width="42.42578125" customWidth="1" style="194" min="7682" max="7682"/>
    <col width="6" customWidth="1" style="194" min="7683" max="7685"/>
    <col width="8" customWidth="1" style="194" min="7686" max="7686"/>
    <col width="28.7109375" customWidth="1" style="194" min="7687" max="7687"/>
    <col width="11.42578125" customWidth="1" style="194" min="7688" max="7936"/>
    <col width="7.85546875" bestFit="1" customWidth="1" style="194" min="7937" max="7937"/>
    <col width="42.42578125" customWidth="1" style="194" min="7938" max="7938"/>
    <col width="6" customWidth="1" style="194" min="7939" max="7941"/>
    <col width="8" customWidth="1" style="194" min="7942" max="7942"/>
    <col width="28.7109375" customWidth="1" style="194" min="7943" max="7943"/>
    <col width="11.42578125" customWidth="1" style="194" min="7944" max="8192"/>
    <col width="7.85546875" bestFit="1" customWidth="1" style="194" min="8193" max="8193"/>
    <col width="42.42578125" customWidth="1" style="194" min="8194" max="8194"/>
    <col width="6" customWidth="1" style="194" min="8195" max="8197"/>
    <col width="8" customWidth="1" style="194" min="8198" max="8198"/>
    <col width="28.7109375" customWidth="1" style="194" min="8199" max="8199"/>
    <col width="11.42578125" customWidth="1" style="194" min="8200" max="8448"/>
    <col width="7.85546875" bestFit="1" customWidth="1" style="194" min="8449" max="8449"/>
    <col width="42.42578125" customWidth="1" style="194" min="8450" max="8450"/>
    <col width="6" customWidth="1" style="194" min="8451" max="8453"/>
    <col width="8" customWidth="1" style="194" min="8454" max="8454"/>
    <col width="28.7109375" customWidth="1" style="194" min="8455" max="8455"/>
    <col width="11.42578125" customWidth="1" style="194" min="8456" max="8704"/>
    <col width="7.85546875" bestFit="1" customWidth="1" style="194" min="8705" max="8705"/>
    <col width="42.42578125" customWidth="1" style="194" min="8706" max="8706"/>
    <col width="6" customWidth="1" style="194" min="8707" max="8709"/>
    <col width="8" customWidth="1" style="194" min="8710" max="8710"/>
    <col width="28.7109375" customWidth="1" style="194" min="8711" max="8711"/>
    <col width="11.42578125" customWidth="1" style="194" min="8712" max="8960"/>
    <col width="7.85546875" bestFit="1" customWidth="1" style="194" min="8961" max="8961"/>
    <col width="42.42578125" customWidth="1" style="194" min="8962" max="8962"/>
    <col width="6" customWidth="1" style="194" min="8963" max="8965"/>
    <col width="8" customWidth="1" style="194" min="8966" max="8966"/>
    <col width="28.7109375" customWidth="1" style="194" min="8967" max="8967"/>
    <col width="11.42578125" customWidth="1" style="194" min="8968" max="9216"/>
    <col width="7.85546875" bestFit="1" customWidth="1" style="194" min="9217" max="9217"/>
    <col width="42.42578125" customWidth="1" style="194" min="9218" max="9218"/>
    <col width="6" customWidth="1" style="194" min="9219" max="9221"/>
    <col width="8" customWidth="1" style="194" min="9222" max="9222"/>
    <col width="28.7109375" customWidth="1" style="194" min="9223" max="9223"/>
    <col width="11.42578125" customWidth="1" style="194" min="9224" max="9472"/>
    <col width="7.85546875" bestFit="1" customWidth="1" style="194" min="9473" max="9473"/>
    <col width="42.42578125" customWidth="1" style="194" min="9474" max="9474"/>
    <col width="6" customWidth="1" style="194" min="9475" max="9477"/>
    <col width="8" customWidth="1" style="194" min="9478" max="9478"/>
    <col width="28.7109375" customWidth="1" style="194" min="9479" max="9479"/>
    <col width="11.42578125" customWidth="1" style="194" min="9480" max="9728"/>
    <col width="7.85546875" bestFit="1" customWidth="1" style="194" min="9729" max="9729"/>
    <col width="42.42578125" customWidth="1" style="194" min="9730" max="9730"/>
    <col width="6" customWidth="1" style="194" min="9731" max="9733"/>
    <col width="8" customWidth="1" style="194" min="9734" max="9734"/>
    <col width="28.7109375" customWidth="1" style="194" min="9735" max="9735"/>
    <col width="11.42578125" customWidth="1" style="194" min="9736" max="9984"/>
    <col width="7.85546875" bestFit="1" customWidth="1" style="194" min="9985" max="9985"/>
    <col width="42.42578125" customWidth="1" style="194" min="9986" max="9986"/>
    <col width="6" customWidth="1" style="194" min="9987" max="9989"/>
    <col width="8" customWidth="1" style="194" min="9990" max="9990"/>
    <col width="28.7109375" customWidth="1" style="194" min="9991" max="9991"/>
    <col width="11.42578125" customWidth="1" style="194" min="9992" max="10240"/>
    <col width="7.85546875" bestFit="1" customWidth="1" style="194" min="10241" max="10241"/>
    <col width="42.42578125" customWidth="1" style="194" min="10242" max="10242"/>
    <col width="6" customWidth="1" style="194" min="10243" max="10245"/>
    <col width="8" customWidth="1" style="194" min="10246" max="10246"/>
    <col width="28.7109375" customWidth="1" style="194" min="10247" max="10247"/>
    <col width="11.42578125" customWidth="1" style="194" min="10248" max="10496"/>
    <col width="7.85546875" bestFit="1" customWidth="1" style="194" min="10497" max="10497"/>
    <col width="42.42578125" customWidth="1" style="194" min="10498" max="10498"/>
    <col width="6" customWidth="1" style="194" min="10499" max="10501"/>
    <col width="8" customWidth="1" style="194" min="10502" max="10502"/>
    <col width="28.7109375" customWidth="1" style="194" min="10503" max="10503"/>
    <col width="11.42578125" customWidth="1" style="194" min="10504" max="10752"/>
    <col width="7.85546875" bestFit="1" customWidth="1" style="194" min="10753" max="10753"/>
    <col width="42.42578125" customWidth="1" style="194" min="10754" max="10754"/>
    <col width="6" customWidth="1" style="194" min="10755" max="10757"/>
    <col width="8" customWidth="1" style="194" min="10758" max="10758"/>
    <col width="28.7109375" customWidth="1" style="194" min="10759" max="10759"/>
    <col width="11.42578125" customWidth="1" style="194" min="10760" max="11008"/>
    <col width="7.85546875" bestFit="1" customWidth="1" style="194" min="11009" max="11009"/>
    <col width="42.42578125" customWidth="1" style="194" min="11010" max="11010"/>
    <col width="6" customWidth="1" style="194" min="11011" max="11013"/>
    <col width="8" customWidth="1" style="194" min="11014" max="11014"/>
    <col width="28.7109375" customWidth="1" style="194" min="11015" max="11015"/>
    <col width="11.42578125" customWidth="1" style="194" min="11016" max="11264"/>
    <col width="7.85546875" bestFit="1" customWidth="1" style="194" min="11265" max="11265"/>
    <col width="42.42578125" customWidth="1" style="194" min="11266" max="11266"/>
    <col width="6" customWidth="1" style="194" min="11267" max="11269"/>
    <col width="8" customWidth="1" style="194" min="11270" max="11270"/>
    <col width="28.7109375" customWidth="1" style="194" min="11271" max="11271"/>
    <col width="11.42578125" customWidth="1" style="194" min="11272" max="11520"/>
    <col width="7.85546875" bestFit="1" customWidth="1" style="194" min="11521" max="11521"/>
    <col width="42.42578125" customWidth="1" style="194" min="11522" max="11522"/>
    <col width="6" customWidth="1" style="194" min="11523" max="11525"/>
    <col width="8" customWidth="1" style="194" min="11526" max="11526"/>
    <col width="28.7109375" customWidth="1" style="194" min="11527" max="11527"/>
    <col width="11.42578125" customWidth="1" style="194" min="11528" max="11776"/>
    <col width="7.85546875" bestFit="1" customWidth="1" style="194" min="11777" max="11777"/>
    <col width="42.42578125" customWidth="1" style="194" min="11778" max="11778"/>
    <col width="6" customWidth="1" style="194" min="11779" max="11781"/>
    <col width="8" customWidth="1" style="194" min="11782" max="11782"/>
    <col width="28.7109375" customWidth="1" style="194" min="11783" max="11783"/>
    <col width="11.42578125" customWidth="1" style="194" min="11784" max="12032"/>
    <col width="7.85546875" bestFit="1" customWidth="1" style="194" min="12033" max="12033"/>
    <col width="42.42578125" customWidth="1" style="194" min="12034" max="12034"/>
    <col width="6" customWidth="1" style="194" min="12035" max="12037"/>
    <col width="8" customWidth="1" style="194" min="12038" max="12038"/>
    <col width="28.7109375" customWidth="1" style="194" min="12039" max="12039"/>
    <col width="11.42578125" customWidth="1" style="194" min="12040" max="12288"/>
    <col width="7.85546875" bestFit="1" customWidth="1" style="194" min="12289" max="12289"/>
    <col width="42.42578125" customWidth="1" style="194" min="12290" max="12290"/>
    <col width="6" customWidth="1" style="194" min="12291" max="12293"/>
    <col width="8" customWidth="1" style="194" min="12294" max="12294"/>
    <col width="28.7109375" customWidth="1" style="194" min="12295" max="12295"/>
    <col width="11.42578125" customWidth="1" style="194" min="12296" max="12544"/>
    <col width="7.85546875" bestFit="1" customWidth="1" style="194" min="12545" max="12545"/>
    <col width="42.42578125" customWidth="1" style="194" min="12546" max="12546"/>
    <col width="6" customWidth="1" style="194" min="12547" max="12549"/>
    <col width="8" customWidth="1" style="194" min="12550" max="12550"/>
    <col width="28.7109375" customWidth="1" style="194" min="12551" max="12551"/>
    <col width="11.42578125" customWidth="1" style="194" min="12552" max="12800"/>
    <col width="7.85546875" bestFit="1" customWidth="1" style="194" min="12801" max="12801"/>
    <col width="42.42578125" customWidth="1" style="194" min="12802" max="12802"/>
    <col width="6" customWidth="1" style="194" min="12803" max="12805"/>
    <col width="8" customWidth="1" style="194" min="12806" max="12806"/>
    <col width="28.7109375" customWidth="1" style="194" min="12807" max="12807"/>
    <col width="11.42578125" customWidth="1" style="194" min="12808" max="13056"/>
    <col width="7.85546875" bestFit="1" customWidth="1" style="194" min="13057" max="13057"/>
    <col width="42.42578125" customWidth="1" style="194" min="13058" max="13058"/>
    <col width="6" customWidth="1" style="194" min="13059" max="13061"/>
    <col width="8" customWidth="1" style="194" min="13062" max="13062"/>
    <col width="28.7109375" customWidth="1" style="194" min="13063" max="13063"/>
    <col width="11.42578125" customWidth="1" style="194" min="13064" max="13312"/>
    <col width="7.85546875" bestFit="1" customWidth="1" style="194" min="13313" max="13313"/>
    <col width="42.42578125" customWidth="1" style="194" min="13314" max="13314"/>
    <col width="6" customWidth="1" style="194" min="13315" max="13317"/>
    <col width="8" customWidth="1" style="194" min="13318" max="13318"/>
    <col width="28.7109375" customWidth="1" style="194" min="13319" max="13319"/>
    <col width="11.42578125" customWidth="1" style="194" min="13320" max="13568"/>
    <col width="7.85546875" bestFit="1" customWidth="1" style="194" min="13569" max="13569"/>
    <col width="42.42578125" customWidth="1" style="194" min="13570" max="13570"/>
    <col width="6" customWidth="1" style="194" min="13571" max="13573"/>
    <col width="8" customWidth="1" style="194" min="13574" max="13574"/>
    <col width="28.7109375" customWidth="1" style="194" min="13575" max="13575"/>
    <col width="11.42578125" customWidth="1" style="194" min="13576" max="13824"/>
    <col width="7.85546875" bestFit="1" customWidth="1" style="194" min="13825" max="13825"/>
    <col width="42.42578125" customWidth="1" style="194" min="13826" max="13826"/>
    <col width="6" customWidth="1" style="194" min="13827" max="13829"/>
    <col width="8" customWidth="1" style="194" min="13830" max="13830"/>
    <col width="28.7109375" customWidth="1" style="194" min="13831" max="13831"/>
    <col width="11.42578125" customWidth="1" style="194" min="13832" max="14080"/>
    <col width="7.85546875" bestFit="1" customWidth="1" style="194" min="14081" max="14081"/>
    <col width="42.42578125" customWidth="1" style="194" min="14082" max="14082"/>
    <col width="6" customWidth="1" style="194" min="14083" max="14085"/>
    <col width="8" customWidth="1" style="194" min="14086" max="14086"/>
    <col width="28.7109375" customWidth="1" style="194" min="14087" max="14087"/>
    <col width="11.42578125" customWidth="1" style="194" min="14088" max="14336"/>
    <col width="7.85546875" bestFit="1" customWidth="1" style="194" min="14337" max="14337"/>
    <col width="42.42578125" customWidth="1" style="194" min="14338" max="14338"/>
    <col width="6" customWidth="1" style="194" min="14339" max="14341"/>
    <col width="8" customWidth="1" style="194" min="14342" max="14342"/>
    <col width="28.7109375" customWidth="1" style="194" min="14343" max="14343"/>
    <col width="11.42578125" customWidth="1" style="194" min="14344" max="14592"/>
    <col width="7.85546875" bestFit="1" customWidth="1" style="194" min="14593" max="14593"/>
    <col width="42.42578125" customWidth="1" style="194" min="14594" max="14594"/>
    <col width="6" customWidth="1" style="194" min="14595" max="14597"/>
    <col width="8" customWidth="1" style="194" min="14598" max="14598"/>
    <col width="28.7109375" customWidth="1" style="194" min="14599" max="14599"/>
    <col width="11.42578125" customWidth="1" style="194" min="14600" max="14848"/>
    <col width="7.85546875" bestFit="1" customWidth="1" style="194" min="14849" max="14849"/>
    <col width="42.42578125" customWidth="1" style="194" min="14850" max="14850"/>
    <col width="6" customWidth="1" style="194" min="14851" max="14853"/>
    <col width="8" customWidth="1" style="194" min="14854" max="14854"/>
    <col width="28.7109375" customWidth="1" style="194" min="14855" max="14855"/>
    <col width="11.42578125" customWidth="1" style="194" min="14856" max="15104"/>
    <col width="7.85546875" bestFit="1" customWidth="1" style="194" min="15105" max="15105"/>
    <col width="42.42578125" customWidth="1" style="194" min="15106" max="15106"/>
    <col width="6" customWidth="1" style="194" min="15107" max="15109"/>
    <col width="8" customWidth="1" style="194" min="15110" max="15110"/>
    <col width="28.7109375" customWidth="1" style="194" min="15111" max="15111"/>
    <col width="11.42578125" customWidth="1" style="194" min="15112" max="15360"/>
    <col width="7.85546875" bestFit="1" customWidth="1" style="194" min="15361" max="15361"/>
    <col width="42.42578125" customWidth="1" style="194" min="15362" max="15362"/>
    <col width="6" customWidth="1" style="194" min="15363" max="15365"/>
    <col width="8" customWidth="1" style="194" min="15366" max="15366"/>
    <col width="28.7109375" customWidth="1" style="194" min="15367" max="15367"/>
    <col width="11.42578125" customWidth="1" style="194" min="15368" max="15616"/>
    <col width="7.85546875" bestFit="1" customWidth="1" style="194" min="15617" max="15617"/>
    <col width="42.42578125" customWidth="1" style="194" min="15618" max="15618"/>
    <col width="6" customWidth="1" style="194" min="15619" max="15621"/>
    <col width="8" customWidth="1" style="194" min="15622" max="15622"/>
    <col width="28.7109375" customWidth="1" style="194" min="15623" max="15623"/>
    <col width="11.42578125" customWidth="1" style="194" min="15624" max="15872"/>
    <col width="7.85546875" bestFit="1" customWidth="1" style="194" min="15873" max="15873"/>
    <col width="42.42578125" customWidth="1" style="194" min="15874" max="15874"/>
    <col width="6" customWidth="1" style="194" min="15875" max="15877"/>
    <col width="8" customWidth="1" style="194" min="15878" max="15878"/>
    <col width="28.7109375" customWidth="1" style="194" min="15879" max="15879"/>
    <col width="11.42578125" customWidth="1" style="194" min="15880" max="16128"/>
    <col width="7.85546875" bestFit="1" customWidth="1" style="194" min="16129" max="16129"/>
    <col width="42.42578125" customWidth="1" style="194" min="16130" max="16130"/>
    <col width="6" customWidth="1" style="194" min="16131" max="16133"/>
    <col width="8" customWidth="1" style="194" min="16134" max="16134"/>
    <col width="28.7109375" customWidth="1" style="194" min="16135" max="16135"/>
    <col width="11.42578125" customWidth="1" style="194" min="16136" max="16384"/>
  </cols>
  <sheetData>
    <row r="1" ht="24" customHeight="1">
      <c r="A1" s="531" t="inlineStr">
        <is>
          <t>OBLIGACIONES FISCALES</t>
        </is>
      </c>
      <c r="B1" s="513" t="n"/>
      <c r="C1" s="513" t="n"/>
      <c r="D1" s="513" t="n"/>
      <c r="E1" s="514" t="n"/>
    </row>
    <row r="2" ht="23.25" customHeight="1" thickBot="1">
      <c r="A2" s="515" t="n"/>
      <c r="B2" s="516" t="n"/>
      <c r="C2" s="516" t="n"/>
      <c r="D2" s="516" t="n"/>
      <c r="E2" s="517" t="n"/>
    </row>
    <row r="3" ht="19.5" customHeight="1" thickBot="1">
      <c r="A3" s="532" t="inlineStr">
        <is>
          <t>Cuestionario</t>
        </is>
      </c>
      <c r="B3" s="519" t="n"/>
      <c r="C3" s="519" t="n"/>
      <c r="D3" s="519" t="n"/>
      <c r="E3" s="520" t="n"/>
    </row>
    <row r="4">
      <c r="A4" s="443" t="inlineStr">
        <is>
          <t>Nombre del cliente</t>
        </is>
      </c>
      <c r="B4" s="513" t="n"/>
      <c r="C4" s="513" t="n"/>
      <c r="D4" s="445" t="inlineStr">
        <is>
          <t>Periodo terminado</t>
        </is>
      </c>
      <c r="E4" s="514" t="n"/>
    </row>
    <row r="5" ht="13.5" customHeight="1" thickBot="1">
      <c r="A5" s="446">
        <f>+'DM  Programa de Auditoria'!A5:C5</f>
        <v/>
      </c>
      <c r="B5" s="521" t="n"/>
      <c r="C5" s="521" t="n"/>
      <c r="D5" s="533">
        <f>+'DM  Programa de Auditoria'!D5:E5</f>
        <v/>
      </c>
      <c r="E5" s="523" t="n"/>
    </row>
    <row r="6">
      <c r="A6" s="429" t="inlineStr">
        <is>
          <t xml:space="preserve">Preparado por: </t>
        </is>
      </c>
      <c r="B6" s="513" t="n"/>
      <c r="C6" s="158" t="inlineStr">
        <is>
          <t>Fecha:</t>
        </is>
      </c>
      <c r="D6" s="431" t="inlineStr">
        <is>
          <t>Referencia</t>
        </is>
      </c>
      <c r="E6" s="514" t="n"/>
    </row>
    <row r="7" ht="13.5" customHeight="1" thickBot="1">
      <c r="A7" s="427">
        <f>+'DM  Programa de Auditoria'!A7:B7</f>
        <v/>
      </c>
      <c r="B7" s="521" t="n"/>
      <c r="C7" s="159">
        <f>+'DM  Programa de Auditoria'!C7</f>
        <v/>
      </c>
      <c r="D7" s="433" t="inlineStr">
        <is>
          <t>DM1</t>
        </is>
      </c>
      <c r="E7" s="523" t="n"/>
    </row>
    <row r="8">
      <c r="A8" s="429" t="inlineStr">
        <is>
          <t xml:space="preserve">Revisado por: </t>
        </is>
      </c>
      <c r="B8" s="513" t="n"/>
      <c r="C8" s="158" t="inlineStr">
        <is>
          <t>Fecha:</t>
        </is>
      </c>
      <c r="D8" s="160" t="n"/>
      <c r="E8" s="195" t="n"/>
    </row>
    <row r="9" ht="13.5" customHeight="1" thickBot="1">
      <c r="A9" s="427" t="n"/>
      <c r="B9" s="521" t="n"/>
      <c r="C9" s="159">
        <f>+'DM  Programa de Auditoria'!C9</f>
        <v/>
      </c>
      <c r="D9" s="162" t="n"/>
      <c r="E9" s="196" t="n"/>
    </row>
    <row r="10" ht="13.5" customHeight="1" thickBot="1"/>
    <row r="11">
      <c r="A11" s="197" t="n"/>
      <c r="B11" s="198" t="n"/>
      <c r="C11" s="198" t="n"/>
      <c r="D11" s="198" t="n"/>
      <c r="E11" s="198" t="n"/>
      <c r="F11" s="198" t="n"/>
      <c r="G11" s="198" t="n"/>
      <c r="H11" s="195" t="n"/>
    </row>
    <row r="12">
      <c r="A12" s="156" t="inlineStr">
        <is>
          <t>N.</t>
        </is>
      </c>
      <c r="B12" s="157" t="inlineStr">
        <is>
          <t>Pregunta</t>
        </is>
      </c>
      <c r="C12" s="157" t="inlineStr">
        <is>
          <t>SI</t>
        </is>
      </c>
      <c r="D12" s="157" t="inlineStr">
        <is>
          <t>NO</t>
        </is>
      </c>
      <c r="E12" s="157" t="inlineStr">
        <is>
          <t>N/A</t>
        </is>
      </c>
      <c r="F12" s="157" t="inlineStr">
        <is>
          <t>EVAL</t>
        </is>
      </c>
      <c r="G12" s="157" t="inlineStr">
        <is>
          <t>Observación</t>
        </is>
      </c>
      <c r="H12" s="199" t="n"/>
    </row>
    <row r="13" ht="25.5" customHeight="1">
      <c r="A13" s="147" t="n">
        <v>1</v>
      </c>
      <c r="B13" s="200" t="inlineStr">
        <is>
          <t>¿Existe una persona que determine los impuestos que deben causarse ?</t>
        </is>
      </c>
      <c r="C13" s="61" t="inlineStr">
        <is>
          <t>X</t>
        </is>
      </c>
      <c r="D13" s="61" t="n"/>
      <c r="E13" s="61" t="n"/>
      <c r="F13" s="61" t="n">
        <v>10</v>
      </c>
      <c r="G13" s="201" t="n"/>
      <c r="H13" s="199" t="n"/>
    </row>
    <row r="14">
      <c r="A14" s="147" t="n"/>
      <c r="B14" s="200" t="inlineStr">
        <is>
          <t>¿Existe una persona que autorice el pago de impuestos?</t>
        </is>
      </c>
      <c r="C14" s="61" t="inlineStr">
        <is>
          <t>X</t>
        </is>
      </c>
      <c r="D14" s="61" t="n"/>
      <c r="E14" s="61" t="n"/>
      <c r="F14" s="61" t="n">
        <v>10</v>
      </c>
      <c r="G14" s="201" t="n"/>
      <c r="H14" s="199" t="n"/>
    </row>
    <row r="15" ht="25.5" customHeight="1">
      <c r="A15" s="147">
        <f>+A13+1</f>
        <v/>
      </c>
      <c r="B15" s="200" t="inlineStr">
        <is>
          <t>Se tienen calendarizadas las obligaciones fiscales y monitoreado su cumplimiento?</t>
        </is>
      </c>
      <c r="C15" s="61" t="inlineStr">
        <is>
          <t>X</t>
        </is>
      </c>
      <c r="D15" s="61" t="n"/>
      <c r="E15" s="61" t="n"/>
      <c r="F15" s="61" t="n">
        <v>10</v>
      </c>
      <c r="G15" s="201" t="n"/>
      <c r="H15" s="199" t="n"/>
    </row>
    <row r="16">
      <c r="A16" s="147">
        <f>+A15+1</f>
        <v/>
      </c>
      <c r="B16" s="200" t="inlineStr">
        <is>
          <t>Las declaraciones son conciliadas con registros contables</t>
        </is>
      </c>
      <c r="C16" s="61" t="inlineStr">
        <is>
          <t>X</t>
        </is>
      </c>
      <c r="D16" s="61" t="n"/>
      <c r="E16" s="61" t="n"/>
      <c r="F16" s="61" t="n">
        <v>10</v>
      </c>
      <c r="G16" s="201" t="n"/>
      <c r="H16" s="199" t="n"/>
    </row>
    <row r="17" ht="25.5" customHeight="1">
      <c r="A17" s="147">
        <f>+A16+1</f>
        <v/>
      </c>
      <c r="B17" s="200" t="inlineStr">
        <is>
          <t>Se realiza la comparación de declaraciones con anexos transaccionales.</t>
        </is>
      </c>
      <c r="C17" s="61" t="inlineStr">
        <is>
          <t>X</t>
        </is>
      </c>
      <c r="D17" s="61" t="n"/>
      <c r="E17" s="61" t="n"/>
      <c r="F17" s="61" t="n">
        <v>10</v>
      </c>
      <c r="G17" s="66" t="n"/>
      <c r="H17" s="199" t="n"/>
    </row>
    <row r="18" ht="25.5" customHeight="1">
      <c r="A18" s="147">
        <f>+A17+1</f>
        <v/>
      </c>
      <c r="B18" s="200" t="inlineStr">
        <is>
          <t>Las declaraciones de impuestos son presentadas oportunamente</t>
        </is>
      </c>
      <c r="C18" s="61" t="inlineStr">
        <is>
          <t>X</t>
        </is>
      </c>
      <c r="D18" s="61" t="n"/>
      <c r="E18" s="61" t="n"/>
      <c r="F18" s="61" t="n">
        <v>10</v>
      </c>
      <c r="G18" s="200" t="n"/>
      <c r="H18" s="199" t="n"/>
    </row>
    <row r="19" ht="25.5" customHeight="1">
      <c r="A19" s="147">
        <f>+A18+1</f>
        <v/>
      </c>
      <c r="B19" s="200" t="inlineStr">
        <is>
          <t>Se lleva un debido archivo de las declaraciones, anexos,y de los detalles necesarios para la declaración.</t>
        </is>
      </c>
      <c r="C19" s="61" t="inlineStr">
        <is>
          <t>X</t>
        </is>
      </c>
      <c r="D19" s="61" t="n"/>
      <c r="E19" s="61" t="n"/>
      <c r="F19" s="61" t="n">
        <v>10</v>
      </c>
      <c r="G19" s="200" t="n"/>
      <c r="H19" s="199" t="n"/>
    </row>
    <row r="20" ht="38.25" customHeight="1">
      <c r="A20" s="147">
        <f>+A19+1</f>
        <v/>
      </c>
      <c r="B20" s="200" t="inlineStr">
        <is>
          <t>Existe una persona que revise que las declaraciones y anexos esten debidamente realizadas y tengan su respectivo soporte de documentación</t>
        </is>
      </c>
      <c r="C20" s="61" t="inlineStr">
        <is>
          <t>X</t>
        </is>
      </c>
      <c r="D20" s="61" t="n"/>
      <c r="E20" s="61" t="n"/>
      <c r="F20" s="61" t="n">
        <v>10</v>
      </c>
      <c r="G20" s="200" t="n"/>
      <c r="H20" s="199" t="n"/>
    </row>
    <row r="21" ht="25.5" customHeight="1">
      <c r="A21" s="147">
        <f>+A20+1</f>
        <v/>
      </c>
      <c r="B21" s="200" t="inlineStr">
        <is>
          <t>Existe un archivo completo y ordenado de declaraciones y comprobantes de pago; y otros requerimientos fiscales</t>
        </is>
      </c>
      <c r="C21" s="61" t="inlineStr">
        <is>
          <t>X</t>
        </is>
      </c>
      <c r="D21" s="61" t="n"/>
      <c r="E21" s="61" t="n"/>
      <c r="F21" s="61" t="n">
        <v>10</v>
      </c>
      <c r="G21" s="201" t="n"/>
      <c r="H21" s="199" t="n"/>
    </row>
    <row r="22">
      <c r="A22" s="154" t="n"/>
      <c r="H22" s="199" t="n"/>
    </row>
    <row r="23">
      <c r="A23" s="154" t="n"/>
      <c r="H23" s="199" t="n"/>
    </row>
    <row r="24">
      <c r="A24" s="154" t="n"/>
      <c r="B24" s="8" t="inlineStr">
        <is>
          <t xml:space="preserve">TOTAL CALIFICACION </t>
        </is>
      </c>
      <c r="F24" s="8">
        <f>COUNTIF(F13:F21,"&gt;9")</f>
        <v/>
      </c>
      <c r="H24" s="199" t="n"/>
    </row>
    <row r="25">
      <c r="A25" s="154" t="n"/>
      <c r="B25" s="8" t="inlineStr">
        <is>
          <t xml:space="preserve">N° PREGUNTAS </t>
        </is>
      </c>
      <c r="F25" s="8">
        <f>+COUNT(A13:A21)</f>
        <v/>
      </c>
      <c r="H25" s="199" t="n"/>
    </row>
    <row r="26">
      <c r="A26" s="154" t="n"/>
      <c r="B26" s="8" t="inlineStr">
        <is>
          <t>CUMPLIMIENTO CONTRO INTERNO</t>
        </is>
      </c>
      <c r="F26" s="155">
        <f>+((F24/F25)*100)</f>
        <v/>
      </c>
      <c r="H26" s="199" t="n"/>
    </row>
    <row r="27">
      <c r="A27" s="202" t="n"/>
      <c r="B27" s="8" t="inlineStr">
        <is>
          <t>CALIFICACION DEL RIESGO</t>
        </is>
      </c>
      <c r="F27" s="8">
        <f>IF(F26&lt;=30,"ALTO",IF(AND(F26&gt;30,F26&lt;75),"MODERADO",IF(AND(F26&gt;90&lt;100),"MODERADO","BAJO")))</f>
        <v/>
      </c>
      <c r="H27" s="199" t="n"/>
    </row>
    <row r="28" ht="13.5" customHeight="1" thickBot="1">
      <c r="A28" s="203" t="n"/>
      <c r="B28" s="204" t="n"/>
      <c r="C28" s="204" t="n"/>
      <c r="D28" s="204" t="n"/>
      <c r="E28" s="204" t="n"/>
      <c r="F28" s="204" t="n"/>
      <c r="G28" s="204" t="n"/>
      <c r="H28" s="196" t="n"/>
    </row>
    <row r="29">
      <c r="B29" s="8" t="n"/>
    </row>
    <row r="30">
      <c r="B30" s="8" t="n"/>
    </row>
  </sheetData>
  <mergeCells count="12">
    <mergeCell ref="D6:E6"/>
    <mergeCell ref="D7:E7"/>
    <mergeCell ref="A7:B7"/>
    <mergeCell ref="A5:C5"/>
    <mergeCell ref="D5:E5"/>
    <mergeCell ref="D4:E4"/>
    <mergeCell ref="A1:E2"/>
    <mergeCell ref="A9:B9"/>
    <mergeCell ref="A4:C4"/>
    <mergeCell ref="A8:B8"/>
    <mergeCell ref="A6:B6"/>
    <mergeCell ref="A3:E3"/>
  </mergeCells>
  <pageMargins left="0.7" right="0.7" top="0.75" bottom="0.75" header="0.3" footer="0.3"/>
  <pageSetup orientation="portrait" scale="43"/>
  <colBreaks count="2" manualBreakCount="2">
    <brk id="8" min="0" max="1048575" man="1"/>
    <brk id="45" min="3" max="53" man="1"/>
  </colBreaks>
</worksheet>
</file>

<file path=xl/worksheets/sheet3.xml><?xml version="1.0" encoding="utf-8"?>
<worksheet xmlns="http://schemas.openxmlformats.org/spreadsheetml/2006/main">
  <sheetPr>
    <outlinePr summaryBelow="1" summaryRight="1"/>
    <pageSetUpPr/>
  </sheetPr>
  <dimension ref="A1:M45"/>
  <sheetViews>
    <sheetView showGridLines="0" zoomScale="80" zoomScaleNormal="80" zoomScaleSheetLayoutView="80" workbookViewId="0">
      <selection activeCell="F3" sqref="F3"/>
    </sheetView>
  </sheetViews>
  <sheetFormatPr baseColWidth="10" defaultRowHeight="12.75"/>
  <cols>
    <col width="21" customWidth="1" style="205" min="1" max="1"/>
    <col width="52.5703125" customWidth="1" style="205" min="2" max="2"/>
    <col width="21.42578125" customWidth="1" style="205" min="3" max="3"/>
    <col width="22.5703125" customWidth="1" style="205" min="4" max="4"/>
    <col width="10.140625" customWidth="1" style="205" min="5" max="5"/>
    <col width="18.85546875" customWidth="1" style="205" min="6" max="6"/>
    <col width="3.85546875" customWidth="1" style="205" min="7" max="7"/>
    <col width="11.42578125" customWidth="1" style="205" min="8" max="9"/>
    <col width="4.140625" customWidth="1" style="205" min="10" max="10"/>
    <col width="22.140625" customWidth="1" style="205" min="11" max="11"/>
    <col width="3.85546875" customWidth="1" style="205" min="12" max="12"/>
    <col width="19.85546875" customWidth="1" style="205" min="13" max="13"/>
    <col width="11.42578125" customWidth="1" style="205" min="14" max="254"/>
    <col width="4" customWidth="1" style="205" min="255" max="255"/>
    <col width="27.5703125" customWidth="1" style="205" min="256" max="256"/>
    <col width="49.85546875" customWidth="1" style="205" min="257" max="257"/>
    <col width="20.5703125" customWidth="1" style="205" min="258" max="258"/>
    <col width="7.42578125" customWidth="1" style="205" min="259" max="259"/>
    <col width="20.5703125" customWidth="1" style="205" min="260" max="261"/>
    <col width="18.85546875" customWidth="1" style="205" min="262" max="262"/>
    <col width="3.85546875" customWidth="1" style="205" min="263" max="263"/>
    <col width="11.42578125" customWidth="1" style="205" min="264" max="265"/>
    <col width="2.7109375" customWidth="1" style="205" min="266" max="266"/>
    <col width="22.140625" customWidth="1" style="205" min="267" max="267"/>
    <col width="6.5703125" customWidth="1" style="205" min="268" max="268"/>
    <col width="19.85546875" customWidth="1" style="205" min="269" max="269"/>
    <col width="11.42578125" customWidth="1" style="205" min="270" max="510"/>
    <col width="4" customWidth="1" style="205" min="511" max="511"/>
    <col width="27.5703125" customWidth="1" style="205" min="512" max="512"/>
    <col width="49.85546875" customWidth="1" style="205" min="513" max="513"/>
    <col width="20.5703125" customWidth="1" style="205" min="514" max="514"/>
    <col width="7.42578125" customWidth="1" style="205" min="515" max="515"/>
    <col width="20.5703125" customWidth="1" style="205" min="516" max="517"/>
    <col width="18.85546875" customWidth="1" style="205" min="518" max="518"/>
    <col width="3.85546875" customWidth="1" style="205" min="519" max="519"/>
    <col width="11.42578125" customWidth="1" style="205" min="520" max="521"/>
    <col width="2.7109375" customWidth="1" style="205" min="522" max="522"/>
    <col width="22.140625" customWidth="1" style="205" min="523" max="523"/>
    <col width="6.5703125" customWidth="1" style="205" min="524" max="524"/>
    <col width="19.85546875" customWidth="1" style="205" min="525" max="525"/>
    <col width="11.42578125" customWidth="1" style="205" min="526" max="766"/>
    <col width="4" customWidth="1" style="205" min="767" max="767"/>
    <col width="27.5703125" customWidth="1" style="205" min="768" max="768"/>
    <col width="49.85546875" customWidth="1" style="205" min="769" max="769"/>
    <col width="20.5703125" customWidth="1" style="205" min="770" max="770"/>
    <col width="7.42578125" customWidth="1" style="205" min="771" max="771"/>
    <col width="20.5703125" customWidth="1" style="205" min="772" max="773"/>
    <col width="18.85546875" customWidth="1" style="205" min="774" max="774"/>
    <col width="3.85546875" customWidth="1" style="205" min="775" max="775"/>
    <col width="11.42578125" customWidth="1" style="205" min="776" max="777"/>
    <col width="2.7109375" customWidth="1" style="205" min="778" max="778"/>
    <col width="22.140625" customWidth="1" style="205" min="779" max="779"/>
    <col width="6.5703125" customWidth="1" style="205" min="780" max="780"/>
    <col width="19.85546875" customWidth="1" style="205" min="781" max="781"/>
    <col width="11.42578125" customWidth="1" style="205" min="782" max="1022"/>
    <col width="4" customWidth="1" style="205" min="1023" max="1023"/>
    <col width="27.5703125" customWidth="1" style="205" min="1024" max="1024"/>
    <col width="49.85546875" customWidth="1" style="205" min="1025" max="1025"/>
    <col width="20.5703125" customWidth="1" style="205" min="1026" max="1026"/>
    <col width="7.42578125" customWidth="1" style="205" min="1027" max="1027"/>
    <col width="20.5703125" customWidth="1" style="205" min="1028" max="1029"/>
    <col width="18.85546875" customWidth="1" style="205" min="1030" max="1030"/>
    <col width="3.85546875" customWidth="1" style="205" min="1031" max="1031"/>
    <col width="11.42578125" customWidth="1" style="205" min="1032" max="1033"/>
    <col width="2.7109375" customWidth="1" style="205" min="1034" max="1034"/>
    <col width="22.140625" customWidth="1" style="205" min="1035" max="1035"/>
    <col width="6.5703125" customWidth="1" style="205" min="1036" max="1036"/>
    <col width="19.85546875" customWidth="1" style="205" min="1037" max="1037"/>
    <col width="11.42578125" customWidth="1" style="205" min="1038" max="1278"/>
    <col width="4" customWidth="1" style="205" min="1279" max="1279"/>
    <col width="27.5703125" customWidth="1" style="205" min="1280" max="1280"/>
    <col width="49.85546875" customWidth="1" style="205" min="1281" max="1281"/>
    <col width="20.5703125" customWidth="1" style="205" min="1282" max="1282"/>
    <col width="7.42578125" customWidth="1" style="205" min="1283" max="1283"/>
    <col width="20.5703125" customWidth="1" style="205" min="1284" max="1285"/>
    <col width="18.85546875" customWidth="1" style="205" min="1286" max="1286"/>
    <col width="3.85546875" customWidth="1" style="205" min="1287" max="1287"/>
    <col width="11.42578125" customWidth="1" style="205" min="1288" max="1289"/>
    <col width="2.7109375" customWidth="1" style="205" min="1290" max="1290"/>
    <col width="22.140625" customWidth="1" style="205" min="1291" max="1291"/>
    <col width="6.5703125" customWidth="1" style="205" min="1292" max="1292"/>
    <col width="19.85546875" customWidth="1" style="205" min="1293" max="1293"/>
    <col width="11.42578125" customWidth="1" style="205" min="1294" max="1534"/>
    <col width="4" customWidth="1" style="205" min="1535" max="1535"/>
    <col width="27.5703125" customWidth="1" style="205" min="1536" max="1536"/>
    <col width="49.85546875" customWidth="1" style="205" min="1537" max="1537"/>
    <col width="20.5703125" customWidth="1" style="205" min="1538" max="1538"/>
    <col width="7.42578125" customWidth="1" style="205" min="1539" max="1539"/>
    <col width="20.5703125" customWidth="1" style="205" min="1540" max="1541"/>
    <col width="18.85546875" customWidth="1" style="205" min="1542" max="1542"/>
    <col width="3.85546875" customWidth="1" style="205" min="1543" max="1543"/>
    <col width="11.42578125" customWidth="1" style="205" min="1544" max="1545"/>
    <col width="2.7109375" customWidth="1" style="205" min="1546" max="1546"/>
    <col width="22.140625" customWidth="1" style="205" min="1547" max="1547"/>
    <col width="6.5703125" customWidth="1" style="205" min="1548" max="1548"/>
    <col width="19.85546875" customWidth="1" style="205" min="1549" max="1549"/>
    <col width="11.42578125" customWidth="1" style="205" min="1550" max="1790"/>
    <col width="4" customWidth="1" style="205" min="1791" max="1791"/>
    <col width="27.5703125" customWidth="1" style="205" min="1792" max="1792"/>
    <col width="49.85546875" customWidth="1" style="205" min="1793" max="1793"/>
    <col width="20.5703125" customWidth="1" style="205" min="1794" max="1794"/>
    <col width="7.42578125" customWidth="1" style="205" min="1795" max="1795"/>
    <col width="20.5703125" customWidth="1" style="205" min="1796" max="1797"/>
    <col width="18.85546875" customWidth="1" style="205" min="1798" max="1798"/>
    <col width="3.85546875" customWidth="1" style="205" min="1799" max="1799"/>
    <col width="11.42578125" customWidth="1" style="205" min="1800" max="1801"/>
    <col width="2.7109375" customWidth="1" style="205" min="1802" max="1802"/>
    <col width="22.140625" customWidth="1" style="205" min="1803" max="1803"/>
    <col width="6.5703125" customWidth="1" style="205" min="1804" max="1804"/>
    <col width="19.85546875" customWidth="1" style="205" min="1805" max="1805"/>
    <col width="11.42578125" customWidth="1" style="205" min="1806" max="2046"/>
    <col width="4" customWidth="1" style="205" min="2047" max="2047"/>
    <col width="27.5703125" customWidth="1" style="205" min="2048" max="2048"/>
    <col width="49.85546875" customWidth="1" style="205" min="2049" max="2049"/>
    <col width="20.5703125" customWidth="1" style="205" min="2050" max="2050"/>
    <col width="7.42578125" customWidth="1" style="205" min="2051" max="2051"/>
    <col width="20.5703125" customWidth="1" style="205" min="2052" max="2053"/>
    <col width="18.85546875" customWidth="1" style="205" min="2054" max="2054"/>
    <col width="3.85546875" customWidth="1" style="205" min="2055" max="2055"/>
    <col width="11.42578125" customWidth="1" style="205" min="2056" max="2057"/>
    <col width="2.7109375" customWidth="1" style="205" min="2058" max="2058"/>
    <col width="22.140625" customWidth="1" style="205" min="2059" max="2059"/>
    <col width="6.5703125" customWidth="1" style="205" min="2060" max="2060"/>
    <col width="19.85546875" customWidth="1" style="205" min="2061" max="2061"/>
    <col width="11.42578125" customWidth="1" style="205" min="2062" max="2302"/>
    <col width="4" customWidth="1" style="205" min="2303" max="2303"/>
    <col width="27.5703125" customWidth="1" style="205" min="2304" max="2304"/>
    <col width="49.85546875" customWidth="1" style="205" min="2305" max="2305"/>
    <col width="20.5703125" customWidth="1" style="205" min="2306" max="2306"/>
    <col width="7.42578125" customWidth="1" style="205" min="2307" max="2307"/>
    <col width="20.5703125" customWidth="1" style="205" min="2308" max="2309"/>
    <col width="18.85546875" customWidth="1" style="205" min="2310" max="2310"/>
    <col width="3.85546875" customWidth="1" style="205" min="2311" max="2311"/>
    <col width="11.42578125" customWidth="1" style="205" min="2312" max="2313"/>
    <col width="2.7109375" customWidth="1" style="205" min="2314" max="2314"/>
    <col width="22.140625" customWidth="1" style="205" min="2315" max="2315"/>
    <col width="6.5703125" customWidth="1" style="205" min="2316" max="2316"/>
    <col width="19.85546875" customWidth="1" style="205" min="2317" max="2317"/>
    <col width="11.42578125" customWidth="1" style="205" min="2318" max="2558"/>
    <col width="4" customWidth="1" style="205" min="2559" max="2559"/>
    <col width="27.5703125" customWidth="1" style="205" min="2560" max="2560"/>
    <col width="49.85546875" customWidth="1" style="205" min="2561" max="2561"/>
    <col width="20.5703125" customWidth="1" style="205" min="2562" max="2562"/>
    <col width="7.42578125" customWidth="1" style="205" min="2563" max="2563"/>
    <col width="20.5703125" customWidth="1" style="205" min="2564" max="2565"/>
    <col width="18.85546875" customWidth="1" style="205" min="2566" max="2566"/>
    <col width="3.85546875" customWidth="1" style="205" min="2567" max="2567"/>
    <col width="11.42578125" customWidth="1" style="205" min="2568" max="2569"/>
    <col width="2.7109375" customWidth="1" style="205" min="2570" max="2570"/>
    <col width="22.140625" customWidth="1" style="205" min="2571" max="2571"/>
    <col width="6.5703125" customWidth="1" style="205" min="2572" max="2572"/>
    <col width="19.85546875" customWidth="1" style="205" min="2573" max="2573"/>
    <col width="11.42578125" customWidth="1" style="205" min="2574" max="2814"/>
    <col width="4" customWidth="1" style="205" min="2815" max="2815"/>
    <col width="27.5703125" customWidth="1" style="205" min="2816" max="2816"/>
    <col width="49.85546875" customWidth="1" style="205" min="2817" max="2817"/>
    <col width="20.5703125" customWidth="1" style="205" min="2818" max="2818"/>
    <col width="7.42578125" customWidth="1" style="205" min="2819" max="2819"/>
    <col width="20.5703125" customWidth="1" style="205" min="2820" max="2821"/>
    <col width="18.85546875" customWidth="1" style="205" min="2822" max="2822"/>
    <col width="3.85546875" customWidth="1" style="205" min="2823" max="2823"/>
    <col width="11.42578125" customWidth="1" style="205" min="2824" max="2825"/>
    <col width="2.7109375" customWidth="1" style="205" min="2826" max="2826"/>
    <col width="22.140625" customWidth="1" style="205" min="2827" max="2827"/>
    <col width="6.5703125" customWidth="1" style="205" min="2828" max="2828"/>
    <col width="19.85546875" customWidth="1" style="205" min="2829" max="2829"/>
    <col width="11.42578125" customWidth="1" style="205" min="2830" max="3070"/>
    <col width="4" customWidth="1" style="205" min="3071" max="3071"/>
    <col width="27.5703125" customWidth="1" style="205" min="3072" max="3072"/>
    <col width="49.85546875" customWidth="1" style="205" min="3073" max="3073"/>
    <col width="20.5703125" customWidth="1" style="205" min="3074" max="3074"/>
    <col width="7.42578125" customWidth="1" style="205" min="3075" max="3075"/>
    <col width="20.5703125" customWidth="1" style="205" min="3076" max="3077"/>
    <col width="18.85546875" customWidth="1" style="205" min="3078" max="3078"/>
    <col width="3.85546875" customWidth="1" style="205" min="3079" max="3079"/>
    <col width="11.42578125" customWidth="1" style="205" min="3080" max="3081"/>
    <col width="2.7109375" customWidth="1" style="205" min="3082" max="3082"/>
    <col width="22.140625" customWidth="1" style="205" min="3083" max="3083"/>
    <col width="6.5703125" customWidth="1" style="205" min="3084" max="3084"/>
    <col width="19.85546875" customWidth="1" style="205" min="3085" max="3085"/>
    <col width="11.42578125" customWidth="1" style="205" min="3086" max="3326"/>
    <col width="4" customWidth="1" style="205" min="3327" max="3327"/>
    <col width="27.5703125" customWidth="1" style="205" min="3328" max="3328"/>
    <col width="49.85546875" customWidth="1" style="205" min="3329" max="3329"/>
    <col width="20.5703125" customWidth="1" style="205" min="3330" max="3330"/>
    <col width="7.42578125" customWidth="1" style="205" min="3331" max="3331"/>
    <col width="20.5703125" customWidth="1" style="205" min="3332" max="3333"/>
    <col width="18.85546875" customWidth="1" style="205" min="3334" max="3334"/>
    <col width="3.85546875" customWidth="1" style="205" min="3335" max="3335"/>
    <col width="11.42578125" customWidth="1" style="205" min="3336" max="3337"/>
    <col width="2.7109375" customWidth="1" style="205" min="3338" max="3338"/>
    <col width="22.140625" customWidth="1" style="205" min="3339" max="3339"/>
    <col width="6.5703125" customWidth="1" style="205" min="3340" max="3340"/>
    <col width="19.85546875" customWidth="1" style="205" min="3341" max="3341"/>
    <col width="11.42578125" customWidth="1" style="205" min="3342" max="3582"/>
    <col width="4" customWidth="1" style="205" min="3583" max="3583"/>
    <col width="27.5703125" customWidth="1" style="205" min="3584" max="3584"/>
    <col width="49.85546875" customWidth="1" style="205" min="3585" max="3585"/>
    <col width="20.5703125" customWidth="1" style="205" min="3586" max="3586"/>
    <col width="7.42578125" customWidth="1" style="205" min="3587" max="3587"/>
    <col width="20.5703125" customWidth="1" style="205" min="3588" max="3589"/>
    <col width="18.85546875" customWidth="1" style="205" min="3590" max="3590"/>
    <col width="3.85546875" customWidth="1" style="205" min="3591" max="3591"/>
    <col width="11.42578125" customWidth="1" style="205" min="3592" max="3593"/>
    <col width="2.7109375" customWidth="1" style="205" min="3594" max="3594"/>
    <col width="22.140625" customWidth="1" style="205" min="3595" max="3595"/>
    <col width="6.5703125" customWidth="1" style="205" min="3596" max="3596"/>
    <col width="19.85546875" customWidth="1" style="205" min="3597" max="3597"/>
    <col width="11.42578125" customWidth="1" style="205" min="3598" max="3838"/>
    <col width="4" customWidth="1" style="205" min="3839" max="3839"/>
    <col width="27.5703125" customWidth="1" style="205" min="3840" max="3840"/>
    <col width="49.85546875" customWidth="1" style="205" min="3841" max="3841"/>
    <col width="20.5703125" customWidth="1" style="205" min="3842" max="3842"/>
    <col width="7.42578125" customWidth="1" style="205" min="3843" max="3843"/>
    <col width="20.5703125" customWidth="1" style="205" min="3844" max="3845"/>
    <col width="18.85546875" customWidth="1" style="205" min="3846" max="3846"/>
    <col width="3.85546875" customWidth="1" style="205" min="3847" max="3847"/>
    <col width="11.42578125" customWidth="1" style="205" min="3848" max="3849"/>
    <col width="2.7109375" customWidth="1" style="205" min="3850" max="3850"/>
    <col width="22.140625" customWidth="1" style="205" min="3851" max="3851"/>
    <col width="6.5703125" customWidth="1" style="205" min="3852" max="3852"/>
    <col width="19.85546875" customWidth="1" style="205" min="3853" max="3853"/>
    <col width="11.42578125" customWidth="1" style="205" min="3854" max="4094"/>
    <col width="4" customWidth="1" style="205" min="4095" max="4095"/>
    <col width="27.5703125" customWidth="1" style="205" min="4096" max="4096"/>
    <col width="49.85546875" customWidth="1" style="205" min="4097" max="4097"/>
    <col width="20.5703125" customWidth="1" style="205" min="4098" max="4098"/>
    <col width="7.42578125" customWidth="1" style="205" min="4099" max="4099"/>
    <col width="20.5703125" customWidth="1" style="205" min="4100" max="4101"/>
    <col width="18.85546875" customWidth="1" style="205" min="4102" max="4102"/>
    <col width="3.85546875" customWidth="1" style="205" min="4103" max="4103"/>
    <col width="11.42578125" customWidth="1" style="205" min="4104" max="4105"/>
    <col width="2.7109375" customWidth="1" style="205" min="4106" max="4106"/>
    <col width="22.140625" customWidth="1" style="205" min="4107" max="4107"/>
    <col width="6.5703125" customWidth="1" style="205" min="4108" max="4108"/>
    <col width="19.85546875" customWidth="1" style="205" min="4109" max="4109"/>
    <col width="11.42578125" customWidth="1" style="205" min="4110" max="4350"/>
    <col width="4" customWidth="1" style="205" min="4351" max="4351"/>
    <col width="27.5703125" customWidth="1" style="205" min="4352" max="4352"/>
    <col width="49.85546875" customWidth="1" style="205" min="4353" max="4353"/>
    <col width="20.5703125" customWidth="1" style="205" min="4354" max="4354"/>
    <col width="7.42578125" customWidth="1" style="205" min="4355" max="4355"/>
    <col width="20.5703125" customWidth="1" style="205" min="4356" max="4357"/>
    <col width="18.85546875" customWidth="1" style="205" min="4358" max="4358"/>
    <col width="3.85546875" customWidth="1" style="205" min="4359" max="4359"/>
    <col width="11.42578125" customWidth="1" style="205" min="4360" max="4361"/>
    <col width="2.7109375" customWidth="1" style="205" min="4362" max="4362"/>
    <col width="22.140625" customWidth="1" style="205" min="4363" max="4363"/>
    <col width="6.5703125" customWidth="1" style="205" min="4364" max="4364"/>
    <col width="19.85546875" customWidth="1" style="205" min="4365" max="4365"/>
    <col width="11.42578125" customWidth="1" style="205" min="4366" max="4606"/>
    <col width="4" customWidth="1" style="205" min="4607" max="4607"/>
    <col width="27.5703125" customWidth="1" style="205" min="4608" max="4608"/>
    <col width="49.85546875" customWidth="1" style="205" min="4609" max="4609"/>
    <col width="20.5703125" customWidth="1" style="205" min="4610" max="4610"/>
    <col width="7.42578125" customWidth="1" style="205" min="4611" max="4611"/>
    <col width="20.5703125" customWidth="1" style="205" min="4612" max="4613"/>
    <col width="18.85546875" customWidth="1" style="205" min="4614" max="4614"/>
    <col width="3.85546875" customWidth="1" style="205" min="4615" max="4615"/>
    <col width="11.42578125" customWidth="1" style="205" min="4616" max="4617"/>
    <col width="2.7109375" customWidth="1" style="205" min="4618" max="4618"/>
    <col width="22.140625" customWidth="1" style="205" min="4619" max="4619"/>
    <col width="6.5703125" customWidth="1" style="205" min="4620" max="4620"/>
    <col width="19.85546875" customWidth="1" style="205" min="4621" max="4621"/>
    <col width="11.42578125" customWidth="1" style="205" min="4622" max="4862"/>
    <col width="4" customWidth="1" style="205" min="4863" max="4863"/>
    <col width="27.5703125" customWidth="1" style="205" min="4864" max="4864"/>
    <col width="49.85546875" customWidth="1" style="205" min="4865" max="4865"/>
    <col width="20.5703125" customWidth="1" style="205" min="4866" max="4866"/>
    <col width="7.42578125" customWidth="1" style="205" min="4867" max="4867"/>
    <col width="20.5703125" customWidth="1" style="205" min="4868" max="4869"/>
    <col width="18.85546875" customWidth="1" style="205" min="4870" max="4870"/>
    <col width="3.85546875" customWidth="1" style="205" min="4871" max="4871"/>
    <col width="11.42578125" customWidth="1" style="205" min="4872" max="4873"/>
    <col width="2.7109375" customWidth="1" style="205" min="4874" max="4874"/>
    <col width="22.140625" customWidth="1" style="205" min="4875" max="4875"/>
    <col width="6.5703125" customWidth="1" style="205" min="4876" max="4876"/>
    <col width="19.85546875" customWidth="1" style="205" min="4877" max="4877"/>
    <col width="11.42578125" customWidth="1" style="205" min="4878" max="5118"/>
    <col width="4" customWidth="1" style="205" min="5119" max="5119"/>
    <col width="27.5703125" customWidth="1" style="205" min="5120" max="5120"/>
    <col width="49.85546875" customWidth="1" style="205" min="5121" max="5121"/>
    <col width="20.5703125" customWidth="1" style="205" min="5122" max="5122"/>
    <col width="7.42578125" customWidth="1" style="205" min="5123" max="5123"/>
    <col width="20.5703125" customWidth="1" style="205" min="5124" max="5125"/>
    <col width="18.85546875" customWidth="1" style="205" min="5126" max="5126"/>
    <col width="3.85546875" customWidth="1" style="205" min="5127" max="5127"/>
    <col width="11.42578125" customWidth="1" style="205" min="5128" max="5129"/>
    <col width="2.7109375" customWidth="1" style="205" min="5130" max="5130"/>
    <col width="22.140625" customWidth="1" style="205" min="5131" max="5131"/>
    <col width="6.5703125" customWidth="1" style="205" min="5132" max="5132"/>
    <col width="19.85546875" customWidth="1" style="205" min="5133" max="5133"/>
    <col width="11.42578125" customWidth="1" style="205" min="5134" max="5374"/>
    <col width="4" customWidth="1" style="205" min="5375" max="5375"/>
    <col width="27.5703125" customWidth="1" style="205" min="5376" max="5376"/>
    <col width="49.85546875" customWidth="1" style="205" min="5377" max="5377"/>
    <col width="20.5703125" customWidth="1" style="205" min="5378" max="5378"/>
    <col width="7.42578125" customWidth="1" style="205" min="5379" max="5379"/>
    <col width="20.5703125" customWidth="1" style="205" min="5380" max="5381"/>
    <col width="18.85546875" customWidth="1" style="205" min="5382" max="5382"/>
    <col width="3.85546875" customWidth="1" style="205" min="5383" max="5383"/>
    <col width="11.42578125" customWidth="1" style="205" min="5384" max="5385"/>
    <col width="2.7109375" customWidth="1" style="205" min="5386" max="5386"/>
    <col width="22.140625" customWidth="1" style="205" min="5387" max="5387"/>
    <col width="6.5703125" customWidth="1" style="205" min="5388" max="5388"/>
    <col width="19.85546875" customWidth="1" style="205" min="5389" max="5389"/>
    <col width="11.42578125" customWidth="1" style="205" min="5390" max="5630"/>
    <col width="4" customWidth="1" style="205" min="5631" max="5631"/>
    <col width="27.5703125" customWidth="1" style="205" min="5632" max="5632"/>
    <col width="49.85546875" customWidth="1" style="205" min="5633" max="5633"/>
    <col width="20.5703125" customWidth="1" style="205" min="5634" max="5634"/>
    <col width="7.42578125" customWidth="1" style="205" min="5635" max="5635"/>
    <col width="20.5703125" customWidth="1" style="205" min="5636" max="5637"/>
    <col width="18.85546875" customWidth="1" style="205" min="5638" max="5638"/>
    <col width="3.85546875" customWidth="1" style="205" min="5639" max="5639"/>
    <col width="11.42578125" customWidth="1" style="205" min="5640" max="5641"/>
    <col width="2.7109375" customWidth="1" style="205" min="5642" max="5642"/>
    <col width="22.140625" customWidth="1" style="205" min="5643" max="5643"/>
    <col width="6.5703125" customWidth="1" style="205" min="5644" max="5644"/>
    <col width="19.85546875" customWidth="1" style="205" min="5645" max="5645"/>
    <col width="11.42578125" customWidth="1" style="205" min="5646" max="5886"/>
    <col width="4" customWidth="1" style="205" min="5887" max="5887"/>
    <col width="27.5703125" customWidth="1" style="205" min="5888" max="5888"/>
    <col width="49.85546875" customWidth="1" style="205" min="5889" max="5889"/>
    <col width="20.5703125" customWidth="1" style="205" min="5890" max="5890"/>
    <col width="7.42578125" customWidth="1" style="205" min="5891" max="5891"/>
    <col width="20.5703125" customWidth="1" style="205" min="5892" max="5893"/>
    <col width="18.85546875" customWidth="1" style="205" min="5894" max="5894"/>
    <col width="3.85546875" customWidth="1" style="205" min="5895" max="5895"/>
    <col width="11.42578125" customWidth="1" style="205" min="5896" max="5897"/>
    <col width="2.7109375" customWidth="1" style="205" min="5898" max="5898"/>
    <col width="22.140625" customWidth="1" style="205" min="5899" max="5899"/>
    <col width="6.5703125" customWidth="1" style="205" min="5900" max="5900"/>
    <col width="19.85546875" customWidth="1" style="205" min="5901" max="5901"/>
    <col width="11.42578125" customWidth="1" style="205" min="5902" max="6142"/>
    <col width="4" customWidth="1" style="205" min="6143" max="6143"/>
    <col width="27.5703125" customWidth="1" style="205" min="6144" max="6144"/>
    <col width="49.85546875" customWidth="1" style="205" min="6145" max="6145"/>
    <col width="20.5703125" customWidth="1" style="205" min="6146" max="6146"/>
    <col width="7.42578125" customWidth="1" style="205" min="6147" max="6147"/>
    <col width="20.5703125" customWidth="1" style="205" min="6148" max="6149"/>
    <col width="18.85546875" customWidth="1" style="205" min="6150" max="6150"/>
    <col width="3.85546875" customWidth="1" style="205" min="6151" max="6151"/>
    <col width="11.42578125" customWidth="1" style="205" min="6152" max="6153"/>
    <col width="2.7109375" customWidth="1" style="205" min="6154" max="6154"/>
    <col width="22.140625" customWidth="1" style="205" min="6155" max="6155"/>
    <col width="6.5703125" customWidth="1" style="205" min="6156" max="6156"/>
    <col width="19.85546875" customWidth="1" style="205" min="6157" max="6157"/>
    <col width="11.42578125" customWidth="1" style="205" min="6158" max="6398"/>
    <col width="4" customWidth="1" style="205" min="6399" max="6399"/>
    <col width="27.5703125" customWidth="1" style="205" min="6400" max="6400"/>
    <col width="49.85546875" customWidth="1" style="205" min="6401" max="6401"/>
    <col width="20.5703125" customWidth="1" style="205" min="6402" max="6402"/>
    <col width="7.42578125" customWidth="1" style="205" min="6403" max="6403"/>
    <col width="20.5703125" customWidth="1" style="205" min="6404" max="6405"/>
    <col width="18.85546875" customWidth="1" style="205" min="6406" max="6406"/>
    <col width="3.85546875" customWidth="1" style="205" min="6407" max="6407"/>
    <col width="11.42578125" customWidth="1" style="205" min="6408" max="6409"/>
    <col width="2.7109375" customWidth="1" style="205" min="6410" max="6410"/>
    <col width="22.140625" customWidth="1" style="205" min="6411" max="6411"/>
    <col width="6.5703125" customWidth="1" style="205" min="6412" max="6412"/>
    <col width="19.85546875" customWidth="1" style="205" min="6413" max="6413"/>
    <col width="11.42578125" customWidth="1" style="205" min="6414" max="6654"/>
    <col width="4" customWidth="1" style="205" min="6655" max="6655"/>
    <col width="27.5703125" customWidth="1" style="205" min="6656" max="6656"/>
    <col width="49.85546875" customWidth="1" style="205" min="6657" max="6657"/>
    <col width="20.5703125" customWidth="1" style="205" min="6658" max="6658"/>
    <col width="7.42578125" customWidth="1" style="205" min="6659" max="6659"/>
    <col width="20.5703125" customWidth="1" style="205" min="6660" max="6661"/>
    <col width="18.85546875" customWidth="1" style="205" min="6662" max="6662"/>
    <col width="3.85546875" customWidth="1" style="205" min="6663" max="6663"/>
    <col width="11.42578125" customWidth="1" style="205" min="6664" max="6665"/>
    <col width="2.7109375" customWidth="1" style="205" min="6666" max="6666"/>
    <col width="22.140625" customWidth="1" style="205" min="6667" max="6667"/>
    <col width="6.5703125" customWidth="1" style="205" min="6668" max="6668"/>
    <col width="19.85546875" customWidth="1" style="205" min="6669" max="6669"/>
    <col width="11.42578125" customWidth="1" style="205" min="6670" max="6910"/>
    <col width="4" customWidth="1" style="205" min="6911" max="6911"/>
    <col width="27.5703125" customWidth="1" style="205" min="6912" max="6912"/>
    <col width="49.85546875" customWidth="1" style="205" min="6913" max="6913"/>
    <col width="20.5703125" customWidth="1" style="205" min="6914" max="6914"/>
    <col width="7.42578125" customWidth="1" style="205" min="6915" max="6915"/>
    <col width="20.5703125" customWidth="1" style="205" min="6916" max="6917"/>
    <col width="18.85546875" customWidth="1" style="205" min="6918" max="6918"/>
    <col width="3.85546875" customWidth="1" style="205" min="6919" max="6919"/>
    <col width="11.42578125" customWidth="1" style="205" min="6920" max="6921"/>
    <col width="2.7109375" customWidth="1" style="205" min="6922" max="6922"/>
    <col width="22.140625" customWidth="1" style="205" min="6923" max="6923"/>
    <col width="6.5703125" customWidth="1" style="205" min="6924" max="6924"/>
    <col width="19.85546875" customWidth="1" style="205" min="6925" max="6925"/>
    <col width="11.42578125" customWidth="1" style="205" min="6926" max="7166"/>
    <col width="4" customWidth="1" style="205" min="7167" max="7167"/>
    <col width="27.5703125" customWidth="1" style="205" min="7168" max="7168"/>
    <col width="49.85546875" customWidth="1" style="205" min="7169" max="7169"/>
    <col width="20.5703125" customWidth="1" style="205" min="7170" max="7170"/>
    <col width="7.42578125" customWidth="1" style="205" min="7171" max="7171"/>
    <col width="20.5703125" customWidth="1" style="205" min="7172" max="7173"/>
    <col width="18.85546875" customWidth="1" style="205" min="7174" max="7174"/>
    <col width="3.85546875" customWidth="1" style="205" min="7175" max="7175"/>
    <col width="11.42578125" customWidth="1" style="205" min="7176" max="7177"/>
    <col width="2.7109375" customWidth="1" style="205" min="7178" max="7178"/>
    <col width="22.140625" customWidth="1" style="205" min="7179" max="7179"/>
    <col width="6.5703125" customWidth="1" style="205" min="7180" max="7180"/>
    <col width="19.85546875" customWidth="1" style="205" min="7181" max="7181"/>
    <col width="11.42578125" customWidth="1" style="205" min="7182" max="7422"/>
    <col width="4" customWidth="1" style="205" min="7423" max="7423"/>
    <col width="27.5703125" customWidth="1" style="205" min="7424" max="7424"/>
    <col width="49.85546875" customWidth="1" style="205" min="7425" max="7425"/>
    <col width="20.5703125" customWidth="1" style="205" min="7426" max="7426"/>
    <col width="7.42578125" customWidth="1" style="205" min="7427" max="7427"/>
    <col width="20.5703125" customWidth="1" style="205" min="7428" max="7429"/>
    <col width="18.85546875" customWidth="1" style="205" min="7430" max="7430"/>
    <col width="3.85546875" customWidth="1" style="205" min="7431" max="7431"/>
    <col width="11.42578125" customWidth="1" style="205" min="7432" max="7433"/>
    <col width="2.7109375" customWidth="1" style="205" min="7434" max="7434"/>
    <col width="22.140625" customWidth="1" style="205" min="7435" max="7435"/>
    <col width="6.5703125" customWidth="1" style="205" min="7436" max="7436"/>
    <col width="19.85546875" customWidth="1" style="205" min="7437" max="7437"/>
    <col width="11.42578125" customWidth="1" style="205" min="7438" max="7678"/>
    <col width="4" customWidth="1" style="205" min="7679" max="7679"/>
    <col width="27.5703125" customWidth="1" style="205" min="7680" max="7680"/>
    <col width="49.85546875" customWidth="1" style="205" min="7681" max="7681"/>
    <col width="20.5703125" customWidth="1" style="205" min="7682" max="7682"/>
    <col width="7.42578125" customWidth="1" style="205" min="7683" max="7683"/>
    <col width="20.5703125" customWidth="1" style="205" min="7684" max="7685"/>
    <col width="18.85546875" customWidth="1" style="205" min="7686" max="7686"/>
    <col width="3.85546875" customWidth="1" style="205" min="7687" max="7687"/>
    <col width="11.42578125" customWidth="1" style="205" min="7688" max="7689"/>
    <col width="2.7109375" customWidth="1" style="205" min="7690" max="7690"/>
    <col width="22.140625" customWidth="1" style="205" min="7691" max="7691"/>
    <col width="6.5703125" customWidth="1" style="205" min="7692" max="7692"/>
    <col width="19.85546875" customWidth="1" style="205" min="7693" max="7693"/>
    <col width="11.42578125" customWidth="1" style="205" min="7694" max="7934"/>
    <col width="4" customWidth="1" style="205" min="7935" max="7935"/>
    <col width="27.5703125" customWidth="1" style="205" min="7936" max="7936"/>
    <col width="49.85546875" customWidth="1" style="205" min="7937" max="7937"/>
    <col width="20.5703125" customWidth="1" style="205" min="7938" max="7938"/>
    <col width="7.42578125" customWidth="1" style="205" min="7939" max="7939"/>
    <col width="20.5703125" customWidth="1" style="205" min="7940" max="7941"/>
    <col width="18.85546875" customWidth="1" style="205" min="7942" max="7942"/>
    <col width="3.85546875" customWidth="1" style="205" min="7943" max="7943"/>
    <col width="11.42578125" customWidth="1" style="205" min="7944" max="7945"/>
    <col width="2.7109375" customWidth="1" style="205" min="7946" max="7946"/>
    <col width="22.140625" customWidth="1" style="205" min="7947" max="7947"/>
    <col width="6.5703125" customWidth="1" style="205" min="7948" max="7948"/>
    <col width="19.85546875" customWidth="1" style="205" min="7949" max="7949"/>
    <col width="11.42578125" customWidth="1" style="205" min="7950" max="8190"/>
    <col width="4" customWidth="1" style="205" min="8191" max="8191"/>
    <col width="27.5703125" customWidth="1" style="205" min="8192" max="8192"/>
    <col width="49.85546875" customWidth="1" style="205" min="8193" max="8193"/>
    <col width="20.5703125" customWidth="1" style="205" min="8194" max="8194"/>
    <col width="7.42578125" customWidth="1" style="205" min="8195" max="8195"/>
    <col width="20.5703125" customWidth="1" style="205" min="8196" max="8197"/>
    <col width="18.85546875" customWidth="1" style="205" min="8198" max="8198"/>
    <col width="3.85546875" customWidth="1" style="205" min="8199" max="8199"/>
    <col width="11.42578125" customWidth="1" style="205" min="8200" max="8201"/>
    <col width="2.7109375" customWidth="1" style="205" min="8202" max="8202"/>
    <col width="22.140625" customWidth="1" style="205" min="8203" max="8203"/>
    <col width="6.5703125" customWidth="1" style="205" min="8204" max="8204"/>
    <col width="19.85546875" customWidth="1" style="205" min="8205" max="8205"/>
    <col width="11.42578125" customWidth="1" style="205" min="8206" max="8446"/>
    <col width="4" customWidth="1" style="205" min="8447" max="8447"/>
    <col width="27.5703125" customWidth="1" style="205" min="8448" max="8448"/>
    <col width="49.85546875" customWidth="1" style="205" min="8449" max="8449"/>
    <col width="20.5703125" customWidth="1" style="205" min="8450" max="8450"/>
    <col width="7.42578125" customWidth="1" style="205" min="8451" max="8451"/>
    <col width="20.5703125" customWidth="1" style="205" min="8452" max="8453"/>
    <col width="18.85546875" customWidth="1" style="205" min="8454" max="8454"/>
    <col width="3.85546875" customWidth="1" style="205" min="8455" max="8455"/>
    <col width="11.42578125" customWidth="1" style="205" min="8456" max="8457"/>
    <col width="2.7109375" customWidth="1" style="205" min="8458" max="8458"/>
    <col width="22.140625" customWidth="1" style="205" min="8459" max="8459"/>
    <col width="6.5703125" customWidth="1" style="205" min="8460" max="8460"/>
    <col width="19.85546875" customWidth="1" style="205" min="8461" max="8461"/>
    <col width="11.42578125" customWidth="1" style="205" min="8462" max="8702"/>
    <col width="4" customWidth="1" style="205" min="8703" max="8703"/>
    <col width="27.5703125" customWidth="1" style="205" min="8704" max="8704"/>
    <col width="49.85546875" customWidth="1" style="205" min="8705" max="8705"/>
    <col width="20.5703125" customWidth="1" style="205" min="8706" max="8706"/>
    <col width="7.42578125" customWidth="1" style="205" min="8707" max="8707"/>
    <col width="20.5703125" customWidth="1" style="205" min="8708" max="8709"/>
    <col width="18.85546875" customWidth="1" style="205" min="8710" max="8710"/>
    <col width="3.85546875" customWidth="1" style="205" min="8711" max="8711"/>
    <col width="11.42578125" customWidth="1" style="205" min="8712" max="8713"/>
    <col width="2.7109375" customWidth="1" style="205" min="8714" max="8714"/>
    <col width="22.140625" customWidth="1" style="205" min="8715" max="8715"/>
    <col width="6.5703125" customWidth="1" style="205" min="8716" max="8716"/>
    <col width="19.85546875" customWidth="1" style="205" min="8717" max="8717"/>
    <col width="11.42578125" customWidth="1" style="205" min="8718" max="8958"/>
    <col width="4" customWidth="1" style="205" min="8959" max="8959"/>
    <col width="27.5703125" customWidth="1" style="205" min="8960" max="8960"/>
    <col width="49.85546875" customWidth="1" style="205" min="8961" max="8961"/>
    <col width="20.5703125" customWidth="1" style="205" min="8962" max="8962"/>
    <col width="7.42578125" customWidth="1" style="205" min="8963" max="8963"/>
    <col width="20.5703125" customWidth="1" style="205" min="8964" max="8965"/>
    <col width="18.85546875" customWidth="1" style="205" min="8966" max="8966"/>
    <col width="3.85546875" customWidth="1" style="205" min="8967" max="8967"/>
    <col width="11.42578125" customWidth="1" style="205" min="8968" max="8969"/>
    <col width="2.7109375" customWidth="1" style="205" min="8970" max="8970"/>
    <col width="22.140625" customWidth="1" style="205" min="8971" max="8971"/>
    <col width="6.5703125" customWidth="1" style="205" min="8972" max="8972"/>
    <col width="19.85546875" customWidth="1" style="205" min="8973" max="8973"/>
    <col width="11.42578125" customWidth="1" style="205" min="8974" max="9214"/>
    <col width="4" customWidth="1" style="205" min="9215" max="9215"/>
    <col width="27.5703125" customWidth="1" style="205" min="9216" max="9216"/>
    <col width="49.85546875" customWidth="1" style="205" min="9217" max="9217"/>
    <col width="20.5703125" customWidth="1" style="205" min="9218" max="9218"/>
    <col width="7.42578125" customWidth="1" style="205" min="9219" max="9219"/>
    <col width="20.5703125" customWidth="1" style="205" min="9220" max="9221"/>
    <col width="18.85546875" customWidth="1" style="205" min="9222" max="9222"/>
    <col width="3.85546875" customWidth="1" style="205" min="9223" max="9223"/>
    <col width="11.42578125" customWidth="1" style="205" min="9224" max="9225"/>
    <col width="2.7109375" customWidth="1" style="205" min="9226" max="9226"/>
    <col width="22.140625" customWidth="1" style="205" min="9227" max="9227"/>
    <col width="6.5703125" customWidth="1" style="205" min="9228" max="9228"/>
    <col width="19.85546875" customWidth="1" style="205" min="9229" max="9229"/>
    <col width="11.42578125" customWidth="1" style="205" min="9230" max="9470"/>
    <col width="4" customWidth="1" style="205" min="9471" max="9471"/>
    <col width="27.5703125" customWidth="1" style="205" min="9472" max="9472"/>
    <col width="49.85546875" customWidth="1" style="205" min="9473" max="9473"/>
    <col width="20.5703125" customWidth="1" style="205" min="9474" max="9474"/>
    <col width="7.42578125" customWidth="1" style="205" min="9475" max="9475"/>
    <col width="20.5703125" customWidth="1" style="205" min="9476" max="9477"/>
    <col width="18.85546875" customWidth="1" style="205" min="9478" max="9478"/>
    <col width="3.85546875" customWidth="1" style="205" min="9479" max="9479"/>
    <col width="11.42578125" customWidth="1" style="205" min="9480" max="9481"/>
    <col width="2.7109375" customWidth="1" style="205" min="9482" max="9482"/>
    <col width="22.140625" customWidth="1" style="205" min="9483" max="9483"/>
    <col width="6.5703125" customWidth="1" style="205" min="9484" max="9484"/>
    <col width="19.85546875" customWidth="1" style="205" min="9485" max="9485"/>
    <col width="11.42578125" customWidth="1" style="205" min="9486" max="9726"/>
    <col width="4" customWidth="1" style="205" min="9727" max="9727"/>
    <col width="27.5703125" customWidth="1" style="205" min="9728" max="9728"/>
    <col width="49.85546875" customWidth="1" style="205" min="9729" max="9729"/>
    <col width="20.5703125" customWidth="1" style="205" min="9730" max="9730"/>
    <col width="7.42578125" customWidth="1" style="205" min="9731" max="9731"/>
    <col width="20.5703125" customWidth="1" style="205" min="9732" max="9733"/>
    <col width="18.85546875" customWidth="1" style="205" min="9734" max="9734"/>
    <col width="3.85546875" customWidth="1" style="205" min="9735" max="9735"/>
    <col width="11.42578125" customWidth="1" style="205" min="9736" max="9737"/>
    <col width="2.7109375" customWidth="1" style="205" min="9738" max="9738"/>
    <col width="22.140625" customWidth="1" style="205" min="9739" max="9739"/>
    <col width="6.5703125" customWidth="1" style="205" min="9740" max="9740"/>
    <col width="19.85546875" customWidth="1" style="205" min="9741" max="9741"/>
    <col width="11.42578125" customWidth="1" style="205" min="9742" max="9982"/>
    <col width="4" customWidth="1" style="205" min="9983" max="9983"/>
    <col width="27.5703125" customWidth="1" style="205" min="9984" max="9984"/>
    <col width="49.85546875" customWidth="1" style="205" min="9985" max="9985"/>
    <col width="20.5703125" customWidth="1" style="205" min="9986" max="9986"/>
    <col width="7.42578125" customWidth="1" style="205" min="9987" max="9987"/>
    <col width="20.5703125" customWidth="1" style="205" min="9988" max="9989"/>
    <col width="18.85546875" customWidth="1" style="205" min="9990" max="9990"/>
    <col width="3.85546875" customWidth="1" style="205" min="9991" max="9991"/>
    <col width="11.42578125" customWidth="1" style="205" min="9992" max="9993"/>
    <col width="2.7109375" customWidth="1" style="205" min="9994" max="9994"/>
    <col width="22.140625" customWidth="1" style="205" min="9995" max="9995"/>
    <col width="6.5703125" customWidth="1" style="205" min="9996" max="9996"/>
    <col width="19.85546875" customWidth="1" style="205" min="9997" max="9997"/>
    <col width="11.42578125" customWidth="1" style="205" min="9998" max="10238"/>
    <col width="4" customWidth="1" style="205" min="10239" max="10239"/>
    <col width="27.5703125" customWidth="1" style="205" min="10240" max="10240"/>
    <col width="49.85546875" customWidth="1" style="205" min="10241" max="10241"/>
    <col width="20.5703125" customWidth="1" style="205" min="10242" max="10242"/>
    <col width="7.42578125" customWidth="1" style="205" min="10243" max="10243"/>
    <col width="20.5703125" customWidth="1" style="205" min="10244" max="10245"/>
    <col width="18.85546875" customWidth="1" style="205" min="10246" max="10246"/>
    <col width="3.85546875" customWidth="1" style="205" min="10247" max="10247"/>
    <col width="11.42578125" customWidth="1" style="205" min="10248" max="10249"/>
    <col width="2.7109375" customWidth="1" style="205" min="10250" max="10250"/>
    <col width="22.140625" customWidth="1" style="205" min="10251" max="10251"/>
    <col width="6.5703125" customWidth="1" style="205" min="10252" max="10252"/>
    <col width="19.85546875" customWidth="1" style="205" min="10253" max="10253"/>
    <col width="11.42578125" customWidth="1" style="205" min="10254" max="10494"/>
    <col width="4" customWidth="1" style="205" min="10495" max="10495"/>
    <col width="27.5703125" customWidth="1" style="205" min="10496" max="10496"/>
    <col width="49.85546875" customWidth="1" style="205" min="10497" max="10497"/>
    <col width="20.5703125" customWidth="1" style="205" min="10498" max="10498"/>
    <col width="7.42578125" customWidth="1" style="205" min="10499" max="10499"/>
    <col width="20.5703125" customWidth="1" style="205" min="10500" max="10501"/>
    <col width="18.85546875" customWidth="1" style="205" min="10502" max="10502"/>
    <col width="3.85546875" customWidth="1" style="205" min="10503" max="10503"/>
    <col width="11.42578125" customWidth="1" style="205" min="10504" max="10505"/>
    <col width="2.7109375" customWidth="1" style="205" min="10506" max="10506"/>
    <col width="22.140625" customWidth="1" style="205" min="10507" max="10507"/>
    <col width="6.5703125" customWidth="1" style="205" min="10508" max="10508"/>
    <col width="19.85546875" customWidth="1" style="205" min="10509" max="10509"/>
    <col width="11.42578125" customWidth="1" style="205" min="10510" max="10750"/>
    <col width="4" customWidth="1" style="205" min="10751" max="10751"/>
    <col width="27.5703125" customWidth="1" style="205" min="10752" max="10752"/>
    <col width="49.85546875" customWidth="1" style="205" min="10753" max="10753"/>
    <col width="20.5703125" customWidth="1" style="205" min="10754" max="10754"/>
    <col width="7.42578125" customWidth="1" style="205" min="10755" max="10755"/>
    <col width="20.5703125" customWidth="1" style="205" min="10756" max="10757"/>
    <col width="18.85546875" customWidth="1" style="205" min="10758" max="10758"/>
    <col width="3.85546875" customWidth="1" style="205" min="10759" max="10759"/>
    <col width="11.42578125" customWidth="1" style="205" min="10760" max="10761"/>
    <col width="2.7109375" customWidth="1" style="205" min="10762" max="10762"/>
    <col width="22.140625" customWidth="1" style="205" min="10763" max="10763"/>
    <col width="6.5703125" customWidth="1" style="205" min="10764" max="10764"/>
    <col width="19.85546875" customWidth="1" style="205" min="10765" max="10765"/>
    <col width="11.42578125" customWidth="1" style="205" min="10766" max="11006"/>
    <col width="4" customWidth="1" style="205" min="11007" max="11007"/>
    <col width="27.5703125" customWidth="1" style="205" min="11008" max="11008"/>
    <col width="49.85546875" customWidth="1" style="205" min="11009" max="11009"/>
    <col width="20.5703125" customWidth="1" style="205" min="11010" max="11010"/>
    <col width="7.42578125" customWidth="1" style="205" min="11011" max="11011"/>
    <col width="20.5703125" customWidth="1" style="205" min="11012" max="11013"/>
    <col width="18.85546875" customWidth="1" style="205" min="11014" max="11014"/>
    <col width="3.85546875" customWidth="1" style="205" min="11015" max="11015"/>
    <col width="11.42578125" customWidth="1" style="205" min="11016" max="11017"/>
    <col width="2.7109375" customWidth="1" style="205" min="11018" max="11018"/>
    <col width="22.140625" customWidth="1" style="205" min="11019" max="11019"/>
    <col width="6.5703125" customWidth="1" style="205" min="11020" max="11020"/>
    <col width="19.85546875" customWidth="1" style="205" min="11021" max="11021"/>
    <col width="11.42578125" customWidth="1" style="205" min="11022" max="11262"/>
    <col width="4" customWidth="1" style="205" min="11263" max="11263"/>
    <col width="27.5703125" customWidth="1" style="205" min="11264" max="11264"/>
    <col width="49.85546875" customWidth="1" style="205" min="11265" max="11265"/>
    <col width="20.5703125" customWidth="1" style="205" min="11266" max="11266"/>
    <col width="7.42578125" customWidth="1" style="205" min="11267" max="11267"/>
    <col width="20.5703125" customWidth="1" style="205" min="11268" max="11269"/>
    <col width="18.85546875" customWidth="1" style="205" min="11270" max="11270"/>
    <col width="3.85546875" customWidth="1" style="205" min="11271" max="11271"/>
    <col width="11.42578125" customWidth="1" style="205" min="11272" max="11273"/>
    <col width="2.7109375" customWidth="1" style="205" min="11274" max="11274"/>
    <col width="22.140625" customWidth="1" style="205" min="11275" max="11275"/>
    <col width="6.5703125" customWidth="1" style="205" min="11276" max="11276"/>
    <col width="19.85546875" customWidth="1" style="205" min="11277" max="11277"/>
    <col width="11.42578125" customWidth="1" style="205" min="11278" max="11518"/>
    <col width="4" customWidth="1" style="205" min="11519" max="11519"/>
    <col width="27.5703125" customWidth="1" style="205" min="11520" max="11520"/>
    <col width="49.85546875" customWidth="1" style="205" min="11521" max="11521"/>
    <col width="20.5703125" customWidth="1" style="205" min="11522" max="11522"/>
    <col width="7.42578125" customWidth="1" style="205" min="11523" max="11523"/>
    <col width="20.5703125" customWidth="1" style="205" min="11524" max="11525"/>
    <col width="18.85546875" customWidth="1" style="205" min="11526" max="11526"/>
    <col width="3.85546875" customWidth="1" style="205" min="11527" max="11527"/>
    <col width="11.42578125" customWidth="1" style="205" min="11528" max="11529"/>
    <col width="2.7109375" customWidth="1" style="205" min="11530" max="11530"/>
    <col width="22.140625" customWidth="1" style="205" min="11531" max="11531"/>
    <col width="6.5703125" customWidth="1" style="205" min="11532" max="11532"/>
    <col width="19.85546875" customWidth="1" style="205" min="11533" max="11533"/>
    <col width="11.42578125" customWidth="1" style="205" min="11534" max="11774"/>
    <col width="4" customWidth="1" style="205" min="11775" max="11775"/>
    <col width="27.5703125" customWidth="1" style="205" min="11776" max="11776"/>
    <col width="49.85546875" customWidth="1" style="205" min="11777" max="11777"/>
    <col width="20.5703125" customWidth="1" style="205" min="11778" max="11778"/>
    <col width="7.42578125" customWidth="1" style="205" min="11779" max="11779"/>
    <col width="20.5703125" customWidth="1" style="205" min="11780" max="11781"/>
    <col width="18.85546875" customWidth="1" style="205" min="11782" max="11782"/>
    <col width="3.85546875" customWidth="1" style="205" min="11783" max="11783"/>
    <col width="11.42578125" customWidth="1" style="205" min="11784" max="11785"/>
    <col width="2.7109375" customWidth="1" style="205" min="11786" max="11786"/>
    <col width="22.140625" customWidth="1" style="205" min="11787" max="11787"/>
    <col width="6.5703125" customWidth="1" style="205" min="11788" max="11788"/>
    <col width="19.85546875" customWidth="1" style="205" min="11789" max="11789"/>
    <col width="11.42578125" customWidth="1" style="205" min="11790" max="12030"/>
    <col width="4" customWidth="1" style="205" min="12031" max="12031"/>
    <col width="27.5703125" customWidth="1" style="205" min="12032" max="12032"/>
    <col width="49.85546875" customWidth="1" style="205" min="12033" max="12033"/>
    <col width="20.5703125" customWidth="1" style="205" min="12034" max="12034"/>
    <col width="7.42578125" customWidth="1" style="205" min="12035" max="12035"/>
    <col width="20.5703125" customWidth="1" style="205" min="12036" max="12037"/>
    <col width="18.85546875" customWidth="1" style="205" min="12038" max="12038"/>
    <col width="3.85546875" customWidth="1" style="205" min="12039" max="12039"/>
    <col width="11.42578125" customWidth="1" style="205" min="12040" max="12041"/>
    <col width="2.7109375" customWidth="1" style="205" min="12042" max="12042"/>
    <col width="22.140625" customWidth="1" style="205" min="12043" max="12043"/>
    <col width="6.5703125" customWidth="1" style="205" min="12044" max="12044"/>
    <col width="19.85546875" customWidth="1" style="205" min="12045" max="12045"/>
    <col width="11.42578125" customWidth="1" style="205" min="12046" max="12286"/>
    <col width="4" customWidth="1" style="205" min="12287" max="12287"/>
    <col width="27.5703125" customWidth="1" style="205" min="12288" max="12288"/>
    <col width="49.85546875" customWidth="1" style="205" min="12289" max="12289"/>
    <col width="20.5703125" customWidth="1" style="205" min="12290" max="12290"/>
    <col width="7.42578125" customWidth="1" style="205" min="12291" max="12291"/>
    <col width="20.5703125" customWidth="1" style="205" min="12292" max="12293"/>
    <col width="18.85546875" customWidth="1" style="205" min="12294" max="12294"/>
    <col width="3.85546875" customWidth="1" style="205" min="12295" max="12295"/>
    <col width="11.42578125" customWidth="1" style="205" min="12296" max="12297"/>
    <col width="2.7109375" customWidth="1" style="205" min="12298" max="12298"/>
    <col width="22.140625" customWidth="1" style="205" min="12299" max="12299"/>
    <col width="6.5703125" customWidth="1" style="205" min="12300" max="12300"/>
    <col width="19.85546875" customWidth="1" style="205" min="12301" max="12301"/>
    <col width="11.42578125" customWidth="1" style="205" min="12302" max="12542"/>
    <col width="4" customWidth="1" style="205" min="12543" max="12543"/>
    <col width="27.5703125" customWidth="1" style="205" min="12544" max="12544"/>
    <col width="49.85546875" customWidth="1" style="205" min="12545" max="12545"/>
    <col width="20.5703125" customWidth="1" style="205" min="12546" max="12546"/>
    <col width="7.42578125" customWidth="1" style="205" min="12547" max="12547"/>
    <col width="20.5703125" customWidth="1" style="205" min="12548" max="12549"/>
    <col width="18.85546875" customWidth="1" style="205" min="12550" max="12550"/>
    <col width="3.85546875" customWidth="1" style="205" min="12551" max="12551"/>
    <col width="11.42578125" customWidth="1" style="205" min="12552" max="12553"/>
    <col width="2.7109375" customWidth="1" style="205" min="12554" max="12554"/>
    <col width="22.140625" customWidth="1" style="205" min="12555" max="12555"/>
    <col width="6.5703125" customWidth="1" style="205" min="12556" max="12556"/>
    <col width="19.85546875" customWidth="1" style="205" min="12557" max="12557"/>
    <col width="11.42578125" customWidth="1" style="205" min="12558" max="12798"/>
    <col width="4" customWidth="1" style="205" min="12799" max="12799"/>
    <col width="27.5703125" customWidth="1" style="205" min="12800" max="12800"/>
    <col width="49.85546875" customWidth="1" style="205" min="12801" max="12801"/>
    <col width="20.5703125" customWidth="1" style="205" min="12802" max="12802"/>
    <col width="7.42578125" customWidth="1" style="205" min="12803" max="12803"/>
    <col width="20.5703125" customWidth="1" style="205" min="12804" max="12805"/>
    <col width="18.85546875" customWidth="1" style="205" min="12806" max="12806"/>
    <col width="3.85546875" customWidth="1" style="205" min="12807" max="12807"/>
    <col width="11.42578125" customWidth="1" style="205" min="12808" max="12809"/>
    <col width="2.7109375" customWidth="1" style="205" min="12810" max="12810"/>
    <col width="22.140625" customWidth="1" style="205" min="12811" max="12811"/>
    <col width="6.5703125" customWidth="1" style="205" min="12812" max="12812"/>
    <col width="19.85546875" customWidth="1" style="205" min="12813" max="12813"/>
    <col width="11.42578125" customWidth="1" style="205" min="12814" max="13054"/>
    <col width="4" customWidth="1" style="205" min="13055" max="13055"/>
    <col width="27.5703125" customWidth="1" style="205" min="13056" max="13056"/>
    <col width="49.85546875" customWidth="1" style="205" min="13057" max="13057"/>
    <col width="20.5703125" customWidth="1" style="205" min="13058" max="13058"/>
    <col width="7.42578125" customWidth="1" style="205" min="13059" max="13059"/>
    <col width="20.5703125" customWidth="1" style="205" min="13060" max="13061"/>
    <col width="18.85546875" customWidth="1" style="205" min="13062" max="13062"/>
    <col width="3.85546875" customWidth="1" style="205" min="13063" max="13063"/>
    <col width="11.42578125" customWidth="1" style="205" min="13064" max="13065"/>
    <col width="2.7109375" customWidth="1" style="205" min="13066" max="13066"/>
    <col width="22.140625" customWidth="1" style="205" min="13067" max="13067"/>
    <col width="6.5703125" customWidth="1" style="205" min="13068" max="13068"/>
    <col width="19.85546875" customWidth="1" style="205" min="13069" max="13069"/>
    <col width="11.42578125" customWidth="1" style="205" min="13070" max="13310"/>
    <col width="4" customWidth="1" style="205" min="13311" max="13311"/>
    <col width="27.5703125" customWidth="1" style="205" min="13312" max="13312"/>
    <col width="49.85546875" customWidth="1" style="205" min="13313" max="13313"/>
    <col width="20.5703125" customWidth="1" style="205" min="13314" max="13314"/>
    <col width="7.42578125" customWidth="1" style="205" min="13315" max="13315"/>
    <col width="20.5703125" customWidth="1" style="205" min="13316" max="13317"/>
    <col width="18.85546875" customWidth="1" style="205" min="13318" max="13318"/>
    <col width="3.85546875" customWidth="1" style="205" min="13319" max="13319"/>
    <col width="11.42578125" customWidth="1" style="205" min="13320" max="13321"/>
    <col width="2.7109375" customWidth="1" style="205" min="13322" max="13322"/>
    <col width="22.140625" customWidth="1" style="205" min="13323" max="13323"/>
    <col width="6.5703125" customWidth="1" style="205" min="13324" max="13324"/>
    <col width="19.85546875" customWidth="1" style="205" min="13325" max="13325"/>
    <col width="11.42578125" customWidth="1" style="205" min="13326" max="13566"/>
    <col width="4" customWidth="1" style="205" min="13567" max="13567"/>
    <col width="27.5703125" customWidth="1" style="205" min="13568" max="13568"/>
    <col width="49.85546875" customWidth="1" style="205" min="13569" max="13569"/>
    <col width="20.5703125" customWidth="1" style="205" min="13570" max="13570"/>
    <col width="7.42578125" customWidth="1" style="205" min="13571" max="13571"/>
    <col width="20.5703125" customWidth="1" style="205" min="13572" max="13573"/>
    <col width="18.85546875" customWidth="1" style="205" min="13574" max="13574"/>
    <col width="3.85546875" customWidth="1" style="205" min="13575" max="13575"/>
    <col width="11.42578125" customWidth="1" style="205" min="13576" max="13577"/>
    <col width="2.7109375" customWidth="1" style="205" min="13578" max="13578"/>
    <col width="22.140625" customWidth="1" style="205" min="13579" max="13579"/>
    <col width="6.5703125" customWidth="1" style="205" min="13580" max="13580"/>
    <col width="19.85546875" customWidth="1" style="205" min="13581" max="13581"/>
    <col width="11.42578125" customWidth="1" style="205" min="13582" max="13822"/>
    <col width="4" customWidth="1" style="205" min="13823" max="13823"/>
    <col width="27.5703125" customWidth="1" style="205" min="13824" max="13824"/>
    <col width="49.85546875" customWidth="1" style="205" min="13825" max="13825"/>
    <col width="20.5703125" customWidth="1" style="205" min="13826" max="13826"/>
    <col width="7.42578125" customWidth="1" style="205" min="13827" max="13827"/>
    <col width="20.5703125" customWidth="1" style="205" min="13828" max="13829"/>
    <col width="18.85546875" customWidth="1" style="205" min="13830" max="13830"/>
    <col width="3.85546875" customWidth="1" style="205" min="13831" max="13831"/>
    <col width="11.42578125" customWidth="1" style="205" min="13832" max="13833"/>
    <col width="2.7109375" customWidth="1" style="205" min="13834" max="13834"/>
    <col width="22.140625" customWidth="1" style="205" min="13835" max="13835"/>
    <col width="6.5703125" customWidth="1" style="205" min="13836" max="13836"/>
    <col width="19.85546875" customWidth="1" style="205" min="13837" max="13837"/>
    <col width="11.42578125" customWidth="1" style="205" min="13838" max="14078"/>
    <col width="4" customWidth="1" style="205" min="14079" max="14079"/>
    <col width="27.5703125" customWidth="1" style="205" min="14080" max="14080"/>
    <col width="49.85546875" customWidth="1" style="205" min="14081" max="14081"/>
    <col width="20.5703125" customWidth="1" style="205" min="14082" max="14082"/>
    <col width="7.42578125" customWidth="1" style="205" min="14083" max="14083"/>
    <col width="20.5703125" customWidth="1" style="205" min="14084" max="14085"/>
    <col width="18.85546875" customWidth="1" style="205" min="14086" max="14086"/>
    <col width="3.85546875" customWidth="1" style="205" min="14087" max="14087"/>
    <col width="11.42578125" customWidth="1" style="205" min="14088" max="14089"/>
    <col width="2.7109375" customWidth="1" style="205" min="14090" max="14090"/>
    <col width="22.140625" customWidth="1" style="205" min="14091" max="14091"/>
    <col width="6.5703125" customWidth="1" style="205" min="14092" max="14092"/>
    <col width="19.85546875" customWidth="1" style="205" min="14093" max="14093"/>
    <col width="11.42578125" customWidth="1" style="205" min="14094" max="14334"/>
    <col width="4" customWidth="1" style="205" min="14335" max="14335"/>
    <col width="27.5703125" customWidth="1" style="205" min="14336" max="14336"/>
    <col width="49.85546875" customWidth="1" style="205" min="14337" max="14337"/>
    <col width="20.5703125" customWidth="1" style="205" min="14338" max="14338"/>
    <col width="7.42578125" customWidth="1" style="205" min="14339" max="14339"/>
    <col width="20.5703125" customWidth="1" style="205" min="14340" max="14341"/>
    <col width="18.85546875" customWidth="1" style="205" min="14342" max="14342"/>
    <col width="3.85546875" customWidth="1" style="205" min="14343" max="14343"/>
    <col width="11.42578125" customWidth="1" style="205" min="14344" max="14345"/>
    <col width="2.7109375" customWidth="1" style="205" min="14346" max="14346"/>
    <col width="22.140625" customWidth="1" style="205" min="14347" max="14347"/>
    <col width="6.5703125" customWidth="1" style="205" min="14348" max="14348"/>
    <col width="19.85546875" customWidth="1" style="205" min="14349" max="14349"/>
    <col width="11.42578125" customWidth="1" style="205" min="14350" max="14590"/>
    <col width="4" customWidth="1" style="205" min="14591" max="14591"/>
    <col width="27.5703125" customWidth="1" style="205" min="14592" max="14592"/>
    <col width="49.85546875" customWidth="1" style="205" min="14593" max="14593"/>
    <col width="20.5703125" customWidth="1" style="205" min="14594" max="14594"/>
    <col width="7.42578125" customWidth="1" style="205" min="14595" max="14595"/>
    <col width="20.5703125" customWidth="1" style="205" min="14596" max="14597"/>
    <col width="18.85546875" customWidth="1" style="205" min="14598" max="14598"/>
    <col width="3.85546875" customWidth="1" style="205" min="14599" max="14599"/>
    <col width="11.42578125" customWidth="1" style="205" min="14600" max="14601"/>
    <col width="2.7109375" customWidth="1" style="205" min="14602" max="14602"/>
    <col width="22.140625" customWidth="1" style="205" min="14603" max="14603"/>
    <col width="6.5703125" customWidth="1" style="205" min="14604" max="14604"/>
    <col width="19.85546875" customWidth="1" style="205" min="14605" max="14605"/>
    <col width="11.42578125" customWidth="1" style="205" min="14606" max="14846"/>
    <col width="4" customWidth="1" style="205" min="14847" max="14847"/>
    <col width="27.5703125" customWidth="1" style="205" min="14848" max="14848"/>
    <col width="49.85546875" customWidth="1" style="205" min="14849" max="14849"/>
    <col width="20.5703125" customWidth="1" style="205" min="14850" max="14850"/>
    <col width="7.42578125" customWidth="1" style="205" min="14851" max="14851"/>
    <col width="20.5703125" customWidth="1" style="205" min="14852" max="14853"/>
    <col width="18.85546875" customWidth="1" style="205" min="14854" max="14854"/>
    <col width="3.85546875" customWidth="1" style="205" min="14855" max="14855"/>
    <col width="11.42578125" customWidth="1" style="205" min="14856" max="14857"/>
    <col width="2.7109375" customWidth="1" style="205" min="14858" max="14858"/>
    <col width="22.140625" customWidth="1" style="205" min="14859" max="14859"/>
    <col width="6.5703125" customWidth="1" style="205" min="14860" max="14860"/>
    <col width="19.85546875" customWidth="1" style="205" min="14861" max="14861"/>
    <col width="11.42578125" customWidth="1" style="205" min="14862" max="15102"/>
    <col width="4" customWidth="1" style="205" min="15103" max="15103"/>
    <col width="27.5703125" customWidth="1" style="205" min="15104" max="15104"/>
    <col width="49.85546875" customWidth="1" style="205" min="15105" max="15105"/>
    <col width="20.5703125" customWidth="1" style="205" min="15106" max="15106"/>
    <col width="7.42578125" customWidth="1" style="205" min="15107" max="15107"/>
    <col width="20.5703125" customWidth="1" style="205" min="15108" max="15109"/>
    <col width="18.85546875" customWidth="1" style="205" min="15110" max="15110"/>
    <col width="3.85546875" customWidth="1" style="205" min="15111" max="15111"/>
    <col width="11.42578125" customWidth="1" style="205" min="15112" max="15113"/>
    <col width="2.7109375" customWidth="1" style="205" min="15114" max="15114"/>
    <col width="22.140625" customWidth="1" style="205" min="15115" max="15115"/>
    <col width="6.5703125" customWidth="1" style="205" min="15116" max="15116"/>
    <col width="19.85546875" customWidth="1" style="205" min="15117" max="15117"/>
    <col width="11.42578125" customWidth="1" style="205" min="15118" max="15358"/>
    <col width="4" customWidth="1" style="205" min="15359" max="15359"/>
    <col width="27.5703125" customWidth="1" style="205" min="15360" max="15360"/>
    <col width="49.85546875" customWidth="1" style="205" min="15361" max="15361"/>
    <col width="20.5703125" customWidth="1" style="205" min="15362" max="15362"/>
    <col width="7.42578125" customWidth="1" style="205" min="15363" max="15363"/>
    <col width="20.5703125" customWidth="1" style="205" min="15364" max="15365"/>
    <col width="18.85546875" customWidth="1" style="205" min="15366" max="15366"/>
    <col width="3.85546875" customWidth="1" style="205" min="15367" max="15367"/>
    <col width="11.42578125" customWidth="1" style="205" min="15368" max="15369"/>
    <col width="2.7109375" customWidth="1" style="205" min="15370" max="15370"/>
    <col width="22.140625" customWidth="1" style="205" min="15371" max="15371"/>
    <col width="6.5703125" customWidth="1" style="205" min="15372" max="15372"/>
    <col width="19.85546875" customWidth="1" style="205" min="15373" max="15373"/>
    <col width="11.42578125" customWidth="1" style="205" min="15374" max="15614"/>
    <col width="4" customWidth="1" style="205" min="15615" max="15615"/>
    <col width="27.5703125" customWidth="1" style="205" min="15616" max="15616"/>
    <col width="49.85546875" customWidth="1" style="205" min="15617" max="15617"/>
    <col width="20.5703125" customWidth="1" style="205" min="15618" max="15618"/>
    <col width="7.42578125" customWidth="1" style="205" min="15619" max="15619"/>
    <col width="20.5703125" customWidth="1" style="205" min="15620" max="15621"/>
    <col width="18.85546875" customWidth="1" style="205" min="15622" max="15622"/>
    <col width="3.85546875" customWidth="1" style="205" min="15623" max="15623"/>
    <col width="11.42578125" customWidth="1" style="205" min="15624" max="15625"/>
    <col width="2.7109375" customWidth="1" style="205" min="15626" max="15626"/>
    <col width="22.140625" customWidth="1" style="205" min="15627" max="15627"/>
    <col width="6.5703125" customWidth="1" style="205" min="15628" max="15628"/>
    <col width="19.85546875" customWidth="1" style="205" min="15629" max="15629"/>
    <col width="11.42578125" customWidth="1" style="205" min="15630" max="15870"/>
    <col width="4" customWidth="1" style="205" min="15871" max="15871"/>
    <col width="27.5703125" customWidth="1" style="205" min="15872" max="15872"/>
    <col width="49.85546875" customWidth="1" style="205" min="15873" max="15873"/>
    <col width="20.5703125" customWidth="1" style="205" min="15874" max="15874"/>
    <col width="7.42578125" customWidth="1" style="205" min="15875" max="15875"/>
    <col width="20.5703125" customWidth="1" style="205" min="15876" max="15877"/>
    <col width="18.85546875" customWidth="1" style="205" min="15878" max="15878"/>
    <col width="3.85546875" customWidth="1" style="205" min="15879" max="15879"/>
    <col width="11.42578125" customWidth="1" style="205" min="15880" max="15881"/>
    <col width="2.7109375" customWidth="1" style="205" min="15882" max="15882"/>
    <col width="22.140625" customWidth="1" style="205" min="15883" max="15883"/>
    <col width="6.5703125" customWidth="1" style="205" min="15884" max="15884"/>
    <col width="19.85546875" customWidth="1" style="205" min="15885" max="15885"/>
    <col width="11.42578125" customWidth="1" style="205" min="15886" max="16126"/>
    <col width="4" customWidth="1" style="205" min="16127" max="16127"/>
    <col width="27.5703125" customWidth="1" style="205" min="16128" max="16128"/>
    <col width="49.85546875" customWidth="1" style="205" min="16129" max="16129"/>
    <col width="20.5703125" customWidth="1" style="205" min="16130" max="16130"/>
    <col width="7.42578125" customWidth="1" style="205" min="16131" max="16131"/>
    <col width="20.5703125" customWidth="1" style="205" min="16132" max="16133"/>
    <col width="18.85546875" customWidth="1" style="205" min="16134" max="16134"/>
    <col width="3.85546875" customWidth="1" style="205" min="16135" max="16135"/>
    <col width="11.42578125" customWidth="1" style="205" min="16136" max="16137"/>
    <col width="2.7109375" customWidth="1" style="205" min="16138" max="16138"/>
    <col width="22.140625" customWidth="1" style="205" min="16139" max="16139"/>
    <col width="6.5703125" customWidth="1" style="205" min="16140" max="16140"/>
    <col width="19.85546875" customWidth="1" style="205" min="16141" max="16141"/>
    <col width="11.42578125" customWidth="1" style="205" min="16142" max="16381"/>
    <col width="11.42578125" customWidth="1" style="205" min="16382" max="16383"/>
    <col width="11.42578125" customWidth="1" style="205" min="16384" max="16384"/>
  </cols>
  <sheetData>
    <row r="1" ht="39" customHeight="1">
      <c r="A1" s="531" t="inlineStr">
        <is>
          <t>OBLIGACIONES FISCALES</t>
        </is>
      </c>
      <c r="B1" s="513" t="n"/>
      <c r="C1" s="513" t="n"/>
      <c r="D1" s="513" t="n"/>
      <c r="E1" s="514" t="n"/>
    </row>
    <row r="2" ht="27" customHeight="1" thickBot="1">
      <c r="A2" s="515" t="n"/>
      <c r="B2" s="516" t="n"/>
      <c r="C2" s="516" t="n"/>
      <c r="D2" s="516" t="n"/>
      <c r="E2" s="517" t="n"/>
    </row>
    <row r="3" ht="30" customHeight="1" thickBot="1">
      <c r="A3" s="532" t="inlineStr">
        <is>
          <t>Sumaria</t>
        </is>
      </c>
      <c r="B3" s="519" t="n"/>
      <c r="C3" s="519" t="n"/>
      <c r="D3" s="519" t="n"/>
      <c r="E3" s="520" t="n"/>
    </row>
    <row r="4">
      <c r="A4" s="443" t="inlineStr">
        <is>
          <t>Nombre del cliente</t>
        </is>
      </c>
      <c r="B4" s="513" t="n"/>
      <c r="C4" s="513" t="n"/>
      <c r="D4" s="445" t="inlineStr">
        <is>
          <t>Periodo terminado</t>
        </is>
      </c>
      <c r="E4" s="514" t="n"/>
    </row>
    <row r="5" ht="13.5" customHeight="1" thickBot="1">
      <c r="A5" s="446">
        <f>+'DM1 Cuestionario de Auditoria '!A5:C5</f>
        <v/>
      </c>
      <c r="B5" s="521" t="n"/>
      <c r="C5" s="521" t="n"/>
      <c r="D5" s="533">
        <f>+'DM1 Cuestionario de Auditoria '!D5:E5</f>
        <v/>
      </c>
      <c r="E5" s="523" t="n"/>
    </row>
    <row r="6" ht="12.75" customHeight="1">
      <c r="A6" s="429" t="inlineStr">
        <is>
          <t xml:space="preserve">Preparado por: </t>
        </is>
      </c>
      <c r="B6" s="513" t="n"/>
      <c r="C6" s="158" t="inlineStr">
        <is>
          <t>Fecha:</t>
        </is>
      </c>
      <c r="D6" s="431" t="inlineStr">
        <is>
          <t>Referencia</t>
        </is>
      </c>
      <c r="E6" s="514" t="n"/>
      <c r="M6" s="206" t="n"/>
    </row>
    <row r="7" ht="13.5" customHeight="1" thickBot="1">
      <c r="A7" s="427">
        <f>+'DM1 Cuestionario de Auditoria '!A7:B7</f>
        <v/>
      </c>
      <c r="B7" s="521" t="n"/>
      <c r="C7" s="159">
        <f>+'DM1 Cuestionario de Auditoria '!C7</f>
        <v/>
      </c>
      <c r="D7" s="433" t="inlineStr">
        <is>
          <t>DM2</t>
        </is>
      </c>
      <c r="E7" s="523" t="n"/>
      <c r="M7" s="206" t="n"/>
    </row>
    <row r="8" ht="12.75" customHeight="1">
      <c r="A8" s="429" t="inlineStr">
        <is>
          <t xml:space="preserve">Revisado por: </t>
        </is>
      </c>
      <c r="B8" s="513" t="n"/>
      <c r="C8" s="158" t="inlineStr">
        <is>
          <t>Fecha:</t>
        </is>
      </c>
      <c r="D8" s="160" t="n"/>
      <c r="E8" s="195" t="n"/>
      <c r="M8" s="206" t="n"/>
    </row>
    <row r="9" ht="13.5" customHeight="1" thickBot="1">
      <c r="A9" s="427" t="n"/>
      <c r="B9" s="521" t="n"/>
      <c r="C9" s="502" t="n"/>
      <c r="D9" s="162" t="n"/>
      <c r="E9" s="196" t="n"/>
    </row>
    <row r="11">
      <c r="A11" s="207" t="n"/>
      <c r="B11" s="208" t="n"/>
      <c r="C11" s="208" t="n"/>
      <c r="D11" s="208" t="n"/>
      <c r="E11" s="208" t="n"/>
      <c r="F11" s="208" t="n"/>
      <c r="G11" s="208" t="n"/>
      <c r="H11" s="208" t="n"/>
      <c r="I11" s="208" t="n"/>
      <c r="J11" s="208" t="n"/>
      <c r="K11" s="208" t="n"/>
      <c r="L11" s="208" t="n"/>
      <c r="M11" s="208" t="n"/>
    </row>
    <row r="12">
      <c r="A12" s="453" t="inlineStr">
        <is>
          <t>Código</t>
        </is>
      </c>
      <c r="B12" s="453" t="inlineStr">
        <is>
          <t>Descripción</t>
        </is>
      </c>
      <c r="C12" s="452" t="inlineStr">
        <is>
          <t>Saldo</t>
        </is>
      </c>
      <c r="D12" s="452" t="inlineStr">
        <is>
          <t>Variación</t>
        </is>
      </c>
      <c r="E12" s="452" t="inlineStr">
        <is>
          <t xml:space="preserve"> Porcentaje %</t>
        </is>
      </c>
      <c r="F12" s="452" t="inlineStr">
        <is>
          <t>Saldo</t>
        </is>
      </c>
      <c r="G12" s="452" t="n"/>
      <c r="H12" s="452" t="inlineStr">
        <is>
          <t>Ajustes y/o reclasificaciones</t>
        </is>
      </c>
      <c r="I12" s="534" t="n"/>
      <c r="J12" s="452" t="n"/>
      <c r="K12" s="452" t="inlineStr">
        <is>
          <t xml:space="preserve">Saldo </t>
        </is>
      </c>
      <c r="L12" s="454" t="n"/>
      <c r="M12" s="453" t="inlineStr">
        <is>
          <t>Referencia</t>
        </is>
      </c>
    </row>
    <row r="13">
      <c r="A13" s="535" t="n"/>
      <c r="B13" s="535" t="n"/>
      <c r="C13" s="164" t="n"/>
      <c r="D13" s="535" t="n"/>
      <c r="E13" s="535" t="n"/>
      <c r="F13" s="164" t="n"/>
      <c r="G13" s="535" t="n"/>
      <c r="H13" s="454" t="inlineStr">
        <is>
          <t>Debe</t>
        </is>
      </c>
      <c r="I13" s="454" t="inlineStr">
        <is>
          <t>Haber</t>
        </is>
      </c>
      <c r="J13" s="535" t="n"/>
      <c r="K13" s="164" t="inlineStr">
        <is>
          <t>Auditado</t>
        </is>
      </c>
      <c r="L13" s="535" t="n"/>
      <c r="M13" s="535" t="n"/>
    </row>
    <row r="14" customFormat="1" s="209">
      <c r="A14" s="124" t="inlineStr">
        <is>
          <t>1.01.05.01.01</t>
        </is>
      </c>
      <c r="B14" s="124" t="inlineStr">
        <is>
          <t>IVA Compras 12%</t>
        </is>
      </c>
      <c r="C14" s="117" t="n">
        <v>0</v>
      </c>
      <c r="D14" s="536">
        <f>+F14-C14</f>
        <v/>
      </c>
      <c r="E14" s="119">
        <f>+D14/C14</f>
        <v/>
      </c>
      <c r="F14" s="117" t="n">
        <v>0</v>
      </c>
      <c r="G14" s="120" t="inlineStr">
        <is>
          <t>ü</t>
        </is>
      </c>
      <c r="H14" s="121" t="n">
        <v>0</v>
      </c>
      <c r="I14" s="121" t="n">
        <v>0</v>
      </c>
      <c r="J14" s="120" t="inlineStr">
        <is>
          <t>ü</t>
        </is>
      </c>
      <c r="K14" s="122">
        <f>+F14+H14-I14</f>
        <v/>
      </c>
      <c r="L14" s="120" t="inlineStr">
        <is>
          <t>ü</t>
        </is>
      </c>
      <c r="M14" s="123" t="inlineStr">
        <is>
          <t>DM4</t>
        </is>
      </c>
    </row>
    <row r="15" customFormat="1" s="209">
      <c r="A15" s="124" t="inlineStr">
        <is>
          <t>1.01.05.02.01</t>
        </is>
      </c>
      <c r="B15" s="124" t="inlineStr">
        <is>
          <t>Retencion IVA 30%</t>
        </is>
      </c>
      <c r="C15" s="117" t="n">
        <v>0</v>
      </c>
      <c r="D15" s="536">
        <f>+F15-C15</f>
        <v/>
      </c>
      <c r="E15" s="119">
        <f>+D15/C15</f>
        <v/>
      </c>
      <c r="F15" s="117" t="n">
        <v>0</v>
      </c>
      <c r="G15" s="120" t="inlineStr">
        <is>
          <t>ü</t>
        </is>
      </c>
      <c r="H15" s="121" t="n">
        <v>0</v>
      </c>
      <c r="I15" s="121" t="n">
        <v>0</v>
      </c>
      <c r="J15" s="120" t="inlineStr">
        <is>
          <t>ü</t>
        </is>
      </c>
      <c r="K15" s="122">
        <f>+F15+H15-I15</f>
        <v/>
      </c>
      <c r="L15" s="120" t="inlineStr">
        <is>
          <t>ü</t>
        </is>
      </c>
      <c r="M15" s="123" t="inlineStr">
        <is>
          <t>DM4</t>
        </is>
      </c>
    </row>
    <row r="16" customFormat="1" s="209">
      <c r="A16" s="124" t="inlineStr">
        <is>
          <t>1.01.05.02.04</t>
        </is>
      </c>
      <c r="B16" s="124" t="inlineStr">
        <is>
          <t>Ret. Fte. IVA Clientes</t>
        </is>
      </c>
      <c r="C16" s="117" t="n">
        <v>0</v>
      </c>
      <c r="D16" s="536">
        <f>+F16-C16</f>
        <v/>
      </c>
      <c r="E16" s="119">
        <f>+D16/C16</f>
        <v/>
      </c>
      <c r="F16" s="117" t="n">
        <v>0</v>
      </c>
      <c r="G16" s="120" t="inlineStr">
        <is>
          <t>ü</t>
        </is>
      </c>
      <c r="H16" s="121" t="n">
        <v>0</v>
      </c>
      <c r="I16" s="121" t="n">
        <v>0</v>
      </c>
      <c r="J16" s="120" t="inlineStr">
        <is>
          <t>ü</t>
        </is>
      </c>
      <c r="K16" s="122">
        <f>+F16+H16-I16</f>
        <v/>
      </c>
      <c r="L16" s="120" t="inlineStr">
        <is>
          <t>ü</t>
        </is>
      </c>
      <c r="M16" s="123" t="inlineStr">
        <is>
          <t>DM4</t>
        </is>
      </c>
    </row>
    <row r="17" customFormat="1" s="209">
      <c r="A17" s="124" t="inlineStr">
        <is>
          <t>1.01.05.02.05</t>
        </is>
      </c>
      <c r="B17" s="124" t="inlineStr">
        <is>
          <t>Retencion IVA 10%</t>
        </is>
      </c>
      <c r="C17" s="117" t="n">
        <v>0</v>
      </c>
      <c r="D17" s="536">
        <f>+F17-C17</f>
        <v/>
      </c>
      <c r="E17" s="119">
        <f>+D17/C17</f>
        <v/>
      </c>
      <c r="F17" s="117" t="n">
        <v>0</v>
      </c>
      <c r="G17" s="120" t="inlineStr">
        <is>
          <t>ü</t>
        </is>
      </c>
      <c r="H17" s="121" t="n">
        <v>0</v>
      </c>
      <c r="I17" s="121" t="n">
        <v>0</v>
      </c>
      <c r="J17" s="120" t="inlineStr">
        <is>
          <t>ü</t>
        </is>
      </c>
      <c r="K17" s="122">
        <f>+F17+H17-I17</f>
        <v/>
      </c>
      <c r="L17" s="120" t="inlineStr">
        <is>
          <t>ü</t>
        </is>
      </c>
      <c r="M17" s="123" t="inlineStr">
        <is>
          <t>DM6</t>
        </is>
      </c>
    </row>
    <row r="18" customFormat="1" s="209">
      <c r="A18" s="124" t="inlineStr">
        <is>
          <t>1.01.05.03.01</t>
        </is>
      </c>
      <c r="B18" s="124" t="inlineStr">
        <is>
          <t>Crédito Tributario Adquisiciones</t>
        </is>
      </c>
      <c r="C18" s="117" t="n">
        <v>0</v>
      </c>
      <c r="D18" s="536">
        <f>+F18-C18</f>
        <v/>
      </c>
      <c r="E18" s="119">
        <f>+D18/C18</f>
        <v/>
      </c>
      <c r="F18" s="117" t="n">
        <v>0</v>
      </c>
      <c r="G18" s="120" t="inlineStr">
        <is>
          <t>ü</t>
        </is>
      </c>
      <c r="H18" s="121" t="n">
        <v>0</v>
      </c>
      <c r="I18" s="121" t="n">
        <v>0</v>
      </c>
      <c r="J18" s="120" t="inlineStr">
        <is>
          <t>ü</t>
        </is>
      </c>
      <c r="K18" s="122">
        <f>+F18+H18-I18</f>
        <v/>
      </c>
      <c r="L18" s="120" t="inlineStr">
        <is>
          <t>ü</t>
        </is>
      </c>
      <c r="M18" s="123" t="inlineStr">
        <is>
          <t>DM6</t>
        </is>
      </c>
    </row>
    <row r="19" customFormat="1" s="209">
      <c r="A19" s="124" t="inlineStr">
        <is>
          <t>1.01.05.04.01</t>
        </is>
      </c>
      <c r="B19" s="124" t="inlineStr">
        <is>
          <t>Credito Tributario Retenciones IVA</t>
        </is>
      </c>
      <c r="C19" s="117" t="n">
        <v>0</v>
      </c>
      <c r="D19" s="536">
        <f>+F19-C19</f>
        <v/>
      </c>
      <c r="E19" s="119">
        <f>+D19/C19</f>
        <v/>
      </c>
      <c r="F19" s="117" t="n"/>
      <c r="G19" s="120" t="inlineStr">
        <is>
          <t>ü</t>
        </is>
      </c>
      <c r="H19" s="121" t="n">
        <v>0</v>
      </c>
      <c r="I19" s="121" t="n">
        <v>0</v>
      </c>
      <c r="J19" s="120" t="inlineStr">
        <is>
          <t>ü</t>
        </is>
      </c>
      <c r="K19" s="122">
        <f>+F19+H19-I19</f>
        <v/>
      </c>
      <c r="L19" s="120" t="inlineStr">
        <is>
          <t>ü</t>
        </is>
      </c>
      <c r="M19" s="123" t="inlineStr">
        <is>
          <t>DM6</t>
        </is>
      </c>
    </row>
    <row r="20" customFormat="1" s="209">
      <c r="A20" s="124" t="inlineStr">
        <is>
          <t>1.01.05.05.01</t>
        </is>
      </c>
      <c r="B20" s="124" t="inlineStr">
        <is>
          <t>Retenciones en la Fuente IR 2023</t>
        </is>
      </c>
      <c r="C20" s="117" t="n"/>
      <c r="D20" s="536">
        <f>+F20-C20</f>
        <v/>
      </c>
      <c r="E20" s="389">
        <f>+D20/C20</f>
        <v/>
      </c>
      <c r="F20" s="117" t="n">
        <v>0</v>
      </c>
      <c r="G20" s="120" t="inlineStr">
        <is>
          <t>ü</t>
        </is>
      </c>
      <c r="H20" s="121" t="n">
        <v>0</v>
      </c>
      <c r="I20" s="121" t="n">
        <v>0</v>
      </c>
      <c r="J20" s="120" t="inlineStr">
        <is>
          <t>ü</t>
        </is>
      </c>
      <c r="K20" s="122">
        <f>+F20+H20-I20</f>
        <v/>
      </c>
      <c r="L20" s="120" t="inlineStr">
        <is>
          <t>ü</t>
        </is>
      </c>
      <c r="M20" s="123" t="inlineStr">
        <is>
          <t>DM6</t>
        </is>
      </c>
    </row>
    <row r="21" customFormat="1" s="209">
      <c r="A21" s="124" t="inlineStr">
        <is>
          <t>1.01.05.05.13</t>
        </is>
      </c>
      <c r="B21" s="124" t="inlineStr">
        <is>
          <t>Retenciones en la fuente IR 2024</t>
        </is>
      </c>
      <c r="C21" s="117" t="n"/>
      <c r="D21" s="536">
        <f>+F21-C21</f>
        <v/>
      </c>
      <c r="E21" s="389">
        <f>+D21/C21</f>
        <v/>
      </c>
      <c r="F21" s="117" t="n"/>
      <c r="G21" s="120" t="inlineStr">
        <is>
          <t>ü</t>
        </is>
      </c>
      <c r="H21" s="121" t="n">
        <v>0</v>
      </c>
      <c r="I21" s="121" t="n">
        <v>0</v>
      </c>
      <c r="J21" s="120" t="inlineStr">
        <is>
          <t>ü</t>
        </is>
      </c>
      <c r="K21" s="122">
        <f>+F21+H21-I21</f>
        <v/>
      </c>
      <c r="L21" s="120" t="inlineStr">
        <is>
          <t>ü</t>
        </is>
      </c>
      <c r="M21" s="123" t="inlineStr">
        <is>
          <t>DM6</t>
        </is>
      </c>
    </row>
    <row r="22" customFormat="1" s="209">
      <c r="A22" s="124" t="inlineStr">
        <is>
          <t>1.01.05.05.14</t>
        </is>
      </c>
      <c r="B22" s="124" t="inlineStr">
        <is>
          <t>Retenciones en la Fuente IR 2025</t>
        </is>
      </c>
      <c r="C22" s="117" t="n">
        <v>0</v>
      </c>
      <c r="D22" s="536">
        <f>+F22-C22</f>
        <v/>
      </c>
      <c r="E22" s="119">
        <f>+D22/C22</f>
        <v/>
      </c>
      <c r="F22" s="117" t="n"/>
      <c r="G22" s="120" t="inlineStr">
        <is>
          <t>ü</t>
        </is>
      </c>
      <c r="H22" s="121" t="n">
        <v>0</v>
      </c>
      <c r="I22" s="121" t="n">
        <v>0</v>
      </c>
      <c r="J22" s="120" t="inlineStr">
        <is>
          <t>ü</t>
        </is>
      </c>
      <c r="K22" s="122">
        <f>+F22+H22-I22</f>
        <v/>
      </c>
      <c r="L22" s="120" t="inlineStr">
        <is>
          <t>ü</t>
        </is>
      </c>
      <c r="M22" s="123" t="inlineStr">
        <is>
          <t>DM6</t>
        </is>
      </c>
    </row>
    <row r="23" customFormat="1" s="209">
      <c r="A23" s="178" t="inlineStr">
        <is>
          <t>1.01.05.05.15</t>
        </is>
      </c>
      <c r="B23" s="179" t="inlineStr">
        <is>
          <t>Credito Tributario Utilidades no distribuidas</t>
        </is>
      </c>
      <c r="C23" s="117" t="n">
        <v>0</v>
      </c>
      <c r="D23" s="536">
        <f>+F23-C23</f>
        <v/>
      </c>
      <c r="E23" s="119">
        <f>+D23/C23</f>
        <v/>
      </c>
      <c r="F23" s="117" t="n"/>
      <c r="G23" s="120" t="inlineStr">
        <is>
          <t>ü</t>
        </is>
      </c>
      <c r="H23" s="121" t="n">
        <v>0</v>
      </c>
      <c r="I23" s="121" t="n">
        <v>0</v>
      </c>
      <c r="J23" s="120" t="inlineStr">
        <is>
          <t>ü</t>
        </is>
      </c>
      <c r="K23" s="122">
        <f>+F23+H23-I23</f>
        <v/>
      </c>
      <c r="L23" s="120" t="inlineStr">
        <is>
          <t>ü</t>
        </is>
      </c>
      <c r="M23" s="123" t="inlineStr">
        <is>
          <t>DM6</t>
        </is>
      </c>
    </row>
    <row r="24" customFormat="1" s="209">
      <c r="A24" s="454" t="inlineStr">
        <is>
          <t>Total</t>
        </is>
      </c>
      <c r="B24" s="534" t="n"/>
      <c r="C24" s="166">
        <f>SUM(C14:C23)</f>
        <v/>
      </c>
      <c r="D24" s="166">
        <f>SUM(D14:D23)</f>
        <v/>
      </c>
      <c r="E24" s="166">
        <f>+E14+E18</f>
        <v/>
      </c>
      <c r="F24" s="166">
        <f>SUM(F14:F23)</f>
        <v/>
      </c>
      <c r="G24" s="167" t="inlineStr">
        <is>
          <t xml:space="preserve">Σ  </t>
        </is>
      </c>
      <c r="H24" s="166">
        <f>+H14+H18</f>
        <v/>
      </c>
      <c r="I24" s="166">
        <f>+I14+I18</f>
        <v/>
      </c>
      <c r="J24" s="167" t="inlineStr">
        <is>
          <t xml:space="preserve">Σ  </t>
        </is>
      </c>
      <c r="K24" s="166">
        <f>+K14+K18</f>
        <v/>
      </c>
      <c r="L24" s="168" t="n"/>
      <c r="M24" s="169" t="n"/>
    </row>
    <row r="25" customFormat="1" s="209">
      <c r="A25" s="124" t="n"/>
      <c r="B25" s="124" t="n"/>
      <c r="C25" s="117" t="n"/>
      <c r="D25" s="536" t="n"/>
      <c r="E25" s="119" t="n"/>
      <c r="F25" s="117" t="n"/>
      <c r="G25" s="120" t="n"/>
      <c r="H25" s="121" t="n"/>
      <c r="I25" s="121" t="n"/>
      <c r="J25" s="120" t="n"/>
      <c r="K25" s="122" t="n"/>
      <c r="L25" s="120" t="n"/>
      <c r="M25" s="123" t="n"/>
    </row>
    <row r="26" customFormat="1" s="209">
      <c r="A26" s="124" t="inlineStr">
        <is>
          <t>2.01.10.04.01</t>
        </is>
      </c>
      <c r="B26" s="124" t="inlineStr">
        <is>
          <t>SRI Impuesto por Liquidar</t>
        </is>
      </c>
      <c r="C26" s="117" t="n"/>
      <c r="D26" s="536">
        <f>+F26-C26</f>
        <v/>
      </c>
      <c r="E26" s="119">
        <f>+D26/C26</f>
        <v/>
      </c>
      <c r="F26" s="117" t="n"/>
      <c r="G26" s="120" t="inlineStr">
        <is>
          <t>ü</t>
        </is>
      </c>
      <c r="H26" s="121" t="n">
        <v>0</v>
      </c>
      <c r="I26" s="121" t="n">
        <v>0</v>
      </c>
      <c r="J26" s="120" t="inlineStr">
        <is>
          <t>ü</t>
        </is>
      </c>
      <c r="K26" s="122">
        <f>+F26+H26-I26</f>
        <v/>
      </c>
      <c r="L26" s="120" t="inlineStr">
        <is>
          <t>ü</t>
        </is>
      </c>
      <c r="M26" s="123" t="inlineStr">
        <is>
          <t>DM7</t>
        </is>
      </c>
    </row>
    <row r="27" customFormat="1" s="209">
      <c r="A27" s="124" t="inlineStr">
        <is>
          <t>2.01.10.05.01</t>
        </is>
      </c>
      <c r="B27" s="124" t="inlineStr">
        <is>
          <t>IR Por Pagar Ejercicio Anterior</t>
        </is>
      </c>
      <c r="C27" s="117" t="n">
        <v>0</v>
      </c>
      <c r="D27" s="536">
        <f>+F27-C27</f>
        <v/>
      </c>
      <c r="E27" s="119">
        <f>+D27/C27</f>
        <v/>
      </c>
      <c r="F27" s="117" t="n">
        <v>0</v>
      </c>
      <c r="G27" s="120" t="inlineStr">
        <is>
          <t>ü</t>
        </is>
      </c>
      <c r="H27" s="121" t="n">
        <v>0</v>
      </c>
      <c r="I27" s="121" t="n">
        <v>0</v>
      </c>
      <c r="J27" s="120" t="inlineStr">
        <is>
          <t>ü</t>
        </is>
      </c>
      <c r="K27" s="122">
        <f>+F27+H27-I27</f>
        <v/>
      </c>
      <c r="L27" s="120" t="inlineStr">
        <is>
          <t>ü</t>
        </is>
      </c>
      <c r="M27" s="123" t="inlineStr">
        <is>
          <t>DM7</t>
        </is>
      </c>
    </row>
    <row r="28" customFormat="1" s="209">
      <c r="A28" s="124" t="n"/>
      <c r="B28" s="124" t="n"/>
      <c r="C28" s="117" t="n"/>
      <c r="D28" s="536" t="n"/>
      <c r="E28" s="119" t="n"/>
      <c r="F28" s="117" t="n"/>
      <c r="G28" s="120" t="n"/>
      <c r="H28" s="121" t="n"/>
      <c r="I28" s="121" t="n"/>
      <c r="J28" s="120" t="n"/>
      <c r="K28" s="122" t="n"/>
      <c r="L28" s="120" t="n"/>
      <c r="M28" s="123" t="n"/>
    </row>
    <row r="29" ht="14.45" customHeight="1">
      <c r="A29" s="454" t="inlineStr">
        <is>
          <t>Total</t>
        </is>
      </c>
      <c r="B29" s="534" t="n"/>
      <c r="C29" s="166">
        <f>SUM(C26:C28)</f>
        <v/>
      </c>
      <c r="D29" s="166">
        <f>SUM(D26:D28)</f>
        <v/>
      </c>
      <c r="E29" s="166">
        <f>SUM(E26:E28)</f>
        <v/>
      </c>
      <c r="F29" s="166">
        <f>SUM(F26:F28)</f>
        <v/>
      </c>
      <c r="G29" s="167" t="inlineStr">
        <is>
          <t xml:space="preserve">Σ  </t>
        </is>
      </c>
      <c r="H29" s="166">
        <f>SUM(H26:H28)</f>
        <v/>
      </c>
      <c r="I29" s="166">
        <f>SUM(I26:I28)</f>
        <v/>
      </c>
      <c r="J29" s="167" t="inlineStr">
        <is>
          <t xml:space="preserve">Σ  </t>
        </is>
      </c>
      <c r="K29" s="166">
        <f>SUM(K26:K28)</f>
        <v/>
      </c>
      <c r="L29" s="168" t="n"/>
      <c r="M29" s="169" t="n"/>
    </row>
    <row r="30">
      <c r="A30" s="70" t="n"/>
      <c r="B30" s="71" t="n"/>
      <c r="C30" s="71" t="n"/>
      <c r="D30" s="71" t="n"/>
      <c r="E30" s="71" t="n"/>
      <c r="F30" s="71" t="n"/>
      <c r="G30" s="71" t="n"/>
      <c r="H30" s="71" t="n"/>
      <c r="I30" s="71" t="n"/>
      <c r="J30" s="71" t="n"/>
      <c r="K30" s="71" t="n"/>
      <c r="L30" s="71" t="n"/>
      <c r="M30" s="72" t="n"/>
    </row>
    <row r="31">
      <c r="A31" s="73" t="n"/>
      <c r="B31" s="68" t="n"/>
      <c r="C31" s="68" t="n"/>
      <c r="D31" s="68" t="n"/>
      <c r="E31" s="68" t="n"/>
      <c r="F31" s="68" t="n"/>
      <c r="G31" s="68" t="n"/>
      <c r="H31" s="68" t="n"/>
      <c r="I31" s="68" t="n"/>
      <c r="J31" s="68" t="n"/>
      <c r="K31" s="68" t="n"/>
      <c r="L31" s="68" t="n"/>
      <c r="M31" s="74" t="n"/>
    </row>
    <row r="32">
      <c r="A32" s="73" t="inlineStr">
        <is>
          <t>Marcas:</t>
        </is>
      </c>
      <c r="B32" s="68" t="n"/>
      <c r="C32" s="68" t="n"/>
      <c r="D32" s="68" t="n"/>
      <c r="E32" s="68" t="n"/>
      <c r="F32" s="68" t="n"/>
      <c r="G32" s="68" t="n"/>
      <c r="H32" s="68" t="n"/>
      <c r="I32" s="68" t="n"/>
      <c r="J32" s="68" t="n"/>
      <c r="K32" s="68" t="n"/>
      <c r="L32" s="68" t="n"/>
      <c r="M32" s="74" t="n"/>
    </row>
    <row r="33">
      <c r="A33" s="75" t="inlineStr">
        <is>
          <t>ü</t>
        </is>
      </c>
      <c r="B33" s="69" t="inlineStr">
        <is>
          <t>Verificado, comprobado, cotejado (con libros).</t>
        </is>
      </c>
      <c r="C33" s="68" t="n"/>
      <c r="D33" s="68" t="n"/>
      <c r="E33" s="68" t="n"/>
      <c r="F33" s="68" t="n"/>
      <c r="G33" s="68" t="n"/>
      <c r="H33" s="68" t="n"/>
      <c r="I33" s="68" t="n"/>
      <c r="J33" s="68" t="n"/>
      <c r="K33" s="68" t="n"/>
      <c r="L33" s="68" t="n"/>
      <c r="M33" s="74" t="n"/>
    </row>
    <row r="34">
      <c r="A34" s="76" t="inlineStr">
        <is>
          <t xml:space="preserve">Σ  </t>
        </is>
      </c>
      <c r="B34" s="69" t="inlineStr">
        <is>
          <t>Sumado, totalizado</t>
        </is>
      </c>
      <c r="C34" s="68" t="n"/>
      <c r="D34" s="68" t="n"/>
      <c r="E34" s="68" t="n"/>
      <c r="F34" s="68" t="n"/>
      <c r="G34" s="68" t="n"/>
      <c r="H34" s="68" t="n"/>
      <c r="I34" s="68" t="n"/>
      <c r="J34" s="68" t="n"/>
      <c r="K34" s="68" t="n"/>
      <c r="L34" s="68" t="n"/>
      <c r="M34" s="74" t="n"/>
    </row>
    <row r="35">
      <c r="A35" s="77" t="n"/>
      <c r="B35" s="68" t="n"/>
      <c r="C35" s="68" t="n"/>
      <c r="D35" s="68" t="n"/>
      <c r="E35" s="68" t="n"/>
      <c r="F35" s="68" t="n"/>
      <c r="G35" s="68" t="n"/>
      <c r="H35" s="68" t="n"/>
      <c r="I35" s="68" t="n"/>
      <c r="J35" s="68" t="n"/>
      <c r="K35" s="68" t="n"/>
      <c r="L35" s="68" t="n"/>
      <c r="M35" s="74" t="n"/>
    </row>
    <row r="36">
      <c r="A36" s="78" t="n"/>
      <c r="B36" s="79" t="n"/>
      <c r="C36" s="79" t="n"/>
      <c r="D36" s="79" t="n"/>
      <c r="E36" s="79" t="n"/>
      <c r="F36" s="79" t="n"/>
      <c r="G36" s="79" t="n"/>
      <c r="H36" s="79" t="n"/>
      <c r="I36" s="79" t="n"/>
      <c r="J36" s="79" t="n"/>
      <c r="K36" s="79" t="n"/>
      <c r="L36" s="79" t="n"/>
      <c r="M36" s="80" t="n"/>
    </row>
    <row r="37">
      <c r="A37" s="70" t="n"/>
      <c r="B37" s="71" t="n"/>
      <c r="C37" s="71" t="n"/>
      <c r="D37" s="71" t="n"/>
      <c r="E37" s="71" t="n"/>
      <c r="F37" s="71" t="n"/>
      <c r="G37" s="71" t="n"/>
      <c r="H37" s="71" t="n"/>
      <c r="I37" s="71" t="n"/>
      <c r="J37" s="71" t="n"/>
      <c r="K37" s="71" t="n"/>
      <c r="L37" s="71" t="n"/>
      <c r="M37" s="72" t="n"/>
    </row>
    <row r="38">
      <c r="A38" s="81" t="n"/>
      <c r="B38" s="68" t="n"/>
      <c r="C38" s="68" t="n"/>
      <c r="D38" s="68" t="n"/>
      <c r="E38" s="68" t="n"/>
      <c r="F38" s="68" t="n"/>
      <c r="G38" s="68" t="n"/>
      <c r="H38" s="68" t="n"/>
      <c r="I38" s="68" t="n"/>
      <c r="J38" s="68" t="n"/>
      <c r="K38" s="68" t="n"/>
      <c r="L38" s="68" t="n"/>
      <c r="M38" s="74" t="n"/>
    </row>
    <row r="39">
      <c r="A39" s="82" t="inlineStr">
        <is>
          <t>Conclusiones: En conclusión, al observar el recorrido de la cuenta de obligaciones fiscales  de  la información es razonable.</t>
        </is>
      </c>
      <c r="B39" s="68" t="n"/>
      <c r="C39" s="68" t="n"/>
      <c r="D39" s="68" t="n"/>
      <c r="E39" s="68" t="n"/>
      <c r="F39" s="68" t="n"/>
      <c r="G39" s="68" t="n"/>
      <c r="H39" s="68" t="n"/>
      <c r="I39" s="68" t="n"/>
      <c r="J39" s="83" t="n"/>
      <c r="K39" s="84" t="n"/>
      <c r="L39" s="83" t="n"/>
      <c r="M39" s="85" t="n"/>
    </row>
    <row r="40">
      <c r="A40" s="81" t="n"/>
      <c r="B40" s="68" t="n"/>
      <c r="C40" s="68" t="n"/>
      <c r="D40" s="68" t="n"/>
      <c r="E40" s="68" t="n"/>
      <c r="F40" s="68" t="n"/>
      <c r="G40" s="68" t="n"/>
      <c r="H40" s="68" t="n"/>
      <c r="I40" s="68" t="n"/>
      <c r="J40" s="83" t="n"/>
      <c r="K40" s="84" t="n"/>
      <c r="L40" s="83" t="n"/>
      <c r="M40" s="85" t="n"/>
    </row>
    <row r="41">
      <c r="A41" s="78" t="n"/>
      <c r="B41" s="79" t="n"/>
      <c r="C41" s="79" t="n"/>
      <c r="D41" s="79" t="n"/>
      <c r="E41" s="79" t="n"/>
      <c r="F41" s="79" t="n"/>
      <c r="G41" s="79" t="n"/>
      <c r="H41" s="79" t="n"/>
      <c r="I41" s="79" t="n"/>
      <c r="J41" s="79" t="n"/>
      <c r="K41" s="79" t="n"/>
      <c r="L41" s="79" t="n"/>
      <c r="M41" s="80" t="n"/>
    </row>
    <row r="43">
      <c r="A43" s="8" t="n"/>
    </row>
    <row r="44">
      <c r="A44" s="8" t="n"/>
    </row>
    <row r="45">
      <c r="A45" s="8" t="n"/>
    </row>
  </sheetData>
  <mergeCells count="23">
    <mergeCell ref="A24:B24"/>
    <mergeCell ref="B12:B13"/>
    <mergeCell ref="L12:L13"/>
    <mergeCell ref="A6:B6"/>
    <mergeCell ref="D6:E6"/>
    <mergeCell ref="A7:B7"/>
    <mergeCell ref="A5:C5"/>
    <mergeCell ref="A12:A13"/>
    <mergeCell ref="M12:M13"/>
    <mergeCell ref="D12:D13"/>
    <mergeCell ref="A4:C4"/>
    <mergeCell ref="A3:E3"/>
    <mergeCell ref="D7:E7"/>
    <mergeCell ref="J12:J13"/>
    <mergeCell ref="D4:E4"/>
    <mergeCell ref="A1:E2"/>
    <mergeCell ref="A8:B8"/>
    <mergeCell ref="H12:I12"/>
    <mergeCell ref="A29:B29"/>
    <mergeCell ref="E12:E13"/>
    <mergeCell ref="G12:G13"/>
    <mergeCell ref="D5:E5"/>
    <mergeCell ref="A9:B9"/>
  </mergeCells>
  <pageMargins left="0.7" right="0.7" top="0.75" bottom="0.75" header="0.3" footer="0.3"/>
  <pageSetup orientation="portrait" paperSize="9" scale="36"/>
</worksheet>
</file>

<file path=xl/worksheets/sheet4.xml><?xml version="1.0" encoding="utf-8"?>
<worksheet xmlns="http://schemas.openxmlformats.org/spreadsheetml/2006/main">
  <sheetPr>
    <outlinePr summaryBelow="1" summaryRight="1"/>
    <pageSetUpPr/>
  </sheetPr>
  <dimension ref="A1:E102"/>
  <sheetViews>
    <sheetView showGridLines="0" zoomScale="87" zoomScaleNormal="110" workbookViewId="0">
      <selection activeCell="C35" sqref="C35"/>
    </sheetView>
  </sheetViews>
  <sheetFormatPr baseColWidth="10" defaultColWidth="11.42578125" defaultRowHeight="12.75"/>
  <cols>
    <col width="17.7109375" customWidth="1" style="194" min="1" max="1"/>
    <col width="74.28515625" customWidth="1" style="194" min="2" max="2"/>
    <col width="14.140625" customWidth="1" style="194" min="3" max="3"/>
    <col width="16.140625" customWidth="1" style="194" min="4" max="4"/>
    <col width="11.42578125" customWidth="1" style="194" min="5" max="16384"/>
  </cols>
  <sheetData>
    <row r="1" ht="22.5" customHeight="1">
      <c r="A1" s="531" t="inlineStr">
        <is>
          <t>OBLIGACIONES FISCALES</t>
        </is>
      </c>
      <c r="B1" s="513" t="n"/>
      <c r="C1" s="513" t="n"/>
      <c r="D1" s="513" t="n"/>
      <c r="E1" s="514" t="n"/>
    </row>
    <row r="2" ht="21" customHeight="1" thickBot="1">
      <c r="A2" s="515" t="n"/>
      <c r="B2" s="516" t="n"/>
      <c r="C2" s="516" t="n"/>
      <c r="D2" s="516" t="n"/>
      <c r="E2" s="517" t="n"/>
    </row>
    <row r="3" ht="33" customHeight="1" thickBot="1">
      <c r="A3" s="532" t="inlineStr">
        <is>
          <t>Saldo globales</t>
        </is>
      </c>
      <c r="B3" s="519" t="n"/>
      <c r="C3" s="519" t="n"/>
      <c r="D3" s="519" t="n"/>
      <c r="E3" s="520" t="n"/>
    </row>
    <row r="4">
      <c r="A4" s="443" t="inlineStr">
        <is>
          <t>Nombre del cliente</t>
        </is>
      </c>
      <c r="B4" s="513" t="n"/>
      <c r="C4" s="513" t="n"/>
      <c r="D4" s="445" t="inlineStr">
        <is>
          <t>Periodo terminado</t>
        </is>
      </c>
      <c r="E4" s="514" t="n"/>
    </row>
    <row r="5" ht="13.5" customHeight="1" thickBot="1">
      <c r="A5" s="446">
        <f>+'DM2 Cédula Sumaria'!A5:C5</f>
        <v/>
      </c>
      <c r="B5" s="521" t="n"/>
      <c r="C5" s="521" t="n"/>
      <c r="D5" s="533">
        <f>+'DM2 Cédula Sumaria'!D5:E5</f>
        <v/>
      </c>
      <c r="E5" s="523" t="n"/>
    </row>
    <row r="6">
      <c r="A6" s="429" t="inlineStr">
        <is>
          <t xml:space="preserve">Preparado por: </t>
        </is>
      </c>
      <c r="B6" s="513" t="n"/>
      <c r="C6" s="158" t="inlineStr">
        <is>
          <t>Fecha:</t>
        </is>
      </c>
      <c r="D6" s="431" t="inlineStr">
        <is>
          <t>Referencia</t>
        </is>
      </c>
      <c r="E6" s="514" t="n"/>
    </row>
    <row r="7" ht="13.5" customHeight="1" thickBot="1">
      <c r="A7" s="427">
        <f>+'DM2 Cédula Sumaria'!A7:B7</f>
        <v/>
      </c>
      <c r="B7" s="521" t="n"/>
      <c r="C7" s="159">
        <f>+'DM2 Cédula Sumaria'!C7</f>
        <v/>
      </c>
      <c r="D7" s="433" t="inlineStr">
        <is>
          <t>DM3</t>
        </is>
      </c>
      <c r="E7" s="523" t="n"/>
    </row>
    <row r="8">
      <c r="A8" s="429" t="inlineStr">
        <is>
          <t xml:space="preserve">Revisado por: </t>
        </is>
      </c>
      <c r="B8" s="513" t="n"/>
      <c r="C8" s="158" t="inlineStr">
        <is>
          <t>Fecha:</t>
        </is>
      </c>
      <c r="D8" s="160" t="n"/>
      <c r="E8" s="195" t="n"/>
    </row>
    <row r="9" ht="13.5" customHeight="1" thickBot="1">
      <c r="A9" s="427" t="n"/>
      <c r="B9" s="521" t="n"/>
      <c r="C9" s="161" t="n"/>
      <c r="D9" s="162" t="n"/>
      <c r="E9" s="196" t="n"/>
    </row>
    <row r="10">
      <c r="A10" s="8" t="n"/>
    </row>
    <row r="11">
      <c r="A11" s="26" t="n"/>
      <c r="B11" s="28" t="n"/>
      <c r="C11" s="27" t="n"/>
      <c r="D11" s="27" t="n"/>
      <c r="E11" s="27" t="n"/>
    </row>
    <row r="12" hidden="1"/>
    <row r="13" hidden="1">
      <c r="A13" s="170" t="inlineStr">
        <is>
          <t>Código</t>
        </is>
      </c>
      <c r="B13" s="170" t="inlineStr">
        <is>
          <t>Cuenta</t>
        </is>
      </c>
      <c r="C13" s="170" t="inlineStr">
        <is>
          <t>Valor US$</t>
        </is>
      </c>
    </row>
    <row r="14" hidden="1">
      <c r="B14" s="211" t="n"/>
      <c r="C14" s="212" t="n"/>
    </row>
    <row r="15" hidden="1">
      <c r="B15" s="211" t="n"/>
      <c r="C15" s="212" t="n"/>
    </row>
    <row r="16" hidden="1">
      <c r="A16" s="209" t="n"/>
      <c r="B16" s="209" t="n"/>
      <c r="C16" s="213" t="n"/>
    </row>
    <row r="17" hidden="1">
      <c r="C17" s="537" t="n"/>
    </row>
    <row r="18" hidden="1">
      <c r="B18" s="194" t="inlineStr">
        <is>
          <t>Según libros</t>
        </is>
      </c>
      <c r="C18" s="538">
        <f>+C14+C16+C15</f>
        <v/>
      </c>
      <c r="D18" s="49" t="inlineStr">
        <is>
          <t>ü</t>
        </is>
      </c>
    </row>
    <row r="19" hidden="1">
      <c r="C19" s="215" t="n"/>
    </row>
    <row r="20" hidden="1">
      <c r="B20" s="194" t="inlineStr">
        <is>
          <t>Según F104  casillero 529</t>
        </is>
      </c>
      <c r="C20" s="50" t="n">
        <v>0</v>
      </c>
    </row>
    <row r="21" hidden="1" ht="13.5" customHeight="1" thickBot="1">
      <c r="B21" s="194" t="inlineStr">
        <is>
          <t>Diferencia</t>
        </is>
      </c>
      <c r="C21" s="51">
        <f>+C18-C19-C20</f>
        <v/>
      </c>
      <c r="D21" s="14" t="inlineStr">
        <is>
          <t xml:space="preserve">‡ </t>
        </is>
      </c>
    </row>
    <row r="22" hidden="1" ht="13.5" customHeight="1" thickTop="1">
      <c r="C22" s="30" t="n"/>
    </row>
    <row r="23" hidden="1">
      <c r="B23" s="28" t="n"/>
      <c r="C23" s="30" t="n"/>
    </row>
    <row r="24" hidden="1">
      <c r="A24" s="170" t="inlineStr">
        <is>
          <t>Código</t>
        </is>
      </c>
      <c r="B24" s="170" t="inlineStr">
        <is>
          <t>Cuenta</t>
        </is>
      </c>
      <c r="C24" s="170" t="inlineStr">
        <is>
          <t>Valor US$</t>
        </is>
      </c>
    </row>
    <row r="25" hidden="1">
      <c r="B25" s="211" t="n"/>
      <c r="C25" s="212" t="n"/>
    </row>
    <row r="26" hidden="1">
      <c r="A26" s="209" t="n"/>
      <c r="B26" s="209" t="n"/>
      <c r="C26" s="213" t="n"/>
    </row>
    <row r="27" hidden="1">
      <c r="C27" s="537" t="n"/>
    </row>
    <row r="28" hidden="1">
      <c r="B28" s="194" t="inlineStr">
        <is>
          <t>Según libros</t>
        </is>
      </c>
      <c r="C28" s="538">
        <f>+C25+C26</f>
        <v/>
      </c>
      <c r="D28" s="49" t="inlineStr">
        <is>
          <t>ü</t>
        </is>
      </c>
    </row>
    <row r="29" hidden="1">
      <c r="C29" s="215" t="n"/>
    </row>
    <row r="30" hidden="1">
      <c r="B30" s="194" t="inlineStr">
        <is>
          <t>Según F104  casillero 429</t>
        </is>
      </c>
      <c r="C30" s="50" t="n">
        <v>0</v>
      </c>
    </row>
    <row r="31" hidden="1" ht="13.5" customHeight="1" thickBot="1">
      <c r="B31" s="194" t="inlineStr">
        <is>
          <t>Diferencia</t>
        </is>
      </c>
      <c r="C31" s="51">
        <f>+C28+C30</f>
        <v/>
      </c>
      <c r="D31" s="14" t="inlineStr">
        <is>
          <t xml:space="preserve">‡ </t>
        </is>
      </c>
    </row>
    <row r="32" hidden="1" ht="13.5" customHeight="1" thickTop="1">
      <c r="C32" s="30" t="n"/>
    </row>
    <row r="33">
      <c r="C33" s="30" t="n"/>
    </row>
    <row r="34">
      <c r="A34" s="170" t="inlineStr">
        <is>
          <t>Código</t>
        </is>
      </c>
      <c r="B34" s="170" t="inlineStr">
        <is>
          <t>Cuenta</t>
        </is>
      </c>
      <c r="C34" s="170" t="inlineStr">
        <is>
          <t>Valor US$</t>
        </is>
      </c>
    </row>
    <row r="35">
      <c r="A35" s="211" t="inlineStr">
        <is>
          <t>1.01.02.04.01.50</t>
        </is>
      </c>
      <c r="B35" s="211" t="inlineStr">
        <is>
          <t>Crédito Tributario acumulado por Retenciones</t>
        </is>
      </c>
      <c r="C35" s="212">
        <f>+'DM2 Cédula Sumaria'!F19</f>
        <v/>
      </c>
    </row>
    <row r="36">
      <c r="A36" s="211" t="inlineStr">
        <is>
          <t>1.01.02.04.01.51</t>
        </is>
      </c>
      <c r="B36" s="211" t="inlineStr">
        <is>
          <t>Retenciones de IVA</t>
        </is>
      </c>
      <c r="C36" s="216" t="n">
        <v>0</v>
      </c>
      <c r="D36" s="217" t="n"/>
      <c r="E36" s="217" t="n"/>
    </row>
    <row r="37">
      <c r="C37" s="215" t="n"/>
    </row>
    <row r="38">
      <c r="B38" s="194" t="inlineStr">
        <is>
          <t>Según libros</t>
        </is>
      </c>
      <c r="C38" s="30">
        <f>+C35+C36</f>
        <v/>
      </c>
      <c r="D38" s="49" t="inlineStr">
        <is>
          <t>ü</t>
        </is>
      </c>
    </row>
    <row r="39">
      <c r="C39" s="215" t="n"/>
    </row>
    <row r="40">
      <c r="B40" s="194" t="inlineStr">
        <is>
          <t>Según F 104 casillero 615+617</t>
        </is>
      </c>
      <c r="C40" s="58">
        <f>+'DM6 IVA'!Z31</f>
        <v/>
      </c>
    </row>
    <row r="41" ht="13.5" customHeight="1" thickBot="1">
      <c r="B41" s="194" t="inlineStr">
        <is>
          <t>Diferencia</t>
        </is>
      </c>
      <c r="C41" s="51">
        <f>+C38-C40</f>
        <v/>
      </c>
      <c r="D41" s="14" t="inlineStr">
        <is>
          <t xml:space="preserve">‡ </t>
        </is>
      </c>
      <c r="E41" s="217" t="n"/>
    </row>
    <row r="42" ht="13.5" customHeight="1" thickTop="1"/>
    <row r="45">
      <c r="A45" s="170" t="inlineStr">
        <is>
          <t>Código</t>
        </is>
      </c>
      <c r="B45" s="170" t="inlineStr">
        <is>
          <t>Cuenta</t>
        </is>
      </c>
      <c r="C45" s="170" t="inlineStr">
        <is>
          <t>Valor US$</t>
        </is>
      </c>
    </row>
    <row r="46">
      <c r="A46" s="211" t="inlineStr">
        <is>
          <t>2.01.10.04.01</t>
        </is>
      </c>
      <c r="B46" s="211" t="inlineStr">
        <is>
          <t>SRI Impuesto por Liquidar</t>
        </is>
      </c>
      <c r="C46" s="216">
        <f>-'DM2 Cédula Sumaria'!F26</f>
        <v/>
      </c>
    </row>
    <row r="47" hidden="1">
      <c r="A47" s="209" t="inlineStr">
        <is>
          <t>2.01.01.04.02.99</t>
        </is>
      </c>
      <c r="B47" s="209" t="inlineStr">
        <is>
          <t>Retenciones en la Fuente por Pagar</t>
        </is>
      </c>
      <c r="C47" s="213">
        <f>-'DM2 Cédula Sumaria'!#REF!</f>
        <v/>
      </c>
    </row>
    <row r="48">
      <c r="C48" s="537" t="n"/>
    </row>
    <row r="49">
      <c r="B49" s="194" t="inlineStr">
        <is>
          <t>Según libros</t>
        </is>
      </c>
      <c r="C49" s="538">
        <f>SUM(C46:C48)</f>
        <v/>
      </c>
      <c r="D49" s="49" t="inlineStr">
        <is>
          <t>ü</t>
        </is>
      </c>
    </row>
    <row r="50">
      <c r="C50" s="215" t="n"/>
    </row>
    <row r="51">
      <c r="B51" s="194" t="inlineStr">
        <is>
          <t>Según F 103</t>
        </is>
      </c>
      <c r="C51" s="50">
        <f>+'DM7 Retenciones x pagar'!N32+'DM7 Retenciones x pagar'!U56</f>
        <v/>
      </c>
    </row>
    <row r="52" ht="13.5" customHeight="1" thickBot="1">
      <c r="B52" s="194" t="inlineStr">
        <is>
          <t>Diferencia</t>
        </is>
      </c>
      <c r="C52" s="51">
        <f>+C49-C51</f>
        <v/>
      </c>
      <c r="D52" s="14" t="inlineStr">
        <is>
          <t xml:space="preserve">‡ </t>
        </is>
      </c>
      <c r="E52" s="390" t="inlineStr">
        <is>
          <t>Facilidades de pago IR 2022</t>
        </is>
      </c>
    </row>
    <row r="53" ht="13.5" customHeight="1" thickTop="1">
      <c r="C53" s="30" t="n"/>
    </row>
    <row r="54" hidden="1">
      <c r="C54" s="30" t="n"/>
    </row>
    <row r="55" hidden="1">
      <c r="A55" s="20" t="inlineStr">
        <is>
          <t>Código</t>
        </is>
      </c>
      <c r="B55" s="20" t="inlineStr">
        <is>
          <t>Cuenta</t>
        </is>
      </c>
      <c r="C55" s="20" t="inlineStr">
        <is>
          <t>Valor US$</t>
        </is>
      </c>
    </row>
    <row r="56" hidden="1">
      <c r="A56" s="211" t="n"/>
      <c r="B56" s="211">
        <f>+'DM2 Cédula Sumaria'!#REF!</f>
        <v/>
      </c>
      <c r="C56" s="217" t="n">
        <v>0</v>
      </c>
    </row>
    <row r="57" hidden="1">
      <c r="A57" s="211" t="n"/>
      <c r="B57" s="211" t="n"/>
      <c r="C57" s="218" t="n"/>
    </row>
    <row r="58" hidden="1">
      <c r="C58" s="537" t="n"/>
    </row>
    <row r="59" hidden="1">
      <c r="B59" s="194" t="inlineStr">
        <is>
          <t>Según libros</t>
        </is>
      </c>
      <c r="C59" s="538">
        <f>SUM(C56:C58)</f>
        <v/>
      </c>
      <c r="D59" s="49" t="inlineStr">
        <is>
          <t>ü</t>
        </is>
      </c>
    </row>
    <row r="60" hidden="1">
      <c r="C60" s="215" t="n"/>
    </row>
    <row r="61" hidden="1">
      <c r="B61" s="194" t="inlineStr">
        <is>
          <t xml:space="preserve">Según F 103 </t>
        </is>
      </c>
      <c r="C61" s="50">
        <f>+'DM7 Retenciones x pagar'!U56</f>
        <v/>
      </c>
    </row>
    <row r="62" hidden="1" ht="13.5" customHeight="1" thickBot="1">
      <c r="B62" s="194" t="inlineStr">
        <is>
          <t>Diferencia</t>
        </is>
      </c>
      <c r="C62" s="51">
        <f>+C59-C61</f>
        <v/>
      </c>
      <c r="D62" s="14" t="inlineStr">
        <is>
          <t xml:space="preserve">‡ </t>
        </is>
      </c>
    </row>
    <row r="63" hidden="1">
      <c r="C63" s="30" t="n"/>
    </row>
    <row r="64" hidden="1">
      <c r="C64" s="30" t="n"/>
    </row>
    <row r="65" hidden="1">
      <c r="A65" s="20" t="inlineStr">
        <is>
          <t>Código</t>
        </is>
      </c>
      <c r="B65" s="20" t="inlineStr">
        <is>
          <t>Cuenta</t>
        </is>
      </c>
      <c r="C65" s="20" t="inlineStr">
        <is>
          <t>Valor US$</t>
        </is>
      </c>
    </row>
    <row r="66" hidden="1">
      <c r="B66" s="211">
        <f>+'DM2 Cédula Sumaria'!#REF!</f>
        <v/>
      </c>
      <c r="C66" s="219" t="n">
        <v>0</v>
      </c>
    </row>
    <row r="67" hidden="1">
      <c r="B67" s="211" t="n"/>
      <c r="C67" s="220" t="n"/>
    </row>
    <row r="68" hidden="1">
      <c r="C68" s="215" t="n"/>
    </row>
    <row r="69" hidden="1">
      <c r="B69" s="194" t="inlineStr">
        <is>
          <t>Según libros</t>
        </is>
      </c>
      <c r="C69" s="215">
        <f>SUM(C66:C68)</f>
        <v/>
      </c>
      <c r="D69" s="49" t="inlineStr">
        <is>
          <t>ü</t>
        </is>
      </c>
    </row>
    <row r="70" hidden="1">
      <c r="C70" s="215" t="n"/>
    </row>
    <row r="71" hidden="1">
      <c r="B71" s="194" t="inlineStr">
        <is>
          <t>Según Formulario 104</t>
        </is>
      </c>
      <c r="C71" s="50">
        <f>+'DM7 Retenciones x pagar'!G32</f>
        <v/>
      </c>
    </row>
    <row r="72" hidden="1" ht="13.5" customHeight="1" thickBot="1">
      <c r="B72" s="194" t="inlineStr">
        <is>
          <t>Diferencia</t>
        </is>
      </c>
      <c r="C72" s="51">
        <f>+C69-C71</f>
        <v/>
      </c>
      <c r="D72" s="14" t="inlineStr">
        <is>
          <t xml:space="preserve">‡ </t>
        </is>
      </c>
    </row>
    <row r="73" hidden="1">
      <c r="C73" s="30" t="n"/>
    </row>
    <row r="74" hidden="1">
      <c r="C74" s="30" t="n"/>
    </row>
    <row r="75" hidden="1">
      <c r="A75" s="47" t="inlineStr">
        <is>
          <t>Código</t>
        </is>
      </c>
      <c r="B75" s="47" t="inlineStr">
        <is>
          <t>Cuenta</t>
        </is>
      </c>
      <c r="C75" s="47" t="inlineStr">
        <is>
          <t>Valor US$</t>
        </is>
      </c>
    </row>
    <row r="76" hidden="1">
      <c r="A76" s="221" t="inlineStr">
        <is>
          <t>1.01.05.03.01</t>
        </is>
      </c>
      <c r="B76" s="194" t="inlineStr">
        <is>
          <t xml:space="preserve"> Anticipo de impuesto a la renta</t>
        </is>
      </c>
      <c r="C76" s="217" t="n">
        <v>0</v>
      </c>
    </row>
    <row r="77" hidden="1">
      <c r="A77" s="221" t="n"/>
      <c r="C77" s="218" t="n"/>
    </row>
    <row r="78" hidden="1">
      <c r="A78" s="222" t="n"/>
      <c r="B78" s="211" t="inlineStr">
        <is>
          <t>Según libros</t>
        </is>
      </c>
      <c r="C78" s="31">
        <f>SUM(C76:C77)</f>
        <v/>
      </c>
    </row>
    <row r="79" hidden="1">
      <c r="C79" s="217" t="n"/>
    </row>
    <row r="80" hidden="1">
      <c r="B80" s="194" t="inlineStr">
        <is>
          <t>Según F 115 07</t>
        </is>
      </c>
      <c r="C80" s="50" t="n">
        <v>0</v>
      </c>
    </row>
    <row r="81" hidden="1">
      <c r="B81" s="194" t="inlineStr">
        <is>
          <t>Según F 115 09</t>
        </is>
      </c>
      <c r="C81" s="50" t="n">
        <v>0</v>
      </c>
    </row>
    <row r="82" hidden="1" ht="13.5" customHeight="1" thickBot="1">
      <c r="B82" s="194" t="inlineStr">
        <is>
          <t>Diferencia</t>
        </is>
      </c>
      <c r="C82" s="51">
        <f>+C78-C80-C81</f>
        <v/>
      </c>
    </row>
    <row r="83" hidden="1">
      <c r="C83" s="223" t="n"/>
    </row>
    <row r="84" hidden="1">
      <c r="A84" s="52" t="n"/>
      <c r="B84" s="217" t="n"/>
      <c r="C84" s="223" t="n"/>
    </row>
    <row r="85" hidden="1">
      <c r="B85" s="217" t="n"/>
      <c r="C85" s="223" t="n"/>
    </row>
    <row r="86" hidden="1">
      <c r="A86" s="170" t="inlineStr">
        <is>
          <t>Código</t>
        </is>
      </c>
      <c r="B86" s="170" t="inlineStr">
        <is>
          <t>Cuenta</t>
        </is>
      </c>
      <c r="C86" s="170" t="inlineStr">
        <is>
          <t>Valor US$</t>
        </is>
      </c>
    </row>
    <row r="87" hidden="1">
      <c r="A87" s="211" t="n"/>
      <c r="B87" s="211" t="n"/>
      <c r="C87" s="217" t="n"/>
    </row>
    <row r="88" hidden="1">
      <c r="A88" s="211" t="n"/>
      <c r="B88" s="211" t="n"/>
      <c r="C88" s="217" t="n"/>
    </row>
    <row r="89" hidden="1">
      <c r="A89" s="211" t="n"/>
      <c r="B89" s="211" t="n"/>
      <c r="C89" s="217" t="n"/>
    </row>
    <row r="90" hidden="1">
      <c r="A90" s="209" t="n"/>
      <c r="B90" s="209" t="n"/>
      <c r="C90" s="213" t="n"/>
    </row>
    <row r="91" hidden="1">
      <c r="C91" s="537" t="n"/>
    </row>
    <row r="92" hidden="1">
      <c r="B92" s="194" t="inlineStr">
        <is>
          <t>Según libros</t>
        </is>
      </c>
      <c r="C92" s="538">
        <f>SUM(C87:C91)</f>
        <v/>
      </c>
      <c r="D92" s="49" t="inlineStr">
        <is>
          <t>ü</t>
        </is>
      </c>
    </row>
    <row r="93" hidden="1">
      <c r="C93" s="215" t="n"/>
    </row>
    <row r="94" hidden="1">
      <c r="B94" s="194" t="inlineStr">
        <is>
          <t>Según F 104</t>
        </is>
      </c>
      <c r="C94" s="50">
        <f>+'DM7 Retenciones x pagar'!N29</f>
        <v/>
      </c>
    </row>
    <row r="95" hidden="1" ht="13.5" customHeight="1" thickBot="1">
      <c r="B95" s="194" t="inlineStr">
        <is>
          <t>Diferencia</t>
        </is>
      </c>
      <c r="C95" s="51">
        <f>+C92+C94</f>
        <v/>
      </c>
      <c r="D95" s="14" t="inlineStr">
        <is>
          <t xml:space="preserve">‡ </t>
        </is>
      </c>
    </row>
    <row r="96" hidden="1" ht="13.5" customHeight="1" thickTop="1"/>
    <row r="98">
      <c r="A98" s="8" t="n"/>
    </row>
    <row r="99">
      <c r="A99" s="8" t="n"/>
    </row>
    <row r="100">
      <c r="A100" s="5" t="inlineStr">
        <is>
          <t>Marcas:</t>
        </is>
      </c>
      <c r="B100" s="209" t="n"/>
      <c r="C100" s="223" t="n"/>
    </row>
    <row r="101">
      <c r="A101" s="54" t="inlineStr">
        <is>
          <t>ü</t>
        </is>
      </c>
      <c r="B101" s="69" t="inlineStr">
        <is>
          <t>Verificado, comprobado, cotejado (con libros).</t>
        </is>
      </c>
      <c r="C101" s="223" t="n"/>
    </row>
    <row r="102">
      <c r="A102" s="13" t="inlineStr">
        <is>
          <t xml:space="preserve">‡ </t>
        </is>
      </c>
      <c r="B102" s="86" t="inlineStr">
        <is>
          <t>Diferencia determinada.</t>
        </is>
      </c>
      <c r="C102" s="223" t="n"/>
    </row>
  </sheetData>
  <mergeCells count="12">
    <mergeCell ref="D6:E6"/>
    <mergeCell ref="D7:E7"/>
    <mergeCell ref="A7:B7"/>
    <mergeCell ref="A5:C5"/>
    <mergeCell ref="D5:E5"/>
    <mergeCell ref="D4:E4"/>
    <mergeCell ref="A1:E2"/>
    <mergeCell ref="A9:B9"/>
    <mergeCell ref="A4:C4"/>
    <mergeCell ref="A8:B8"/>
    <mergeCell ref="A6:B6"/>
    <mergeCell ref="A3:E3"/>
  </mergeCells>
  <pageMargins left="0.7" right="0.7" top="0.75" bottom="0.75" header="0.3" footer="0.3"/>
  <pageSetup orientation="portrait" paperSize="9" scale="69"/>
  <colBreaks count="1" manualBreakCount="1">
    <brk id="4" min="0" max="1048575" man="1"/>
  </colBreaks>
</worksheet>
</file>

<file path=xl/worksheets/sheet5.xml><?xml version="1.0" encoding="utf-8"?>
<worksheet xmlns="http://schemas.openxmlformats.org/spreadsheetml/2006/main">
  <sheetPr>
    <outlinePr summaryBelow="1" summaryRight="1"/>
    <pageSetUpPr/>
  </sheetPr>
  <dimension ref="A1:R81"/>
  <sheetViews>
    <sheetView showGridLines="0" topLeftCell="B34" zoomScale="90" zoomScaleNormal="90" workbookViewId="0">
      <selection activeCell="N52" sqref="N52"/>
    </sheetView>
  </sheetViews>
  <sheetFormatPr baseColWidth="10" defaultColWidth="11.42578125" defaultRowHeight="12.75"/>
  <cols>
    <col width="24.140625" customWidth="1" style="222" min="1" max="1"/>
    <col width="22.5703125" customWidth="1" style="194" min="2" max="2"/>
    <col width="12.140625" customWidth="1" style="217" min="3" max="12"/>
    <col width="13.85546875" customWidth="1" style="217" min="13" max="13"/>
    <col width="13.7109375" customWidth="1" style="217" min="14" max="14"/>
    <col width="14.85546875" bestFit="1" customWidth="1" style="212" min="15" max="15"/>
    <col width="11.42578125" customWidth="1" style="217" min="16" max="16"/>
    <col width="11.42578125" customWidth="1" style="194" min="17" max="16384"/>
  </cols>
  <sheetData>
    <row r="1" ht="32.25" customHeight="1">
      <c r="A1" s="531" t="inlineStr">
        <is>
          <t>OBLIGACIONES FISCALES</t>
        </is>
      </c>
      <c r="B1" s="513" t="n"/>
      <c r="C1" s="513" t="n"/>
      <c r="D1" s="513" t="n"/>
      <c r="E1" s="514" t="n"/>
    </row>
    <row r="2" ht="18" customHeight="1" thickBot="1">
      <c r="A2" s="515" t="n"/>
      <c r="B2" s="516" t="n"/>
      <c r="C2" s="516" t="n"/>
      <c r="D2" s="516" t="n"/>
      <c r="E2" s="517" t="n"/>
    </row>
    <row r="3" ht="34.5" customHeight="1" thickBot="1">
      <c r="A3" s="532" t="inlineStr">
        <is>
          <t>Compras e IVA en compras</t>
        </is>
      </c>
      <c r="B3" s="519" t="n"/>
      <c r="C3" s="519" t="n"/>
      <c r="D3" s="519" t="n"/>
      <c r="E3" s="520" t="n"/>
      <c r="F3" s="27" t="n"/>
      <c r="G3" s="27" t="n"/>
      <c r="H3" s="194" t="n"/>
      <c r="I3" s="194" t="n"/>
    </row>
    <row r="4" ht="5.25" customHeight="1" thickBot="1">
      <c r="A4" s="202" t="n"/>
      <c r="B4" s="15" t="n"/>
      <c r="C4" s="15" t="n"/>
      <c r="D4" s="15" t="n"/>
      <c r="E4" s="199" t="n"/>
      <c r="F4" s="194" t="n"/>
      <c r="G4" s="194" t="n"/>
      <c r="H4" s="194" t="n"/>
      <c r="I4" s="194" t="n"/>
    </row>
    <row r="5">
      <c r="A5" s="443" t="inlineStr">
        <is>
          <t>Nombre del cliente</t>
        </is>
      </c>
      <c r="B5" s="513" t="n"/>
      <c r="C5" s="513" t="n"/>
      <c r="D5" s="445" t="inlineStr">
        <is>
          <t>Periodo terminado</t>
        </is>
      </c>
      <c r="E5" s="514" t="n"/>
      <c r="F5" s="194" t="n"/>
      <c r="G5" s="194" t="n"/>
      <c r="H5" s="194" t="n"/>
      <c r="I5" s="194" t="n"/>
    </row>
    <row r="6" ht="12.75" customHeight="1" thickBot="1">
      <c r="A6" s="446">
        <f>+'DM3 Revisión de saldos'!A5:C5</f>
        <v/>
      </c>
      <c r="B6" s="521" t="n"/>
      <c r="C6" s="521" t="n"/>
      <c r="D6" s="533">
        <f>+'DM3 Revisión de saldos'!D5:E5</f>
        <v/>
      </c>
      <c r="E6" s="523" t="n"/>
      <c r="F6" s="194" t="n"/>
      <c r="G6" s="194" t="n"/>
      <c r="H6" s="194" t="n"/>
      <c r="I6" s="194" t="n"/>
      <c r="O6" s="206" t="n"/>
    </row>
    <row r="7" ht="12.75" customHeight="1">
      <c r="A7" s="429" t="inlineStr">
        <is>
          <t xml:space="preserve">Preparado por: </t>
        </is>
      </c>
      <c r="B7" s="513" t="n"/>
      <c r="C7" s="158" t="inlineStr">
        <is>
          <t>Fecha:</t>
        </is>
      </c>
      <c r="D7" s="431" t="inlineStr">
        <is>
          <t>Referencia</t>
        </is>
      </c>
      <c r="E7" s="514" t="n"/>
      <c r="F7" s="194" t="n"/>
      <c r="G7" s="194" t="n"/>
      <c r="H7" s="194" t="n"/>
      <c r="I7" s="194" t="n"/>
      <c r="O7" s="206" t="n"/>
    </row>
    <row r="8" ht="12.75" customHeight="1" thickBot="1">
      <c r="A8" s="427">
        <f>+'DM3 Revisión de saldos'!A7:B7</f>
        <v/>
      </c>
      <c r="B8" s="521" t="n"/>
      <c r="C8" s="159">
        <f>+'DM3 Revisión de saldos'!C7</f>
        <v/>
      </c>
      <c r="D8" s="433" t="inlineStr">
        <is>
          <t>DM4</t>
        </is>
      </c>
      <c r="E8" s="523" t="n"/>
      <c r="F8" s="194" t="n"/>
      <c r="G8" s="194" t="n"/>
      <c r="H8" s="194" t="n"/>
      <c r="I8" s="194" t="n"/>
      <c r="O8" s="206" t="n"/>
    </row>
    <row r="9">
      <c r="A9" s="429" t="inlineStr">
        <is>
          <t xml:space="preserve">Revisado por: </t>
        </is>
      </c>
      <c r="B9" s="513" t="n"/>
      <c r="C9" s="158" t="inlineStr">
        <is>
          <t>Fecha:</t>
        </is>
      </c>
      <c r="D9" s="160" t="n"/>
      <c r="E9" s="195" t="n"/>
      <c r="F9" s="194" t="n"/>
      <c r="G9" s="194" t="n"/>
      <c r="H9" s="194" t="n"/>
      <c r="I9" s="194" t="n"/>
    </row>
    <row r="10" ht="13.5" customHeight="1" thickBot="1">
      <c r="A10" s="427">
        <f>+'DM3 Revisión de saldos'!A9:B9</f>
        <v/>
      </c>
      <c r="B10" s="521" t="n"/>
      <c r="C10" s="161" t="n"/>
      <c r="D10" s="162" t="n"/>
      <c r="E10" s="196" t="n"/>
      <c r="F10" s="194" t="n"/>
      <c r="G10" s="194" t="n"/>
      <c r="H10" s="194" t="n"/>
      <c r="I10" s="194" t="n"/>
    </row>
    <row r="11">
      <c r="A11" s="8" t="n"/>
      <c r="C11" s="194" t="n"/>
      <c r="D11" s="194" t="n"/>
      <c r="E11" s="194" t="n"/>
      <c r="F11" s="9" t="n"/>
      <c r="G11" s="9" t="n"/>
      <c r="H11" s="9" t="n"/>
      <c r="I11" s="9" t="n"/>
      <c r="J11" s="9" t="n"/>
      <c r="K11" s="9" t="n"/>
      <c r="L11" s="9" t="n"/>
      <c r="M11" s="9" t="n"/>
      <c r="N11" s="9" t="n"/>
      <c r="O11" s="9" t="n"/>
    </row>
    <row r="12">
      <c r="B12" s="9" t="n"/>
      <c r="C12" s="9" t="n"/>
      <c r="D12" s="9" t="n"/>
      <c r="E12" s="9" t="n"/>
      <c r="F12" s="9" t="n"/>
      <c r="G12" s="9" t="n"/>
      <c r="H12" s="9" t="n"/>
      <c r="I12" s="9" t="n"/>
      <c r="J12" s="9" t="n"/>
      <c r="K12" s="9" t="n"/>
      <c r="L12" s="9" t="n"/>
      <c r="M12" s="9" t="n"/>
      <c r="N12" s="9" t="n"/>
      <c r="O12" s="9" t="n"/>
    </row>
    <row r="13">
      <c r="B13" s="9" t="n"/>
      <c r="C13" s="9" t="n"/>
      <c r="D13" s="9" t="n"/>
      <c r="E13" s="9" t="n"/>
      <c r="F13" s="9" t="n"/>
      <c r="G13" s="9" t="n"/>
      <c r="H13" s="9" t="n"/>
      <c r="I13" s="9" t="n"/>
      <c r="J13" s="9" t="n"/>
      <c r="K13" s="9" t="n"/>
      <c r="L13" s="9" t="n"/>
      <c r="M13" s="9" t="n"/>
      <c r="N13" s="9" t="n"/>
      <c r="O13" s="9" t="n"/>
    </row>
    <row r="14">
      <c r="A14" s="28" t="n"/>
      <c r="P14" s="212" t="n"/>
    </row>
    <row r="15">
      <c r="A15" s="539" t="inlineStr">
        <is>
          <t>IVA EN COMPRAS</t>
        </is>
      </c>
      <c r="B15" s="451" t="inlineStr">
        <is>
          <t>Cuenta</t>
        </is>
      </c>
      <c r="C15" s="171" t="inlineStr">
        <is>
          <t>Enero</t>
        </is>
      </c>
      <c r="D15" s="171" t="inlineStr">
        <is>
          <t>Febrero</t>
        </is>
      </c>
      <c r="E15" s="171" t="inlineStr">
        <is>
          <t>Marzo</t>
        </is>
      </c>
      <c r="F15" s="171" t="inlineStr">
        <is>
          <t>Abril</t>
        </is>
      </c>
      <c r="G15" s="171" t="inlineStr">
        <is>
          <t>Mayo</t>
        </is>
      </c>
      <c r="H15" s="171" t="inlineStr">
        <is>
          <t>Junio</t>
        </is>
      </c>
      <c r="I15" s="171" t="inlineStr">
        <is>
          <t>Julio</t>
        </is>
      </c>
      <c r="J15" s="171" t="inlineStr">
        <is>
          <t>Agosto</t>
        </is>
      </c>
      <c r="K15" s="171" t="inlineStr">
        <is>
          <t>Septiembre</t>
        </is>
      </c>
      <c r="L15" s="171" t="inlineStr">
        <is>
          <t>Octubre</t>
        </is>
      </c>
      <c r="M15" s="171" t="inlineStr">
        <is>
          <t>Noviembre</t>
        </is>
      </c>
      <c r="N15" s="171" t="inlineStr">
        <is>
          <t>Diciembre</t>
        </is>
      </c>
      <c r="O15" s="171" t="inlineStr">
        <is>
          <t>Total</t>
        </is>
      </c>
      <c r="P15" s="212" t="n"/>
    </row>
    <row r="16">
      <c r="A16" s="540" t="n"/>
      <c r="B16" s="503" t="inlineStr">
        <is>
          <t>IVA Activos Fijos</t>
        </is>
      </c>
      <c r="C16" s="225" t="n">
        <v>0</v>
      </c>
      <c r="D16" s="225" t="n">
        <v>0</v>
      </c>
      <c r="E16" s="225" t="n">
        <v>0</v>
      </c>
      <c r="F16" s="225" t="n">
        <v>0</v>
      </c>
      <c r="G16" s="225" t="n">
        <v>0</v>
      </c>
      <c r="H16" s="225" t="n">
        <v>0</v>
      </c>
      <c r="I16" s="225" t="n">
        <v>0</v>
      </c>
      <c r="J16" s="225" t="n">
        <v>0</v>
      </c>
      <c r="K16" s="225" t="n">
        <v>0</v>
      </c>
      <c r="L16" s="225" t="n">
        <v>0</v>
      </c>
      <c r="M16" s="225" t="n">
        <v>0</v>
      </c>
      <c r="N16" s="225" t="n">
        <v>0</v>
      </c>
      <c r="O16" s="88">
        <f>SUM(C16:N16)</f>
        <v/>
      </c>
      <c r="P16" s="212" t="n"/>
    </row>
    <row r="17">
      <c r="A17" s="540" t="n"/>
      <c r="B17" s="226" t="inlineStr">
        <is>
          <t xml:space="preserve">IVA Compras </t>
        </is>
      </c>
      <c r="C17" s="385" t="n"/>
      <c r="D17" s="385" t="n"/>
      <c r="E17" s="225" t="n"/>
      <c r="F17" s="385" t="n"/>
      <c r="G17" s="225" t="n"/>
      <c r="H17" s="225" t="n"/>
      <c r="I17" s="225" t="n"/>
      <c r="J17" s="385" t="n"/>
      <c r="K17" s="225" t="n"/>
      <c r="L17" s="385" t="n"/>
      <c r="M17" s="225" t="n"/>
      <c r="N17" s="385" t="n"/>
      <c r="O17" s="88">
        <f>SUM(C17:N17)</f>
        <v/>
      </c>
      <c r="P17" s="212" t="n"/>
    </row>
    <row r="18">
      <c r="A18" s="540" t="n"/>
      <c r="B18" s="226" t="inlineStr">
        <is>
          <t>IVA Compras 5%</t>
        </is>
      </c>
      <c r="C18" s="225" t="n">
        <v>0</v>
      </c>
      <c r="D18" s="225" t="n"/>
      <c r="E18" s="225" t="n"/>
      <c r="F18" s="225" t="n">
        <v>0</v>
      </c>
      <c r="G18" s="225" t="n"/>
      <c r="H18" s="225" t="n">
        <v>0</v>
      </c>
      <c r="I18" s="225" t="n">
        <v>0</v>
      </c>
      <c r="J18" s="225" t="n">
        <v>0</v>
      </c>
      <c r="K18" s="225" t="n">
        <v>0</v>
      </c>
      <c r="L18" s="225" t="n">
        <v>0</v>
      </c>
      <c r="M18" s="225" t="n">
        <v>0</v>
      </c>
      <c r="N18" s="225" t="n"/>
      <c r="O18" s="88">
        <f>SUM(C18:N18)</f>
        <v/>
      </c>
      <c r="P18" s="212" t="n"/>
    </row>
    <row r="19">
      <c r="A19" s="540" t="n"/>
      <c r="B19" s="226" t="inlineStr">
        <is>
          <t>IVA que se carga al Gasto</t>
        </is>
      </c>
      <c r="C19" s="225" t="n">
        <v>0</v>
      </c>
      <c r="D19" s="225" t="n">
        <v>0</v>
      </c>
      <c r="E19" s="225" t="n">
        <v>0</v>
      </c>
      <c r="F19" s="225" t="n">
        <v>0</v>
      </c>
      <c r="G19" s="225" t="n">
        <v>0</v>
      </c>
      <c r="H19" s="225" t="n">
        <v>0</v>
      </c>
      <c r="I19" s="225" t="n">
        <v>0</v>
      </c>
      <c r="J19" s="225" t="n">
        <v>0</v>
      </c>
      <c r="K19" s="225" t="n">
        <v>0</v>
      </c>
      <c r="L19" s="225" t="n">
        <v>0</v>
      </c>
      <c r="M19" s="225" t="n">
        <v>0</v>
      </c>
      <c r="N19" s="225" t="n">
        <v>0</v>
      </c>
      <c r="O19" s="88">
        <f>SUM(C19:N19)</f>
        <v/>
      </c>
      <c r="P19" s="212" t="n"/>
    </row>
    <row r="20">
      <c r="A20" s="540" t="n"/>
      <c r="B20" s="172" t="inlineStr">
        <is>
          <t xml:space="preserve">Según libros </t>
        </is>
      </c>
      <c r="C20" s="173">
        <f>SUM(C16:C19)</f>
        <v/>
      </c>
      <c r="D20" s="173">
        <f>SUM(D16:D19)</f>
        <v/>
      </c>
      <c r="E20" s="173">
        <f>SUM(E16:E19)</f>
        <v/>
      </c>
      <c r="F20" s="173">
        <f>SUM(F16:F19)</f>
        <v/>
      </c>
      <c r="G20" s="173">
        <f>SUM(G16:G19)</f>
        <v/>
      </c>
      <c r="H20" s="173">
        <f>SUM(H16:H19)</f>
        <v/>
      </c>
      <c r="I20" s="173">
        <f>SUM(I16:I19)</f>
        <v/>
      </c>
      <c r="J20" s="173">
        <f>SUM(J16:J19)</f>
        <v/>
      </c>
      <c r="K20" s="173">
        <f>SUM(K16:K19)</f>
        <v/>
      </c>
      <c r="L20" s="173">
        <f>SUM(L16:L19)</f>
        <v/>
      </c>
      <c r="M20" s="173">
        <f>SUM(M16:M19)</f>
        <v/>
      </c>
      <c r="N20" s="173">
        <f>SUM(N16:N19)</f>
        <v/>
      </c>
      <c r="O20" s="173">
        <f>SUM(O16:O19)</f>
        <v/>
      </c>
      <c r="P20" s="2" t="n"/>
    </row>
    <row r="21">
      <c r="A21" s="540" t="n"/>
      <c r="C21" s="215" t="n"/>
      <c r="D21" s="215" t="n"/>
      <c r="E21" s="215" t="n"/>
      <c r="F21" s="215" t="n"/>
      <c r="G21" s="215" t="n"/>
      <c r="H21" s="215" t="n"/>
      <c r="I21" s="215" t="n"/>
      <c r="J21" s="215" t="n"/>
      <c r="K21" s="215" t="n"/>
      <c r="L21" s="215" t="n"/>
      <c r="M21" s="215" t="n"/>
      <c r="N21" s="215" t="n"/>
      <c r="O21" s="219" t="n"/>
    </row>
    <row r="22">
      <c r="A22" s="540" t="n"/>
      <c r="B22" s="226" t="inlineStr">
        <is>
          <t>Casillero 520</t>
        </is>
      </c>
      <c r="C22" s="225" t="n"/>
      <c r="D22" s="225" t="n"/>
      <c r="E22" s="225" t="n"/>
      <c r="F22" s="225" t="n"/>
      <c r="G22" s="225" t="n"/>
      <c r="H22" s="225" t="n"/>
      <c r="I22" s="225" t="n"/>
      <c r="J22" s="225" t="n"/>
      <c r="K22" s="385" t="n"/>
      <c r="L22" s="225" t="n"/>
      <c r="M22" s="225" t="n"/>
      <c r="N22" s="225" t="n"/>
      <c r="O22" s="88">
        <f>SUM(C22:N22)</f>
        <v/>
      </c>
    </row>
    <row r="23">
      <c r="A23" s="540" t="n"/>
      <c r="B23" s="226" t="inlineStr">
        <is>
          <t>Casillero 521</t>
        </is>
      </c>
      <c r="C23" s="225" t="n"/>
      <c r="D23" s="225" t="n"/>
      <c r="E23" s="225" t="n">
        <v>0</v>
      </c>
      <c r="F23" s="225" t="n">
        <v>0</v>
      </c>
      <c r="G23" s="225" t="n"/>
      <c r="H23" s="225" t="n">
        <v>0</v>
      </c>
      <c r="I23" s="225" t="n">
        <v>0</v>
      </c>
      <c r="J23" s="225" t="n">
        <v>0</v>
      </c>
      <c r="K23" s="225" t="n"/>
      <c r="L23" s="225" t="n">
        <v>0</v>
      </c>
      <c r="M23" s="225" t="n"/>
      <c r="N23" s="225" t="n"/>
      <c r="O23" s="88">
        <f>SUM(C23:N23)</f>
        <v/>
      </c>
    </row>
    <row r="24">
      <c r="A24" s="540" t="n"/>
      <c r="B24" s="226" t="inlineStr">
        <is>
          <t>Casillero 522</t>
        </is>
      </c>
      <c r="C24" s="225" t="n"/>
      <c r="D24" s="225" t="n"/>
      <c r="E24" s="225" t="n"/>
      <c r="F24" s="225" t="n"/>
      <c r="G24" s="225" t="n"/>
      <c r="H24" s="225" t="n"/>
      <c r="I24" s="225" t="n"/>
      <c r="J24" s="225" t="n"/>
      <c r="K24" s="225" t="n"/>
      <c r="L24" s="225" t="n"/>
      <c r="M24" s="225" t="n"/>
      <c r="N24" s="225" t="n"/>
      <c r="O24" s="88">
        <f>SUM(C24:N24)</f>
        <v/>
      </c>
      <c r="P24" s="541" t="n"/>
    </row>
    <row r="25">
      <c r="A25" s="540" t="n"/>
      <c r="B25" s="226" t="inlineStr">
        <is>
          <t>Casillero 523</t>
        </is>
      </c>
      <c r="C25" s="225" t="n">
        <v>0</v>
      </c>
      <c r="D25" s="225" t="n">
        <v>0</v>
      </c>
      <c r="E25" s="225" t="n">
        <v>0</v>
      </c>
      <c r="F25" s="225" t="n">
        <v>0</v>
      </c>
      <c r="G25" s="225" t="n">
        <v>0</v>
      </c>
      <c r="H25" s="225" t="n">
        <v>0</v>
      </c>
      <c r="I25" s="225" t="n">
        <v>0</v>
      </c>
      <c r="J25" s="225" t="n">
        <v>0</v>
      </c>
      <c r="K25" s="225" t="n">
        <v>0</v>
      </c>
      <c r="L25" s="225" t="n">
        <v>0</v>
      </c>
      <c r="M25" s="225" t="n">
        <v>0</v>
      </c>
      <c r="N25" s="225" t="n">
        <v>0</v>
      </c>
      <c r="O25" s="88">
        <f>SUM(C25:N25)</f>
        <v/>
      </c>
      <c r="P25" s="541" t="n"/>
    </row>
    <row r="26">
      <c r="A26" s="540" t="n"/>
      <c r="B26" s="226" t="inlineStr">
        <is>
          <t>Casillero 524</t>
        </is>
      </c>
      <c r="C26" s="225" t="n">
        <v>0</v>
      </c>
      <c r="D26" s="225" t="n">
        <v>0</v>
      </c>
      <c r="E26" s="225" t="n">
        <v>0</v>
      </c>
      <c r="F26" s="225" t="n">
        <v>0</v>
      </c>
      <c r="G26" s="225" t="n">
        <v>0</v>
      </c>
      <c r="H26" s="225" t="n">
        <v>0</v>
      </c>
      <c r="I26" s="225" t="n">
        <v>0</v>
      </c>
      <c r="J26" s="225" t="n">
        <v>0</v>
      </c>
      <c r="K26" s="225" t="n">
        <v>0</v>
      </c>
      <c r="L26" s="225" t="n">
        <v>0</v>
      </c>
      <c r="M26" s="225" t="n">
        <v>0</v>
      </c>
      <c r="N26" s="225" t="n">
        <v>0</v>
      </c>
      <c r="O26" s="88">
        <f>SUM(C26:N26)</f>
        <v/>
      </c>
      <c r="P26" s="541" t="n"/>
    </row>
    <row r="27">
      <c r="A27" s="540" t="n"/>
      <c r="B27" s="226" t="inlineStr">
        <is>
          <t>Casillero 525</t>
        </is>
      </c>
      <c r="C27" s="225" t="n">
        <v>0</v>
      </c>
      <c r="D27" s="225" t="n">
        <v>0</v>
      </c>
      <c r="E27" s="225" t="n">
        <v>0</v>
      </c>
      <c r="F27" s="225" t="n">
        <v>0</v>
      </c>
      <c r="G27" s="225" t="n">
        <v>0</v>
      </c>
      <c r="H27" s="225" t="n">
        <v>0</v>
      </c>
      <c r="I27" s="225" t="n">
        <v>0</v>
      </c>
      <c r="J27" s="225" t="n">
        <v>0</v>
      </c>
      <c r="K27" s="225" t="n">
        <v>0</v>
      </c>
      <c r="L27" s="225" t="n">
        <v>0</v>
      </c>
      <c r="M27" s="225" t="n">
        <v>0</v>
      </c>
      <c r="N27" s="225" t="n">
        <v>0</v>
      </c>
      <c r="O27" s="88">
        <f>SUM(C27:N27)</f>
        <v/>
      </c>
      <c r="P27" s="541" t="n"/>
    </row>
    <row r="28">
      <c r="A28" s="540" t="n"/>
      <c r="B28" s="226" t="inlineStr">
        <is>
          <t>Casillero 526</t>
        </is>
      </c>
      <c r="C28" s="225" t="n">
        <v>0</v>
      </c>
      <c r="D28" s="225" t="n">
        <v>0</v>
      </c>
      <c r="E28" s="225" t="n">
        <v>0</v>
      </c>
      <c r="F28" s="225" t="n">
        <v>0</v>
      </c>
      <c r="G28" s="225" t="n">
        <v>0</v>
      </c>
      <c r="H28" s="225" t="n">
        <v>0</v>
      </c>
      <c r="I28" s="225" t="n">
        <v>0</v>
      </c>
      <c r="J28" s="225" t="n">
        <v>0</v>
      </c>
      <c r="K28" s="225" t="n">
        <v>0</v>
      </c>
      <c r="L28" s="225" t="n">
        <v>0</v>
      </c>
      <c r="M28" s="225" t="n">
        <v>0</v>
      </c>
      <c r="N28" s="225" t="n">
        <v>0</v>
      </c>
      <c r="O28" s="88">
        <f>SUM(C28:N28)</f>
        <v/>
      </c>
      <c r="P28" s="541" t="n"/>
    </row>
    <row r="29">
      <c r="A29" s="540" t="n"/>
      <c r="B29" s="504" t="inlineStr">
        <is>
          <t>Casillero 560</t>
        </is>
      </c>
      <c r="C29" s="225" t="n">
        <v>0</v>
      </c>
      <c r="D29" s="225" t="n"/>
      <c r="E29" s="225" t="n"/>
      <c r="F29" s="225" t="n">
        <v>0</v>
      </c>
      <c r="G29" s="225" t="n"/>
      <c r="H29" s="225" t="n">
        <v>0</v>
      </c>
      <c r="I29" s="225" t="n">
        <v>0</v>
      </c>
      <c r="J29" s="225" t="n">
        <v>0</v>
      </c>
      <c r="K29" s="225" t="n">
        <v>0</v>
      </c>
      <c r="L29" s="225" t="n">
        <v>0</v>
      </c>
      <c r="M29" s="225" t="n">
        <v>0</v>
      </c>
      <c r="N29" s="225" t="n"/>
      <c r="O29" s="88">
        <f>SUM(C29:N29)</f>
        <v/>
      </c>
      <c r="P29" s="541" t="n"/>
    </row>
    <row r="30">
      <c r="A30" s="540" t="n"/>
      <c r="B30" s="226" t="inlineStr">
        <is>
          <t>Casillero 555</t>
        </is>
      </c>
      <c r="C30" s="225" t="n">
        <v>0</v>
      </c>
      <c r="D30" s="225" t="n">
        <v>0</v>
      </c>
      <c r="E30" s="225" t="n">
        <v>0</v>
      </c>
      <c r="F30" s="225" t="n">
        <v>0</v>
      </c>
      <c r="G30" s="225" t="n">
        <v>0</v>
      </c>
      <c r="H30" s="225" t="n">
        <v>0</v>
      </c>
      <c r="I30" s="225" t="n">
        <v>0</v>
      </c>
      <c r="J30" s="225" t="n">
        <v>0</v>
      </c>
      <c r="K30" s="225" t="n">
        <v>0</v>
      </c>
      <c r="L30" s="225" t="n">
        <v>0</v>
      </c>
      <c r="M30" s="225" t="n">
        <v>0</v>
      </c>
      <c r="N30" s="225" t="n">
        <v>0</v>
      </c>
      <c r="O30" s="88">
        <f>SUM(C30:N30)</f>
        <v/>
      </c>
      <c r="P30" s="541" t="n"/>
    </row>
    <row r="31">
      <c r="A31" s="540" t="n"/>
      <c r="B31" s="172" t="inlineStr">
        <is>
          <t>Según declaraciones</t>
        </is>
      </c>
      <c r="C31" s="173">
        <f>SUM(C22:C30)-C24</f>
        <v/>
      </c>
      <c r="D31" s="173">
        <f>SUM(D22:D30)-D24</f>
        <v/>
      </c>
      <c r="E31" s="173">
        <f>SUM(E22:E30)-E24</f>
        <v/>
      </c>
      <c r="F31" s="173">
        <f>SUM(F22:F30)-F24</f>
        <v/>
      </c>
      <c r="G31" s="173">
        <f>SUM(G22:G30)-G24</f>
        <v/>
      </c>
      <c r="H31" s="173">
        <f>SUM(H22:H30)-H24</f>
        <v/>
      </c>
      <c r="I31" s="173">
        <f>SUM(I22:I30)-I24</f>
        <v/>
      </c>
      <c r="J31" s="173">
        <f>SUM(J22:J30)-J24</f>
        <v/>
      </c>
      <c r="K31" s="173">
        <f>SUM(K22:K30)-K24</f>
        <v/>
      </c>
      <c r="L31" s="173">
        <f>SUM(L22:L30)-L24</f>
        <v/>
      </c>
      <c r="M31" s="173">
        <f>SUM(M22:M30)-M24</f>
        <v/>
      </c>
      <c r="N31" s="173">
        <f>SUM(N22:N30)-N24</f>
        <v/>
      </c>
      <c r="O31" s="174">
        <f>SUM(O22:O30)</f>
        <v/>
      </c>
      <c r="P31" s="2" t="n"/>
    </row>
    <row r="32">
      <c r="A32" s="540" t="n"/>
    </row>
    <row r="33">
      <c r="A33" s="542" t="n"/>
      <c r="B33" s="172" t="inlineStr">
        <is>
          <t>Diferencia</t>
        </is>
      </c>
      <c r="C33" s="173">
        <f>+C20-C31</f>
        <v/>
      </c>
      <c r="D33" s="173">
        <f>+D20-D31</f>
        <v/>
      </c>
      <c r="E33" s="173">
        <f>+E20-E31</f>
        <v/>
      </c>
      <c r="F33" s="173">
        <f>+F20-F31</f>
        <v/>
      </c>
      <c r="G33" s="173">
        <f>+G20-G31</f>
        <v/>
      </c>
      <c r="H33" s="173">
        <f>+H20-H31</f>
        <v/>
      </c>
      <c r="I33" s="173">
        <f>+I20-I31</f>
        <v/>
      </c>
      <c r="J33" s="173">
        <f>+J20-J31</f>
        <v/>
      </c>
      <c r="K33" s="173">
        <f>+K20-K31</f>
        <v/>
      </c>
      <c r="L33" s="173">
        <f>+L20-L31</f>
        <v/>
      </c>
      <c r="M33" s="173">
        <f>+M20-M31</f>
        <v/>
      </c>
      <c r="N33" s="173">
        <f>+N20-N31</f>
        <v/>
      </c>
      <c r="O33" s="174">
        <f>SUM(C33:N33)</f>
        <v/>
      </c>
      <c r="P33" s="43" t="n"/>
    </row>
    <row r="34">
      <c r="G34" s="228" t="n"/>
      <c r="J34" s="456" t="n"/>
    </row>
    <row r="35">
      <c r="J35" s="31" t="n"/>
      <c r="K35" s="31" t="n"/>
      <c r="L35" s="31" t="n"/>
      <c r="M35" s="31" t="n"/>
    </row>
    <row r="37">
      <c r="A37" s="539" t="inlineStr">
        <is>
          <t>BASE DE IVA COMPRAS 12%</t>
        </is>
      </c>
      <c r="B37" s="451" t="inlineStr">
        <is>
          <t>Cuenta</t>
        </is>
      </c>
      <c r="C37" s="171" t="inlineStr">
        <is>
          <t>Enero</t>
        </is>
      </c>
      <c r="D37" s="171" t="inlineStr">
        <is>
          <t>Febrero</t>
        </is>
      </c>
      <c r="E37" s="171" t="inlineStr">
        <is>
          <t>Marzo</t>
        </is>
      </c>
      <c r="F37" s="171" t="inlineStr">
        <is>
          <t>Abril</t>
        </is>
      </c>
      <c r="G37" s="171" t="inlineStr">
        <is>
          <t>Mayo</t>
        </is>
      </c>
      <c r="H37" s="171" t="inlineStr">
        <is>
          <t>Junio</t>
        </is>
      </c>
      <c r="I37" s="171" t="inlineStr">
        <is>
          <t>Julio</t>
        </is>
      </c>
      <c r="J37" s="171" t="inlineStr">
        <is>
          <t>Agosto</t>
        </is>
      </c>
      <c r="K37" s="171" t="inlineStr">
        <is>
          <t>Septiembre</t>
        </is>
      </c>
      <c r="L37" s="171" t="inlineStr">
        <is>
          <t>Octubre</t>
        </is>
      </c>
      <c r="M37" s="171" t="inlineStr">
        <is>
          <t>Noviembre</t>
        </is>
      </c>
      <c r="N37" s="171" t="inlineStr">
        <is>
          <t>Diciembre</t>
        </is>
      </c>
      <c r="O37" s="171" t="inlineStr">
        <is>
          <t>Total</t>
        </is>
      </c>
    </row>
    <row r="38">
      <c r="A38" s="540" t="n"/>
      <c r="B38" s="503" t="inlineStr">
        <is>
          <t>Compras 15%</t>
        </is>
      </c>
      <c r="C38" s="225">
        <f>C17/0.15</f>
        <v/>
      </c>
      <c r="D38" s="225">
        <f>D17/0.15</f>
        <v/>
      </c>
      <c r="E38" s="225">
        <f>E17/0.15</f>
        <v/>
      </c>
      <c r="F38" s="225">
        <f>F17/0.15</f>
        <v/>
      </c>
      <c r="G38" s="225">
        <f>G17/0.15</f>
        <v/>
      </c>
      <c r="H38" s="225">
        <f>H17/0.15</f>
        <v/>
      </c>
      <c r="I38" s="225">
        <f>I17/0.15</f>
        <v/>
      </c>
      <c r="J38" s="225">
        <f>J17/0.15</f>
        <v/>
      </c>
      <c r="K38" s="225">
        <f>K17/0.15</f>
        <v/>
      </c>
      <c r="L38" s="225">
        <f>L17/0.15</f>
        <v/>
      </c>
      <c r="M38" s="225">
        <f>M17/0.15</f>
        <v/>
      </c>
      <c r="N38" s="225">
        <f>N17/0.15</f>
        <v/>
      </c>
      <c r="O38" s="88">
        <f>SUM(C38:N38)</f>
        <v/>
      </c>
    </row>
    <row r="39">
      <c r="A39" s="540" t="n"/>
      <c r="B39" s="503" t="inlineStr">
        <is>
          <t>Compras 5%</t>
        </is>
      </c>
      <c r="C39" s="225">
        <f>C18/0.05</f>
        <v/>
      </c>
      <c r="D39" s="225">
        <f>D18/0.05</f>
        <v/>
      </c>
      <c r="E39" s="225">
        <f>E18/0.05</f>
        <v/>
      </c>
      <c r="F39" s="225">
        <f>F18/0.05</f>
        <v/>
      </c>
      <c r="G39" s="225">
        <f>G18/0.05</f>
        <v/>
      </c>
      <c r="H39" s="225">
        <f>H18/0.05</f>
        <v/>
      </c>
      <c r="I39" s="225">
        <f>I18/0.05</f>
        <v/>
      </c>
      <c r="J39" s="225">
        <f>J18/0.05</f>
        <v/>
      </c>
      <c r="K39" s="225">
        <f>K18/0.05</f>
        <v/>
      </c>
      <c r="L39" s="225">
        <f>L18/0.05</f>
        <v/>
      </c>
      <c r="M39" s="225">
        <f>M18/0.05</f>
        <v/>
      </c>
      <c r="N39" s="225">
        <f>N18/0.05</f>
        <v/>
      </c>
      <c r="O39" s="88">
        <f>SUM(C39:N39)</f>
        <v/>
      </c>
      <c r="P39" s="2" t="n"/>
    </row>
    <row r="40">
      <c r="A40" s="540" t="n"/>
      <c r="B40" s="172" t="inlineStr">
        <is>
          <t>Según libros</t>
        </is>
      </c>
      <c r="C40" s="173">
        <f>+C38+C39</f>
        <v/>
      </c>
      <c r="D40" s="173">
        <f>+D38+D39</f>
        <v/>
      </c>
      <c r="E40" s="173">
        <f>+E38+E39</f>
        <v/>
      </c>
      <c r="F40" s="173">
        <f>+F38+F39</f>
        <v/>
      </c>
      <c r="G40" s="173">
        <f>+G38+G39</f>
        <v/>
      </c>
      <c r="H40" s="173">
        <f>+H38+H39</f>
        <v/>
      </c>
      <c r="I40" s="173">
        <f>+I38+I39</f>
        <v/>
      </c>
      <c r="J40" s="173">
        <f>+J38+J39</f>
        <v/>
      </c>
      <c r="K40" s="173">
        <f>+K38+K39</f>
        <v/>
      </c>
      <c r="L40" s="173">
        <f>+L38+L39</f>
        <v/>
      </c>
      <c r="M40" s="173">
        <f>+M38+M39</f>
        <v/>
      </c>
      <c r="N40" s="173">
        <f>+N38+N39</f>
        <v/>
      </c>
      <c r="O40" s="174">
        <f>+O38+O39</f>
        <v/>
      </c>
      <c r="P40" s="2" t="n"/>
    </row>
    <row r="41">
      <c r="A41" s="540" t="n"/>
      <c r="C41" s="215" t="n"/>
      <c r="D41" s="215" t="n"/>
      <c r="E41" s="215" t="n"/>
      <c r="F41" s="215" t="n"/>
      <c r="G41" s="215" t="n"/>
      <c r="H41" s="215" t="n"/>
      <c r="I41" s="215" t="n"/>
      <c r="J41" s="215" t="n"/>
      <c r="K41" s="215" t="n"/>
      <c r="L41" s="215" t="n"/>
      <c r="M41" s="215" t="n"/>
      <c r="N41" s="215" t="n"/>
      <c r="O41" s="219" t="n"/>
    </row>
    <row r="42">
      <c r="A42" s="540" t="n"/>
      <c r="B42" s="224" t="inlineStr">
        <is>
          <t>Casillero 510</t>
        </is>
      </c>
      <c r="C42" s="225" t="n"/>
      <c r="D42" s="225" t="n"/>
      <c r="E42" s="225" t="n"/>
      <c r="F42" s="225" t="n"/>
      <c r="G42" s="225" t="n"/>
      <c r="H42" s="225" t="n"/>
      <c r="I42" s="225" t="n"/>
      <c r="J42" s="225" t="n"/>
      <c r="K42" s="225" t="n"/>
      <c r="L42" s="225" t="n"/>
      <c r="M42" s="225" t="n"/>
      <c r="N42" s="225" t="n"/>
      <c r="O42" s="88">
        <f>SUM(C42:N42)</f>
        <v/>
      </c>
    </row>
    <row r="43">
      <c r="A43" s="540" t="n"/>
      <c r="B43" s="224" t="inlineStr">
        <is>
          <t>Casillero 511</t>
        </is>
      </c>
      <c r="C43" s="225" t="n"/>
      <c r="D43" s="225" t="n"/>
      <c r="E43" s="225" t="n">
        <v>0</v>
      </c>
      <c r="F43" s="225" t="n">
        <v>0</v>
      </c>
      <c r="G43" s="225" t="n"/>
      <c r="H43" s="225" t="n">
        <v>0</v>
      </c>
      <c r="I43" s="225" t="n">
        <v>0</v>
      </c>
      <c r="J43" s="225" t="n">
        <v>0</v>
      </c>
      <c r="K43" s="225" t="n"/>
      <c r="L43" s="225" t="n">
        <v>0</v>
      </c>
      <c r="M43" s="225" t="n"/>
      <c r="N43" s="385" t="n"/>
      <c r="O43" s="88">
        <f>SUM(C43:N43)</f>
        <v/>
      </c>
    </row>
    <row r="44" customFormat="1" s="209">
      <c r="A44" s="540" t="n"/>
      <c r="B44" s="224" t="inlineStr">
        <is>
          <t>Casillero 512</t>
        </is>
      </c>
      <c r="C44" s="225" t="n"/>
      <c r="D44" s="225" t="n"/>
      <c r="E44" s="225" t="n"/>
      <c r="F44" s="225" t="n"/>
      <c r="G44" s="225" t="n"/>
      <c r="H44" s="225" t="n"/>
      <c r="I44" s="225" t="n"/>
      <c r="J44" s="225" t="n"/>
      <c r="K44" s="225" t="n"/>
      <c r="L44" s="225" t="n"/>
      <c r="M44" s="225" t="n"/>
      <c r="N44" s="225" t="n"/>
      <c r="O44" s="88">
        <f>SUM(C44:N44)</f>
        <v/>
      </c>
      <c r="P44" s="217" t="n"/>
    </row>
    <row r="45">
      <c r="A45" s="540" t="n"/>
      <c r="B45" s="224" t="inlineStr">
        <is>
          <t>Casillero 513</t>
        </is>
      </c>
      <c r="C45" s="225" t="n">
        <v>0</v>
      </c>
      <c r="D45" s="225" t="n">
        <v>0</v>
      </c>
      <c r="E45" s="225" t="n">
        <v>0</v>
      </c>
      <c r="F45" s="225" t="n">
        <v>0</v>
      </c>
      <c r="G45" s="225" t="n">
        <v>0</v>
      </c>
      <c r="H45" s="225" t="n">
        <v>0</v>
      </c>
      <c r="I45" s="225" t="n">
        <v>0</v>
      </c>
      <c r="J45" s="225" t="n">
        <v>0</v>
      </c>
      <c r="K45" s="225" t="n">
        <v>0</v>
      </c>
      <c r="L45" s="225" t="n">
        <v>0</v>
      </c>
      <c r="M45" s="225" t="n">
        <v>0</v>
      </c>
      <c r="N45" s="225" t="n">
        <v>0</v>
      </c>
      <c r="O45" s="88">
        <f>SUM(C45:N45)</f>
        <v/>
      </c>
    </row>
    <row r="46">
      <c r="A46" s="540" t="n"/>
      <c r="B46" s="224" t="inlineStr">
        <is>
          <t>Casillero 514</t>
        </is>
      </c>
      <c r="C46" s="225" t="n">
        <v>0</v>
      </c>
      <c r="D46" s="225" t="n">
        <v>0</v>
      </c>
      <c r="E46" s="225" t="n">
        <v>0</v>
      </c>
      <c r="F46" s="225" t="n">
        <v>0</v>
      </c>
      <c r="G46" s="225" t="n">
        <v>0</v>
      </c>
      <c r="H46" s="225" t="n">
        <v>0</v>
      </c>
      <c r="I46" s="225" t="n">
        <v>0</v>
      </c>
      <c r="J46" s="225" t="n">
        <v>0</v>
      </c>
      <c r="K46" s="225" t="n">
        <v>0</v>
      </c>
      <c r="L46" s="225" t="n">
        <v>0</v>
      </c>
      <c r="M46" s="225" t="n">
        <v>0</v>
      </c>
      <c r="N46" s="225" t="n">
        <v>0</v>
      </c>
      <c r="O46" s="88">
        <f>SUM(C46:N46)</f>
        <v/>
      </c>
    </row>
    <row r="47">
      <c r="A47" s="540" t="n"/>
      <c r="B47" s="224" t="inlineStr">
        <is>
          <t>Casillero 515</t>
        </is>
      </c>
      <c r="C47" s="225" t="n">
        <v>0</v>
      </c>
      <c r="D47" s="225" t="n">
        <v>0</v>
      </c>
      <c r="E47" s="225" t="n">
        <v>0</v>
      </c>
      <c r="F47" s="225" t="n">
        <v>0</v>
      </c>
      <c r="G47" s="225" t="n">
        <v>0</v>
      </c>
      <c r="H47" s="225" t="n">
        <v>0</v>
      </c>
      <c r="I47" s="225" t="n">
        <v>0</v>
      </c>
      <c r="J47" s="225" t="n">
        <v>0</v>
      </c>
      <c r="K47" s="225" t="n">
        <v>0</v>
      </c>
      <c r="L47" s="225" t="n">
        <v>0</v>
      </c>
      <c r="M47" s="225" t="n">
        <v>0</v>
      </c>
      <c r="N47" s="225" t="n">
        <v>0</v>
      </c>
      <c r="O47" s="88">
        <f>SUM(C47:N47)</f>
        <v/>
      </c>
    </row>
    <row r="48">
      <c r="A48" s="540" t="n"/>
      <c r="B48" s="503" t="inlineStr">
        <is>
          <t>Casillero 550</t>
        </is>
      </c>
      <c r="C48" s="225" t="n">
        <v>0</v>
      </c>
      <c r="D48" s="225" t="n"/>
      <c r="E48" s="225" t="n"/>
      <c r="F48" s="225" t="n">
        <v>0</v>
      </c>
      <c r="G48" s="225" t="n"/>
      <c r="H48" s="225" t="n">
        <v>0</v>
      </c>
      <c r="I48" s="225" t="n">
        <v>0</v>
      </c>
      <c r="J48" s="225" t="n">
        <v>0</v>
      </c>
      <c r="K48" s="225" t="n">
        <v>0</v>
      </c>
      <c r="L48" s="225" t="n">
        <v>0</v>
      </c>
      <c r="M48" s="225" t="n">
        <v>0</v>
      </c>
      <c r="N48" s="225" t="n"/>
      <c r="O48" s="88">
        <f>SUM(C48:N48)</f>
        <v/>
      </c>
    </row>
    <row r="49">
      <c r="A49" s="540" t="n"/>
      <c r="B49" s="224" t="inlineStr">
        <is>
          <t>Casillero 545</t>
        </is>
      </c>
      <c r="C49" s="225" t="n">
        <v>0</v>
      </c>
      <c r="D49" s="225" t="n">
        <v>0</v>
      </c>
      <c r="E49" s="225" t="n">
        <v>0</v>
      </c>
      <c r="F49" s="225" t="n">
        <v>0</v>
      </c>
      <c r="G49" s="225" t="n">
        <v>0</v>
      </c>
      <c r="H49" s="225" t="n">
        <v>0</v>
      </c>
      <c r="I49" s="225" t="n">
        <v>0</v>
      </c>
      <c r="J49" s="225" t="n">
        <v>0</v>
      </c>
      <c r="K49" s="225" t="n">
        <v>0</v>
      </c>
      <c r="L49" s="225" t="n">
        <v>0</v>
      </c>
      <c r="M49" s="225" t="n">
        <v>0</v>
      </c>
      <c r="N49" s="225" t="n">
        <v>0</v>
      </c>
      <c r="O49" s="88">
        <f>SUM(C49:N49)</f>
        <v/>
      </c>
    </row>
    <row r="50">
      <c r="A50" s="540" t="n"/>
      <c r="B50" s="175" t="inlineStr">
        <is>
          <t>Según declaraciones</t>
        </is>
      </c>
      <c r="C50" s="176">
        <f>SUM(C42:C49)-C44</f>
        <v/>
      </c>
      <c r="D50" s="176">
        <f>SUM(D42:D49)-D44</f>
        <v/>
      </c>
      <c r="E50" s="176">
        <f>SUM(E42:E49)-E44</f>
        <v/>
      </c>
      <c r="F50" s="176">
        <f>SUM(F42:F49)-F44</f>
        <v/>
      </c>
      <c r="G50" s="176">
        <f>SUM(G42:G49)-G44</f>
        <v/>
      </c>
      <c r="H50" s="176">
        <f>SUM(H42:H49)-H44</f>
        <v/>
      </c>
      <c r="I50" s="176">
        <f>SUM(I42:I49)-I44</f>
        <v/>
      </c>
      <c r="J50" s="176">
        <f>SUM(J42:J49)-J44</f>
        <v/>
      </c>
      <c r="K50" s="176">
        <f>SUM(K42:K49)-K44</f>
        <v/>
      </c>
      <c r="L50" s="176">
        <f>SUM(L42:L49)-L44</f>
        <v/>
      </c>
      <c r="M50" s="176">
        <f>SUM(M42:M49)-M44</f>
        <v/>
      </c>
      <c r="N50" s="176">
        <f>SUM(N42:N49)-N44</f>
        <v/>
      </c>
      <c r="O50" s="177">
        <f>SUM(C50:N50)</f>
        <v/>
      </c>
      <c r="P50" s="2" t="n"/>
    </row>
    <row r="51">
      <c r="A51" s="540" t="n"/>
      <c r="C51" s="215" t="n"/>
      <c r="D51" s="215" t="n"/>
      <c r="E51" s="215" t="n"/>
      <c r="F51" s="215" t="n"/>
      <c r="G51" s="215" t="n"/>
      <c r="H51" s="215" t="n"/>
      <c r="I51" s="215" t="n"/>
      <c r="J51" s="215" t="n"/>
      <c r="K51" s="215" t="n"/>
      <c r="L51" s="215" t="n"/>
      <c r="M51" s="215" t="n"/>
      <c r="N51" s="215" t="n"/>
      <c r="O51" s="45" t="n"/>
    </row>
    <row r="52">
      <c r="A52" s="542" t="n"/>
      <c r="B52" s="172" t="inlineStr">
        <is>
          <t>Diferencias</t>
        </is>
      </c>
      <c r="C52" s="173">
        <f>+C40-C50</f>
        <v/>
      </c>
      <c r="D52" s="173">
        <f>+D40-D50</f>
        <v/>
      </c>
      <c r="E52" s="173">
        <f>+E40-E50</f>
        <v/>
      </c>
      <c r="F52" s="173">
        <f>+F40-F50</f>
        <v/>
      </c>
      <c r="G52" s="173">
        <f>+G40-G50</f>
        <v/>
      </c>
      <c r="H52" s="173">
        <f>+H40-H50</f>
        <v/>
      </c>
      <c r="I52" s="173">
        <f>+I40-I50</f>
        <v/>
      </c>
      <c r="J52" s="173">
        <f>+J40-J50</f>
        <v/>
      </c>
      <c r="K52" s="173">
        <f>+K40-K50</f>
        <v/>
      </c>
      <c r="L52" s="173">
        <f>+L40-L50</f>
        <v/>
      </c>
      <c r="M52" s="173">
        <f>+M40-M50</f>
        <v/>
      </c>
      <c r="N52" s="173">
        <f>+N40-N50</f>
        <v/>
      </c>
      <c r="O52" s="174">
        <f>SUM(C52:N52)</f>
        <v/>
      </c>
      <c r="P52" s="43" t="n"/>
    </row>
    <row r="53">
      <c r="C53" s="215" t="n"/>
      <c r="D53" s="215" t="n"/>
      <c r="E53" s="215" t="n"/>
      <c r="F53" s="215" t="n"/>
      <c r="G53" s="228" t="n"/>
      <c r="H53" s="456" t="n"/>
      <c r="K53" s="215" t="n"/>
      <c r="L53" s="215" t="n"/>
      <c r="M53" s="215" t="n"/>
      <c r="N53" s="215" t="n"/>
      <c r="O53" s="219" t="n"/>
    </row>
    <row r="54">
      <c r="A54" s="29" t="n"/>
      <c r="C54" s="215" t="n"/>
      <c r="D54" s="215" t="n"/>
      <c r="E54" s="215" t="n"/>
      <c r="F54" s="215" t="n"/>
      <c r="G54" s="228" t="n"/>
      <c r="H54" s="455" t="n"/>
      <c r="K54" s="215" t="n"/>
      <c r="L54" s="215" t="n"/>
      <c r="M54" s="215" t="n"/>
      <c r="N54" s="215" t="n"/>
      <c r="O54" s="219" t="n"/>
    </row>
    <row r="55">
      <c r="A55" s="543" t="inlineStr">
        <is>
          <t>COMPRAS 0%</t>
        </is>
      </c>
      <c r="B55" s="451" t="inlineStr">
        <is>
          <t>Cuenta</t>
        </is>
      </c>
      <c r="C55" s="171" t="inlineStr">
        <is>
          <t>Enero</t>
        </is>
      </c>
      <c r="D55" s="171" t="inlineStr">
        <is>
          <t>Febrero</t>
        </is>
      </c>
      <c r="E55" s="171" t="inlineStr">
        <is>
          <t>Marzo</t>
        </is>
      </c>
      <c r="F55" s="171" t="inlineStr">
        <is>
          <t>Abril</t>
        </is>
      </c>
      <c r="G55" s="171" t="inlineStr">
        <is>
          <t>Mayo</t>
        </is>
      </c>
      <c r="H55" s="171" t="inlineStr">
        <is>
          <t>Junio</t>
        </is>
      </c>
      <c r="I55" s="171" t="inlineStr">
        <is>
          <t>Julio</t>
        </is>
      </c>
      <c r="J55" s="171" t="inlineStr">
        <is>
          <t>Agosto</t>
        </is>
      </c>
      <c r="K55" s="171" t="inlineStr">
        <is>
          <t>Septiembre</t>
        </is>
      </c>
      <c r="L55" s="171" t="inlineStr">
        <is>
          <t>Octubre</t>
        </is>
      </c>
      <c r="M55" s="171" t="inlineStr">
        <is>
          <t>Noviembre</t>
        </is>
      </c>
      <c r="N55" s="171" t="inlineStr">
        <is>
          <t>Diciembre</t>
        </is>
      </c>
      <c r="O55" s="171" t="inlineStr">
        <is>
          <t>Total</t>
        </is>
      </c>
    </row>
    <row r="56">
      <c r="A56" s="540" t="n"/>
      <c r="B56" s="224" t="inlineStr">
        <is>
          <t>Compras 0%</t>
        </is>
      </c>
      <c r="C56" s="225" t="n">
        <v>0</v>
      </c>
      <c r="D56" s="225" t="n">
        <v>0</v>
      </c>
      <c r="E56" s="225" t="n">
        <v>0</v>
      </c>
      <c r="F56" s="225" t="n">
        <v>0</v>
      </c>
      <c r="G56" s="225" t="n">
        <v>0</v>
      </c>
      <c r="H56" s="225" t="n">
        <v>0</v>
      </c>
      <c r="I56" s="225" t="n">
        <v>0</v>
      </c>
      <c r="J56" s="225" t="n">
        <v>0</v>
      </c>
      <c r="K56" s="225" t="n">
        <v>0</v>
      </c>
      <c r="L56" s="225" t="n">
        <v>0</v>
      </c>
      <c r="M56" s="225" t="n">
        <v>0</v>
      </c>
      <c r="N56" s="225" t="n">
        <v>0</v>
      </c>
      <c r="O56" s="88">
        <f>SUM(C56:N56)</f>
        <v/>
      </c>
    </row>
    <row r="57">
      <c r="A57" s="540" t="n"/>
      <c r="B57" s="224" t="n"/>
      <c r="C57" s="229" t="n"/>
      <c r="D57" s="229" t="n"/>
      <c r="E57" s="229" t="n"/>
      <c r="F57" s="229" t="n"/>
      <c r="G57" s="229" t="n"/>
      <c r="H57" s="229" t="n"/>
      <c r="I57" s="229" t="n"/>
      <c r="J57" s="229" t="n"/>
      <c r="K57" s="229" t="n"/>
      <c r="L57" s="229" t="n"/>
      <c r="M57" s="229" t="n"/>
      <c r="N57" s="229" t="n"/>
      <c r="O57" s="88" t="n"/>
    </row>
    <row r="58">
      <c r="A58" s="540" t="n"/>
      <c r="B58" s="172" t="inlineStr">
        <is>
          <t>Total compras 0%</t>
        </is>
      </c>
      <c r="C58" s="173">
        <f>+C56</f>
        <v/>
      </c>
      <c r="D58" s="173">
        <f>+D56</f>
        <v/>
      </c>
      <c r="E58" s="173">
        <f>+E56</f>
        <v/>
      </c>
      <c r="F58" s="173">
        <f>+F56</f>
        <v/>
      </c>
      <c r="G58" s="173">
        <f>+G56</f>
        <v/>
      </c>
      <c r="H58" s="173">
        <f>+H56</f>
        <v/>
      </c>
      <c r="I58" s="173">
        <f>+I56</f>
        <v/>
      </c>
      <c r="J58" s="173">
        <f>+J56</f>
        <v/>
      </c>
      <c r="K58" s="173">
        <f>+K56</f>
        <v/>
      </c>
      <c r="L58" s="173">
        <f>+L56</f>
        <v/>
      </c>
      <c r="M58" s="173">
        <f>+M56</f>
        <v/>
      </c>
      <c r="N58" s="173">
        <f>+N56</f>
        <v/>
      </c>
      <c r="O58" s="174">
        <f>SUM(C58:N58)</f>
        <v/>
      </c>
      <c r="P58" s="2" t="n"/>
    </row>
    <row r="59">
      <c r="A59" s="540" t="n"/>
      <c r="C59" s="215" t="n"/>
      <c r="D59" s="215" t="n"/>
      <c r="E59" s="215" t="n"/>
      <c r="F59" s="215" t="n"/>
      <c r="G59" s="215" t="n"/>
      <c r="H59" s="215" t="n"/>
      <c r="I59" s="215" t="n"/>
      <c r="J59" s="215" t="n"/>
      <c r="K59" s="215" t="n"/>
      <c r="L59" s="215" t="n"/>
      <c r="M59" s="215" t="n"/>
      <c r="N59" s="215" t="n"/>
      <c r="O59" s="45" t="n"/>
    </row>
    <row r="60">
      <c r="A60" s="540" t="n"/>
      <c r="B60" s="224" t="inlineStr">
        <is>
          <t>Casillero 516</t>
        </is>
      </c>
      <c r="C60" s="225" t="n">
        <v>0</v>
      </c>
      <c r="D60" s="225" t="n">
        <v>0</v>
      </c>
      <c r="E60" s="225" t="n">
        <v>0</v>
      </c>
      <c r="F60" s="225" t="n">
        <v>0</v>
      </c>
      <c r="G60" s="225" t="n">
        <v>0</v>
      </c>
      <c r="H60" s="225" t="n">
        <v>0</v>
      </c>
      <c r="I60" s="225" t="n">
        <v>0</v>
      </c>
      <c r="J60" s="225" t="n">
        <v>0</v>
      </c>
      <c r="K60" s="225" t="n">
        <v>0</v>
      </c>
      <c r="L60" s="225" t="n">
        <v>0</v>
      </c>
      <c r="M60" s="225" t="n">
        <v>0</v>
      </c>
      <c r="N60" s="225" t="n">
        <v>0</v>
      </c>
      <c r="O60" s="88">
        <f>SUM(C60:N60)</f>
        <v/>
      </c>
    </row>
    <row r="61" customFormat="1" s="217">
      <c r="A61" s="540" t="n"/>
      <c r="B61" s="224" t="inlineStr">
        <is>
          <t>Casillero 517</t>
        </is>
      </c>
      <c r="C61" s="225" t="n"/>
      <c r="D61" s="385" t="n"/>
      <c r="E61" s="225" t="n"/>
      <c r="F61" s="225" t="n"/>
      <c r="G61" s="225" t="n"/>
      <c r="H61" s="225" t="n"/>
      <c r="I61" s="225" t="n"/>
      <c r="J61" s="225" t="n"/>
      <c r="K61" s="225" t="n"/>
      <c r="L61" s="225" t="n"/>
      <c r="M61" s="225" t="n"/>
      <c r="N61" s="225" t="n"/>
      <c r="O61" s="88">
        <f>SUM(C61:N61)</f>
        <v/>
      </c>
    </row>
    <row r="62" customFormat="1" s="217">
      <c r="A62" s="540" t="n"/>
      <c r="B62" s="224" t="inlineStr">
        <is>
          <t>Casillero 518</t>
        </is>
      </c>
      <c r="C62" s="225" t="n"/>
      <c r="D62" s="225" t="n"/>
      <c r="E62" s="225" t="n"/>
      <c r="F62" s="225" t="n"/>
      <c r="G62" s="225" t="n"/>
      <c r="H62" s="225" t="n"/>
      <c r="I62" s="225" t="n"/>
      <c r="J62" s="225" t="n"/>
      <c r="K62" s="225" t="n"/>
      <c r="L62" s="225" t="n"/>
      <c r="M62" s="225" t="n"/>
      <c r="N62" s="225" t="n"/>
      <c r="O62" s="88">
        <f>SUM(C62:N62)</f>
        <v/>
      </c>
    </row>
    <row r="63" customFormat="1" s="217">
      <c r="A63" s="540" t="n"/>
      <c r="B63" s="194" t="inlineStr">
        <is>
          <t>Casillero 541</t>
        </is>
      </c>
      <c r="C63" s="225" t="n">
        <v>0</v>
      </c>
      <c r="D63" s="225" t="n">
        <v>0</v>
      </c>
      <c r="E63" s="225" t="n">
        <v>0</v>
      </c>
      <c r="F63" s="225" t="n">
        <v>0</v>
      </c>
      <c r="G63" s="225" t="n">
        <v>0</v>
      </c>
      <c r="H63" s="225" t="n">
        <v>0</v>
      </c>
      <c r="I63" s="225" t="n">
        <v>0</v>
      </c>
      <c r="J63" s="225" t="n">
        <v>0</v>
      </c>
      <c r="K63" s="225" t="n">
        <v>0</v>
      </c>
      <c r="L63" s="225" t="n">
        <v>0</v>
      </c>
      <c r="M63" s="225" t="n">
        <v>0</v>
      </c>
      <c r="N63" s="225" t="n">
        <v>0</v>
      </c>
      <c r="O63" s="88">
        <f>SUM(C63:N63)</f>
        <v/>
      </c>
    </row>
    <row r="64" customFormat="1" s="217">
      <c r="A64" s="540" t="n"/>
      <c r="B64" s="175" t="inlineStr">
        <is>
          <t>Según declaraciones</t>
        </is>
      </c>
      <c r="C64" s="173">
        <f>+C60+C61+C62</f>
        <v/>
      </c>
      <c r="D64" s="173">
        <f>+D60+D61+D62</f>
        <v/>
      </c>
      <c r="E64" s="173">
        <f>+E60+E61+E62</f>
        <v/>
      </c>
      <c r="F64" s="173">
        <f>+F60+F61+F62</f>
        <v/>
      </c>
      <c r="G64" s="173">
        <f>+G60+G61+G62</f>
        <v/>
      </c>
      <c r="H64" s="173">
        <f>+H60+H61+H62</f>
        <v/>
      </c>
      <c r="I64" s="173">
        <f>+I60+I61+I62</f>
        <v/>
      </c>
      <c r="J64" s="173">
        <f>+J60+J61+J62</f>
        <v/>
      </c>
      <c r="K64" s="173">
        <f>+K60+K61+K62</f>
        <v/>
      </c>
      <c r="L64" s="173">
        <f>+L60+L61+L62</f>
        <v/>
      </c>
      <c r="M64" s="173">
        <f>+M60+M61+M62</f>
        <v/>
      </c>
      <c r="N64" s="173">
        <f>+N60+N61+N62</f>
        <v/>
      </c>
      <c r="O64" s="174">
        <f>SUM(C64:N64)</f>
        <v/>
      </c>
      <c r="P64" s="2" t="n"/>
    </row>
    <row r="65" customFormat="1" s="217">
      <c r="A65" s="540" t="n"/>
      <c r="B65" s="93" t="n"/>
      <c r="C65" s="91" t="n"/>
      <c r="D65" s="91" t="n"/>
      <c r="E65" s="91" t="n"/>
      <c r="F65" s="91" t="n"/>
      <c r="G65" s="91" t="n"/>
      <c r="H65" s="91" t="n"/>
      <c r="I65" s="91" t="n"/>
      <c r="J65" s="91" t="n"/>
      <c r="K65" s="91" t="n"/>
      <c r="L65" s="91" t="n"/>
      <c r="M65" s="91" t="n"/>
      <c r="N65" s="91" t="n"/>
      <c r="O65" s="92" t="n"/>
      <c r="P65" s="2" t="n"/>
    </row>
    <row r="66">
      <c r="A66" s="542" t="n"/>
      <c r="B66" s="172" t="inlineStr">
        <is>
          <t>Diferencia</t>
        </is>
      </c>
      <c r="C66" s="173">
        <f>+C58-C64</f>
        <v/>
      </c>
      <c r="D66" s="173">
        <f>+D58-D64</f>
        <v/>
      </c>
      <c r="E66" s="173">
        <f>+E58-E64</f>
        <v/>
      </c>
      <c r="F66" s="173">
        <f>+F58-F64</f>
        <v/>
      </c>
      <c r="G66" s="173">
        <f>+G58-G64</f>
        <v/>
      </c>
      <c r="H66" s="173">
        <f>+H58-H64</f>
        <v/>
      </c>
      <c r="I66" s="173">
        <f>+I58-I64</f>
        <v/>
      </c>
      <c r="J66" s="173">
        <f>+J58-J64</f>
        <v/>
      </c>
      <c r="K66" s="173">
        <f>+K58-K64</f>
        <v/>
      </c>
      <c r="L66" s="173">
        <f>+L58-L64</f>
        <v/>
      </c>
      <c r="M66" s="173">
        <f>+M58-M64</f>
        <v/>
      </c>
      <c r="N66" s="173">
        <f>+N58-N64</f>
        <v/>
      </c>
      <c r="O66" s="174">
        <f>SUM(C66:N66)</f>
        <v/>
      </c>
      <c r="P66" s="43" t="n"/>
      <c r="R66" s="217" t="n"/>
    </row>
    <row r="67">
      <c r="B67" s="8" t="n"/>
      <c r="C67" s="215" t="n"/>
      <c r="D67" s="215" t="n"/>
      <c r="E67" s="215" t="n"/>
      <c r="F67" s="215" t="n"/>
      <c r="G67" s="215" t="n"/>
      <c r="H67" s="215" t="n"/>
      <c r="I67" s="215" t="n"/>
      <c r="J67" s="215" t="n"/>
      <c r="K67" s="215" t="n"/>
      <c r="L67" s="215" t="n"/>
      <c r="M67" s="215" t="n"/>
      <c r="N67" s="215" t="n"/>
      <c r="O67" s="45" t="n"/>
    </row>
    <row r="68">
      <c r="B68" s="89" t="inlineStr">
        <is>
          <t>Casillero 519+555</t>
        </is>
      </c>
      <c r="C68" s="95" t="n"/>
      <c r="D68" s="95" t="n"/>
      <c r="E68" s="95" t="n"/>
      <c r="F68" s="95" t="n"/>
      <c r="G68" s="95" t="n"/>
      <c r="H68" s="95" t="n"/>
      <c r="I68" s="95" t="n"/>
      <c r="J68" s="95" t="n"/>
      <c r="K68" s="95" t="n"/>
      <c r="L68" s="95" t="n"/>
      <c r="M68" s="95" t="n"/>
      <c r="N68" s="95" t="n"/>
      <c r="O68" s="88">
        <f>SUM(C68:N68)</f>
        <v/>
      </c>
      <c r="P68" s="2" t="n"/>
    </row>
    <row r="69">
      <c r="B69" s="89" t="inlineStr">
        <is>
          <t>Total compras según libros</t>
        </is>
      </c>
      <c r="C69" s="90">
        <f>+C56+C40</f>
        <v/>
      </c>
      <c r="D69" s="90">
        <f>+D56+D40</f>
        <v/>
      </c>
      <c r="E69" s="90">
        <f>+E56+E40</f>
        <v/>
      </c>
      <c r="F69" s="90">
        <f>+F56+F40</f>
        <v/>
      </c>
      <c r="G69" s="90">
        <f>+G56+G40</f>
        <v/>
      </c>
      <c r="H69" s="90">
        <f>+H56+H40</f>
        <v/>
      </c>
      <c r="I69" s="90">
        <f>+I56+I40</f>
        <v/>
      </c>
      <c r="J69" s="90">
        <f>+J56+J40</f>
        <v/>
      </c>
      <c r="K69" s="90">
        <f>+K56+K40</f>
        <v/>
      </c>
      <c r="L69" s="90">
        <f>+L56+L40</f>
        <v/>
      </c>
      <c r="M69" s="90">
        <f>+M56+M40</f>
        <v/>
      </c>
      <c r="N69" s="90">
        <f>+N56+N40</f>
        <v/>
      </c>
      <c r="O69" s="88">
        <f>SUM(C69:N69)</f>
        <v/>
      </c>
      <c r="P69" s="2" t="n"/>
    </row>
    <row r="70">
      <c r="B70" s="89" t="inlineStr">
        <is>
          <t>Diferencia</t>
        </is>
      </c>
      <c r="C70" s="90">
        <f>+C68-C69</f>
        <v/>
      </c>
      <c r="D70" s="90">
        <f>+D68-D69</f>
        <v/>
      </c>
      <c r="E70" s="90">
        <f>+E68-E69</f>
        <v/>
      </c>
      <c r="F70" s="90">
        <f>+F68-F69</f>
        <v/>
      </c>
      <c r="G70" s="113">
        <f>+G68-G69</f>
        <v/>
      </c>
      <c r="H70" s="90">
        <f>+H68-H69</f>
        <v/>
      </c>
      <c r="I70" s="90">
        <f>+I68-I69</f>
        <v/>
      </c>
      <c r="J70" s="90">
        <f>+J68-J69</f>
        <v/>
      </c>
      <c r="K70" s="90">
        <f>+K68-K69</f>
        <v/>
      </c>
      <c r="L70" s="90">
        <f>+L68-L69</f>
        <v/>
      </c>
      <c r="M70" s="90">
        <f>+M68-M69</f>
        <v/>
      </c>
      <c r="N70" s="90">
        <f>+N68-N69</f>
        <v/>
      </c>
      <c r="O70" s="88">
        <f>SUM(C70:N70)</f>
        <v/>
      </c>
      <c r="P70" s="43" t="n"/>
    </row>
    <row r="71">
      <c r="C71" s="215" t="n"/>
      <c r="D71" s="215" t="n"/>
      <c r="E71" s="215" t="n"/>
      <c r="F71" s="215" t="n"/>
      <c r="G71" s="215" t="n"/>
      <c r="H71" s="215" t="n"/>
      <c r="I71" s="46" t="n"/>
      <c r="J71" s="46" t="n"/>
      <c r="K71" s="215" t="n"/>
      <c r="L71" s="215" t="n"/>
      <c r="M71" s="215" t="n"/>
      <c r="N71" s="215" t="n"/>
      <c r="O71" s="219" t="n"/>
    </row>
    <row r="72">
      <c r="C72" s="215" t="n"/>
      <c r="D72" s="215" t="n"/>
      <c r="E72" s="215" t="n"/>
      <c r="F72" s="215" t="n"/>
      <c r="G72" s="215" t="n"/>
      <c r="H72" s="215" t="n"/>
      <c r="I72" s="215" t="n"/>
      <c r="J72" s="215" t="n"/>
      <c r="K72" s="215" t="n"/>
      <c r="L72" s="215" t="n"/>
      <c r="M72" s="215" t="n"/>
      <c r="N72" s="215" t="n"/>
      <c r="O72" s="219" t="n"/>
    </row>
    <row r="73">
      <c r="C73" s="194" t="n"/>
    </row>
    <row r="74">
      <c r="A74" s="16" t="n"/>
      <c r="B74" s="2" t="inlineStr">
        <is>
          <t>Marcas:</t>
        </is>
      </c>
      <c r="C74" s="194" t="n"/>
    </row>
    <row r="75">
      <c r="A75" s="11" t="n"/>
      <c r="B75" s="94" t="inlineStr">
        <is>
          <t>Cotejado según libros</t>
        </is>
      </c>
      <c r="C75" s="194" t="n"/>
    </row>
    <row r="76">
      <c r="A76" s="11" t="n"/>
      <c r="B76" s="94" t="inlineStr">
        <is>
          <t xml:space="preserve">Cotejado según formularios 104 </t>
        </is>
      </c>
      <c r="C76" s="15" t="n"/>
    </row>
    <row r="77">
      <c r="A77" s="467" t="n"/>
      <c r="B77" s="19" t="inlineStr">
        <is>
          <t>Diferencia determinada.</t>
        </is>
      </c>
      <c r="C77" s="15" t="n"/>
      <c r="D77" s="194" t="n"/>
      <c r="E77" s="194" t="n"/>
      <c r="F77" s="194" t="n"/>
      <c r="G77" s="194" t="n"/>
      <c r="H77" s="194" t="n"/>
      <c r="I77" s="194" t="n"/>
      <c r="J77" s="194" t="n"/>
      <c r="K77" s="194" t="n"/>
      <c r="L77" s="194" t="n"/>
      <c r="M77" s="194" t="n"/>
      <c r="N77" s="194" t="n"/>
      <c r="O77" s="194" t="n"/>
      <c r="P77" s="194" t="n"/>
    </row>
    <row r="78">
      <c r="A78" s="16" t="n"/>
      <c r="B78" s="8" t="inlineStr">
        <is>
          <t>Sumado, totalizado</t>
        </is>
      </c>
    </row>
    <row r="79">
      <c r="B79" s="28" t="n"/>
      <c r="F79" s="230" t="n"/>
    </row>
    <row r="80">
      <c r="B80" s="28" t="n"/>
    </row>
    <row r="81">
      <c r="B81" s="8" t="n"/>
    </row>
  </sheetData>
  <mergeCells count="17">
    <mergeCell ref="D8:E8"/>
    <mergeCell ref="D6:E6"/>
    <mergeCell ref="A15:A33"/>
    <mergeCell ref="H54:J54"/>
    <mergeCell ref="D7:E7"/>
    <mergeCell ref="A7:B7"/>
    <mergeCell ref="A5:C5"/>
    <mergeCell ref="A37:A52"/>
    <mergeCell ref="A10:B10"/>
    <mergeCell ref="D5:E5"/>
    <mergeCell ref="A6:C6"/>
    <mergeCell ref="A1:E2"/>
    <mergeCell ref="A9:B9"/>
    <mergeCell ref="A8:B8"/>
    <mergeCell ref="H53:J53"/>
    <mergeCell ref="A55:A66"/>
    <mergeCell ref="A3:E3"/>
  </mergeCells>
  <pageMargins left="0.7" right="0.7" top="0.75" bottom="0.75" header="0.3" footer="0.3"/>
  <pageSetup orientation="portrait" paperSize="9" scale="36"/>
</worksheet>
</file>

<file path=xl/worksheets/sheet6.xml><?xml version="1.0" encoding="utf-8"?>
<worksheet xmlns="http://schemas.openxmlformats.org/spreadsheetml/2006/main">
  <sheetPr>
    <outlinePr summaryBelow="1" summaryRight="1"/>
    <pageSetUpPr/>
  </sheetPr>
  <dimension ref="A1:W68"/>
  <sheetViews>
    <sheetView showGridLines="0" topLeftCell="J12" zoomScale="70" zoomScaleNormal="70" workbookViewId="0">
      <selection activeCell="Y21" sqref="Y21"/>
    </sheetView>
  </sheetViews>
  <sheetFormatPr baseColWidth="10" defaultColWidth="11.42578125" defaultRowHeight="12.75"/>
  <cols>
    <col width="21.28515625" customWidth="1" style="194" min="1" max="1"/>
    <col width="35.28515625" customWidth="1" style="194" min="2" max="2"/>
    <col width="21" customWidth="1" style="217" min="3" max="3"/>
    <col width="18.7109375" customWidth="1" style="217" min="4" max="4"/>
    <col width="14.42578125" customWidth="1" style="217" min="5" max="5"/>
    <col width="16.7109375" bestFit="1" customWidth="1" style="217" min="6" max="6"/>
    <col width="18.42578125" customWidth="1" style="217" min="7" max="7"/>
    <col width="16.5703125" customWidth="1" style="217" min="8" max="8"/>
    <col width="17.7109375" customWidth="1" style="217" min="9" max="9"/>
    <col width="17.140625" customWidth="1" style="217" min="10" max="10"/>
    <col width="16.140625" customWidth="1" style="217" min="11" max="11"/>
    <col width="16.5703125" customWidth="1" style="217" min="12" max="12"/>
    <col width="15.140625" bestFit="1" customWidth="1" style="217" min="13" max="13"/>
    <col width="16.85546875" customWidth="1" style="217" min="14" max="14"/>
    <col width="18.85546875" customWidth="1" style="217" min="15" max="15"/>
    <col width="3.7109375" bestFit="1" customWidth="1" style="217" min="16" max="16"/>
    <col width="11.7109375" bestFit="1" customWidth="1" style="217" min="17" max="17"/>
    <col width="12.7109375" bestFit="1" customWidth="1" style="194" min="18" max="18"/>
    <col width="11.5703125" bestFit="1" customWidth="1" style="194" min="19" max="19"/>
    <col width="11.42578125" customWidth="1" style="194" min="20" max="22"/>
    <col width="12.7109375" bestFit="1" customWidth="1" style="194" min="23" max="23"/>
    <col width="11.42578125" customWidth="1" style="194" min="24" max="16384"/>
  </cols>
  <sheetData>
    <row r="1" ht="23.25" customHeight="1">
      <c r="A1" s="531" t="inlineStr">
        <is>
          <t>OBLIGACIONES FISCALES</t>
        </is>
      </c>
      <c r="B1" s="513" t="n"/>
      <c r="C1" s="513" t="n"/>
      <c r="D1" s="513" t="n"/>
      <c r="E1" s="514" t="n"/>
      <c r="F1" s="194" t="n"/>
      <c r="G1" s="194" t="n"/>
      <c r="H1" s="194" t="n"/>
      <c r="I1" s="194" t="n"/>
      <c r="J1" s="194" t="n"/>
      <c r="K1" s="194" t="n"/>
      <c r="L1" s="194" t="n"/>
      <c r="M1" s="194" t="n"/>
      <c r="N1" s="194" t="n"/>
      <c r="O1" s="194" t="n"/>
      <c r="P1" s="194" t="n"/>
      <c r="Q1" s="194" t="n"/>
    </row>
    <row r="2" ht="23.25" customHeight="1" thickBot="1">
      <c r="A2" s="515" t="n"/>
      <c r="B2" s="516" t="n"/>
      <c r="C2" s="516" t="n"/>
      <c r="D2" s="516" t="n"/>
      <c r="E2" s="517" t="n"/>
      <c r="F2" s="541" t="n"/>
      <c r="G2" s="541" t="n"/>
      <c r="H2" s="541" t="n"/>
      <c r="I2" s="541" t="n"/>
      <c r="J2" s="541" t="n"/>
      <c r="K2" s="541" t="n"/>
      <c r="L2" s="541" t="n"/>
      <c r="M2" s="541" t="n"/>
      <c r="N2" s="541" t="n"/>
      <c r="O2" s="194" t="n"/>
      <c r="P2" s="194" t="n"/>
      <c r="Q2" s="194" t="n"/>
    </row>
    <row r="3" ht="33" customHeight="1" thickBot="1">
      <c r="A3" s="532" t="inlineStr">
        <is>
          <t>Ventas e IVA en ventas</t>
        </is>
      </c>
      <c r="B3" s="519" t="n"/>
      <c r="C3" s="519" t="n"/>
      <c r="D3" s="519" t="n"/>
      <c r="E3" s="520" t="n"/>
      <c r="F3" s="541" t="n"/>
      <c r="G3" s="541" t="n"/>
      <c r="H3" s="541" t="n"/>
      <c r="I3" s="541" t="n"/>
      <c r="J3" s="541" t="n"/>
      <c r="K3" s="541" t="n"/>
      <c r="L3" s="541" t="n"/>
      <c r="M3" s="541" t="n"/>
      <c r="N3" s="541" t="n"/>
      <c r="O3" s="194" t="n"/>
      <c r="P3" s="194" t="n"/>
      <c r="Q3" s="194" t="n"/>
    </row>
    <row r="4" ht="3.75" customHeight="1" thickBot="1">
      <c r="A4" s="202" t="n"/>
      <c r="B4" s="15" t="n"/>
      <c r="C4" s="15" t="n"/>
      <c r="D4" s="15" t="n"/>
      <c r="E4" s="199" t="n"/>
      <c r="F4" s="541" t="n"/>
      <c r="G4" s="541" t="n"/>
      <c r="H4" s="541" t="n"/>
      <c r="I4" s="541" t="n"/>
      <c r="J4" s="541" t="n"/>
      <c r="K4" s="541" t="n"/>
      <c r="L4" s="541" t="n"/>
      <c r="M4" s="541" t="n"/>
      <c r="N4" s="541" t="n"/>
      <c r="O4" s="194" t="n"/>
      <c r="P4" s="194" t="n"/>
      <c r="Q4" s="194" t="n"/>
    </row>
    <row r="5">
      <c r="A5" s="443" t="inlineStr">
        <is>
          <t>Nombre del cliente</t>
        </is>
      </c>
      <c r="B5" s="513" t="n"/>
      <c r="C5" s="513" t="n"/>
      <c r="D5" s="445" t="inlineStr">
        <is>
          <t>Periodo terminado</t>
        </is>
      </c>
      <c r="E5" s="514" t="n"/>
      <c r="H5" s="541" t="n"/>
      <c r="I5" s="541" t="n"/>
      <c r="J5" s="541" t="n"/>
      <c r="K5" s="541" t="n"/>
      <c r="L5" s="541" t="n"/>
      <c r="M5" s="541" t="n"/>
      <c r="N5" s="541" t="n"/>
      <c r="O5" s="194" t="n"/>
      <c r="P5" s="194" t="n"/>
      <c r="Q5" s="194" t="n"/>
    </row>
    <row r="6" ht="13.5" customHeight="1" thickBot="1">
      <c r="A6" s="446">
        <f>+'DM3 Revisión de saldos'!A5:C5</f>
        <v/>
      </c>
      <c r="B6" s="521" t="n"/>
      <c r="C6" s="521" t="n"/>
      <c r="D6" s="533">
        <f>+'DM3 Revisión de saldos'!D5:E5</f>
        <v/>
      </c>
      <c r="E6" s="523" t="n"/>
      <c r="H6" s="541" t="n"/>
      <c r="I6" s="541" t="n"/>
      <c r="J6" s="541" t="n"/>
      <c r="K6" s="541" t="n"/>
      <c r="L6" s="541" t="n"/>
      <c r="M6" s="541" t="n"/>
      <c r="N6" s="541" t="n"/>
      <c r="O6" s="194" t="n"/>
      <c r="P6" s="194" t="n"/>
      <c r="Q6" s="194" t="n"/>
    </row>
    <row r="7" ht="12.75" customHeight="1">
      <c r="A7" s="429" t="inlineStr">
        <is>
          <t xml:space="preserve">Preparado por: </t>
        </is>
      </c>
      <c r="B7" s="513" t="n"/>
      <c r="C7" s="158" t="inlineStr">
        <is>
          <t>Fecha:</t>
        </is>
      </c>
      <c r="D7" s="431" t="inlineStr">
        <is>
          <t>Referencia</t>
        </is>
      </c>
      <c r="E7" s="514" t="n"/>
      <c r="H7" s="541" t="n"/>
      <c r="I7" s="541" t="n"/>
      <c r="J7" s="541" t="n"/>
      <c r="K7" s="541" t="n"/>
      <c r="L7" s="541" t="n"/>
      <c r="M7" s="541" t="n"/>
      <c r="N7" s="541" t="n"/>
      <c r="O7" s="206" t="n"/>
      <c r="P7" s="194" t="n"/>
      <c r="Q7" s="194" t="n"/>
    </row>
    <row r="8" ht="12.75" customHeight="1" thickBot="1">
      <c r="A8" s="427">
        <f>+'DM3 Revisión de saldos'!A7:B7</f>
        <v/>
      </c>
      <c r="B8" s="521" t="n"/>
      <c r="C8" s="159">
        <f>+'DM4 Compras '!C8</f>
        <v/>
      </c>
      <c r="D8" s="433" t="inlineStr">
        <is>
          <t>DM5</t>
        </is>
      </c>
      <c r="E8" s="523" t="n"/>
      <c r="H8" s="541" t="n"/>
      <c r="I8" s="541" t="n"/>
      <c r="J8" s="541" t="n"/>
      <c r="K8" s="541" t="n"/>
      <c r="L8" s="541" t="n"/>
      <c r="M8" s="541" t="n"/>
      <c r="N8" s="541" t="n"/>
      <c r="O8" s="206" t="n"/>
      <c r="P8" s="194" t="n"/>
      <c r="Q8" s="194" t="n"/>
    </row>
    <row r="9" ht="12.75" customHeight="1">
      <c r="A9" s="429" t="inlineStr">
        <is>
          <t xml:space="preserve">Revisado por: </t>
        </is>
      </c>
      <c r="B9" s="513" t="n"/>
      <c r="C9" s="158" t="inlineStr">
        <is>
          <t>Fecha:</t>
        </is>
      </c>
      <c r="D9" s="160" t="n"/>
      <c r="E9" s="195" t="n"/>
      <c r="H9" s="541" t="n"/>
      <c r="I9" s="541" t="n"/>
      <c r="J9" s="541" t="n"/>
      <c r="K9" s="541" t="n"/>
      <c r="L9" s="541" t="n"/>
      <c r="M9" s="541" t="n"/>
      <c r="N9" s="541" t="n"/>
      <c r="O9" s="206" t="n"/>
      <c r="P9" s="194" t="n"/>
      <c r="Q9" s="194" t="n"/>
    </row>
    <row r="10" ht="13.5" customHeight="1" thickBot="1">
      <c r="A10" s="427">
        <f>+'DM3 Revisión de saldos'!A9:B9</f>
        <v/>
      </c>
      <c r="B10" s="521" t="n"/>
      <c r="C10" s="161" t="n"/>
      <c r="D10" s="162" t="n"/>
      <c r="E10" s="196" t="n"/>
      <c r="H10" s="541" t="n"/>
      <c r="I10" s="541" t="n"/>
      <c r="J10" s="541" t="n"/>
      <c r="K10" s="541" t="n"/>
      <c r="L10" s="541" t="n"/>
      <c r="M10" s="541" t="n"/>
      <c r="N10" s="541" t="n"/>
      <c r="O10" s="194" t="n"/>
      <c r="P10" s="194" t="n"/>
      <c r="Q10" s="194" t="n"/>
    </row>
    <row r="11">
      <c r="B11" s="8" t="n"/>
      <c r="C11" s="541" t="n"/>
      <c r="D11" s="541" t="n"/>
      <c r="E11" s="541" t="n"/>
      <c r="H11" s="541" t="n"/>
      <c r="I11" s="541" t="n"/>
      <c r="J11" s="541" t="n"/>
      <c r="K11" s="541" t="n"/>
      <c r="L11" s="541" t="n"/>
      <c r="M11" s="541" t="n"/>
      <c r="N11" s="541" t="n"/>
      <c r="O11" s="194" t="n"/>
      <c r="P11" s="194" t="n"/>
      <c r="Q11" s="194" t="n"/>
    </row>
    <row r="12">
      <c r="B12" s="8" t="n"/>
      <c r="C12" s="541" t="n"/>
      <c r="D12" s="541" t="n"/>
      <c r="E12" s="541" t="n"/>
      <c r="H12" s="541" t="n"/>
      <c r="I12" s="541" t="n"/>
      <c r="J12" s="541" t="n"/>
      <c r="K12" s="541" t="n"/>
      <c r="L12" s="541" t="n"/>
      <c r="M12" s="541" t="n"/>
      <c r="N12" s="541" t="n"/>
      <c r="O12" s="194" t="n"/>
      <c r="P12" s="194" t="n"/>
      <c r="Q12" s="194" t="n"/>
    </row>
    <row r="13" ht="12.75" customHeight="1">
      <c r="A13" s="539" t="inlineStr">
        <is>
          <t>VENTAS 12%</t>
        </is>
      </c>
      <c r="B13" s="451" t="inlineStr">
        <is>
          <t>Cuenta</t>
        </is>
      </c>
      <c r="C13" s="454" t="inlineStr">
        <is>
          <t>Enero</t>
        </is>
      </c>
      <c r="D13" s="454" t="inlineStr">
        <is>
          <t>Febrero</t>
        </is>
      </c>
      <c r="E13" s="454" t="inlineStr">
        <is>
          <t>Marzo</t>
        </is>
      </c>
      <c r="F13" s="454" t="inlineStr">
        <is>
          <t>Abril</t>
        </is>
      </c>
      <c r="G13" s="454" t="inlineStr">
        <is>
          <t>Mayo</t>
        </is>
      </c>
      <c r="H13" s="454" t="inlineStr">
        <is>
          <t>Junio</t>
        </is>
      </c>
      <c r="I13" s="454" t="inlineStr">
        <is>
          <t>Julio</t>
        </is>
      </c>
      <c r="J13" s="454" t="inlineStr">
        <is>
          <t>Agosto</t>
        </is>
      </c>
      <c r="K13" s="454" t="inlineStr">
        <is>
          <t>Septiembre</t>
        </is>
      </c>
      <c r="L13" s="454" t="inlineStr">
        <is>
          <t>Octubre</t>
        </is>
      </c>
      <c r="M13" s="454" t="inlineStr">
        <is>
          <t>Noviembre</t>
        </is>
      </c>
      <c r="N13" s="454" t="inlineStr">
        <is>
          <t>Diciembre</t>
        </is>
      </c>
      <c r="O13" s="454" t="inlineStr">
        <is>
          <t>Total</t>
        </is>
      </c>
      <c r="P13" s="194" t="n"/>
      <c r="Q13" s="194" t="n"/>
    </row>
    <row r="14">
      <c r="A14" s="540" t="n"/>
      <c r="B14" s="98" t="n"/>
      <c r="C14" s="114" t="n"/>
      <c r="D14" s="114" t="n"/>
      <c r="E14" s="114" t="n"/>
      <c r="F14" s="114" t="n"/>
      <c r="G14" s="114" t="n"/>
      <c r="H14" s="114" t="n"/>
      <c r="I14" s="114" t="n"/>
      <c r="J14" s="114" t="n"/>
      <c r="K14" s="114" t="n"/>
      <c r="L14" s="114" t="n"/>
      <c r="M14" s="114" t="n"/>
      <c r="N14" s="114" t="n"/>
      <c r="O14" s="127" t="n"/>
      <c r="P14" s="194" t="n"/>
      <c r="Q14" s="194" t="n"/>
    </row>
    <row r="15">
      <c r="A15" s="540" t="n"/>
      <c r="B15" s="98" t="inlineStr">
        <is>
          <t>Ventas según anexo</t>
        </is>
      </c>
      <c r="C15" s="225" t="n"/>
      <c r="D15" s="225" t="n"/>
      <c r="E15" s="225">
        <f>0-50</f>
        <v/>
      </c>
      <c r="F15" s="225" t="n"/>
      <c r="G15" s="225" t="n"/>
      <c r="H15" s="225" t="n"/>
      <c r="I15" s="225" t="n"/>
      <c r="J15" s="225" t="n"/>
      <c r="K15" s="225" t="n"/>
      <c r="L15" s="225" t="n"/>
      <c r="M15" s="225" t="n"/>
      <c r="N15" s="225" t="n"/>
      <c r="O15" s="127">
        <f>SUM(C15:N15)</f>
        <v/>
      </c>
      <c r="P15" s="194" t="n"/>
      <c r="Q15" s="194" t="n"/>
    </row>
    <row r="16">
      <c r="A16" s="540" t="n"/>
      <c r="B16" s="98" t="n"/>
      <c r="C16" s="225" t="n"/>
      <c r="D16" s="225" t="n"/>
      <c r="E16" s="225" t="n"/>
      <c r="F16" s="225" t="n"/>
      <c r="G16" s="225" t="n"/>
      <c r="H16" s="225" t="n"/>
      <c r="I16" s="225" t="n"/>
      <c r="J16" s="225" t="n"/>
      <c r="K16" s="225" t="n"/>
      <c r="L16" s="225" t="n"/>
      <c r="M16" s="225" t="n"/>
      <c r="N16" s="225" t="n"/>
      <c r="O16" s="127">
        <f>SUM(C16:N16)</f>
        <v/>
      </c>
      <c r="P16" s="194" t="n"/>
      <c r="Q16" s="194" t="n"/>
    </row>
    <row r="17">
      <c r="A17" s="540" t="n"/>
      <c r="B17" s="98" t="inlineStr">
        <is>
          <t>Descuentos según anexo</t>
        </is>
      </c>
      <c r="C17" s="225" t="n"/>
      <c r="D17" s="225" t="n"/>
      <c r="E17" s="225" t="n"/>
      <c r="F17" s="225" t="n"/>
      <c r="G17" s="225" t="n"/>
      <c r="H17" s="225" t="n"/>
      <c r="I17" s="225" t="n"/>
      <c r="J17" s="225" t="n"/>
      <c r="K17" s="225" t="n"/>
      <c r="L17" s="225" t="n"/>
      <c r="M17" s="225" t="n"/>
      <c r="N17" s="225" t="n"/>
      <c r="O17" s="127">
        <f>SUM(C17:N17)</f>
        <v/>
      </c>
      <c r="P17" s="194" t="n"/>
      <c r="Q17" s="194" t="n"/>
    </row>
    <row r="18">
      <c r="A18" s="540" t="n"/>
      <c r="B18" s="98" t="n"/>
      <c r="C18" s="225" t="n"/>
      <c r="D18" s="225" t="n"/>
      <c r="E18" s="225" t="n"/>
      <c r="F18" s="225" t="n"/>
      <c r="G18" s="225" t="n"/>
      <c r="H18" s="225" t="n"/>
      <c r="I18" s="225" t="n"/>
      <c r="J18" s="225" t="n"/>
      <c r="K18" s="225" t="n"/>
      <c r="L18" s="225" t="n"/>
      <c r="M18" s="225" t="n"/>
      <c r="N18" s="225" t="n"/>
      <c r="O18" s="127">
        <f>SUM(C18:N18)</f>
        <v/>
      </c>
      <c r="P18" s="194" t="n"/>
      <c r="Q18" s="194" t="n"/>
    </row>
    <row r="19">
      <c r="A19" s="540" t="n"/>
      <c r="B19" s="172" t="inlineStr">
        <is>
          <t>Ventas según libros</t>
        </is>
      </c>
      <c r="C19" s="173">
        <f>+C15+C17</f>
        <v/>
      </c>
      <c r="D19" s="173">
        <f>+D15+D17</f>
        <v/>
      </c>
      <c r="E19" s="173">
        <f>+E15+E17</f>
        <v/>
      </c>
      <c r="F19" s="173">
        <f>+F15+F17</f>
        <v/>
      </c>
      <c r="G19" s="173">
        <f>+G15+G17</f>
        <v/>
      </c>
      <c r="H19" s="173">
        <f>+H15+H17</f>
        <v/>
      </c>
      <c r="I19" s="173">
        <f>+I15+I17</f>
        <v/>
      </c>
      <c r="J19" s="173">
        <f>+J15+J17</f>
        <v/>
      </c>
      <c r="K19" s="173">
        <f>+K15+K17</f>
        <v/>
      </c>
      <c r="L19" s="173">
        <f>+L15+L17</f>
        <v/>
      </c>
      <c r="M19" s="173">
        <f>+M15+M17</f>
        <v/>
      </c>
      <c r="N19" s="173">
        <f>+N15+N17</f>
        <v/>
      </c>
      <c r="O19" s="173">
        <f>+O15+O16-O17-O18</f>
        <v/>
      </c>
      <c r="P19" s="2" t="n"/>
      <c r="Q19" s="37" t="n"/>
      <c r="R19" s="41" t="n"/>
    </row>
    <row r="20">
      <c r="A20" s="540" t="n"/>
      <c r="B20" s="39" t="n"/>
      <c r="C20" s="40" t="n"/>
      <c r="D20" s="40" t="n"/>
      <c r="E20" s="40" t="n"/>
      <c r="F20" s="40" t="n"/>
      <c r="G20" s="40" t="n"/>
      <c r="H20" s="40" t="n"/>
      <c r="I20" s="40" t="n"/>
      <c r="J20" s="40" t="n"/>
      <c r="K20" s="40" t="n"/>
      <c r="L20" s="40" t="n"/>
      <c r="M20" s="40" t="n"/>
      <c r="N20" s="40" t="n"/>
      <c r="O20" s="30" t="n"/>
      <c r="P20" s="211" t="n"/>
      <c r="Q20" s="194" t="n"/>
    </row>
    <row r="21">
      <c r="A21" s="540" t="n"/>
      <c r="B21" s="97" t="inlineStr">
        <is>
          <t>Casillero 411 declaraciones 12%</t>
        </is>
      </c>
      <c r="C21" s="225" t="n"/>
      <c r="D21" s="225" t="n"/>
      <c r="E21" s="225" t="n"/>
      <c r="F21" s="225" t="n"/>
      <c r="G21" s="225" t="n"/>
      <c r="H21" s="225" t="n"/>
      <c r="I21" s="225" t="n"/>
      <c r="J21" s="225" t="n"/>
      <c r="K21" s="225" t="n"/>
      <c r="L21" s="225" t="n"/>
      <c r="M21" s="225" t="n"/>
      <c r="N21" s="225" t="n"/>
      <c r="O21" s="95">
        <f>SUM(C21:N21)</f>
        <v/>
      </c>
      <c r="P21" s="2" t="n"/>
    </row>
    <row r="22">
      <c r="A22" s="540" t="n"/>
      <c r="B22" s="97" t="inlineStr">
        <is>
          <t>Casillero 412 declaraciones 12%</t>
        </is>
      </c>
      <c r="C22" s="225" t="n"/>
      <c r="D22" s="225" t="n">
        <v>0</v>
      </c>
      <c r="E22" s="225" t="n">
        <v>0</v>
      </c>
      <c r="F22" s="225" t="n"/>
      <c r="G22" s="225" t="n">
        <v>0</v>
      </c>
      <c r="H22" s="225" t="n">
        <v>0</v>
      </c>
      <c r="I22" s="225" t="n">
        <v>0</v>
      </c>
      <c r="J22" s="225" t="n"/>
      <c r="K22" s="225" t="n"/>
      <c r="L22" s="225" t="n">
        <v>0</v>
      </c>
      <c r="M22" s="225" t="n">
        <v>0</v>
      </c>
      <c r="N22" s="225" t="n">
        <v>0</v>
      </c>
      <c r="O22" s="95">
        <f>SUM(C22:N22)</f>
        <v/>
      </c>
      <c r="P22" s="2" t="n"/>
      <c r="Q22" s="194" t="n"/>
    </row>
    <row r="23">
      <c r="A23" s="540" t="n"/>
      <c r="B23" s="97" t="inlineStr">
        <is>
          <t>Casillero 444 declaraciones 12%</t>
        </is>
      </c>
      <c r="C23" s="225" t="n">
        <v>0</v>
      </c>
      <c r="D23" s="225" t="n">
        <v>0</v>
      </c>
      <c r="E23" s="225" t="n">
        <v>0</v>
      </c>
      <c r="F23" s="225" t="n">
        <v>0</v>
      </c>
      <c r="G23" s="225" t="n">
        <v>0</v>
      </c>
      <c r="H23" s="225" t="n">
        <v>0</v>
      </c>
      <c r="I23" s="225" t="n">
        <v>0</v>
      </c>
      <c r="J23" s="225" t="n">
        <v>0</v>
      </c>
      <c r="K23" s="225" t="n">
        <v>0</v>
      </c>
      <c r="L23" s="225" t="n">
        <v>0</v>
      </c>
      <c r="M23" s="225" t="n">
        <v>0</v>
      </c>
      <c r="N23" s="225" t="n">
        <v>0</v>
      </c>
      <c r="O23" s="95">
        <f>SUM(C23:N23)</f>
        <v/>
      </c>
      <c r="P23" s="2" t="n"/>
      <c r="Q23" s="194" t="n"/>
    </row>
    <row r="24">
      <c r="A24" s="542" t="n"/>
      <c r="B24" s="172" t="inlineStr">
        <is>
          <t>Diferencia</t>
        </is>
      </c>
      <c r="C24" s="173">
        <f>+C19-C21-C22-C23</f>
        <v/>
      </c>
      <c r="D24" s="173">
        <f>+D19-D21-D22-D23</f>
        <v/>
      </c>
      <c r="E24" s="173">
        <f>+E19-E21-E22-E23</f>
        <v/>
      </c>
      <c r="F24" s="173">
        <f>+F19-F21-F22-F23</f>
        <v/>
      </c>
      <c r="G24" s="173">
        <f>+G19-G21-G22-G23</f>
        <v/>
      </c>
      <c r="H24" s="173">
        <f>+H19-H21-H22-H23</f>
        <v/>
      </c>
      <c r="I24" s="173">
        <f>+I19-I21-I22-I23</f>
        <v/>
      </c>
      <c r="J24" s="173">
        <f>+J19-J21-J22-J23</f>
        <v/>
      </c>
      <c r="K24" s="173">
        <f>+K19-K21-K22</f>
        <v/>
      </c>
      <c r="L24" s="173">
        <f>+L19-L21-L22</f>
        <v/>
      </c>
      <c r="M24" s="173">
        <f>+M19-M21-M22</f>
        <v/>
      </c>
      <c r="N24" s="173">
        <f>+N19-N21-N22</f>
        <v/>
      </c>
      <c r="O24" s="173">
        <f>O19-O21-O22-O23</f>
        <v/>
      </c>
      <c r="P24" s="4" t="inlineStr">
        <is>
          <t xml:space="preserve">‡ </t>
        </is>
      </c>
      <c r="Q24" s="194" t="n"/>
    </row>
    <row r="25">
      <c r="A25" s="38" t="n"/>
      <c r="B25" s="38" t="n"/>
      <c r="C25" s="42" t="n"/>
      <c r="D25" s="42" t="n"/>
      <c r="E25" s="42" t="n"/>
      <c r="F25" s="42" t="n"/>
      <c r="G25" s="42" t="n"/>
      <c r="H25" s="42" t="n"/>
      <c r="I25" s="42" t="n"/>
      <c r="J25" s="42" t="n"/>
      <c r="K25" s="42" t="n"/>
      <c r="L25" s="194" t="n"/>
      <c r="M25" s="194" t="n"/>
      <c r="N25" s="194" t="n"/>
      <c r="O25" s="194" t="n"/>
      <c r="P25" s="194" t="n"/>
      <c r="Q25" s="194" t="n"/>
    </row>
    <row r="26">
      <c r="A26" s="38" t="n"/>
      <c r="B26" s="38" t="n"/>
      <c r="C26" s="42" t="n"/>
      <c r="D26" s="42" t="n"/>
      <c r="E26" s="42" t="n"/>
      <c r="F26" s="42" t="n"/>
      <c r="G26" s="42" t="n"/>
      <c r="H26" s="42" t="n"/>
      <c r="I26" s="42" t="n"/>
      <c r="J26" s="42" t="n"/>
      <c r="K26" s="42" t="n"/>
      <c r="L26" s="42" t="n"/>
      <c r="M26" s="42" t="n"/>
      <c r="N26" s="42" t="n"/>
      <c r="O26" s="194" t="n"/>
      <c r="P26" s="194" t="n"/>
      <c r="Q26" s="194" t="n"/>
    </row>
    <row r="27">
      <c r="A27" s="543" t="inlineStr">
        <is>
          <t>VENTAS 0%</t>
        </is>
      </c>
      <c r="B27" s="451" t="inlineStr">
        <is>
          <t>Cuenta</t>
        </is>
      </c>
      <c r="C27" s="454" t="inlineStr">
        <is>
          <t>Enero</t>
        </is>
      </c>
      <c r="D27" s="454" t="inlineStr">
        <is>
          <t>Febrero</t>
        </is>
      </c>
      <c r="E27" s="454" t="inlineStr">
        <is>
          <t>Marzo</t>
        </is>
      </c>
      <c r="F27" s="454" t="inlineStr">
        <is>
          <t>Abril</t>
        </is>
      </c>
      <c r="G27" s="454" t="inlineStr">
        <is>
          <t>Mayo</t>
        </is>
      </c>
      <c r="H27" s="454" t="inlineStr">
        <is>
          <t>Junio</t>
        </is>
      </c>
      <c r="I27" s="454" t="inlineStr">
        <is>
          <t>Julio</t>
        </is>
      </c>
      <c r="J27" s="454" t="inlineStr">
        <is>
          <t>Agosto</t>
        </is>
      </c>
      <c r="K27" s="454" t="inlineStr">
        <is>
          <t>Septiembre</t>
        </is>
      </c>
      <c r="L27" s="454" t="inlineStr">
        <is>
          <t>Octubre</t>
        </is>
      </c>
      <c r="M27" s="454" t="inlineStr">
        <is>
          <t>Noviembre</t>
        </is>
      </c>
      <c r="N27" s="454" t="inlineStr">
        <is>
          <t>Diciembre</t>
        </is>
      </c>
      <c r="O27" s="454" t="inlineStr">
        <is>
          <t>Total</t>
        </is>
      </c>
      <c r="P27" s="194" t="n"/>
      <c r="Q27" s="194" t="n"/>
    </row>
    <row r="28">
      <c r="A28" s="540" t="n"/>
      <c r="B28" s="98" t="n"/>
      <c r="C28" s="225" t="n"/>
      <c r="D28" s="225" t="n"/>
      <c r="E28" s="225" t="n"/>
      <c r="F28" s="225" t="n"/>
      <c r="G28" s="225" t="n"/>
      <c r="H28" s="225" t="n"/>
      <c r="I28" s="225" t="n"/>
      <c r="J28" s="225" t="n"/>
      <c r="K28" s="225" t="n"/>
      <c r="L28" s="225" t="n"/>
      <c r="M28" s="225" t="n"/>
      <c r="N28" s="225" t="n"/>
      <c r="O28" s="116">
        <f>SUM(C28:N28)</f>
        <v/>
      </c>
    </row>
    <row r="29">
      <c r="A29" s="540" t="n"/>
      <c r="B29" s="98" t="inlineStr">
        <is>
          <t xml:space="preserve">Ventas 0% </t>
        </is>
      </c>
      <c r="C29" s="114" t="n">
        <v>0</v>
      </c>
      <c r="D29" s="114" t="n">
        <v>0</v>
      </c>
      <c r="E29" s="114" t="n">
        <v>0</v>
      </c>
      <c r="F29" s="114" t="n">
        <v>0</v>
      </c>
      <c r="G29" s="114" t="n">
        <v>0</v>
      </c>
      <c r="H29" s="114" t="n">
        <v>0</v>
      </c>
      <c r="I29" s="114" t="n">
        <v>0</v>
      </c>
      <c r="J29" s="114" t="n">
        <v>0</v>
      </c>
      <c r="K29" s="114" t="n">
        <v>0</v>
      </c>
      <c r="L29" s="114" t="n">
        <v>0</v>
      </c>
      <c r="M29" s="96" t="n">
        <v>0</v>
      </c>
      <c r="N29" s="96" t="n">
        <v>0</v>
      </c>
      <c r="O29" s="116">
        <f>SUM(C29:N29)</f>
        <v/>
      </c>
    </row>
    <row r="30">
      <c r="A30" s="540" t="n"/>
      <c r="B30" s="98" t="n"/>
      <c r="C30" s="114" t="n"/>
      <c r="D30" s="114" t="n"/>
      <c r="E30" s="114" t="n"/>
      <c r="F30" s="114" t="n"/>
      <c r="G30" s="114" t="n"/>
      <c r="H30" s="114" t="n"/>
      <c r="I30" s="114" t="n"/>
      <c r="J30" s="114" t="n"/>
      <c r="K30" s="114" t="n"/>
      <c r="L30" s="231" t="n"/>
      <c r="M30" s="96" t="n"/>
      <c r="N30" s="96" t="n"/>
      <c r="O30" s="116">
        <f>SUM(C30:N30)</f>
        <v/>
      </c>
    </row>
    <row r="31">
      <c r="A31" s="540" t="n"/>
      <c r="B31" s="172" t="inlineStr">
        <is>
          <t xml:space="preserve">Ventas 0% Según libros </t>
        </is>
      </c>
      <c r="C31" s="174">
        <f>SUM(C28:C30)</f>
        <v/>
      </c>
      <c r="D31" s="174">
        <f>SUM(D28:D30)</f>
        <v/>
      </c>
      <c r="E31" s="174">
        <f>SUM(E28:E29)</f>
        <v/>
      </c>
      <c r="F31" s="174">
        <f>SUM(F28:F29)</f>
        <v/>
      </c>
      <c r="G31" s="174">
        <f>SUM(G28:G29)</f>
        <v/>
      </c>
      <c r="H31" s="174">
        <f>SUM(H28:H29)</f>
        <v/>
      </c>
      <c r="I31" s="174">
        <f>SUM(I28:I29)</f>
        <v/>
      </c>
      <c r="J31" s="174">
        <f>SUM(J28:J29)</f>
        <v/>
      </c>
      <c r="K31" s="174">
        <f>SUM(K28:K29)</f>
        <v/>
      </c>
      <c r="L31" s="174">
        <f>SUM(L28:L29)</f>
        <v/>
      </c>
      <c r="M31" s="174">
        <f>SUM(M28:M29)</f>
        <v/>
      </c>
      <c r="N31" s="174">
        <f>SUM(N28:N29)</f>
        <v/>
      </c>
      <c r="O31" s="173">
        <f>+SUM(C31:N31)</f>
        <v/>
      </c>
    </row>
    <row r="32">
      <c r="A32" s="540" t="n"/>
      <c r="B32" s="38" t="n"/>
      <c r="C32" s="40" t="n"/>
      <c r="D32" s="40" t="n"/>
      <c r="E32" s="40" t="n"/>
      <c r="F32" s="40" t="n"/>
      <c r="G32" s="40" t="n"/>
      <c r="H32" s="40" t="n"/>
      <c r="I32" s="40" t="n"/>
      <c r="J32" s="40" t="n"/>
      <c r="K32" s="40" t="n"/>
      <c r="L32" s="40" t="n"/>
      <c r="M32" s="40" t="n"/>
      <c r="N32" s="40" t="n"/>
      <c r="O32" s="55" t="n"/>
    </row>
    <row r="33">
      <c r="A33" s="540" t="n"/>
      <c r="B33" s="97" t="inlineStr">
        <is>
          <t>Casillero 412 Ventas de Activos Fijos</t>
        </is>
      </c>
      <c r="C33" s="225" t="n">
        <v>0</v>
      </c>
      <c r="D33" s="225" t="n">
        <v>0</v>
      </c>
      <c r="E33" s="225" t="n">
        <v>0</v>
      </c>
      <c r="F33" s="225" t="n">
        <v>0</v>
      </c>
      <c r="G33" s="225" t="n">
        <v>0</v>
      </c>
      <c r="H33" s="225" t="n">
        <v>0</v>
      </c>
      <c r="I33" s="225" t="n">
        <v>0</v>
      </c>
      <c r="J33" s="225" t="n">
        <v>0</v>
      </c>
      <c r="K33" s="225" t="n">
        <v>0</v>
      </c>
      <c r="L33" s="225" t="n">
        <v>0</v>
      </c>
      <c r="M33" s="225" t="n">
        <v>0</v>
      </c>
      <c r="N33" s="225" t="n">
        <v>0</v>
      </c>
      <c r="O33" s="95">
        <f>SUM(C33:N33)</f>
        <v/>
      </c>
    </row>
    <row r="34">
      <c r="A34" s="540" t="n"/>
      <c r="B34" s="97" t="inlineStr">
        <is>
          <t>Casillero 413 declaraciones 0% no crédito tributario</t>
        </is>
      </c>
      <c r="C34" s="225" t="n">
        <v>0</v>
      </c>
      <c r="D34" s="225" t="n">
        <v>0</v>
      </c>
      <c r="E34" s="225" t="n">
        <v>0</v>
      </c>
      <c r="F34" s="225" t="n">
        <v>0</v>
      </c>
      <c r="G34" s="225" t="n">
        <v>0</v>
      </c>
      <c r="H34" s="225" t="n">
        <v>0</v>
      </c>
      <c r="I34" s="225" t="n">
        <v>0</v>
      </c>
      <c r="J34" s="225" t="n">
        <v>0</v>
      </c>
      <c r="K34" s="225" t="n">
        <v>0</v>
      </c>
      <c r="L34" s="225" t="n">
        <v>0</v>
      </c>
      <c r="M34" s="225" t="n">
        <v>0</v>
      </c>
      <c r="N34" s="225" t="n">
        <v>0</v>
      </c>
      <c r="O34" s="95">
        <f>SUM(C34:N34)</f>
        <v/>
      </c>
    </row>
    <row r="35">
      <c r="A35" s="540" t="n"/>
      <c r="B35" s="97" t="inlineStr">
        <is>
          <t>Casillero 414 declaraciones 0%</t>
        </is>
      </c>
      <c r="C35" s="225" t="n">
        <v>0</v>
      </c>
      <c r="D35" s="225" t="n">
        <v>0</v>
      </c>
      <c r="E35" s="225" t="n">
        <v>0</v>
      </c>
      <c r="F35" s="225" t="n">
        <v>0</v>
      </c>
      <c r="G35" s="225" t="n">
        <v>0</v>
      </c>
      <c r="H35" s="225" t="n">
        <v>0</v>
      </c>
      <c r="I35" s="225" t="n">
        <v>0</v>
      </c>
      <c r="J35" s="225" t="n">
        <v>0</v>
      </c>
      <c r="K35" s="225" t="n">
        <v>0</v>
      </c>
      <c r="L35" s="225" t="n">
        <v>0</v>
      </c>
      <c r="M35" s="225" t="n">
        <v>0</v>
      </c>
      <c r="N35" s="225" t="n">
        <v>0</v>
      </c>
      <c r="O35" s="95">
        <f>SUM(C35:N35)</f>
        <v/>
      </c>
    </row>
    <row r="36">
      <c r="A36" s="540" t="n"/>
      <c r="B36" s="97" t="inlineStr">
        <is>
          <t>Casillero 415 declaraciones 0%</t>
        </is>
      </c>
      <c r="C36" s="225" t="n">
        <v>0</v>
      </c>
      <c r="D36" s="225" t="n">
        <v>0</v>
      </c>
      <c r="E36" s="225" t="n">
        <v>0</v>
      </c>
      <c r="F36" s="225" t="n">
        <v>0</v>
      </c>
      <c r="G36" s="225" t="n">
        <v>0</v>
      </c>
      <c r="H36" s="225" t="n">
        <v>0</v>
      </c>
      <c r="I36" s="225" t="n">
        <v>0</v>
      </c>
      <c r="J36" s="225" t="n">
        <v>0</v>
      </c>
      <c r="K36" s="225" t="n">
        <v>0</v>
      </c>
      <c r="L36" s="225" t="n">
        <v>0</v>
      </c>
      <c r="M36" s="225" t="n">
        <v>0</v>
      </c>
      <c r="N36" s="225" t="n">
        <v>0</v>
      </c>
      <c r="O36" s="95">
        <f>SUM(C36:N36)</f>
        <v/>
      </c>
    </row>
    <row r="37">
      <c r="A37" s="540" t="n"/>
      <c r="B37" s="97" t="inlineStr">
        <is>
          <t>Casillero 418 Exportaciones de servicios</t>
        </is>
      </c>
      <c r="C37" s="225" t="n">
        <v>0</v>
      </c>
      <c r="D37" s="225" t="n">
        <v>0</v>
      </c>
      <c r="E37" s="225" t="n">
        <v>0</v>
      </c>
      <c r="F37" s="225" t="n">
        <v>0</v>
      </c>
      <c r="G37" s="225" t="n">
        <v>0</v>
      </c>
      <c r="H37" s="225" t="n">
        <v>0</v>
      </c>
      <c r="I37" s="225" t="n">
        <v>0</v>
      </c>
      <c r="J37" s="225" t="n">
        <v>0</v>
      </c>
      <c r="K37" s="225" t="n">
        <v>0</v>
      </c>
      <c r="L37" s="225" t="n">
        <v>0</v>
      </c>
      <c r="M37" s="225" t="n">
        <v>0</v>
      </c>
      <c r="N37" s="225" t="n">
        <v>0</v>
      </c>
      <c r="O37" s="95">
        <f>SUM(C37:N37)</f>
        <v/>
      </c>
    </row>
    <row r="38">
      <c r="A38" s="540" t="n"/>
      <c r="B38" s="97" t="inlineStr">
        <is>
          <t>Casillero 444 declaraciones 0%</t>
        </is>
      </c>
      <c r="C38" s="225" t="n">
        <v>0</v>
      </c>
      <c r="D38" s="225" t="n">
        <v>0</v>
      </c>
      <c r="E38" s="225" t="n">
        <v>0</v>
      </c>
      <c r="F38" s="225" t="n">
        <v>0</v>
      </c>
      <c r="G38" s="225" t="n">
        <v>0</v>
      </c>
      <c r="H38" s="225" t="n">
        <v>0</v>
      </c>
      <c r="I38" s="225" t="n">
        <v>0</v>
      </c>
      <c r="J38" s="225" t="n">
        <v>0</v>
      </c>
      <c r="K38" s="225" t="n">
        <v>0</v>
      </c>
      <c r="L38" s="225" t="n">
        <v>0</v>
      </c>
      <c r="M38" s="225" t="n">
        <v>0</v>
      </c>
      <c r="N38" s="225" t="n">
        <v>0</v>
      </c>
      <c r="O38" s="95">
        <f>SUM(C38:N38)</f>
        <v/>
      </c>
    </row>
    <row r="39">
      <c r="A39" s="540" t="n"/>
      <c r="B39" s="172" t="inlineStr">
        <is>
          <t>Según declaración</t>
        </is>
      </c>
      <c r="C39" s="173">
        <f>SUM(C33:C38)</f>
        <v/>
      </c>
      <c r="D39" s="173">
        <f>SUM(D33:D38)</f>
        <v/>
      </c>
      <c r="E39" s="173">
        <f>SUM(E33:E38)</f>
        <v/>
      </c>
      <c r="F39" s="173">
        <f>SUM(F33:F38)</f>
        <v/>
      </c>
      <c r="G39" s="173">
        <f>SUM(G33:G38)</f>
        <v/>
      </c>
      <c r="H39" s="173">
        <f>SUM(H33:H38)</f>
        <v/>
      </c>
      <c r="I39" s="173">
        <f>SUM(I33:I38)</f>
        <v/>
      </c>
      <c r="J39" s="173">
        <f>SUM(J33:J38)</f>
        <v/>
      </c>
      <c r="K39" s="173">
        <f>SUM(K33:K38)</f>
        <v/>
      </c>
      <c r="L39" s="173">
        <f>SUM(L33:L38)</f>
        <v/>
      </c>
      <c r="M39" s="173">
        <f>SUM(M33:M38)</f>
        <v/>
      </c>
      <c r="N39" s="173">
        <f>SUM(N33:N38)</f>
        <v/>
      </c>
      <c r="O39" s="173">
        <f>SUM(C39:N39)</f>
        <v/>
      </c>
      <c r="P39" s="2" t="inlineStr">
        <is>
          <t xml:space="preserve">Σ  </t>
        </is>
      </c>
    </row>
    <row r="40">
      <c r="A40" s="540" t="n"/>
      <c r="B40" s="39" t="n"/>
      <c r="C40" s="40" t="n"/>
      <c r="D40" s="40" t="n"/>
      <c r="E40" s="40" t="n"/>
      <c r="F40" s="40" t="n"/>
      <c r="G40" s="40" t="n"/>
      <c r="H40" s="40" t="n"/>
      <c r="I40" s="40" t="n"/>
      <c r="J40" s="40" t="n"/>
      <c r="K40" s="40" t="n"/>
      <c r="L40" s="40" t="n"/>
      <c r="M40" s="40" t="n"/>
      <c r="N40" s="40" t="n"/>
      <c r="O40" s="215" t="n"/>
      <c r="P40" s="228" t="n"/>
    </row>
    <row r="41" ht="13.5" customHeight="1" thickBot="1">
      <c r="A41" s="542" t="n"/>
      <c r="B41" s="180" t="inlineStr">
        <is>
          <t>Diferencia</t>
        </is>
      </c>
      <c r="C41" s="181">
        <f>+C31-C39</f>
        <v/>
      </c>
      <c r="D41" s="181">
        <f>+D31-D39</f>
        <v/>
      </c>
      <c r="E41" s="181">
        <f>+E31-E39</f>
        <v/>
      </c>
      <c r="F41" s="181">
        <f>+F31-F39</f>
        <v/>
      </c>
      <c r="G41" s="181">
        <f>+G31-G39</f>
        <v/>
      </c>
      <c r="H41" s="181">
        <f>+H31-H39</f>
        <v/>
      </c>
      <c r="I41" s="181">
        <f>+I31-I39</f>
        <v/>
      </c>
      <c r="J41" s="181">
        <f>+J31-J39</f>
        <v/>
      </c>
      <c r="K41" s="181">
        <f>+K31-K39</f>
        <v/>
      </c>
      <c r="L41" s="181">
        <f>+L31-L39</f>
        <v/>
      </c>
      <c r="M41" s="181">
        <f>+M31-M39</f>
        <v/>
      </c>
      <c r="N41" s="181">
        <f>+N31-N39</f>
        <v/>
      </c>
      <c r="O41" s="182">
        <f>SUM(C41:N41)</f>
        <v/>
      </c>
      <c r="P41" s="4" t="inlineStr">
        <is>
          <t xml:space="preserve">‡ </t>
        </is>
      </c>
    </row>
    <row r="43">
      <c r="B43" s="8" t="inlineStr">
        <is>
          <t>Total ventas declaradas</t>
        </is>
      </c>
      <c r="C43" s="31">
        <f>C21+C22+C39</f>
        <v/>
      </c>
      <c r="D43" s="31">
        <f>D21+D22+D39</f>
        <v/>
      </c>
      <c r="E43" s="31">
        <f>E21+E22+E39</f>
        <v/>
      </c>
      <c r="F43" s="31">
        <f>F21+F22+F39</f>
        <v/>
      </c>
      <c r="G43" s="31">
        <f>G21+G22+G39</f>
        <v/>
      </c>
      <c r="H43" s="31">
        <f>H21+H22+H39</f>
        <v/>
      </c>
      <c r="I43" s="31">
        <f>I21+I22+I39</f>
        <v/>
      </c>
      <c r="J43" s="31">
        <f>J21+J22+J39</f>
        <v/>
      </c>
      <c r="K43" s="31">
        <f>K21+K22+K39</f>
        <v/>
      </c>
      <c r="L43" s="31">
        <f>L21+L22+L39</f>
        <v/>
      </c>
      <c r="M43" s="31">
        <f>M21+M22+M39</f>
        <v/>
      </c>
      <c r="N43" s="31">
        <f>N21+N22+N39</f>
        <v/>
      </c>
      <c r="O43" s="31">
        <f>SUM(C43:N43)</f>
        <v/>
      </c>
      <c r="R43" s="217" t="n"/>
      <c r="S43" s="217">
        <f>+O43-R43</f>
        <v/>
      </c>
      <c r="T43" s="217">
        <f>+S43-O22</f>
        <v/>
      </c>
      <c r="W43" s="217" t="n"/>
    </row>
    <row r="44">
      <c r="B44" s="8" t="n"/>
      <c r="C44" s="31" t="n"/>
      <c r="D44" s="31" t="n"/>
      <c r="E44" s="31" t="n"/>
      <c r="F44" s="31" t="n"/>
      <c r="G44" s="31" t="n"/>
      <c r="H44" s="31" t="n"/>
      <c r="I44" s="31" t="n"/>
      <c r="J44" s="31" t="n"/>
      <c r="K44" s="31" t="n"/>
      <c r="L44" s="31" t="n"/>
      <c r="M44" s="31" t="n"/>
      <c r="N44" s="31" t="n"/>
      <c r="O44" s="31" t="n"/>
      <c r="W44" s="217">
        <f>+W43-O43</f>
        <v/>
      </c>
    </row>
    <row r="46">
      <c r="A46" s="463" t="inlineStr">
        <is>
          <t>IVA EN VENTAS 12%</t>
        </is>
      </c>
      <c r="B46" s="454" t="inlineStr">
        <is>
          <t>Cuenta</t>
        </is>
      </c>
      <c r="C46" s="454" t="inlineStr">
        <is>
          <t>Enero</t>
        </is>
      </c>
      <c r="D46" s="454" t="inlineStr">
        <is>
          <t>Febrero</t>
        </is>
      </c>
      <c r="E46" s="454" t="inlineStr">
        <is>
          <t>Marzo</t>
        </is>
      </c>
      <c r="F46" s="454" t="inlineStr">
        <is>
          <t>Abril</t>
        </is>
      </c>
      <c r="G46" s="454" t="inlineStr">
        <is>
          <t>Mayo</t>
        </is>
      </c>
      <c r="H46" s="454" t="inlineStr">
        <is>
          <t>Junio</t>
        </is>
      </c>
      <c r="I46" s="454" t="inlineStr">
        <is>
          <t>Julio</t>
        </is>
      </c>
      <c r="J46" s="454" t="inlineStr">
        <is>
          <t>Agosto</t>
        </is>
      </c>
      <c r="K46" s="454" t="inlineStr">
        <is>
          <t>Septiembre</t>
        </is>
      </c>
      <c r="L46" s="454" t="inlineStr">
        <is>
          <t>Octubre</t>
        </is>
      </c>
      <c r="M46" s="454" t="inlineStr">
        <is>
          <t>Noviembre</t>
        </is>
      </c>
      <c r="N46" s="454" t="inlineStr">
        <is>
          <t>Diciembre</t>
        </is>
      </c>
      <c r="O46" s="454" t="inlineStr">
        <is>
          <t>Total</t>
        </is>
      </c>
    </row>
    <row r="47">
      <c r="B47" s="98" t="inlineStr">
        <is>
          <t xml:space="preserve">IVA EN VENTAS                                                                     </t>
        </is>
      </c>
      <c r="C47" s="385" t="n"/>
      <c r="D47" s="385" t="n"/>
      <c r="E47" s="225" t="n"/>
      <c r="F47" s="385" t="n"/>
      <c r="G47" s="225" t="n"/>
      <c r="H47" s="225" t="n"/>
      <c r="I47" s="225" t="n"/>
      <c r="J47" s="225" t="n"/>
      <c r="K47" s="385" t="n"/>
      <c r="L47" s="225" t="n"/>
      <c r="M47" s="385" t="n"/>
      <c r="N47" s="385" t="n"/>
      <c r="O47" s="99">
        <f>SUM(C47:N47)</f>
        <v/>
      </c>
    </row>
    <row r="48">
      <c r="B48" s="168" t="inlineStr">
        <is>
          <t>Según libros</t>
        </is>
      </c>
      <c r="C48" s="183">
        <f>+C47</f>
        <v/>
      </c>
      <c r="D48" s="183">
        <f>+D47</f>
        <v/>
      </c>
      <c r="E48" s="183">
        <f>+E47</f>
        <v/>
      </c>
      <c r="F48" s="183">
        <f>+F47</f>
        <v/>
      </c>
      <c r="G48" s="183">
        <f>+G47</f>
        <v/>
      </c>
      <c r="H48" s="183">
        <f>+H47</f>
        <v/>
      </c>
      <c r="I48" s="183">
        <f>+I47</f>
        <v/>
      </c>
      <c r="J48" s="183">
        <f>+J47</f>
        <v/>
      </c>
      <c r="K48" s="183">
        <f>+K47</f>
        <v/>
      </c>
      <c r="L48" s="183">
        <f>+L47</f>
        <v/>
      </c>
      <c r="M48" s="183">
        <f>+M47</f>
        <v/>
      </c>
      <c r="N48" s="183">
        <f>+N47</f>
        <v/>
      </c>
      <c r="O48" s="183">
        <f>+O47</f>
        <v/>
      </c>
    </row>
    <row r="49">
      <c r="C49" s="232" t="n"/>
      <c r="D49" s="232" t="n"/>
      <c r="E49" s="232" t="n"/>
      <c r="F49" s="232" t="n"/>
      <c r="G49" s="232" t="n"/>
      <c r="H49" s="232" t="n"/>
      <c r="I49" s="232" t="n"/>
      <c r="J49" s="232" t="n"/>
      <c r="K49" s="232" t="n"/>
      <c r="L49" s="232" t="n"/>
      <c r="M49" s="232" t="n"/>
      <c r="N49" s="232" t="n"/>
      <c r="O49" s="36" t="n"/>
    </row>
    <row r="50">
      <c r="B50" s="233" t="inlineStr">
        <is>
          <t>Casillero 421</t>
        </is>
      </c>
      <c r="C50" s="225" t="n"/>
      <c r="D50" s="385" t="n"/>
      <c r="E50" s="225" t="n"/>
      <c r="F50" s="225" t="n"/>
      <c r="G50" s="225" t="n"/>
      <c r="H50" s="225" t="n"/>
      <c r="I50" s="225" t="n"/>
      <c r="J50" s="225" t="n"/>
      <c r="K50" s="225" t="n"/>
      <c r="L50" s="225" t="n"/>
      <c r="M50" s="225" t="n"/>
      <c r="N50" s="225" t="n"/>
      <c r="O50" s="100">
        <f>SUM(C50:N50)</f>
        <v/>
      </c>
    </row>
    <row r="51">
      <c r="B51" s="233" t="inlineStr">
        <is>
          <t>Casillero 422</t>
        </is>
      </c>
      <c r="C51" s="225" t="n"/>
      <c r="D51" s="225" t="n">
        <v>0</v>
      </c>
      <c r="E51" s="225" t="n">
        <v>0</v>
      </c>
      <c r="F51" s="225" t="n"/>
      <c r="G51" s="225" t="n">
        <v>0</v>
      </c>
      <c r="H51" s="225" t="n">
        <v>0</v>
      </c>
      <c r="I51" s="225" t="n">
        <v>0</v>
      </c>
      <c r="J51" s="225" t="n"/>
      <c r="K51" s="225" t="n"/>
      <c r="L51" s="225" t="n">
        <v>0</v>
      </c>
      <c r="M51" s="225" t="n">
        <v>0</v>
      </c>
      <c r="N51" s="225" t="n">
        <v>0</v>
      </c>
      <c r="O51" s="100">
        <f>SUM(C51:N51)</f>
        <v/>
      </c>
    </row>
    <row r="52">
      <c r="B52" s="233" t="inlineStr">
        <is>
          <t>Casillero 423</t>
        </is>
      </c>
      <c r="C52" s="225" t="n">
        <v>0</v>
      </c>
      <c r="D52" s="225" t="n">
        <v>0</v>
      </c>
      <c r="E52" s="225" t="n">
        <v>0</v>
      </c>
      <c r="F52" s="225" t="n">
        <v>0</v>
      </c>
      <c r="G52" s="225" t="n">
        <v>0</v>
      </c>
      <c r="H52" s="225" t="n">
        <v>0</v>
      </c>
      <c r="I52" s="225" t="n">
        <v>0</v>
      </c>
      <c r="J52" s="225" t="n">
        <v>0</v>
      </c>
      <c r="K52" s="225" t="n">
        <v>0</v>
      </c>
      <c r="L52" s="225" t="n">
        <v>0</v>
      </c>
      <c r="M52" s="225" t="n">
        <v>0</v>
      </c>
      <c r="N52" s="225" t="n">
        <v>0</v>
      </c>
      <c r="O52" s="100">
        <f>SUM(C52:N52)</f>
        <v/>
      </c>
    </row>
    <row r="53">
      <c r="B53" s="233" t="inlineStr">
        <is>
          <t>Casillero 454</t>
        </is>
      </c>
      <c r="C53" s="225" t="n">
        <v>0</v>
      </c>
      <c r="D53" s="225" t="n">
        <v>0</v>
      </c>
      <c r="E53" s="225" t="n">
        <v>0</v>
      </c>
      <c r="F53" s="225" t="n">
        <v>0</v>
      </c>
      <c r="G53" s="225" t="n">
        <v>0</v>
      </c>
      <c r="H53" s="225" t="n">
        <v>0</v>
      </c>
      <c r="I53" s="225" t="n">
        <v>0</v>
      </c>
      <c r="J53" s="225" t="n">
        <v>0</v>
      </c>
      <c r="K53" s="225" t="n">
        <v>0</v>
      </c>
      <c r="L53" s="225" t="n">
        <v>0</v>
      </c>
      <c r="M53" s="225" t="n">
        <v>0</v>
      </c>
      <c r="N53" s="225" t="n">
        <v>0</v>
      </c>
      <c r="O53" s="100">
        <f>SUM(C53:N53)</f>
        <v/>
      </c>
    </row>
    <row r="54">
      <c r="B54" s="168" t="inlineStr">
        <is>
          <t>Según declaración</t>
        </is>
      </c>
      <c r="C54" s="183">
        <f>SUM(C50:C53)</f>
        <v/>
      </c>
      <c r="D54" s="183">
        <f>SUM(D50:D53)</f>
        <v/>
      </c>
      <c r="E54" s="183">
        <f>SUM(E50:E53)</f>
        <v/>
      </c>
      <c r="F54" s="183">
        <f>SUM(F50:F53)</f>
        <v/>
      </c>
      <c r="G54" s="183">
        <f>SUM(G50:G53)</f>
        <v/>
      </c>
      <c r="H54" s="183">
        <f>SUM(H50:H53)</f>
        <v/>
      </c>
      <c r="I54" s="183">
        <f>SUM(I50:I53)</f>
        <v/>
      </c>
      <c r="J54" s="183">
        <f>SUM(J50:J53)</f>
        <v/>
      </c>
      <c r="K54" s="183">
        <f>SUM(K50:K53)</f>
        <v/>
      </c>
      <c r="L54" s="183">
        <f>SUM(L50:L53)</f>
        <v/>
      </c>
      <c r="M54" s="183">
        <f>SUM(M50:M53)</f>
        <v/>
      </c>
      <c r="N54" s="183">
        <f>SUM(N50:N53)</f>
        <v/>
      </c>
      <c r="O54" s="183">
        <f>SUM(C54:N54)</f>
        <v/>
      </c>
    </row>
    <row r="55">
      <c r="C55" s="232" t="n"/>
      <c r="D55" s="232" t="n"/>
      <c r="E55" s="232" t="n"/>
      <c r="F55" s="232" t="n"/>
      <c r="G55" s="232" t="n"/>
      <c r="H55" s="232" t="n"/>
      <c r="I55" s="232" t="n"/>
      <c r="J55" s="232" t="n"/>
      <c r="K55" s="232" t="n"/>
      <c r="L55" s="232" t="n"/>
      <c r="M55" s="232" t="n"/>
      <c r="N55" s="232" t="n"/>
      <c r="O55" s="232" t="n"/>
    </row>
    <row r="56">
      <c r="B56" s="168" t="inlineStr">
        <is>
          <t>Diferencia</t>
        </is>
      </c>
      <c r="C56" s="183">
        <f>+C48-C54</f>
        <v/>
      </c>
      <c r="D56" s="183">
        <f>+D48-D54</f>
        <v/>
      </c>
      <c r="E56" s="183">
        <f>+E48-E54</f>
        <v/>
      </c>
      <c r="F56" s="183">
        <f>+F48-F54</f>
        <v/>
      </c>
      <c r="G56" s="183">
        <f>+G48-G54</f>
        <v/>
      </c>
      <c r="H56" s="183">
        <f>+H48-H54</f>
        <v/>
      </c>
      <c r="I56" s="183">
        <f>+I48-I54</f>
        <v/>
      </c>
      <c r="J56" s="183">
        <f>+J48-J54</f>
        <v/>
      </c>
      <c r="K56" s="183">
        <f>+K48-K54</f>
        <v/>
      </c>
      <c r="L56" s="183">
        <f>+L48-L54</f>
        <v/>
      </c>
      <c r="M56" s="183">
        <f>+M48-M54</f>
        <v/>
      </c>
      <c r="N56" s="183">
        <f>+N48-N54</f>
        <v/>
      </c>
      <c r="O56" s="183">
        <f>+O48-O54</f>
        <v/>
      </c>
    </row>
    <row r="58">
      <c r="C58" s="2" t="n"/>
    </row>
    <row r="59">
      <c r="A59" s="5" t="n"/>
      <c r="B59" s="2" t="inlineStr">
        <is>
          <t>Marcas:</t>
        </is>
      </c>
    </row>
    <row r="60">
      <c r="A60" s="11" t="inlineStr">
        <is>
          <t>ü</t>
        </is>
      </c>
      <c r="B60" s="94" t="inlineStr">
        <is>
          <t>Cotejado según libros</t>
        </is>
      </c>
      <c r="C60" s="234" t="n"/>
      <c r="D60" s="222" t="n"/>
    </row>
    <row r="61">
      <c r="A61" s="11" t="inlineStr">
        <is>
          <t>£</t>
        </is>
      </c>
      <c r="B61" s="94" t="inlineStr">
        <is>
          <t xml:space="preserve">Cotejado según formularios 104 </t>
        </is>
      </c>
      <c r="C61" s="234" t="n"/>
      <c r="D61" s="194" t="n"/>
    </row>
    <row r="62">
      <c r="A62" s="467" t="inlineStr">
        <is>
          <t xml:space="preserve">‡ </t>
        </is>
      </c>
      <c r="B62" s="19" t="inlineStr">
        <is>
          <t>Diferencia determinada.</t>
        </is>
      </c>
      <c r="C62" s="15" t="n"/>
    </row>
    <row r="63">
      <c r="A63" s="16" t="inlineStr">
        <is>
          <t xml:space="preserve">Σ  </t>
        </is>
      </c>
      <c r="B63" s="8" t="inlineStr">
        <is>
          <t>Sumado, totalizado</t>
        </is>
      </c>
      <c r="C63" s="194" t="n"/>
    </row>
    <row r="64">
      <c r="B64" s="28" t="n"/>
      <c r="C64" s="28" t="n"/>
    </row>
    <row r="65">
      <c r="B65" s="2" t="inlineStr">
        <is>
          <t>Notas:</t>
        </is>
      </c>
      <c r="C65" s="28" t="n"/>
    </row>
    <row r="66">
      <c r="A66" s="16" t="n"/>
      <c r="C66" s="8" t="n"/>
    </row>
    <row r="67">
      <c r="B67" s="8" t="n"/>
      <c r="C67" s="8" t="n"/>
    </row>
    <row r="68">
      <c r="B68" s="8" t="n"/>
      <c r="C68" s="8" t="n"/>
    </row>
  </sheetData>
  <mergeCells count="15">
    <mergeCell ref="D8:E8"/>
    <mergeCell ref="D6:E6"/>
    <mergeCell ref="A27:A41"/>
    <mergeCell ref="D7:E7"/>
    <mergeCell ref="A7:B7"/>
    <mergeCell ref="A13:A24"/>
    <mergeCell ref="A5:C5"/>
    <mergeCell ref="A46:A56"/>
    <mergeCell ref="A10:B10"/>
    <mergeCell ref="D5:E5"/>
    <mergeCell ref="A6:C6"/>
    <mergeCell ref="A1:E2"/>
    <mergeCell ref="A9:B9"/>
    <mergeCell ref="A8:B8"/>
    <mergeCell ref="A3:E3"/>
  </mergeCells>
  <pageMargins left="0.7" right="0.7" top="0.75" bottom="0.75" header="0.3" footer="0.3"/>
  <pageSetup orientation="portrait" paperSize="9" scale="25"/>
</worksheet>
</file>

<file path=xl/worksheets/sheet7.xml><?xml version="1.0" encoding="utf-8"?>
<worksheet xmlns="http://schemas.openxmlformats.org/spreadsheetml/2006/main">
  <sheetPr>
    <outlinePr summaryBelow="1" summaryRight="1"/>
    <pageSetUpPr/>
  </sheetPr>
  <dimension ref="A1:XFD438"/>
  <sheetViews>
    <sheetView showGridLines="0" topLeftCell="T18" zoomScaleNormal="100" zoomScaleSheetLayoutView="75" workbookViewId="0">
      <selection activeCell="AD20" sqref="AD20"/>
    </sheetView>
  </sheetViews>
  <sheetFormatPr baseColWidth="10" defaultColWidth="11.42578125" defaultRowHeight="12.75"/>
  <cols>
    <col width="16.7109375" customWidth="1" style="235" min="1" max="1"/>
    <col width="12.7109375" bestFit="1" customWidth="1" style="235" min="2" max="2"/>
    <col width="18.85546875" customWidth="1" style="235" min="3" max="3"/>
    <col width="17" customWidth="1" style="235" min="4" max="4"/>
    <col width="12.5703125" customWidth="1" style="235" min="5" max="5"/>
    <col width="12.7109375" bestFit="1" customWidth="1" style="235" min="6" max="6"/>
    <col width="11.42578125" customWidth="1" style="235" min="7" max="8"/>
    <col width="17.5703125" customWidth="1" style="235" min="9" max="9"/>
    <col width="11.42578125" customWidth="1" style="235" min="10" max="13"/>
    <col width="21.28515625" customWidth="1" style="235" min="14" max="14"/>
    <col width="18" customWidth="1" style="235" min="15" max="15"/>
    <col width="20.5703125" customWidth="1" style="235" min="16" max="16"/>
    <col width="11.42578125" customWidth="1" style="235" min="17" max="18"/>
    <col width="16.140625" customWidth="1" style="235" min="19" max="19"/>
    <col width="11.42578125" customWidth="1" style="235" min="20" max="21"/>
    <col width="16.5703125" customWidth="1" style="235" min="22" max="22"/>
    <col width="11.42578125" customWidth="1" style="235" min="23" max="24"/>
    <col width="13.140625" bestFit="1" customWidth="1" style="235" min="25" max="25"/>
    <col width="17.7109375" customWidth="1" style="235" min="26" max="26"/>
    <col width="13.5703125" customWidth="1" style="235" min="27" max="28"/>
    <col width="13" customWidth="1" style="235" min="29" max="29"/>
    <col width="11.42578125" customWidth="1" style="235" min="30" max="31"/>
    <col width="13.28515625" customWidth="1" style="236" min="32" max="32"/>
    <col width="11.42578125" customWidth="1" style="236" min="33" max="16384"/>
  </cols>
  <sheetData>
    <row r="1" ht="27.75" customHeight="1">
      <c r="A1" s="531" t="inlineStr">
        <is>
          <t>OBLIGACIONES FISCALES</t>
        </is>
      </c>
      <c r="B1" s="513" t="n"/>
      <c r="C1" s="513" t="n"/>
      <c r="D1" s="513" t="n"/>
      <c r="E1" s="514" t="n"/>
    </row>
    <row r="2" ht="23.25" customHeight="1" thickBot="1">
      <c r="A2" s="515" t="n"/>
      <c r="B2" s="516" t="n"/>
      <c r="C2" s="516" t="n"/>
      <c r="D2" s="516" t="n"/>
      <c r="E2" s="517" t="n"/>
    </row>
    <row r="3" ht="23.25" customHeight="1" thickBot="1">
      <c r="A3" s="532" t="inlineStr">
        <is>
          <t>IVA</t>
        </is>
      </c>
      <c r="B3" s="519" t="n"/>
      <c r="C3" s="519" t="n"/>
      <c r="D3" s="519" t="n"/>
      <c r="E3" s="520" t="n"/>
    </row>
    <row r="4">
      <c r="A4" s="443" t="inlineStr">
        <is>
          <t>Nombre del cliente</t>
        </is>
      </c>
      <c r="B4" s="513" t="n"/>
      <c r="C4" s="513" t="n"/>
      <c r="D4" s="445" t="inlineStr">
        <is>
          <t>Periodo terminado</t>
        </is>
      </c>
      <c r="E4" s="514" t="n"/>
      <c r="F4" s="237" t="n"/>
      <c r="G4" s="237" t="n"/>
      <c r="H4" s="237" t="n"/>
      <c r="I4" s="237" t="n"/>
      <c r="J4" s="237" t="n"/>
      <c r="K4" s="237" t="n"/>
      <c r="L4" s="237" t="n"/>
      <c r="M4" s="237" t="n"/>
      <c r="N4" s="237" t="n"/>
      <c r="O4" s="237" t="n"/>
      <c r="P4" s="237" t="n"/>
      <c r="Q4" s="237" t="n"/>
      <c r="R4" s="237" t="n"/>
      <c r="S4" s="237" t="n"/>
      <c r="T4" s="237" t="n"/>
      <c r="U4" s="237" t="n"/>
      <c r="V4" s="237" t="n"/>
      <c r="W4" s="237" t="n"/>
      <c r="X4" s="237" t="n"/>
      <c r="Y4" s="237" t="n"/>
      <c r="Z4" s="237" t="n"/>
      <c r="AA4" s="237" t="n"/>
      <c r="AB4" s="237" t="n"/>
      <c r="AC4" s="237" t="n"/>
      <c r="AD4" s="237" t="n"/>
    </row>
    <row r="5" ht="13.5" customHeight="1" thickBot="1">
      <c r="A5" s="446">
        <f>+'DM3 Revisión de saldos'!A5:C5</f>
        <v/>
      </c>
      <c r="B5" s="521" t="n"/>
      <c r="C5" s="521" t="n"/>
      <c r="D5" s="533">
        <f>+'DM3 Revisión de saldos'!D5:E5</f>
        <v/>
      </c>
      <c r="E5" s="523" t="n"/>
      <c r="F5" s="237" t="n"/>
      <c r="G5" s="237" t="n"/>
      <c r="H5" s="237" t="n"/>
      <c r="I5" s="237" t="n"/>
      <c r="J5" s="237" t="n"/>
      <c r="K5" s="237" t="n"/>
      <c r="L5" s="237" t="n"/>
      <c r="M5" s="237" t="n"/>
      <c r="N5" s="237" t="n"/>
      <c r="O5" s="237" t="n"/>
      <c r="P5" s="237" t="n"/>
      <c r="Q5" s="237" t="n"/>
      <c r="R5" s="237" t="n"/>
      <c r="S5" s="237" t="n"/>
      <c r="T5" s="237" t="n"/>
      <c r="U5" s="237" t="n"/>
      <c r="V5" s="237" t="n"/>
      <c r="W5" s="237" t="n"/>
      <c r="X5" s="237" t="n"/>
      <c r="Y5" s="237" t="n"/>
      <c r="Z5" s="237" t="n"/>
      <c r="AA5" s="237" t="n"/>
      <c r="AB5" s="237" t="n"/>
      <c r="AC5" s="237" t="n"/>
      <c r="AD5" s="237" t="n"/>
      <c r="AE5" s="464" t="n"/>
      <c r="BI5" s="464" t="n"/>
      <c r="CM5" s="464" t="n"/>
      <c r="DQ5" s="464" t="n"/>
      <c r="EU5" s="464" t="n"/>
      <c r="FY5" s="464" t="n"/>
      <c r="HC5" s="464" t="n"/>
      <c r="IG5" s="464" t="n"/>
      <c r="JK5" s="464" t="n"/>
      <c r="KO5" s="464" t="n"/>
      <c r="LS5" s="464" t="n"/>
      <c r="MW5" s="464" t="n"/>
      <c r="OA5" s="464" t="n"/>
      <c r="PE5" s="464" t="n"/>
      <c r="QI5" s="464" t="n"/>
      <c r="RM5" s="464" t="n"/>
      <c r="SQ5" s="464" t="n"/>
      <c r="TU5" s="464" t="n"/>
      <c r="UY5" s="464" t="n"/>
      <c r="WC5" s="464" t="n"/>
      <c r="XG5" s="464" t="n"/>
      <c r="YK5" s="464" t="n"/>
      <c r="ZO5" s="464" t="n"/>
      <c r="AAS5" s="464" t="n"/>
      <c r="ABW5" s="464" t="n"/>
      <c r="ADA5" s="464" t="n"/>
      <c r="AEE5" s="464" t="n"/>
      <c r="AFI5" s="464" t="n"/>
      <c r="AGM5" s="464" t="n"/>
      <c r="AHQ5" s="464" t="n"/>
      <c r="AIU5" s="464" t="n"/>
      <c r="AJY5" s="464" t="n"/>
      <c r="ALC5" s="464" t="n"/>
      <c r="AMG5" s="464" t="n"/>
      <c r="ANK5" s="464" t="n"/>
      <c r="AOO5" s="464" t="n"/>
      <c r="APS5" s="464" t="n"/>
      <c r="AQW5" s="464" t="n"/>
      <c r="ASA5" s="464" t="n"/>
      <c r="ATE5" s="464" t="n"/>
      <c r="AUI5" s="464" t="n"/>
      <c r="AVM5" s="464" t="n"/>
      <c r="AWQ5" s="464" t="n"/>
      <c r="AXU5" s="464" t="n"/>
      <c r="AYY5" s="464" t="n"/>
      <c r="BAC5" s="464" t="n"/>
      <c r="BBG5" s="464" t="n"/>
      <c r="BCK5" s="464" t="n"/>
      <c r="BDO5" s="464" t="n"/>
      <c r="BES5" s="464" t="n"/>
      <c r="BFW5" s="464" t="n"/>
      <c r="BHA5" s="464" t="n"/>
      <c r="BIE5" s="464" t="n"/>
      <c r="BJI5" s="464" t="n"/>
      <c r="BKM5" s="464" t="n"/>
      <c r="BLQ5" s="464" t="n"/>
      <c r="BMU5" s="464" t="n"/>
      <c r="BNY5" s="464" t="n"/>
      <c r="BPC5" s="464" t="n"/>
      <c r="BQG5" s="464" t="n"/>
      <c r="BRK5" s="464" t="n"/>
      <c r="BSO5" s="464" t="n"/>
      <c r="BTS5" s="464" t="n"/>
      <c r="BUW5" s="464" t="n"/>
      <c r="BWA5" s="464" t="n"/>
      <c r="BXE5" s="464" t="n"/>
      <c r="BYI5" s="464" t="n"/>
      <c r="BZM5" s="464" t="n"/>
      <c r="CAQ5" s="464" t="n"/>
      <c r="CBU5" s="464" t="n"/>
      <c r="CCY5" s="464" t="n"/>
      <c r="CEC5" s="464" t="n"/>
      <c r="CFG5" s="464" t="n"/>
      <c r="CGK5" s="464" t="n"/>
      <c r="CHO5" s="464" t="n"/>
      <c r="CIS5" s="464" t="n"/>
      <c r="CJW5" s="464" t="n"/>
      <c r="CLA5" s="464" t="n"/>
      <c r="CME5" s="464" t="n"/>
      <c r="CNI5" s="464" t="n"/>
      <c r="COM5" s="464" t="n"/>
      <c r="CPQ5" s="464" t="n"/>
      <c r="CQU5" s="464" t="n"/>
      <c r="CRY5" s="464" t="n"/>
      <c r="CTC5" s="464" t="n"/>
      <c r="CUG5" s="464" t="n"/>
      <c r="CVK5" s="464" t="n"/>
      <c r="CWO5" s="464" t="n"/>
      <c r="CXS5" s="464" t="n"/>
      <c r="CYW5" s="464" t="n"/>
      <c r="DAA5" s="464" t="n"/>
      <c r="DBE5" s="464" t="n"/>
      <c r="DCI5" s="464" t="n"/>
      <c r="DDM5" s="464" t="n"/>
      <c r="DEQ5" s="464" t="n"/>
      <c r="DFU5" s="464" t="n"/>
      <c r="DGY5" s="464" t="n"/>
      <c r="DIC5" s="464" t="n"/>
      <c r="DJG5" s="464" t="n"/>
      <c r="DKK5" s="464" t="n"/>
      <c r="DLO5" s="464" t="n"/>
      <c r="DMS5" s="464" t="n"/>
      <c r="DNW5" s="464" t="n"/>
      <c r="DPA5" s="464" t="n"/>
      <c r="DQE5" s="464" t="n"/>
      <c r="DRI5" s="464" t="n"/>
      <c r="DSM5" s="464" t="n"/>
      <c r="DTQ5" s="464" t="n"/>
      <c r="DUU5" s="464" t="n"/>
      <c r="DVY5" s="464" t="n"/>
      <c r="DXC5" s="464" t="n"/>
      <c r="DYG5" s="464" t="n"/>
      <c r="DZK5" s="464" t="n"/>
      <c r="EAO5" s="464" t="n"/>
      <c r="EBS5" s="464" t="n"/>
      <c r="ECW5" s="464" t="n"/>
      <c r="EEA5" s="464" t="n"/>
      <c r="EFE5" s="464" t="n"/>
      <c r="EGI5" s="464" t="n"/>
      <c r="EHM5" s="464" t="n"/>
      <c r="EIQ5" s="464" t="n"/>
      <c r="EJU5" s="464" t="n"/>
      <c r="EKY5" s="464" t="n"/>
      <c r="EMC5" s="464" t="n"/>
      <c r="ENG5" s="464" t="n"/>
      <c r="EOK5" s="464" t="n"/>
      <c r="EPO5" s="464" t="n"/>
      <c r="EQS5" s="464" t="n"/>
      <c r="ERW5" s="464" t="n"/>
      <c r="ETA5" s="464" t="n"/>
      <c r="EUE5" s="464" t="n"/>
      <c r="EVI5" s="464" t="n"/>
      <c r="EWM5" s="464" t="n"/>
      <c r="EXQ5" s="464" t="n"/>
      <c r="EYU5" s="464" t="n"/>
      <c r="EZY5" s="464" t="n"/>
      <c r="FBC5" s="464" t="n"/>
      <c r="FCG5" s="464" t="n"/>
      <c r="FDK5" s="464" t="n"/>
      <c r="FEO5" s="464" t="n"/>
      <c r="FFS5" s="464" t="n"/>
      <c r="FGW5" s="464" t="n"/>
      <c r="FIA5" s="464" t="n"/>
      <c r="FJE5" s="464" t="n"/>
      <c r="FKI5" s="464" t="n"/>
      <c r="FLM5" s="464" t="n"/>
      <c r="FMQ5" s="464" t="n"/>
      <c r="FNU5" s="464" t="n"/>
      <c r="FOY5" s="464" t="n"/>
      <c r="FQC5" s="464" t="n"/>
      <c r="FRG5" s="464" t="n"/>
      <c r="FSK5" s="464" t="n"/>
      <c r="FTO5" s="464" t="n"/>
      <c r="FUS5" s="464" t="n"/>
      <c r="FVW5" s="464" t="n"/>
      <c r="FXA5" s="464" t="n"/>
      <c r="FYE5" s="464" t="n"/>
      <c r="FZI5" s="464" t="n"/>
      <c r="GAM5" s="464" t="n"/>
      <c r="GBQ5" s="464" t="n"/>
      <c r="GCU5" s="464" t="n"/>
      <c r="GDY5" s="464" t="n"/>
      <c r="GFC5" s="464" t="n"/>
      <c r="GGG5" s="464" t="n"/>
      <c r="GHK5" s="464" t="n"/>
      <c r="GIO5" s="464" t="n"/>
      <c r="GJS5" s="464" t="n"/>
      <c r="GKW5" s="464" t="n"/>
      <c r="GMA5" s="464" t="n"/>
      <c r="GNE5" s="464" t="n"/>
      <c r="GOI5" s="464" t="n"/>
      <c r="GPM5" s="464" t="n"/>
      <c r="GQQ5" s="464" t="n"/>
      <c r="GRU5" s="464" t="n"/>
      <c r="GSY5" s="464" t="n"/>
      <c r="GUC5" s="464" t="n"/>
      <c r="GVG5" s="464" t="n"/>
      <c r="GWK5" s="464" t="n"/>
      <c r="GXO5" s="464" t="n"/>
      <c r="GYS5" s="464" t="n"/>
      <c r="GZW5" s="464" t="n"/>
      <c r="HBA5" s="464" t="n"/>
      <c r="HCE5" s="464" t="n"/>
      <c r="HDI5" s="464" t="n"/>
      <c r="HEM5" s="464" t="n"/>
      <c r="HFQ5" s="464" t="n"/>
      <c r="HGU5" s="464" t="n"/>
      <c r="HHY5" s="464" t="n"/>
      <c r="HJC5" s="464" t="n"/>
      <c r="HKG5" s="464" t="n"/>
      <c r="HLK5" s="464" t="n"/>
      <c r="HMO5" s="464" t="n"/>
      <c r="HNS5" s="464" t="n"/>
      <c r="HOW5" s="464" t="n"/>
      <c r="HQA5" s="464" t="n"/>
      <c r="HRE5" s="464" t="n"/>
      <c r="HSI5" s="464" t="n"/>
      <c r="HTM5" s="464" t="n"/>
      <c r="HUQ5" s="464" t="n"/>
      <c r="HVU5" s="464" t="n"/>
      <c r="HWY5" s="464" t="n"/>
      <c r="HYC5" s="464" t="n"/>
      <c r="HZG5" s="464" t="n"/>
      <c r="IAK5" s="464" t="n"/>
      <c r="IBO5" s="464" t="n"/>
      <c r="ICS5" s="464" t="n"/>
      <c r="IDW5" s="464" t="n"/>
      <c r="IFA5" s="464" t="n"/>
      <c r="IGE5" s="464" t="n"/>
      <c r="IHI5" s="464" t="n"/>
      <c r="IIM5" s="464" t="n"/>
      <c r="IJQ5" s="464" t="n"/>
      <c r="IKU5" s="464" t="n"/>
      <c r="ILY5" s="464" t="n"/>
      <c r="INC5" s="464" t="n"/>
      <c r="IOG5" s="464" t="n"/>
      <c r="IPK5" s="464" t="n"/>
      <c r="IQO5" s="464" t="n"/>
      <c r="IRS5" s="464" t="n"/>
      <c r="ISW5" s="464" t="n"/>
      <c r="IUA5" s="464" t="n"/>
      <c r="IVE5" s="464" t="n"/>
      <c r="IWI5" s="464" t="n"/>
      <c r="IXM5" s="464" t="n"/>
      <c r="IYQ5" s="464" t="n"/>
      <c r="IZU5" s="464" t="n"/>
      <c r="JAY5" s="464" t="n"/>
      <c r="JCC5" s="464" t="n"/>
      <c r="JDG5" s="464" t="n"/>
      <c r="JEK5" s="464" t="n"/>
      <c r="JFO5" s="464" t="n"/>
      <c r="JGS5" s="464" t="n"/>
      <c r="JHW5" s="464" t="n"/>
      <c r="JJA5" s="464" t="n"/>
      <c r="JKE5" s="464" t="n"/>
      <c r="JLI5" s="464" t="n"/>
      <c r="JMM5" s="464" t="n"/>
      <c r="JNQ5" s="464" t="n"/>
      <c r="JOU5" s="464" t="n"/>
      <c r="JPY5" s="464" t="n"/>
      <c r="JRC5" s="464" t="n"/>
      <c r="JSG5" s="464" t="n"/>
      <c r="JTK5" s="464" t="n"/>
      <c r="JUO5" s="464" t="n"/>
      <c r="JVS5" s="464" t="n"/>
      <c r="JWW5" s="464" t="n"/>
      <c r="JYA5" s="464" t="n"/>
      <c r="JZE5" s="464" t="n"/>
      <c r="KAI5" s="464" t="n"/>
      <c r="KBM5" s="464" t="n"/>
      <c r="KCQ5" s="464" t="n"/>
      <c r="KDU5" s="464" t="n"/>
      <c r="KEY5" s="464" t="n"/>
      <c r="KGC5" s="464" t="n"/>
      <c r="KHG5" s="464" t="n"/>
      <c r="KIK5" s="464" t="n"/>
      <c r="KJO5" s="464" t="n"/>
      <c r="KKS5" s="464" t="n"/>
      <c r="KLW5" s="464" t="n"/>
      <c r="KNA5" s="464" t="n"/>
      <c r="KOE5" s="464" t="n"/>
      <c r="KPI5" s="464" t="n"/>
      <c r="KQM5" s="464" t="n"/>
      <c r="KRQ5" s="464" t="n"/>
      <c r="KSU5" s="464" t="n"/>
      <c r="KTY5" s="464" t="n"/>
      <c r="KVC5" s="464" t="n"/>
      <c r="KWG5" s="464" t="n"/>
      <c r="KXK5" s="464" t="n"/>
      <c r="KYO5" s="464" t="n"/>
      <c r="KZS5" s="464" t="n"/>
      <c r="LAW5" s="464" t="n"/>
      <c r="LCA5" s="464" t="n"/>
      <c r="LDE5" s="464" t="n"/>
      <c r="LEI5" s="464" t="n"/>
      <c r="LFM5" s="464" t="n"/>
      <c r="LGQ5" s="464" t="n"/>
      <c r="LHU5" s="464" t="n"/>
      <c r="LIY5" s="464" t="n"/>
      <c r="LKC5" s="464" t="n"/>
      <c r="LLG5" s="464" t="n"/>
      <c r="LMK5" s="464" t="n"/>
      <c r="LNO5" s="464" t="n"/>
      <c r="LOS5" s="464" t="n"/>
      <c r="LPW5" s="464" t="n"/>
      <c r="LRA5" s="464" t="n"/>
      <c r="LSE5" s="464" t="n"/>
      <c r="LTI5" s="464" t="n"/>
      <c r="LUM5" s="464" t="n"/>
      <c r="LVQ5" s="464" t="n"/>
      <c r="LWU5" s="464" t="n"/>
      <c r="LXY5" s="464" t="n"/>
      <c r="LZC5" s="464" t="n"/>
      <c r="MAG5" s="464" t="n"/>
      <c r="MBK5" s="464" t="n"/>
      <c r="MCO5" s="464" t="n"/>
      <c r="MDS5" s="464" t="n"/>
      <c r="MEW5" s="464" t="n"/>
      <c r="MGA5" s="464" t="n"/>
      <c r="MHE5" s="464" t="n"/>
      <c r="MII5" s="464" t="n"/>
      <c r="MJM5" s="464" t="n"/>
      <c r="MKQ5" s="464" t="n"/>
      <c r="MLU5" s="464" t="n"/>
      <c r="MMY5" s="464" t="n"/>
      <c r="MOC5" s="464" t="n"/>
      <c r="MPG5" s="464" t="n"/>
      <c r="MQK5" s="464" t="n"/>
      <c r="MRO5" s="464" t="n"/>
      <c r="MSS5" s="464" t="n"/>
      <c r="MTW5" s="464" t="n"/>
      <c r="MVA5" s="464" t="n"/>
      <c r="MWE5" s="464" t="n"/>
      <c r="MXI5" s="464" t="n"/>
      <c r="MYM5" s="464" t="n"/>
      <c r="MZQ5" s="464" t="n"/>
      <c r="NAU5" s="464" t="n"/>
      <c r="NBY5" s="464" t="n"/>
      <c r="NDC5" s="464" t="n"/>
      <c r="NEG5" s="464" t="n"/>
      <c r="NFK5" s="464" t="n"/>
      <c r="NGO5" s="464" t="n"/>
      <c r="NHS5" s="464" t="n"/>
      <c r="NIW5" s="464" t="n"/>
      <c r="NKA5" s="464" t="n"/>
      <c r="NLE5" s="464" t="n"/>
      <c r="NMI5" s="464" t="n"/>
      <c r="NNM5" s="464" t="n"/>
      <c r="NOQ5" s="464" t="n"/>
      <c r="NPU5" s="464" t="n"/>
      <c r="NQY5" s="464" t="n"/>
      <c r="NSC5" s="464" t="n"/>
      <c r="NTG5" s="464" t="n"/>
      <c r="NUK5" s="464" t="n"/>
      <c r="NVO5" s="464" t="n"/>
      <c r="NWS5" s="464" t="n"/>
      <c r="NXW5" s="464" t="n"/>
      <c r="NZA5" s="464" t="n"/>
      <c r="OAE5" s="464" t="n"/>
      <c r="OBI5" s="464" t="n"/>
      <c r="OCM5" s="464" t="n"/>
      <c r="ODQ5" s="464" t="n"/>
      <c r="OEU5" s="464" t="n"/>
      <c r="OFY5" s="464" t="n"/>
      <c r="OHC5" s="464" t="n"/>
      <c r="OIG5" s="464" t="n"/>
      <c r="OJK5" s="464" t="n"/>
      <c r="OKO5" s="464" t="n"/>
      <c r="OLS5" s="464" t="n"/>
      <c r="OMW5" s="464" t="n"/>
      <c r="OOA5" s="464" t="n"/>
      <c r="OPE5" s="464" t="n"/>
      <c r="OQI5" s="464" t="n"/>
      <c r="ORM5" s="464" t="n"/>
      <c r="OSQ5" s="464" t="n"/>
      <c r="OTU5" s="464" t="n"/>
      <c r="OUY5" s="464" t="n"/>
      <c r="OWC5" s="464" t="n"/>
      <c r="OXG5" s="464" t="n"/>
      <c r="OYK5" s="464" t="n"/>
      <c r="OZO5" s="464" t="n"/>
      <c r="PAS5" s="464" t="n"/>
      <c r="PBW5" s="464" t="n"/>
      <c r="PDA5" s="464" t="n"/>
      <c r="PEE5" s="464" t="n"/>
      <c r="PFI5" s="464" t="n"/>
      <c r="PGM5" s="464" t="n"/>
      <c r="PHQ5" s="464" t="n"/>
      <c r="PIU5" s="464" t="n"/>
      <c r="PJY5" s="464" t="n"/>
      <c r="PLC5" s="464" t="n"/>
      <c r="PMG5" s="464" t="n"/>
      <c r="PNK5" s="464" t="n"/>
      <c r="POO5" s="464" t="n"/>
      <c r="PPS5" s="464" t="n"/>
      <c r="PQW5" s="464" t="n"/>
      <c r="PSA5" s="464" t="n"/>
      <c r="PTE5" s="464" t="n"/>
      <c r="PUI5" s="464" t="n"/>
      <c r="PVM5" s="464" t="n"/>
      <c r="PWQ5" s="464" t="n"/>
      <c r="PXU5" s="464" t="n"/>
      <c r="PYY5" s="464" t="n"/>
      <c r="QAC5" s="464" t="n"/>
      <c r="QBG5" s="464" t="n"/>
      <c r="QCK5" s="464" t="n"/>
      <c r="QDO5" s="464" t="n"/>
      <c r="QES5" s="464" t="n"/>
      <c r="QFW5" s="464" t="n"/>
      <c r="QHA5" s="464" t="n"/>
      <c r="QIE5" s="464" t="n"/>
      <c r="QJI5" s="464" t="n"/>
      <c r="QKM5" s="464" t="n"/>
      <c r="QLQ5" s="464" t="n"/>
      <c r="QMU5" s="464" t="n"/>
      <c r="QNY5" s="464" t="n"/>
      <c r="QPC5" s="464" t="n"/>
      <c r="QQG5" s="464" t="n"/>
      <c r="QRK5" s="464" t="n"/>
      <c r="QSO5" s="464" t="n"/>
      <c r="QTS5" s="464" t="n"/>
      <c r="QUW5" s="464" t="n"/>
      <c r="QWA5" s="464" t="n"/>
      <c r="QXE5" s="464" t="n"/>
      <c r="QYI5" s="464" t="n"/>
      <c r="QZM5" s="464" t="n"/>
      <c r="RAQ5" s="464" t="n"/>
      <c r="RBU5" s="464" t="n"/>
      <c r="RCY5" s="464" t="n"/>
      <c r="REC5" s="464" t="n"/>
      <c r="RFG5" s="464" t="n"/>
      <c r="RGK5" s="464" t="n"/>
      <c r="RHO5" s="464" t="n"/>
      <c r="RIS5" s="464" t="n"/>
      <c r="RJW5" s="464" t="n"/>
      <c r="RLA5" s="464" t="n"/>
      <c r="RME5" s="464" t="n"/>
      <c r="RNI5" s="464" t="n"/>
      <c r="ROM5" s="464" t="n"/>
      <c r="RPQ5" s="464" t="n"/>
      <c r="RQU5" s="464" t="n"/>
      <c r="RRY5" s="464" t="n"/>
      <c r="RTC5" s="464" t="n"/>
      <c r="RUG5" s="464" t="n"/>
      <c r="RVK5" s="464" t="n"/>
      <c r="RWO5" s="464" t="n"/>
      <c r="RXS5" s="464" t="n"/>
      <c r="RYW5" s="464" t="n"/>
      <c r="SAA5" s="464" t="n"/>
      <c r="SBE5" s="464" t="n"/>
      <c r="SCI5" s="464" t="n"/>
      <c r="SDM5" s="464" t="n"/>
      <c r="SEQ5" s="464" t="n"/>
      <c r="SFU5" s="464" t="n"/>
      <c r="SGY5" s="464" t="n"/>
      <c r="SIC5" s="464" t="n"/>
      <c r="SJG5" s="464" t="n"/>
      <c r="SKK5" s="464" t="n"/>
      <c r="SLO5" s="464" t="n"/>
      <c r="SMS5" s="464" t="n"/>
      <c r="SNW5" s="464" t="n"/>
      <c r="SPA5" s="464" t="n"/>
      <c r="SQE5" s="464" t="n"/>
      <c r="SRI5" s="464" t="n"/>
      <c r="SSM5" s="464" t="n"/>
      <c r="STQ5" s="464" t="n"/>
      <c r="SUU5" s="464" t="n"/>
      <c r="SVY5" s="464" t="n"/>
      <c r="SXC5" s="464" t="n"/>
      <c r="SYG5" s="464" t="n"/>
      <c r="SZK5" s="464" t="n"/>
      <c r="TAO5" s="464" t="n"/>
      <c r="TBS5" s="464" t="n"/>
      <c r="TCW5" s="464" t="n"/>
      <c r="TEA5" s="464" t="n"/>
      <c r="TFE5" s="464" t="n"/>
      <c r="TGI5" s="464" t="n"/>
      <c r="THM5" s="464" t="n"/>
      <c r="TIQ5" s="464" t="n"/>
      <c r="TJU5" s="464" t="n"/>
      <c r="TKY5" s="464" t="n"/>
      <c r="TMC5" s="464" t="n"/>
      <c r="TNG5" s="464" t="n"/>
      <c r="TOK5" s="464" t="n"/>
      <c r="TPO5" s="464" t="n"/>
      <c r="TQS5" s="464" t="n"/>
      <c r="TRW5" s="464" t="n"/>
      <c r="TTA5" s="464" t="n"/>
      <c r="TUE5" s="464" t="n"/>
      <c r="TVI5" s="464" t="n"/>
      <c r="TWM5" s="464" t="n"/>
      <c r="TXQ5" s="464" t="n"/>
      <c r="TYU5" s="464" t="n"/>
      <c r="TZY5" s="464" t="n"/>
      <c r="UBC5" s="464" t="n"/>
      <c r="UCG5" s="464" t="n"/>
      <c r="UDK5" s="464" t="n"/>
      <c r="UEO5" s="464" t="n"/>
      <c r="UFS5" s="464" t="n"/>
      <c r="UGW5" s="464" t="n"/>
      <c r="UIA5" s="464" t="n"/>
      <c r="UJE5" s="464" t="n"/>
      <c r="UKI5" s="464" t="n"/>
      <c r="ULM5" s="464" t="n"/>
      <c r="UMQ5" s="464" t="n"/>
      <c r="UNU5" s="464" t="n"/>
      <c r="UOY5" s="464" t="n"/>
      <c r="UQC5" s="464" t="n"/>
      <c r="URG5" s="464" t="n"/>
      <c r="USK5" s="464" t="n"/>
      <c r="UTO5" s="464" t="n"/>
      <c r="UUS5" s="464" t="n"/>
      <c r="UVW5" s="464" t="n"/>
      <c r="UXA5" s="464" t="n"/>
      <c r="UYE5" s="464" t="n"/>
      <c r="UZI5" s="464" t="n"/>
      <c r="VAM5" s="464" t="n"/>
      <c r="VBQ5" s="464" t="n"/>
      <c r="VCU5" s="464" t="n"/>
      <c r="VDY5" s="464" t="n"/>
      <c r="VFC5" s="464" t="n"/>
      <c r="VGG5" s="464" t="n"/>
      <c r="VHK5" s="464" t="n"/>
      <c r="VIO5" s="464" t="n"/>
      <c r="VJS5" s="464" t="n"/>
      <c r="VKW5" s="464" t="n"/>
      <c r="VMA5" s="464" t="n"/>
      <c r="VNE5" s="464" t="n"/>
      <c r="VOI5" s="464" t="n"/>
      <c r="VPM5" s="464" t="n"/>
      <c r="VQQ5" s="464" t="n"/>
      <c r="VRU5" s="464" t="n"/>
      <c r="VSY5" s="464" t="n"/>
      <c r="VUC5" s="464" t="n"/>
      <c r="VVG5" s="464" t="n"/>
      <c r="VWK5" s="464" t="n"/>
      <c r="VXO5" s="464" t="n"/>
      <c r="VYS5" s="464" t="n"/>
      <c r="VZW5" s="464" t="n"/>
      <c r="WBA5" s="464" t="n"/>
      <c r="WCE5" s="464" t="n"/>
      <c r="WDI5" s="464" t="n"/>
      <c r="WEM5" s="464" t="n"/>
      <c r="WFQ5" s="464" t="n"/>
      <c r="WGU5" s="464" t="n"/>
      <c r="WHY5" s="464" t="n"/>
      <c r="WJC5" s="464" t="n"/>
      <c r="WKG5" s="464" t="n"/>
      <c r="WLK5" s="464" t="n"/>
      <c r="WMO5" s="464" t="n"/>
      <c r="WNS5" s="464" t="n"/>
      <c r="WOW5" s="464" t="n"/>
      <c r="WQA5" s="464" t="n"/>
      <c r="WRE5" s="464" t="n"/>
      <c r="WSI5" s="464" t="n"/>
      <c r="WTM5" s="464" t="n"/>
      <c r="WUQ5" s="464" t="n"/>
      <c r="WVU5" s="464" t="n"/>
      <c r="WWY5" s="464" t="n"/>
      <c r="WYC5" s="464" t="n"/>
      <c r="WZG5" s="464" t="n"/>
      <c r="XAK5" s="464" t="n"/>
      <c r="XBO5" s="464" t="n"/>
      <c r="XCS5" s="464" t="n"/>
      <c r="XDW5" s="464" t="n"/>
      <c r="XFA5" s="464" t="n"/>
    </row>
    <row r="6">
      <c r="A6" s="429" t="inlineStr">
        <is>
          <t xml:space="preserve">Preparado por: </t>
        </is>
      </c>
      <c r="B6" s="513" t="n"/>
      <c r="C6" s="158" t="inlineStr">
        <is>
          <t>Fecha:</t>
        </is>
      </c>
      <c r="D6" s="431" t="inlineStr">
        <is>
          <t>Referencia</t>
        </is>
      </c>
      <c r="E6" s="514" t="n"/>
      <c r="F6" s="237" t="n"/>
      <c r="G6" s="237" t="n"/>
      <c r="H6" s="237" t="n"/>
      <c r="I6" s="237" t="n"/>
      <c r="J6" s="237" t="n"/>
      <c r="K6" s="237" t="n"/>
      <c r="L6" s="237" t="n"/>
      <c r="M6" s="237" t="n"/>
      <c r="N6" s="237" t="n"/>
      <c r="O6" s="237" t="n"/>
      <c r="P6" s="237" t="n"/>
      <c r="Q6" s="237" t="n"/>
      <c r="R6" s="237" t="n"/>
      <c r="S6" s="237" t="n"/>
      <c r="T6" s="237" t="n"/>
      <c r="U6" s="237" t="n"/>
      <c r="V6" s="237" t="n"/>
      <c r="W6" s="237" t="n"/>
      <c r="X6" s="237" t="n"/>
      <c r="Y6" s="237" t="n"/>
      <c r="Z6" s="237" t="n"/>
      <c r="AA6" s="237" t="n"/>
      <c r="AB6" s="237" t="n"/>
      <c r="AC6" s="237" t="n"/>
      <c r="AD6" s="237" t="n"/>
      <c r="AE6" s="464" t="n"/>
      <c r="BI6" s="464" t="n"/>
      <c r="CM6" s="464" t="n"/>
      <c r="DQ6" s="464" t="n"/>
      <c r="EU6" s="464" t="n"/>
      <c r="FY6" s="464" t="n"/>
      <c r="HC6" s="464" t="n"/>
      <c r="IG6" s="464" t="n"/>
      <c r="JK6" s="464" t="n"/>
      <c r="KO6" s="464" t="n"/>
      <c r="LS6" s="464" t="n"/>
      <c r="MW6" s="464" t="n"/>
      <c r="OA6" s="464" t="n"/>
      <c r="PE6" s="464" t="n"/>
      <c r="QI6" s="464" t="n"/>
      <c r="RM6" s="464" t="n"/>
      <c r="SQ6" s="464" t="n"/>
      <c r="TU6" s="464" t="n"/>
      <c r="UY6" s="464" t="n"/>
      <c r="WC6" s="464" t="n"/>
      <c r="XG6" s="464" t="n"/>
      <c r="YK6" s="464" t="n"/>
      <c r="ZO6" s="464" t="n"/>
      <c r="AAS6" s="464" t="n"/>
      <c r="ABW6" s="464" t="n"/>
      <c r="ADA6" s="464" t="n"/>
      <c r="AEE6" s="464" t="n"/>
      <c r="AFI6" s="464" t="n"/>
      <c r="AGM6" s="464" t="n"/>
      <c r="AHQ6" s="464" t="n"/>
      <c r="AIU6" s="464" t="n"/>
      <c r="AJY6" s="464" t="n"/>
      <c r="ALC6" s="464" t="n"/>
      <c r="AMG6" s="464" t="n"/>
      <c r="ANK6" s="464" t="n"/>
      <c r="AOO6" s="464" t="n"/>
      <c r="APS6" s="464" t="n"/>
      <c r="AQW6" s="464" t="n"/>
      <c r="ASA6" s="464" t="n"/>
      <c r="ATE6" s="464" t="n"/>
      <c r="AUI6" s="464" t="n"/>
      <c r="AVM6" s="464" t="n"/>
      <c r="AWQ6" s="464" t="n"/>
      <c r="AXU6" s="464" t="n"/>
      <c r="AYY6" s="464" t="n"/>
      <c r="BAC6" s="464" t="n"/>
      <c r="BBG6" s="464" t="n"/>
      <c r="BCK6" s="464" t="n"/>
      <c r="BDO6" s="464" t="n"/>
      <c r="BES6" s="464" t="n"/>
      <c r="BFW6" s="464" t="n"/>
      <c r="BHA6" s="464" t="n"/>
      <c r="BIE6" s="464" t="n"/>
      <c r="BJI6" s="464" t="n"/>
      <c r="BKM6" s="464" t="n"/>
      <c r="BLQ6" s="464" t="n"/>
      <c r="BMU6" s="464" t="n"/>
      <c r="BNY6" s="464" t="n"/>
      <c r="BPC6" s="464" t="n"/>
      <c r="BQG6" s="464" t="n"/>
      <c r="BRK6" s="464" t="n"/>
      <c r="BSO6" s="464" t="n"/>
      <c r="BTS6" s="464" t="n"/>
      <c r="BUW6" s="464" t="n"/>
      <c r="BWA6" s="464" t="n"/>
      <c r="BXE6" s="464" t="n"/>
      <c r="BYI6" s="464" t="n"/>
      <c r="BZM6" s="464" t="n"/>
      <c r="CAQ6" s="464" t="n"/>
      <c r="CBU6" s="464" t="n"/>
      <c r="CCY6" s="464" t="n"/>
      <c r="CEC6" s="464" t="n"/>
      <c r="CFG6" s="464" t="n"/>
      <c r="CGK6" s="464" t="n"/>
      <c r="CHO6" s="464" t="n"/>
      <c r="CIS6" s="464" t="n"/>
      <c r="CJW6" s="464" t="n"/>
      <c r="CLA6" s="464" t="n"/>
      <c r="CME6" s="464" t="n"/>
      <c r="CNI6" s="464" t="n"/>
      <c r="COM6" s="464" t="n"/>
      <c r="CPQ6" s="464" t="n"/>
      <c r="CQU6" s="464" t="n"/>
      <c r="CRY6" s="464" t="n"/>
      <c r="CTC6" s="464" t="n"/>
      <c r="CUG6" s="464" t="n"/>
      <c r="CVK6" s="464" t="n"/>
      <c r="CWO6" s="464" t="n"/>
      <c r="CXS6" s="464" t="n"/>
      <c r="CYW6" s="464" t="n"/>
      <c r="DAA6" s="464" t="n"/>
      <c r="DBE6" s="464" t="n"/>
      <c r="DCI6" s="464" t="n"/>
      <c r="DDM6" s="464" t="n"/>
      <c r="DEQ6" s="464" t="n"/>
      <c r="DFU6" s="464" t="n"/>
      <c r="DGY6" s="464" t="n"/>
      <c r="DIC6" s="464" t="n"/>
      <c r="DJG6" s="464" t="n"/>
      <c r="DKK6" s="464" t="n"/>
      <c r="DLO6" s="464" t="n"/>
      <c r="DMS6" s="464" t="n"/>
      <c r="DNW6" s="464" t="n"/>
      <c r="DPA6" s="464" t="n"/>
      <c r="DQE6" s="464" t="n"/>
      <c r="DRI6" s="464" t="n"/>
      <c r="DSM6" s="464" t="n"/>
      <c r="DTQ6" s="464" t="n"/>
      <c r="DUU6" s="464" t="n"/>
      <c r="DVY6" s="464" t="n"/>
      <c r="DXC6" s="464" t="n"/>
      <c r="DYG6" s="464" t="n"/>
      <c r="DZK6" s="464" t="n"/>
      <c r="EAO6" s="464" t="n"/>
      <c r="EBS6" s="464" t="n"/>
      <c r="ECW6" s="464" t="n"/>
      <c r="EEA6" s="464" t="n"/>
      <c r="EFE6" s="464" t="n"/>
      <c r="EGI6" s="464" t="n"/>
      <c r="EHM6" s="464" t="n"/>
      <c r="EIQ6" s="464" t="n"/>
      <c r="EJU6" s="464" t="n"/>
      <c r="EKY6" s="464" t="n"/>
      <c r="EMC6" s="464" t="n"/>
      <c r="ENG6" s="464" t="n"/>
      <c r="EOK6" s="464" t="n"/>
      <c r="EPO6" s="464" t="n"/>
      <c r="EQS6" s="464" t="n"/>
      <c r="ERW6" s="464" t="n"/>
      <c r="ETA6" s="464" t="n"/>
      <c r="EUE6" s="464" t="n"/>
      <c r="EVI6" s="464" t="n"/>
      <c r="EWM6" s="464" t="n"/>
      <c r="EXQ6" s="464" t="n"/>
      <c r="EYU6" s="464" t="n"/>
      <c r="EZY6" s="464" t="n"/>
      <c r="FBC6" s="464" t="n"/>
      <c r="FCG6" s="464" t="n"/>
      <c r="FDK6" s="464" t="n"/>
      <c r="FEO6" s="464" t="n"/>
      <c r="FFS6" s="464" t="n"/>
      <c r="FGW6" s="464" t="n"/>
      <c r="FIA6" s="464" t="n"/>
      <c r="FJE6" s="464" t="n"/>
      <c r="FKI6" s="464" t="n"/>
      <c r="FLM6" s="464" t="n"/>
      <c r="FMQ6" s="464" t="n"/>
      <c r="FNU6" s="464" t="n"/>
      <c r="FOY6" s="464" t="n"/>
      <c r="FQC6" s="464" t="n"/>
      <c r="FRG6" s="464" t="n"/>
      <c r="FSK6" s="464" t="n"/>
      <c r="FTO6" s="464" t="n"/>
      <c r="FUS6" s="464" t="n"/>
      <c r="FVW6" s="464" t="n"/>
      <c r="FXA6" s="464" t="n"/>
      <c r="FYE6" s="464" t="n"/>
      <c r="FZI6" s="464" t="n"/>
      <c r="GAM6" s="464" t="n"/>
      <c r="GBQ6" s="464" t="n"/>
      <c r="GCU6" s="464" t="n"/>
      <c r="GDY6" s="464" t="n"/>
      <c r="GFC6" s="464" t="n"/>
      <c r="GGG6" s="464" t="n"/>
      <c r="GHK6" s="464" t="n"/>
      <c r="GIO6" s="464" t="n"/>
      <c r="GJS6" s="464" t="n"/>
      <c r="GKW6" s="464" t="n"/>
      <c r="GMA6" s="464" t="n"/>
      <c r="GNE6" s="464" t="n"/>
      <c r="GOI6" s="464" t="n"/>
      <c r="GPM6" s="464" t="n"/>
      <c r="GQQ6" s="464" t="n"/>
      <c r="GRU6" s="464" t="n"/>
      <c r="GSY6" s="464" t="n"/>
      <c r="GUC6" s="464" t="n"/>
      <c r="GVG6" s="464" t="n"/>
      <c r="GWK6" s="464" t="n"/>
      <c r="GXO6" s="464" t="n"/>
      <c r="GYS6" s="464" t="n"/>
      <c r="GZW6" s="464" t="n"/>
      <c r="HBA6" s="464" t="n"/>
      <c r="HCE6" s="464" t="n"/>
      <c r="HDI6" s="464" t="n"/>
      <c r="HEM6" s="464" t="n"/>
      <c r="HFQ6" s="464" t="n"/>
      <c r="HGU6" s="464" t="n"/>
      <c r="HHY6" s="464" t="n"/>
      <c r="HJC6" s="464" t="n"/>
      <c r="HKG6" s="464" t="n"/>
      <c r="HLK6" s="464" t="n"/>
      <c r="HMO6" s="464" t="n"/>
      <c r="HNS6" s="464" t="n"/>
      <c r="HOW6" s="464" t="n"/>
      <c r="HQA6" s="464" t="n"/>
      <c r="HRE6" s="464" t="n"/>
      <c r="HSI6" s="464" t="n"/>
      <c r="HTM6" s="464" t="n"/>
      <c r="HUQ6" s="464" t="n"/>
      <c r="HVU6" s="464" t="n"/>
      <c r="HWY6" s="464" t="n"/>
      <c r="HYC6" s="464" t="n"/>
      <c r="HZG6" s="464" t="n"/>
      <c r="IAK6" s="464" t="n"/>
      <c r="IBO6" s="464" t="n"/>
      <c r="ICS6" s="464" t="n"/>
      <c r="IDW6" s="464" t="n"/>
      <c r="IFA6" s="464" t="n"/>
      <c r="IGE6" s="464" t="n"/>
      <c r="IHI6" s="464" t="n"/>
      <c r="IIM6" s="464" t="n"/>
      <c r="IJQ6" s="464" t="n"/>
      <c r="IKU6" s="464" t="n"/>
      <c r="ILY6" s="464" t="n"/>
      <c r="INC6" s="464" t="n"/>
      <c r="IOG6" s="464" t="n"/>
      <c r="IPK6" s="464" t="n"/>
      <c r="IQO6" s="464" t="n"/>
      <c r="IRS6" s="464" t="n"/>
      <c r="ISW6" s="464" t="n"/>
      <c r="IUA6" s="464" t="n"/>
      <c r="IVE6" s="464" t="n"/>
      <c r="IWI6" s="464" t="n"/>
      <c r="IXM6" s="464" t="n"/>
      <c r="IYQ6" s="464" t="n"/>
      <c r="IZU6" s="464" t="n"/>
      <c r="JAY6" s="464" t="n"/>
      <c r="JCC6" s="464" t="n"/>
      <c r="JDG6" s="464" t="n"/>
      <c r="JEK6" s="464" t="n"/>
      <c r="JFO6" s="464" t="n"/>
      <c r="JGS6" s="464" t="n"/>
      <c r="JHW6" s="464" t="n"/>
      <c r="JJA6" s="464" t="n"/>
      <c r="JKE6" s="464" t="n"/>
      <c r="JLI6" s="464" t="n"/>
      <c r="JMM6" s="464" t="n"/>
      <c r="JNQ6" s="464" t="n"/>
      <c r="JOU6" s="464" t="n"/>
      <c r="JPY6" s="464" t="n"/>
      <c r="JRC6" s="464" t="n"/>
      <c r="JSG6" s="464" t="n"/>
      <c r="JTK6" s="464" t="n"/>
      <c r="JUO6" s="464" t="n"/>
      <c r="JVS6" s="464" t="n"/>
      <c r="JWW6" s="464" t="n"/>
      <c r="JYA6" s="464" t="n"/>
      <c r="JZE6" s="464" t="n"/>
      <c r="KAI6" s="464" t="n"/>
      <c r="KBM6" s="464" t="n"/>
      <c r="KCQ6" s="464" t="n"/>
      <c r="KDU6" s="464" t="n"/>
      <c r="KEY6" s="464" t="n"/>
      <c r="KGC6" s="464" t="n"/>
      <c r="KHG6" s="464" t="n"/>
      <c r="KIK6" s="464" t="n"/>
      <c r="KJO6" s="464" t="n"/>
      <c r="KKS6" s="464" t="n"/>
      <c r="KLW6" s="464" t="n"/>
      <c r="KNA6" s="464" t="n"/>
      <c r="KOE6" s="464" t="n"/>
      <c r="KPI6" s="464" t="n"/>
      <c r="KQM6" s="464" t="n"/>
      <c r="KRQ6" s="464" t="n"/>
      <c r="KSU6" s="464" t="n"/>
      <c r="KTY6" s="464" t="n"/>
      <c r="KVC6" s="464" t="n"/>
      <c r="KWG6" s="464" t="n"/>
      <c r="KXK6" s="464" t="n"/>
      <c r="KYO6" s="464" t="n"/>
      <c r="KZS6" s="464" t="n"/>
      <c r="LAW6" s="464" t="n"/>
      <c r="LCA6" s="464" t="n"/>
      <c r="LDE6" s="464" t="n"/>
      <c r="LEI6" s="464" t="n"/>
      <c r="LFM6" s="464" t="n"/>
      <c r="LGQ6" s="464" t="n"/>
      <c r="LHU6" s="464" t="n"/>
      <c r="LIY6" s="464" t="n"/>
      <c r="LKC6" s="464" t="n"/>
      <c r="LLG6" s="464" t="n"/>
      <c r="LMK6" s="464" t="n"/>
      <c r="LNO6" s="464" t="n"/>
      <c r="LOS6" s="464" t="n"/>
      <c r="LPW6" s="464" t="n"/>
      <c r="LRA6" s="464" t="n"/>
      <c r="LSE6" s="464" t="n"/>
      <c r="LTI6" s="464" t="n"/>
      <c r="LUM6" s="464" t="n"/>
      <c r="LVQ6" s="464" t="n"/>
      <c r="LWU6" s="464" t="n"/>
      <c r="LXY6" s="464" t="n"/>
      <c r="LZC6" s="464" t="n"/>
      <c r="MAG6" s="464" t="n"/>
      <c r="MBK6" s="464" t="n"/>
      <c r="MCO6" s="464" t="n"/>
      <c r="MDS6" s="464" t="n"/>
      <c r="MEW6" s="464" t="n"/>
      <c r="MGA6" s="464" t="n"/>
      <c r="MHE6" s="464" t="n"/>
      <c r="MII6" s="464" t="n"/>
      <c r="MJM6" s="464" t="n"/>
      <c r="MKQ6" s="464" t="n"/>
      <c r="MLU6" s="464" t="n"/>
      <c r="MMY6" s="464" t="n"/>
      <c r="MOC6" s="464" t="n"/>
      <c r="MPG6" s="464" t="n"/>
      <c r="MQK6" s="464" t="n"/>
      <c r="MRO6" s="464" t="n"/>
      <c r="MSS6" s="464" t="n"/>
      <c r="MTW6" s="464" t="n"/>
      <c r="MVA6" s="464" t="n"/>
      <c r="MWE6" s="464" t="n"/>
      <c r="MXI6" s="464" t="n"/>
      <c r="MYM6" s="464" t="n"/>
      <c r="MZQ6" s="464" t="n"/>
      <c r="NAU6" s="464" t="n"/>
      <c r="NBY6" s="464" t="n"/>
      <c r="NDC6" s="464" t="n"/>
      <c r="NEG6" s="464" t="n"/>
      <c r="NFK6" s="464" t="n"/>
      <c r="NGO6" s="464" t="n"/>
      <c r="NHS6" s="464" t="n"/>
      <c r="NIW6" s="464" t="n"/>
      <c r="NKA6" s="464" t="n"/>
      <c r="NLE6" s="464" t="n"/>
      <c r="NMI6" s="464" t="n"/>
      <c r="NNM6" s="464" t="n"/>
      <c r="NOQ6" s="464" t="n"/>
      <c r="NPU6" s="464" t="n"/>
      <c r="NQY6" s="464" t="n"/>
      <c r="NSC6" s="464" t="n"/>
      <c r="NTG6" s="464" t="n"/>
      <c r="NUK6" s="464" t="n"/>
      <c r="NVO6" s="464" t="n"/>
      <c r="NWS6" s="464" t="n"/>
      <c r="NXW6" s="464" t="n"/>
      <c r="NZA6" s="464" t="n"/>
      <c r="OAE6" s="464" t="n"/>
      <c r="OBI6" s="464" t="n"/>
      <c r="OCM6" s="464" t="n"/>
      <c r="ODQ6" s="464" t="n"/>
      <c r="OEU6" s="464" t="n"/>
      <c r="OFY6" s="464" t="n"/>
      <c r="OHC6" s="464" t="n"/>
      <c r="OIG6" s="464" t="n"/>
      <c r="OJK6" s="464" t="n"/>
      <c r="OKO6" s="464" t="n"/>
      <c r="OLS6" s="464" t="n"/>
      <c r="OMW6" s="464" t="n"/>
      <c r="OOA6" s="464" t="n"/>
      <c r="OPE6" s="464" t="n"/>
      <c r="OQI6" s="464" t="n"/>
      <c r="ORM6" s="464" t="n"/>
      <c r="OSQ6" s="464" t="n"/>
      <c r="OTU6" s="464" t="n"/>
      <c r="OUY6" s="464" t="n"/>
      <c r="OWC6" s="464" t="n"/>
      <c r="OXG6" s="464" t="n"/>
      <c r="OYK6" s="464" t="n"/>
      <c r="OZO6" s="464" t="n"/>
      <c r="PAS6" s="464" t="n"/>
      <c r="PBW6" s="464" t="n"/>
      <c r="PDA6" s="464" t="n"/>
      <c r="PEE6" s="464" t="n"/>
      <c r="PFI6" s="464" t="n"/>
      <c r="PGM6" s="464" t="n"/>
      <c r="PHQ6" s="464" t="n"/>
      <c r="PIU6" s="464" t="n"/>
      <c r="PJY6" s="464" t="n"/>
      <c r="PLC6" s="464" t="n"/>
      <c r="PMG6" s="464" t="n"/>
      <c r="PNK6" s="464" t="n"/>
      <c r="POO6" s="464" t="n"/>
      <c r="PPS6" s="464" t="n"/>
      <c r="PQW6" s="464" t="n"/>
      <c r="PSA6" s="464" t="n"/>
      <c r="PTE6" s="464" t="n"/>
      <c r="PUI6" s="464" t="n"/>
      <c r="PVM6" s="464" t="n"/>
      <c r="PWQ6" s="464" t="n"/>
      <c r="PXU6" s="464" t="n"/>
      <c r="PYY6" s="464" t="n"/>
      <c r="QAC6" s="464" t="n"/>
      <c r="QBG6" s="464" t="n"/>
      <c r="QCK6" s="464" t="n"/>
      <c r="QDO6" s="464" t="n"/>
      <c r="QES6" s="464" t="n"/>
      <c r="QFW6" s="464" t="n"/>
      <c r="QHA6" s="464" t="n"/>
      <c r="QIE6" s="464" t="n"/>
      <c r="QJI6" s="464" t="n"/>
      <c r="QKM6" s="464" t="n"/>
      <c r="QLQ6" s="464" t="n"/>
      <c r="QMU6" s="464" t="n"/>
      <c r="QNY6" s="464" t="n"/>
      <c r="QPC6" s="464" t="n"/>
      <c r="QQG6" s="464" t="n"/>
      <c r="QRK6" s="464" t="n"/>
      <c r="QSO6" s="464" t="n"/>
      <c r="QTS6" s="464" t="n"/>
      <c r="QUW6" s="464" t="n"/>
      <c r="QWA6" s="464" t="n"/>
      <c r="QXE6" s="464" t="n"/>
      <c r="QYI6" s="464" t="n"/>
      <c r="QZM6" s="464" t="n"/>
      <c r="RAQ6" s="464" t="n"/>
      <c r="RBU6" s="464" t="n"/>
      <c r="RCY6" s="464" t="n"/>
      <c r="REC6" s="464" t="n"/>
      <c r="RFG6" s="464" t="n"/>
      <c r="RGK6" s="464" t="n"/>
      <c r="RHO6" s="464" t="n"/>
      <c r="RIS6" s="464" t="n"/>
      <c r="RJW6" s="464" t="n"/>
      <c r="RLA6" s="464" t="n"/>
      <c r="RME6" s="464" t="n"/>
      <c r="RNI6" s="464" t="n"/>
      <c r="ROM6" s="464" t="n"/>
      <c r="RPQ6" s="464" t="n"/>
      <c r="RQU6" s="464" t="n"/>
      <c r="RRY6" s="464" t="n"/>
      <c r="RTC6" s="464" t="n"/>
      <c r="RUG6" s="464" t="n"/>
      <c r="RVK6" s="464" t="n"/>
      <c r="RWO6" s="464" t="n"/>
      <c r="RXS6" s="464" t="n"/>
      <c r="RYW6" s="464" t="n"/>
      <c r="SAA6" s="464" t="n"/>
      <c r="SBE6" s="464" t="n"/>
      <c r="SCI6" s="464" t="n"/>
      <c r="SDM6" s="464" t="n"/>
      <c r="SEQ6" s="464" t="n"/>
      <c r="SFU6" s="464" t="n"/>
      <c r="SGY6" s="464" t="n"/>
      <c r="SIC6" s="464" t="n"/>
      <c r="SJG6" s="464" t="n"/>
      <c r="SKK6" s="464" t="n"/>
      <c r="SLO6" s="464" t="n"/>
      <c r="SMS6" s="464" t="n"/>
      <c r="SNW6" s="464" t="n"/>
      <c r="SPA6" s="464" t="n"/>
      <c r="SQE6" s="464" t="n"/>
      <c r="SRI6" s="464" t="n"/>
      <c r="SSM6" s="464" t="n"/>
      <c r="STQ6" s="464" t="n"/>
      <c r="SUU6" s="464" t="n"/>
      <c r="SVY6" s="464" t="n"/>
      <c r="SXC6" s="464" t="n"/>
      <c r="SYG6" s="464" t="n"/>
      <c r="SZK6" s="464" t="n"/>
      <c r="TAO6" s="464" t="n"/>
      <c r="TBS6" s="464" t="n"/>
      <c r="TCW6" s="464" t="n"/>
      <c r="TEA6" s="464" t="n"/>
      <c r="TFE6" s="464" t="n"/>
      <c r="TGI6" s="464" t="n"/>
      <c r="THM6" s="464" t="n"/>
      <c r="TIQ6" s="464" t="n"/>
      <c r="TJU6" s="464" t="n"/>
      <c r="TKY6" s="464" t="n"/>
      <c r="TMC6" s="464" t="n"/>
      <c r="TNG6" s="464" t="n"/>
      <c r="TOK6" s="464" t="n"/>
      <c r="TPO6" s="464" t="n"/>
      <c r="TQS6" s="464" t="n"/>
      <c r="TRW6" s="464" t="n"/>
      <c r="TTA6" s="464" t="n"/>
      <c r="TUE6" s="464" t="n"/>
      <c r="TVI6" s="464" t="n"/>
      <c r="TWM6" s="464" t="n"/>
      <c r="TXQ6" s="464" t="n"/>
      <c r="TYU6" s="464" t="n"/>
      <c r="TZY6" s="464" t="n"/>
      <c r="UBC6" s="464" t="n"/>
      <c r="UCG6" s="464" t="n"/>
      <c r="UDK6" s="464" t="n"/>
      <c r="UEO6" s="464" t="n"/>
      <c r="UFS6" s="464" t="n"/>
      <c r="UGW6" s="464" t="n"/>
      <c r="UIA6" s="464" t="n"/>
      <c r="UJE6" s="464" t="n"/>
      <c r="UKI6" s="464" t="n"/>
      <c r="ULM6" s="464" t="n"/>
      <c r="UMQ6" s="464" t="n"/>
      <c r="UNU6" s="464" t="n"/>
      <c r="UOY6" s="464" t="n"/>
      <c r="UQC6" s="464" t="n"/>
      <c r="URG6" s="464" t="n"/>
      <c r="USK6" s="464" t="n"/>
      <c r="UTO6" s="464" t="n"/>
      <c r="UUS6" s="464" t="n"/>
      <c r="UVW6" s="464" t="n"/>
      <c r="UXA6" s="464" t="n"/>
      <c r="UYE6" s="464" t="n"/>
      <c r="UZI6" s="464" t="n"/>
      <c r="VAM6" s="464" t="n"/>
      <c r="VBQ6" s="464" t="n"/>
      <c r="VCU6" s="464" t="n"/>
      <c r="VDY6" s="464" t="n"/>
      <c r="VFC6" s="464" t="n"/>
      <c r="VGG6" s="464" t="n"/>
      <c r="VHK6" s="464" t="n"/>
      <c r="VIO6" s="464" t="n"/>
      <c r="VJS6" s="464" t="n"/>
      <c r="VKW6" s="464" t="n"/>
      <c r="VMA6" s="464" t="n"/>
      <c r="VNE6" s="464" t="n"/>
      <c r="VOI6" s="464" t="n"/>
      <c r="VPM6" s="464" t="n"/>
      <c r="VQQ6" s="464" t="n"/>
      <c r="VRU6" s="464" t="n"/>
      <c r="VSY6" s="464" t="n"/>
      <c r="VUC6" s="464" t="n"/>
      <c r="VVG6" s="464" t="n"/>
      <c r="VWK6" s="464" t="n"/>
      <c r="VXO6" s="464" t="n"/>
      <c r="VYS6" s="464" t="n"/>
      <c r="VZW6" s="464" t="n"/>
      <c r="WBA6" s="464" t="n"/>
      <c r="WCE6" s="464" t="n"/>
      <c r="WDI6" s="464" t="n"/>
      <c r="WEM6" s="464" t="n"/>
      <c r="WFQ6" s="464" t="n"/>
      <c r="WGU6" s="464" t="n"/>
      <c r="WHY6" s="464" t="n"/>
      <c r="WJC6" s="464" t="n"/>
      <c r="WKG6" s="464" t="n"/>
      <c r="WLK6" s="464" t="n"/>
      <c r="WMO6" s="464" t="n"/>
      <c r="WNS6" s="464" t="n"/>
      <c r="WOW6" s="464" t="n"/>
      <c r="WQA6" s="464" t="n"/>
      <c r="WRE6" s="464" t="n"/>
      <c r="WSI6" s="464" t="n"/>
      <c r="WTM6" s="464" t="n"/>
      <c r="WUQ6" s="464" t="n"/>
      <c r="WVU6" s="464" t="n"/>
      <c r="WWY6" s="464" t="n"/>
      <c r="WYC6" s="464" t="n"/>
      <c r="WZG6" s="464" t="n"/>
      <c r="XAK6" s="464" t="n"/>
      <c r="XBO6" s="464" t="n"/>
      <c r="XCS6" s="464" t="n"/>
      <c r="XDW6" s="464" t="n"/>
      <c r="XFA6" s="464" t="n"/>
    </row>
    <row r="7" ht="13.5" customFormat="1" customHeight="1" s="464" thickBot="1">
      <c r="A7" s="427">
        <f>+'DM3 Revisión de saldos'!A7:B7</f>
        <v/>
      </c>
      <c r="B7" s="521" t="n"/>
      <c r="C7" s="159">
        <f>+'DM5 Ventas '!C8</f>
        <v/>
      </c>
      <c r="D7" s="433" t="inlineStr">
        <is>
          <t>DM6</t>
        </is>
      </c>
      <c r="E7" s="523" t="n"/>
    </row>
    <row r="8">
      <c r="A8" s="429" t="inlineStr">
        <is>
          <t xml:space="preserve">Revisado por: </t>
        </is>
      </c>
      <c r="B8" s="513" t="n"/>
      <c r="C8" s="158" t="inlineStr">
        <is>
          <t>Fecha:</t>
        </is>
      </c>
      <c r="D8" s="160" t="n"/>
      <c r="E8" s="195" t="n"/>
      <c r="F8" s="239" t="n"/>
      <c r="G8" s="239" t="n"/>
      <c r="H8" s="239" t="n"/>
      <c r="I8" s="239" t="n"/>
      <c r="J8" s="239" t="n"/>
      <c r="K8" s="239" t="n"/>
      <c r="L8" s="239" t="n"/>
      <c r="M8" s="239" t="n"/>
      <c r="N8" s="239" t="n"/>
      <c r="O8" s="240" t="n"/>
      <c r="P8" s="239" t="n"/>
      <c r="Q8" s="239" t="n"/>
      <c r="R8" s="239" t="n"/>
      <c r="S8" s="239" t="n"/>
      <c r="T8" s="239" t="n"/>
      <c r="U8" s="239" t="n"/>
      <c r="V8" s="239" t="n"/>
      <c r="W8" s="239" t="n"/>
      <c r="X8" s="239" t="n"/>
      <c r="Y8" s="239" t="n"/>
      <c r="Z8" s="239" t="n"/>
      <c r="AA8" s="239" t="n"/>
      <c r="AB8" s="239" t="n"/>
      <c r="AC8" s="239" t="n"/>
      <c r="AD8" s="239" t="n"/>
      <c r="AE8" s="239" t="n"/>
    </row>
    <row r="9" ht="13.5" customHeight="1" thickBot="1">
      <c r="A9" s="427">
        <f>+'DM3 Revisión de saldos'!A9:B9</f>
        <v/>
      </c>
      <c r="B9" s="521" t="n"/>
      <c r="C9" s="161" t="n"/>
      <c r="D9" s="162" t="n"/>
      <c r="E9" s="196" t="n"/>
      <c r="F9" s="239" t="n"/>
      <c r="G9" s="239" t="n"/>
      <c r="H9" s="239" t="n"/>
      <c r="I9" s="239" t="n"/>
      <c r="J9" s="239" t="n"/>
      <c r="K9" s="239" t="n"/>
      <c r="L9" s="239" t="n"/>
      <c r="M9" s="239" t="n"/>
      <c r="N9" s="239" t="n"/>
      <c r="O9" s="239" t="n"/>
      <c r="P9" s="239" t="n"/>
      <c r="Q9" s="239" t="n"/>
      <c r="R9" s="239" t="n"/>
      <c r="S9" s="239" t="n"/>
      <c r="T9" s="239" t="n"/>
      <c r="U9" s="239" t="n"/>
      <c r="V9" s="239" t="n"/>
      <c r="W9" s="239" t="n"/>
      <c r="X9" s="239" t="n"/>
      <c r="Y9" s="239" t="n"/>
      <c r="Z9" s="239" t="n"/>
      <c r="AA9" s="239" t="n"/>
      <c r="AB9" s="239" t="n"/>
      <c r="AC9" s="239" t="n"/>
      <c r="AD9" s="239" t="n"/>
      <c r="AE9" s="239" t="n"/>
    </row>
    <row r="10" ht="9.75" customHeight="1">
      <c r="A10" s="194" t="n"/>
      <c r="B10" s="8" t="n"/>
      <c r="C10" s="541" t="n"/>
      <c r="D10" s="541" t="n"/>
      <c r="E10" s="541" t="n"/>
      <c r="F10" s="239" t="n"/>
      <c r="G10" s="239" t="n"/>
      <c r="H10" s="239" t="n"/>
      <c r="I10" s="239" t="n"/>
      <c r="J10" s="239" t="n"/>
      <c r="K10" s="239" t="n"/>
      <c r="L10" s="239" t="n"/>
      <c r="M10" s="239" t="n"/>
      <c r="N10" s="239" t="n"/>
      <c r="O10" s="239" t="n"/>
      <c r="P10" s="239" t="n"/>
      <c r="Q10" s="239" t="n"/>
      <c r="R10" s="239" t="n"/>
      <c r="S10" s="239" t="n"/>
      <c r="T10" s="239" t="n"/>
      <c r="U10" s="239" t="n"/>
      <c r="V10" s="239" t="n"/>
      <c r="W10" s="239" t="n"/>
      <c r="X10" s="239" t="n"/>
      <c r="Y10" s="239" t="n"/>
      <c r="Z10" s="239" t="n"/>
      <c r="AA10" s="239" t="n"/>
      <c r="AB10" s="239" t="n"/>
      <c r="AC10" s="239" t="n"/>
      <c r="AD10" s="467" t="n"/>
      <c r="AE10" s="239" t="n"/>
    </row>
    <row r="11" ht="9.75" customHeight="1">
      <c r="A11" s="194" t="n"/>
      <c r="B11" s="8" t="n"/>
      <c r="C11" s="541" t="n"/>
      <c r="D11" s="541" t="n"/>
      <c r="E11" s="541" t="n"/>
      <c r="F11" s="239" t="n"/>
      <c r="G11" s="239" t="n"/>
      <c r="H11" s="239" t="n"/>
      <c r="I11" s="239" t="n"/>
      <c r="J11" s="239" t="n"/>
      <c r="K11" s="239" t="n"/>
      <c r="L11" s="239" t="n"/>
      <c r="M11" s="239" t="n"/>
      <c r="N11" s="239" t="n"/>
      <c r="O11" s="239" t="n"/>
      <c r="P11" s="239" t="n"/>
      <c r="Q11" s="239" t="n"/>
      <c r="R11" s="239" t="n"/>
      <c r="S11" s="239" t="n"/>
      <c r="T11" s="239" t="n"/>
      <c r="U11" s="239" t="n"/>
      <c r="V11" s="239" t="n"/>
      <c r="W11" s="239" t="n"/>
      <c r="X11" s="239" t="n"/>
      <c r="Y11" s="239" t="n"/>
      <c r="Z11" s="239" t="n"/>
      <c r="AA11" s="239" t="n"/>
      <c r="AB11" s="239" t="n"/>
      <c r="AC11" s="239" t="n"/>
      <c r="AE11" s="239" t="n"/>
    </row>
    <row r="12">
      <c r="A12" s="241" t="inlineStr">
        <is>
          <t>IMPUESTO AL VALOR AGREGADO Y RETENCIONES EN LA FUENTE DE IVA</t>
        </is>
      </c>
      <c r="B12" s="241" t="n"/>
      <c r="C12" s="239" t="n"/>
      <c r="D12" s="239" t="n"/>
      <c r="E12" s="239" t="n"/>
      <c r="F12" s="239" t="n"/>
      <c r="G12" s="239" t="n"/>
      <c r="H12" s="239" t="n"/>
      <c r="I12" s="239" t="n"/>
      <c r="J12" s="239" t="n"/>
      <c r="K12" s="239" t="n"/>
      <c r="L12" s="239" t="n"/>
      <c r="M12" s="239" t="n"/>
      <c r="N12" s="239" t="n"/>
      <c r="O12" s="239" t="n"/>
      <c r="P12" s="239" t="n"/>
      <c r="Q12" s="239" t="n"/>
      <c r="R12" s="239" t="n"/>
      <c r="S12" s="239" t="n"/>
      <c r="T12" s="239" t="n"/>
      <c r="U12" s="239" t="n"/>
      <c r="V12" s="239" t="n"/>
      <c r="W12" s="239" t="n"/>
      <c r="X12" s="239" t="n"/>
      <c r="Y12" s="239" t="n"/>
      <c r="Z12" s="239" t="n"/>
      <c r="AA12" s="239" t="n"/>
      <c r="AB12" s="239" t="n"/>
      <c r="AC12" s="239" t="n"/>
      <c r="AE12" s="239" t="n"/>
    </row>
    <row r="13">
      <c r="A13" s="239" t="n"/>
      <c r="B13" s="239" t="n"/>
      <c r="C13" s="239" t="n"/>
      <c r="D13" s="239" t="n"/>
      <c r="E13" s="239" t="n"/>
      <c r="F13" s="239" t="n"/>
      <c r="G13" s="239" t="n"/>
      <c r="H13" s="239" t="n"/>
      <c r="I13" s="239" t="n"/>
      <c r="J13" s="239" t="n"/>
      <c r="K13" s="239" t="n"/>
      <c r="L13" s="239" t="n"/>
      <c r="M13" s="239" t="n"/>
      <c r="N13" s="239" t="n"/>
      <c r="O13" s="239" t="n"/>
      <c r="P13" s="239" t="n"/>
      <c r="Q13" s="239" t="n"/>
      <c r="R13" s="239" t="n"/>
      <c r="S13" s="239" t="n"/>
      <c r="T13" s="239" t="n"/>
      <c r="U13" s="239" t="n"/>
      <c r="V13" s="239" t="n"/>
      <c r="W13" s="239" t="n"/>
      <c r="X13" s="239" t="n"/>
      <c r="Y13" s="239" t="n"/>
      <c r="Z13" s="239" t="n"/>
      <c r="AA13" s="239" t="n"/>
      <c r="AB13" s="239" t="n"/>
      <c r="AC13" s="239" t="n"/>
      <c r="AE13" s="239" t="n"/>
    </row>
    <row r="14">
      <c r="A14" s="242" t="inlineStr">
        <is>
          <t xml:space="preserve">Conciliación del Impuesto al Valor Agregado declarado vs. Libros </t>
        </is>
      </c>
      <c r="B14" s="239" t="n"/>
      <c r="C14" s="239" t="n"/>
      <c r="D14" s="239" t="n"/>
      <c r="E14" s="239" t="n"/>
      <c r="F14" s="239" t="n"/>
      <c r="G14" s="239" t="n"/>
      <c r="H14" s="239" t="n"/>
      <c r="I14" s="239" t="n"/>
      <c r="J14" s="239" t="n"/>
      <c r="K14" s="239" t="n"/>
      <c r="L14" s="239" t="n"/>
      <c r="M14" s="239" t="n"/>
      <c r="N14" s="239" t="n"/>
      <c r="O14" s="544" t="n"/>
      <c r="P14" s="544" t="n"/>
      <c r="Q14" s="239" t="n"/>
      <c r="R14" s="239" t="n"/>
      <c r="S14" s="239" t="n"/>
      <c r="T14" s="239" t="n"/>
      <c r="U14" s="239" t="n"/>
      <c r="V14" s="239" t="n"/>
      <c r="W14" s="239" t="n"/>
      <c r="X14" s="239" t="n"/>
      <c r="Y14" s="239" t="n"/>
      <c r="Z14" s="244" t="n"/>
      <c r="AA14" s="244" t="n"/>
      <c r="AB14" s="239" t="n"/>
      <c r="AC14" s="239" t="n"/>
      <c r="AD14" s="239" t="n"/>
      <c r="AE14" s="239" t="n"/>
    </row>
    <row r="15">
      <c r="A15" s="242" t="n"/>
      <c r="B15" s="239" t="n"/>
      <c r="C15" s="239" t="n"/>
      <c r="D15" s="239" t="n"/>
      <c r="E15" s="239" t="n"/>
      <c r="F15" s="239" t="n"/>
      <c r="G15" s="239" t="n"/>
      <c r="H15" s="239" t="n"/>
      <c r="I15" s="239" t="n"/>
      <c r="J15" s="239" t="n"/>
      <c r="K15" s="239" t="n"/>
      <c r="L15" s="239" t="n"/>
      <c r="M15" s="239" t="n"/>
      <c r="N15" s="239" t="n"/>
      <c r="O15" s="544" t="n"/>
      <c r="P15" s="239" t="n"/>
      <c r="Q15" s="239" t="n"/>
      <c r="R15" s="239" t="n"/>
      <c r="S15" s="239" t="n"/>
      <c r="T15" s="239" t="n"/>
      <c r="U15" s="239" t="n"/>
      <c r="V15" s="239" t="n"/>
      <c r="W15" s="239" t="n"/>
      <c r="X15" s="239" t="n"/>
      <c r="Y15" s="239" t="n"/>
      <c r="Z15" s="244" t="n"/>
      <c r="AA15" s="244" t="n"/>
      <c r="AB15" s="239" t="n"/>
      <c r="AC15" s="239" t="n"/>
      <c r="AD15" s="239" t="n"/>
      <c r="AE15" s="239" t="n"/>
    </row>
    <row r="16">
      <c r="A16" s="465" t="inlineStr">
        <is>
          <t>Mes</t>
        </is>
      </c>
      <c r="B16" s="466" t="inlineStr">
        <is>
          <t>Según los libros contables del contribuyente</t>
        </is>
      </c>
      <c r="C16" s="545" t="n"/>
      <c r="D16" s="545" t="n"/>
      <c r="E16" s="545" t="n"/>
      <c r="F16" s="545" t="n"/>
      <c r="G16" s="545" t="n"/>
      <c r="H16" s="545" t="n"/>
      <c r="I16" s="545" t="n"/>
      <c r="J16" s="545" t="n"/>
      <c r="K16" s="545" t="n"/>
      <c r="L16" s="545" t="n"/>
      <c r="M16" s="545" t="n"/>
      <c r="N16" s="545" t="n"/>
      <c r="O16" s="545" t="n"/>
      <c r="P16" s="545" t="n"/>
      <c r="Q16" s="545" t="n"/>
      <c r="R16" s="545" t="n"/>
      <c r="S16" s="545" t="n"/>
      <c r="T16" s="545" t="n"/>
      <c r="U16" s="545" t="n"/>
      <c r="V16" s="545" t="n"/>
      <c r="W16" s="545" t="n"/>
      <c r="X16" s="534" t="n"/>
      <c r="Y16" s="466" t="inlineStr">
        <is>
          <t>Según las declaraciones de IVA (j)</t>
        </is>
      </c>
      <c r="Z16" s="545" t="n"/>
      <c r="AA16" s="534" t="n"/>
      <c r="AB16" s="465" t="inlineStr">
        <is>
          <t>Diferencias (k)</t>
        </is>
      </c>
      <c r="AC16" s="525" t="n"/>
      <c r="AD16" s="526" t="n"/>
      <c r="AE16" s="239" t="n"/>
      <c r="AF16" s="246" t="n"/>
    </row>
    <row r="17" ht="45" customHeight="1">
      <c r="A17" s="546" t="n"/>
      <c r="B17" s="465" t="inlineStr">
        <is>
          <t>Ventas según Libros</t>
        </is>
      </c>
      <c r="C17" s="545" t="n"/>
      <c r="D17" s="545" t="n"/>
      <c r="E17" s="545" t="n"/>
      <c r="F17" s="534" t="n"/>
      <c r="G17" s="465" t="inlineStr">
        <is>
          <t>Liquidación del IVA en Ventas según Libros</t>
        </is>
      </c>
      <c r="H17" s="545" t="n"/>
      <c r="I17" s="545" t="n"/>
      <c r="J17" s="545" t="n"/>
      <c r="K17" s="545" t="n"/>
      <c r="L17" s="545" t="n"/>
      <c r="M17" s="534" t="n"/>
      <c r="N17" s="465" t="inlineStr">
        <is>
          <t>Adquisiciones, importaciones e IVA según Libros</t>
        </is>
      </c>
      <c r="O17" s="545" t="n"/>
      <c r="P17" s="545" t="n"/>
      <c r="Q17" s="545" t="n"/>
      <c r="R17" s="534" t="n"/>
      <c r="S17" s="465" t="inlineStr">
        <is>
          <t>Liquidación del IVA según Libros</t>
        </is>
      </c>
      <c r="T17" s="545" t="n"/>
      <c r="U17" s="545" t="n"/>
      <c r="V17" s="545" t="n"/>
      <c r="W17" s="545" t="n"/>
      <c r="X17" s="534" t="n"/>
      <c r="Y17" s="465" t="inlineStr">
        <is>
          <t>Ventas según declaraciones</t>
        </is>
      </c>
      <c r="Z17" s="465" t="inlineStr">
        <is>
          <t xml:space="preserve">Liquidación del IVA según declaraciones </t>
        </is>
      </c>
      <c r="AA17" s="534" t="n"/>
      <c r="AB17" s="547" t="n"/>
      <c r="AC17" s="548" t="n"/>
      <c r="AD17" s="549" t="n"/>
      <c r="AE17" s="247" t="n"/>
      <c r="AF17" s="246" t="n"/>
    </row>
    <row r="18" ht="90" customHeight="1">
      <c r="A18" s="546" t="n"/>
      <c r="B18" s="550" t="inlineStr">
        <is>
          <t>Ventas netas gravadas con tarifa diferente de 0% 
(a)</t>
        </is>
      </c>
      <c r="C18" s="550" t="inlineStr">
        <is>
          <t>Ventas netas gravadas con tarifa 0% (con derecho a crédito tributario) (b)</t>
        </is>
      </c>
      <c r="D18" s="550" t="inlineStr">
        <is>
          <t>Ventas netas gravadas con tarifa 0% (sin derecho a crédito tributario) (c)</t>
        </is>
      </c>
      <c r="E18" s="550" t="inlineStr">
        <is>
          <t>Exportaciones de bienes y servicios</t>
        </is>
      </c>
      <c r="F18" s="550" t="inlineStr">
        <is>
          <t>Ventas netas gravadas con tarifa diferente de 0% al contado</t>
        </is>
      </c>
      <c r="G18" s="550" t="inlineStr">
        <is>
          <t>Tarifa de IVA vigente (d)</t>
        </is>
      </c>
      <c r="H18" s="465" t="inlineStr">
        <is>
          <t>Impuesto generado en ventas</t>
        </is>
      </c>
      <c r="I18" s="465" t="inlineStr">
        <is>
          <t>IVA generado en la diferencia entre ventas y notas de crédito con distinta tarifa</t>
        </is>
      </c>
      <c r="J18" s="465" t="inlineStr">
        <is>
          <t>Impuesto a liquidar del mes anterior                     (e)</t>
        </is>
      </c>
      <c r="K18" s="465" t="inlineStr">
        <is>
          <t>Impuesto a liquidar en este mes                                        (f)</t>
        </is>
      </c>
      <c r="L18" s="465" t="inlineStr">
        <is>
          <t>Impuesto a liquidar en el próximo mes                               (g)</t>
        </is>
      </c>
      <c r="M18" s="465" t="inlineStr">
        <is>
          <t xml:space="preserve">Total impuesto a liquidar en este mes      </t>
        </is>
      </c>
      <c r="N18" s="550" t="inlineStr">
        <is>
          <t>Adquisiciones e importaciones netas gravadas con tarifa diferente de 0% (con derecho a crédito tributario)</t>
        </is>
      </c>
      <c r="O18" s="465" t="inlineStr">
        <is>
          <t>Impuesto causado en adquisiciones e importaciones (con derecho a crédito tributario)</t>
        </is>
      </c>
      <c r="P18" s="465" t="inlineStr">
        <is>
          <t>IVA generado en la diferencia entre adquisiciones y notas de crédito con distinta tarifa</t>
        </is>
      </c>
      <c r="Q18" s="550" t="inlineStr">
        <is>
          <t>Factor de proporcionalidad (h)</t>
        </is>
      </c>
      <c r="R18" s="465" t="inlineStr">
        <is>
          <t>Crédito tributario en compras</t>
        </is>
      </c>
      <c r="S18" s="465" t="inlineStr">
        <is>
          <t>Compensaciones de IVA (ventas en medio electrónico y ventas en zonas afectadas - Ley de Solidaridad)</t>
        </is>
      </c>
      <c r="T18" s="465" t="inlineStr">
        <is>
          <t>Saldo de crédito tributario del mes anterior (i)</t>
        </is>
      </c>
      <c r="U18" s="465" t="inlineStr">
        <is>
          <t>Retenciones en la fuente de IVA del periodo (casillero 609)</t>
        </is>
      </c>
      <c r="V18" s="465" t="inlineStr">
        <is>
          <t>Ajustes por IVA devuelto o descontado e IVA rechazado</t>
        </is>
      </c>
      <c r="W18" s="465" t="inlineStr">
        <is>
          <t>Saldo de crédito tributario para el próximo mes</t>
        </is>
      </c>
      <c r="X18" s="465" t="inlineStr">
        <is>
          <t>Total impuesto a pagar</t>
        </is>
      </c>
      <c r="Y18" s="550" t="inlineStr">
        <is>
          <t>Valor neto - total ventas y otras operaciones
(casillero 419)</t>
        </is>
      </c>
      <c r="Z18" s="465" t="inlineStr">
        <is>
          <t>Total crédito tributario para el próximo mes
(casilleros 615+617+618+619)</t>
        </is>
      </c>
      <c r="AA18" s="465" t="inlineStr">
        <is>
          <t xml:space="preserve">Total impuesto a pagar por percepción  
  (casillero 699) </t>
        </is>
      </c>
      <c r="AB18" s="465" t="inlineStr">
        <is>
          <t>Diferencia en ventas y exportaciones</t>
        </is>
      </c>
      <c r="AC18" s="465" t="inlineStr">
        <is>
          <t>Diferencia en crédito tributario</t>
        </is>
      </c>
      <c r="AD18" s="249" t="inlineStr">
        <is>
          <t xml:space="preserve">Diferencia en impuesto </t>
        </is>
      </c>
      <c r="AE18" s="239" t="n"/>
      <c r="AF18" s="246" t="n"/>
      <c r="AI18" s="249" t="inlineStr">
        <is>
          <t>Valor de IVA no considerado como crédito tributario por factor de proporcionalidad Casillero 565</t>
        </is>
      </c>
    </row>
    <row r="19" ht="38.25" customHeight="1">
      <c r="A19" s="535" t="n"/>
      <c r="B19" s="465" t="inlineStr">
        <is>
          <t>{1}</t>
        </is>
      </c>
      <c r="C19" s="465" t="inlineStr">
        <is>
          <t>{2}</t>
        </is>
      </c>
      <c r="D19" s="465" t="inlineStr">
        <is>
          <t>{3}</t>
        </is>
      </c>
      <c r="E19" s="465" t="inlineStr">
        <is>
          <t>{4}</t>
        </is>
      </c>
      <c r="F19" s="465" t="inlineStr">
        <is>
          <t>{5}</t>
        </is>
      </c>
      <c r="G19" s="465" t="inlineStr">
        <is>
          <t>{6}</t>
        </is>
      </c>
      <c r="H19" s="465" t="inlineStr">
        <is>
          <t>{7}={1*6}</t>
        </is>
      </c>
      <c r="I19" s="465" t="inlineStr">
        <is>
          <t>{8}</t>
        </is>
      </c>
      <c r="J19" s="465" t="inlineStr">
        <is>
          <t>{9}={11}</t>
        </is>
      </c>
      <c r="K19" s="465" t="inlineStr">
        <is>
          <t>{10}={{5*6}+8}</t>
        </is>
      </c>
      <c r="L19" s="465" t="inlineStr">
        <is>
          <t>{11}=-{7+8}-10}</t>
        </is>
      </c>
      <c r="M19" s="465" t="inlineStr">
        <is>
          <t>{12}={9+10}</t>
        </is>
      </c>
      <c r="N19" s="465" t="inlineStr">
        <is>
          <t>{13}</t>
        </is>
      </c>
      <c r="O19" s="465" t="inlineStr">
        <is>
          <t>{14}={13*6}</t>
        </is>
      </c>
      <c r="P19" s="465" t="inlineStr">
        <is>
          <t>{15}</t>
        </is>
      </c>
      <c r="Q19" s="465" t="inlineStr">
        <is>
          <t>{16}={1+2+4} / {1+2+3+4}</t>
        </is>
      </c>
      <c r="R19" s="465" t="inlineStr">
        <is>
          <t>{17}={14+15}*16}</t>
        </is>
      </c>
      <c r="S19" s="465" t="inlineStr">
        <is>
          <t>{18}</t>
        </is>
      </c>
      <c r="T19" s="465" t="inlineStr">
        <is>
          <t>{19}={22}</t>
        </is>
      </c>
      <c r="U19" s="465" t="inlineStr">
        <is>
          <t>{20}</t>
        </is>
      </c>
      <c r="V19" s="465" t="inlineStr">
        <is>
          <t>{21}</t>
        </is>
      </c>
      <c r="W19" s="465" t="inlineStr">
        <is>
          <t>{22}</t>
        </is>
      </c>
      <c r="X19" s="465" t="inlineStr">
        <is>
          <t>{23}</t>
        </is>
      </c>
      <c r="Y19" s="465" t="inlineStr">
        <is>
          <t>{24}</t>
        </is>
      </c>
      <c r="Z19" s="465" t="inlineStr">
        <is>
          <t>{25}</t>
        </is>
      </c>
      <c r="AA19" s="465" t="inlineStr">
        <is>
          <t>{26}</t>
        </is>
      </c>
      <c r="AB19" s="465" t="inlineStr">
        <is>
          <t>{27}={24-1-2-3-4}</t>
        </is>
      </c>
      <c r="AC19" s="465" t="inlineStr">
        <is>
          <t>{28}={25-22}</t>
        </is>
      </c>
      <c r="AD19" s="465" t="inlineStr">
        <is>
          <t>{29}={26-23}</t>
        </is>
      </c>
      <c r="AE19" s="247" t="n"/>
      <c r="AF19" s="250" t="inlineStr">
        <is>
          <t>CASILLERO 609</t>
        </is>
      </c>
      <c r="AI19" s="465" t="inlineStr">
        <is>
          <t>{29}={26-23}</t>
        </is>
      </c>
    </row>
    <row r="20">
      <c r="A20" s="251" t="inlineStr">
        <is>
          <t>Enero</t>
        </is>
      </c>
      <c r="B20" s="252">
        <f>+'DM5 Ventas '!C19</f>
        <v/>
      </c>
      <c r="C20" s="252" t="n">
        <v>0</v>
      </c>
      <c r="D20" s="252" t="n">
        <v>0</v>
      </c>
      <c r="E20" s="252" t="n">
        <v>0</v>
      </c>
      <c r="F20" s="252">
        <f>+B20</f>
        <v/>
      </c>
      <c r="G20" s="253" t="n">
        <v>0.15</v>
      </c>
      <c r="H20" s="252">
        <f>+F20*G20</f>
        <v/>
      </c>
      <c r="I20" s="252" t="n">
        <v>0</v>
      </c>
      <c r="J20" s="252" t="n">
        <v>0</v>
      </c>
      <c r="K20" s="252">
        <f>+H20</f>
        <v/>
      </c>
      <c r="L20" s="252">
        <f>+(H20+I20)-K20</f>
        <v/>
      </c>
      <c r="M20" s="252">
        <f>+J20+K20</f>
        <v/>
      </c>
      <c r="N20" s="254">
        <f>+'DM4 Compras '!C42+'DM4 Compras '!C43</f>
        <v/>
      </c>
      <c r="O20" s="254">
        <f>+N20*G20</f>
        <v/>
      </c>
      <c r="P20" s="254" t="n">
        <v>0</v>
      </c>
      <c r="Q20" s="255">
        <f>IF(SUM(B20:E20)=0,0%,+(B20+C20+E20)/(B20+C20+D20+E20))</f>
        <v/>
      </c>
      <c r="R20" s="252">
        <f>+(O20+P20)*Q20</f>
        <v/>
      </c>
      <c r="S20" s="252" t="n">
        <v>0</v>
      </c>
      <c r="T20" s="256" t="n">
        <v>0</v>
      </c>
      <c r="U20" s="254" t="n"/>
      <c r="V20" s="254" t="n">
        <v>0</v>
      </c>
      <c r="W20" s="252">
        <f>ABS(IF((M20-R20-S20-T20-U20+V20)&lt;0,(M20-R20-S20-T20-U20+V20),0))</f>
        <v/>
      </c>
      <c r="X20" s="252">
        <f>+IF((M20-R20-S20-T20-U20+V20)&gt;0,(M20-R20-S20-T20-U20+V20),0)</f>
        <v/>
      </c>
      <c r="Y20" s="257">
        <f>+'DM5 Ventas '!C43</f>
        <v/>
      </c>
      <c r="Z20" s="257" t="n">
        <v>0</v>
      </c>
      <c r="AA20" s="257" t="n"/>
      <c r="AB20" s="258">
        <f>+Y20-B20-C20-D20-E20</f>
        <v/>
      </c>
      <c r="AC20" s="258">
        <f>Z20-W20</f>
        <v/>
      </c>
      <c r="AD20" s="252">
        <f>AA20-X20</f>
        <v/>
      </c>
      <c r="AE20" s="259" t="n"/>
      <c r="AF20" s="246" t="n">
        <v>0</v>
      </c>
      <c r="AG20" s="246">
        <f>+U20-AF20</f>
        <v/>
      </c>
      <c r="AI20" s="252" t="n"/>
    </row>
    <row r="21">
      <c r="A21" s="251" t="inlineStr">
        <is>
          <t>Febrero</t>
        </is>
      </c>
      <c r="B21" s="252">
        <f>+'DM5 Ventas '!D19</f>
        <v/>
      </c>
      <c r="C21" s="252" t="n">
        <v>0</v>
      </c>
      <c r="D21" s="252" t="n">
        <v>0</v>
      </c>
      <c r="E21" s="252" t="n">
        <v>0</v>
      </c>
      <c r="F21" s="252">
        <f>+B21</f>
        <v/>
      </c>
      <c r="G21" s="253" t="n">
        <v>0.15</v>
      </c>
      <c r="H21" s="252">
        <f>+F21*G21</f>
        <v/>
      </c>
      <c r="I21" s="252" t="n">
        <v>0</v>
      </c>
      <c r="J21" s="252" t="n">
        <v>0</v>
      </c>
      <c r="K21" s="252">
        <f>+H21</f>
        <v/>
      </c>
      <c r="L21" s="252">
        <f>+(H21+I21)-K21</f>
        <v/>
      </c>
      <c r="M21" s="252">
        <f>+J21+K21</f>
        <v/>
      </c>
      <c r="N21" s="254">
        <f>+'DM4 Compras '!D42+'DM4 Compras '!D43</f>
        <v/>
      </c>
      <c r="O21" s="254">
        <f>+N21*G21</f>
        <v/>
      </c>
      <c r="P21" s="254" t="n">
        <v>0</v>
      </c>
      <c r="Q21" s="255">
        <f>IF(SUM(B21:E21)=0,0%,+(B21+C21+E21)/(B21+C21+D21+E21))</f>
        <v/>
      </c>
      <c r="R21" s="252">
        <f>+(O21+P21)*Q21</f>
        <v/>
      </c>
      <c r="S21" s="252" t="n">
        <v>0</v>
      </c>
      <c r="T21" s="252">
        <f>+W20</f>
        <v/>
      </c>
      <c r="U21" s="254" t="n"/>
      <c r="V21" s="254" t="n">
        <v>0</v>
      </c>
      <c r="W21" s="252">
        <f>ABS(IF((M21-R21-S21-T21-U21+V21)&lt;0,(M21-R21-S21-T21-U21+V21),0))</f>
        <v/>
      </c>
      <c r="X21" s="252">
        <f>+IF((M21-R21-S21-T21-U21+V21)&gt;0,(M21-R21-S21-T21-U21+V21),0)</f>
        <v/>
      </c>
      <c r="Y21" s="257">
        <f>+'DM5 Ventas '!D43</f>
        <v/>
      </c>
      <c r="Z21" s="257" t="n">
        <v>0</v>
      </c>
      <c r="AA21" s="257" t="n"/>
      <c r="AB21" s="258">
        <f>+Y21-B21-C21-D21-E21</f>
        <v/>
      </c>
      <c r="AC21" s="258">
        <f>Z21-W21</f>
        <v/>
      </c>
      <c r="AD21" s="252">
        <f>AA21-X21</f>
        <v/>
      </c>
      <c r="AE21" s="259" t="n"/>
      <c r="AF21" s="246" t="n">
        <v>0</v>
      </c>
      <c r="AG21" s="246">
        <f>+U21-AF21</f>
        <v/>
      </c>
      <c r="AI21" s="252" t="n"/>
    </row>
    <row r="22">
      <c r="A22" s="251" t="inlineStr">
        <is>
          <t>Marzo</t>
        </is>
      </c>
      <c r="B22" s="252">
        <f>+'DM5 Ventas '!E19</f>
        <v/>
      </c>
      <c r="C22" s="252" t="n">
        <v>0</v>
      </c>
      <c r="D22" s="252" t="n">
        <v>0</v>
      </c>
      <c r="E22" s="252" t="n">
        <v>0</v>
      </c>
      <c r="F22" s="252">
        <f>+B22</f>
        <v/>
      </c>
      <c r="G22" s="253" t="n">
        <v>0.15</v>
      </c>
      <c r="H22" s="252">
        <f>+F22*G22</f>
        <v/>
      </c>
      <c r="I22" s="252" t="n">
        <v>0</v>
      </c>
      <c r="J22" s="252" t="n">
        <v>0</v>
      </c>
      <c r="K22" s="252">
        <f>+H22</f>
        <v/>
      </c>
      <c r="L22" s="252">
        <f>+(H22+I22)-K22</f>
        <v/>
      </c>
      <c r="M22" s="252">
        <f>+J22+K22</f>
        <v/>
      </c>
      <c r="N22" s="254">
        <f>+'DM4 Compras '!E42+'DM4 Compras '!E43</f>
        <v/>
      </c>
      <c r="O22" s="254">
        <f>+N22*G22</f>
        <v/>
      </c>
      <c r="P22" s="254" t="n">
        <v>0</v>
      </c>
      <c r="Q22" s="255">
        <f>IF(SUM(B22:E22)=0,0%,+(B22+C22+E22)/(B22+C22+D22+E22))</f>
        <v/>
      </c>
      <c r="R22" s="252">
        <f>+(O22+P22)*Q22</f>
        <v/>
      </c>
      <c r="S22" s="252" t="n">
        <v>0</v>
      </c>
      <c r="T22" s="252">
        <f>+W21</f>
        <v/>
      </c>
      <c r="U22" s="254" t="n"/>
      <c r="V22" s="254" t="n">
        <v>0</v>
      </c>
      <c r="W22" s="252">
        <f>ABS(IF((M22-R22-S22-T22-U22+V22)&lt;0,(M22-R22-S22-T22-U22+V22),0))</f>
        <v/>
      </c>
      <c r="X22" s="252">
        <f>+IF((M22-R22-S22-T22-U22+V22)&gt;0,(M22-R22-S22-T22-U22+V22),0)</f>
        <v/>
      </c>
      <c r="Y22" s="257">
        <f>+'DM5 Ventas '!E43</f>
        <v/>
      </c>
      <c r="Z22" s="257">
        <f>0+0</f>
        <v/>
      </c>
      <c r="AA22" s="256" t="n">
        <v>0</v>
      </c>
      <c r="AB22" s="258">
        <f>+Y22-B22-C22-D22-E22</f>
        <v/>
      </c>
      <c r="AC22" s="258">
        <f>Z22-W22</f>
        <v/>
      </c>
      <c r="AD22" s="252">
        <f>AA22-X22</f>
        <v/>
      </c>
      <c r="AE22" s="239" t="n"/>
      <c r="AF22" s="246" t="n">
        <v>0</v>
      </c>
      <c r="AG22" s="246">
        <f>+U22-AF22</f>
        <v/>
      </c>
      <c r="AI22" s="252" t="n"/>
    </row>
    <row r="23">
      <c r="A23" s="251" t="inlineStr">
        <is>
          <t>Abril</t>
        </is>
      </c>
      <c r="B23" s="252">
        <f>+'DM5 Ventas '!F19</f>
        <v/>
      </c>
      <c r="C23" s="252" t="n">
        <v>0</v>
      </c>
      <c r="D23" s="252" t="n">
        <v>0</v>
      </c>
      <c r="E23" s="252" t="n">
        <v>0</v>
      </c>
      <c r="F23" s="252">
        <f>+B23</f>
        <v/>
      </c>
      <c r="G23" s="253" t="n">
        <v>0.15</v>
      </c>
      <c r="H23" s="252">
        <f>+F23*G23</f>
        <v/>
      </c>
      <c r="I23" s="252" t="n">
        <v>0</v>
      </c>
      <c r="J23" s="252" t="n">
        <v>0</v>
      </c>
      <c r="K23" s="252">
        <f>+H23</f>
        <v/>
      </c>
      <c r="L23" s="252">
        <f>+(H23+I23)-K23</f>
        <v/>
      </c>
      <c r="M23" s="252">
        <f>+J23+K23</f>
        <v/>
      </c>
      <c r="N23" s="254">
        <f>+'DM4 Compras '!F42+'DM4 Compras '!F43</f>
        <v/>
      </c>
      <c r="O23" s="254">
        <f>+N23*G23</f>
        <v/>
      </c>
      <c r="P23" s="254" t="n">
        <v>0</v>
      </c>
      <c r="Q23" s="255">
        <f>IF(SUM(B23:E23)=0,0%,+(B23+C23+E23)/(B23+C23+D23+E23))</f>
        <v/>
      </c>
      <c r="R23" s="252">
        <f>+(O23+P23)*Q23</f>
        <v/>
      </c>
      <c r="S23" s="252" t="n">
        <v>0</v>
      </c>
      <c r="T23" s="252">
        <f>+W22</f>
        <v/>
      </c>
      <c r="U23" s="254" t="n"/>
      <c r="V23" s="254" t="n">
        <v>0</v>
      </c>
      <c r="W23" s="252">
        <f>ABS(IF((M23-R23-S23-T23-U23+V23)&lt;0,(M23-R23-S23-T23-U23+V23),0))</f>
        <v/>
      </c>
      <c r="X23" s="252">
        <f>+IF((M23-R23-S23-T23-U23+V23)&gt;0,(M23-R23-S23-T23-U23+V23),0)</f>
        <v/>
      </c>
      <c r="Y23" s="257">
        <f>+'DM5 Ventas '!F43</f>
        <v/>
      </c>
      <c r="Z23" s="257" t="n">
        <v>0</v>
      </c>
      <c r="AA23" s="257" t="n"/>
      <c r="AB23" s="258">
        <f>+Y23-B23-C23-D23-E23</f>
        <v/>
      </c>
      <c r="AC23" s="258">
        <f>Z23-W23</f>
        <v/>
      </c>
      <c r="AD23" s="252">
        <f>AA23-X23</f>
        <v/>
      </c>
      <c r="AE23" s="239" t="n"/>
      <c r="AF23" s="246" t="n">
        <v>0</v>
      </c>
      <c r="AG23" s="246">
        <f>+U23-AF23</f>
        <v/>
      </c>
      <c r="AI23" s="252" t="n"/>
    </row>
    <row r="24">
      <c r="A24" s="251" t="inlineStr">
        <is>
          <t>Mayo</t>
        </is>
      </c>
      <c r="B24" s="252">
        <f>+'DM5 Ventas '!G19</f>
        <v/>
      </c>
      <c r="C24" s="252" t="n">
        <v>0</v>
      </c>
      <c r="D24" s="252" t="n">
        <v>0</v>
      </c>
      <c r="E24" s="252" t="n">
        <v>0</v>
      </c>
      <c r="F24" s="252">
        <f>+B24</f>
        <v/>
      </c>
      <c r="G24" s="253" t="n">
        <v>0.15</v>
      </c>
      <c r="H24" s="252">
        <f>+F24*G24</f>
        <v/>
      </c>
      <c r="I24" s="252" t="n">
        <v>0</v>
      </c>
      <c r="J24" s="252" t="n">
        <v>0</v>
      </c>
      <c r="K24" s="252">
        <f>+H24</f>
        <v/>
      </c>
      <c r="L24" s="252">
        <f>+(H24+I24)-K24</f>
        <v/>
      </c>
      <c r="M24" s="252">
        <f>+J24+K24</f>
        <v/>
      </c>
      <c r="N24" s="254">
        <f>+'DM4 Compras '!G42+'DM4 Compras '!G43</f>
        <v/>
      </c>
      <c r="O24" s="254">
        <f>+N24*G24</f>
        <v/>
      </c>
      <c r="P24" s="254" t="n">
        <v>0</v>
      </c>
      <c r="Q24" s="255">
        <f>IF(SUM(B24:E24)=0,0%,+(B24+C24+E24)/(B24+C24+D24+E24))</f>
        <v/>
      </c>
      <c r="R24" s="252">
        <f>+(O24+P24)*Q24</f>
        <v/>
      </c>
      <c r="S24" s="252" t="n">
        <v>0</v>
      </c>
      <c r="T24" s="252">
        <f>+W23</f>
        <v/>
      </c>
      <c r="U24" s="254" t="n"/>
      <c r="V24" s="254" t="n">
        <v>0</v>
      </c>
      <c r="W24" s="252">
        <f>ABS(IF((M24-R24-S24-T24-U24+V24)&lt;0,(M24-R24-S24-T24-U24+V24),0))</f>
        <v/>
      </c>
      <c r="X24" s="252">
        <f>+IF((M24-R24-S24-T24-U24+V24)&gt;0,(M24-R24-S24-T24-U24+V24),0)</f>
        <v/>
      </c>
      <c r="Y24" s="257">
        <f>+'DM5 Ventas '!G43</f>
        <v/>
      </c>
      <c r="Z24" s="257" t="n">
        <v>0</v>
      </c>
      <c r="AA24" s="257" t="n"/>
      <c r="AB24" s="258">
        <f>+Y24-B24-C24-D24-E24</f>
        <v/>
      </c>
      <c r="AC24" s="258">
        <f>Z24-W24</f>
        <v/>
      </c>
      <c r="AD24" s="252">
        <f>AA24-X24</f>
        <v/>
      </c>
      <c r="AE24" s="239" t="n"/>
      <c r="AF24" s="246" t="n">
        <v>0</v>
      </c>
      <c r="AG24" s="246">
        <f>+U24-AF24</f>
        <v/>
      </c>
      <c r="AI24" s="252" t="n"/>
    </row>
    <row r="25">
      <c r="A25" s="251" t="inlineStr">
        <is>
          <t>Junio</t>
        </is>
      </c>
      <c r="B25" s="252">
        <f>+'DM5 Ventas '!H19</f>
        <v/>
      </c>
      <c r="C25" s="257" t="n">
        <v>0</v>
      </c>
      <c r="D25" s="252" t="n">
        <v>0</v>
      </c>
      <c r="E25" s="252" t="n">
        <v>0</v>
      </c>
      <c r="F25" s="252">
        <f>+B25</f>
        <v/>
      </c>
      <c r="G25" s="253" t="n">
        <v>0.15</v>
      </c>
      <c r="H25" s="252">
        <f>+F25*G25</f>
        <v/>
      </c>
      <c r="I25" s="257" t="n">
        <v>0</v>
      </c>
      <c r="J25" s="252" t="n">
        <v>0</v>
      </c>
      <c r="K25" s="252">
        <f>+H25</f>
        <v/>
      </c>
      <c r="L25" s="252">
        <f>+(H25+I25)-K25</f>
        <v/>
      </c>
      <c r="M25" s="252">
        <f>+J25+K25</f>
        <v/>
      </c>
      <c r="N25" s="260">
        <f>+'DM4 Compras '!H42+'DM4 Compras '!H43</f>
        <v/>
      </c>
      <c r="O25" s="254">
        <f>+N25*G25</f>
        <v/>
      </c>
      <c r="P25" s="254" t="n">
        <v>0</v>
      </c>
      <c r="Q25" s="255">
        <f>IF(SUM(B25:E25)=0,0%,+(B25+C25+E25)/(B25+C25+D25+E25))</f>
        <v/>
      </c>
      <c r="R25" s="252">
        <f>+(O25+P25)*Q25</f>
        <v/>
      </c>
      <c r="S25" s="252" t="n">
        <v>0</v>
      </c>
      <c r="T25" s="252">
        <f>+W24</f>
        <v/>
      </c>
      <c r="U25" s="261" t="n"/>
      <c r="V25" s="260" t="n">
        <v>0</v>
      </c>
      <c r="W25" s="252">
        <f>ABS(IF((M25-R25-S25-T25-U25+V25)&lt;0,(M25-R25-S25-T25-U25+V25),0))</f>
        <v/>
      </c>
      <c r="X25" s="252">
        <f>+IF((M25-R25-S25-T25-U25+V25)&gt;0,(M25-R25-S25-T25-U25+V25),0)</f>
        <v/>
      </c>
      <c r="Y25" s="257">
        <f>+'DM5 Ventas '!H43</f>
        <v/>
      </c>
      <c r="Z25" s="257" t="n">
        <v>0</v>
      </c>
      <c r="AA25" s="257" t="n"/>
      <c r="AB25" s="258">
        <f>+Y25-B25-C25-D25-E25</f>
        <v/>
      </c>
      <c r="AC25" s="258">
        <f>Z25-W25</f>
        <v/>
      </c>
      <c r="AD25" s="252">
        <f>AA25-X25</f>
        <v/>
      </c>
      <c r="AE25" s="262" t="n"/>
      <c r="AF25" s="246" t="n">
        <v>0</v>
      </c>
      <c r="AG25" s="246">
        <f>+U25-AF25</f>
        <v/>
      </c>
      <c r="AI25" s="252" t="n"/>
    </row>
    <row r="26">
      <c r="A26" s="251" t="inlineStr">
        <is>
          <t>Julio</t>
        </is>
      </c>
      <c r="B26" s="252">
        <f>+'DM5 Ventas '!I19</f>
        <v/>
      </c>
      <c r="C26" s="252" t="n">
        <v>0</v>
      </c>
      <c r="D26" s="252" t="n">
        <v>0</v>
      </c>
      <c r="E26" s="252" t="n">
        <v>0</v>
      </c>
      <c r="F26" s="252">
        <f>+B26</f>
        <v/>
      </c>
      <c r="G26" s="253" t="n">
        <v>0.15</v>
      </c>
      <c r="H26" s="252">
        <f>+F26*G26</f>
        <v/>
      </c>
      <c r="I26" s="252" t="n">
        <v>0</v>
      </c>
      <c r="J26" s="252" t="n">
        <v>0</v>
      </c>
      <c r="K26" s="252">
        <f>+H26</f>
        <v/>
      </c>
      <c r="L26" s="252">
        <f>+(H26+I26)-K26</f>
        <v/>
      </c>
      <c r="M26" s="252">
        <f>+J26+K26</f>
        <v/>
      </c>
      <c r="N26" s="254">
        <f>+'DM4 Compras '!I42+'DM4 Compras '!I43</f>
        <v/>
      </c>
      <c r="O26" s="254">
        <f>+N26*G26</f>
        <v/>
      </c>
      <c r="P26" s="254" t="n">
        <v>0</v>
      </c>
      <c r="Q26" s="255">
        <f>IF(SUM(B26:E26)=0,0%,+(B26+C26+E26)/(B26+C26+D26+E26))</f>
        <v/>
      </c>
      <c r="R26" s="252">
        <f>+(O26+P26)*Q26</f>
        <v/>
      </c>
      <c r="S26" s="252" t="n">
        <v>0</v>
      </c>
      <c r="T26" s="252">
        <f>+W25</f>
        <v/>
      </c>
      <c r="U26" s="261" t="n"/>
      <c r="V26" s="254" t="n">
        <v>0</v>
      </c>
      <c r="W26" s="252">
        <f>ABS(IF((M26-R26-S26-T26-U26+V26)&lt;0,(M26-R26-S26-T26-U26+V26),0))</f>
        <v/>
      </c>
      <c r="X26" s="252">
        <f>+IF((M26-R26-S26-T26-U26+V26)&gt;0,(M26-R26-S26-T26-U26+V26),0)</f>
        <v/>
      </c>
      <c r="Y26" s="257">
        <f>+'DM5 Ventas '!I43</f>
        <v/>
      </c>
      <c r="Z26" s="257">
        <f>0+0</f>
        <v/>
      </c>
      <c r="AA26" s="257" t="n">
        <v>0</v>
      </c>
      <c r="AB26" s="258">
        <f>+Y26-B26-C26-D26-E26</f>
        <v/>
      </c>
      <c r="AC26" s="258">
        <f>Z26-W26</f>
        <v/>
      </c>
      <c r="AD26" s="252">
        <f>AA26-X26</f>
        <v/>
      </c>
      <c r="AE26" s="239" t="n"/>
      <c r="AF26" s="246" t="n">
        <v>0</v>
      </c>
      <c r="AG26" s="246">
        <f>+U26-AF26</f>
        <v/>
      </c>
      <c r="AI26" s="252" t="n"/>
    </row>
    <row r="27">
      <c r="A27" s="251" t="inlineStr">
        <is>
          <t>Agosto</t>
        </is>
      </c>
      <c r="B27" s="252">
        <f>+'DM5 Ventas '!J19</f>
        <v/>
      </c>
      <c r="C27" s="252" t="n">
        <v>0</v>
      </c>
      <c r="D27" s="252" t="n">
        <v>0</v>
      </c>
      <c r="E27" s="252" t="n">
        <v>0</v>
      </c>
      <c r="F27" s="252">
        <f>+B27</f>
        <v/>
      </c>
      <c r="G27" s="253" t="n">
        <v>0.15</v>
      </c>
      <c r="H27" s="252">
        <f>+F27*G27</f>
        <v/>
      </c>
      <c r="I27" s="252" t="n">
        <v>0</v>
      </c>
      <c r="J27" s="252" t="n">
        <v>0</v>
      </c>
      <c r="K27" s="252">
        <f>+H27</f>
        <v/>
      </c>
      <c r="L27" s="252">
        <f>+(H27+I27)-K27</f>
        <v/>
      </c>
      <c r="M27" s="252">
        <f>+J27+K27</f>
        <v/>
      </c>
      <c r="N27" s="254">
        <f>+'DM4 Compras '!J42+'DM4 Compras '!J43</f>
        <v/>
      </c>
      <c r="O27" s="254">
        <f>+N27*G27</f>
        <v/>
      </c>
      <c r="P27" s="254" t="n">
        <v>0</v>
      </c>
      <c r="Q27" s="255">
        <f>IF(SUM(B27:E27)=0,0%,+(B27+C27+E27)/(B27+C27+D27+E27))</f>
        <v/>
      </c>
      <c r="R27" s="252">
        <f>+(O27+P27)*Q27</f>
        <v/>
      </c>
      <c r="S27" s="252" t="n">
        <v>0</v>
      </c>
      <c r="T27" s="252">
        <f>+W26</f>
        <v/>
      </c>
      <c r="U27" s="254" t="n"/>
      <c r="V27" s="254" t="n">
        <v>0</v>
      </c>
      <c r="W27" s="252">
        <f>ABS(IF((M27-R27-S27-T27-U27+V27)&lt;0,(M27-R27-S27-T27-U27+V27),0))</f>
        <v/>
      </c>
      <c r="X27" s="252">
        <f>+IF((M27-R27-S27-T27-U27+V27)&gt;0,(M27-R27-S27-T27-U27+V27),0)</f>
        <v/>
      </c>
      <c r="Y27" s="257">
        <f>+'DM5 Ventas '!J43</f>
        <v/>
      </c>
      <c r="Z27" s="257">
        <f>0+0</f>
        <v/>
      </c>
      <c r="AA27" s="257" t="n">
        <v>0</v>
      </c>
      <c r="AB27" s="258">
        <f>+Y27-B27-C27-D27-E27</f>
        <v/>
      </c>
      <c r="AC27" s="258">
        <f>Z27-W27</f>
        <v/>
      </c>
      <c r="AD27" s="252">
        <f>AA27-X27</f>
        <v/>
      </c>
      <c r="AE27" s="239" t="n"/>
      <c r="AF27" s="246" t="n">
        <v>0</v>
      </c>
      <c r="AG27" s="246">
        <f>+U27-AF27</f>
        <v/>
      </c>
      <c r="AI27" s="252" t="n"/>
    </row>
    <row r="28">
      <c r="A28" s="251" t="inlineStr">
        <is>
          <t>Septiembre</t>
        </is>
      </c>
      <c r="B28" s="252">
        <f>+'DM5 Ventas '!K19</f>
        <v/>
      </c>
      <c r="C28" s="252" t="n">
        <v>0</v>
      </c>
      <c r="D28" s="252" t="n">
        <v>0</v>
      </c>
      <c r="E28" s="252" t="n">
        <v>0</v>
      </c>
      <c r="F28" s="252">
        <f>+B28</f>
        <v/>
      </c>
      <c r="G28" s="253" t="n">
        <v>0.15</v>
      </c>
      <c r="H28" s="252">
        <f>+F28*G28</f>
        <v/>
      </c>
      <c r="I28" s="252" t="n">
        <v>0</v>
      </c>
      <c r="J28" s="252" t="n">
        <v>0</v>
      </c>
      <c r="K28" s="252">
        <f>+H28</f>
        <v/>
      </c>
      <c r="L28" s="252">
        <f>+(H28+I28)-K28</f>
        <v/>
      </c>
      <c r="M28" s="252">
        <f>+J28+K28</f>
        <v/>
      </c>
      <c r="N28" s="254">
        <f>+'DM4 Compras '!K42+'DM4 Compras '!K43</f>
        <v/>
      </c>
      <c r="O28" s="254">
        <f>+N28*G28</f>
        <v/>
      </c>
      <c r="P28" s="254" t="n">
        <v>0</v>
      </c>
      <c r="Q28" s="255">
        <f>IF(SUM(B28:E28)=0,0%,+(B28+C28+E28)/(B28+C28+D28+E28))</f>
        <v/>
      </c>
      <c r="R28" s="252">
        <f>+(O28+P28)*Q28</f>
        <v/>
      </c>
      <c r="S28" s="252" t="n">
        <v>0</v>
      </c>
      <c r="T28" s="252">
        <f>+W27</f>
        <v/>
      </c>
      <c r="U28" s="254" t="n"/>
      <c r="V28" s="254" t="n">
        <v>0</v>
      </c>
      <c r="W28" s="252">
        <f>ABS(IF((M28-R28-S28-T28-U28+V28)&lt;0,(M28-R28-S28-T28-U28+V28),0))</f>
        <v/>
      </c>
      <c r="X28" s="252">
        <f>+IF((M28-R28-S28-T28-U28+V28)&gt;0,(M28-R28-S28-T28-U28+V28),0)</f>
        <v/>
      </c>
      <c r="Y28" s="257">
        <f>+'DM5 Ventas '!K43</f>
        <v/>
      </c>
      <c r="Z28" s="257" t="n">
        <v>0</v>
      </c>
      <c r="AA28" s="257" t="n"/>
      <c r="AB28" s="258">
        <f>+Y28-B28-C28-D28-E28</f>
        <v/>
      </c>
      <c r="AC28" s="258">
        <f>Z28-W28</f>
        <v/>
      </c>
      <c r="AD28" s="252">
        <f>AA28-X28</f>
        <v/>
      </c>
      <c r="AE28" s="239" t="n"/>
      <c r="AF28" s="246" t="n">
        <v>0</v>
      </c>
      <c r="AG28" s="246">
        <f>+U28-AF28</f>
        <v/>
      </c>
      <c r="AI28" s="252" t="n"/>
    </row>
    <row r="29">
      <c r="A29" s="251" t="inlineStr">
        <is>
          <t>Octubre</t>
        </is>
      </c>
      <c r="B29" s="252">
        <f>+'DM5 Ventas '!L19</f>
        <v/>
      </c>
      <c r="C29" s="263" t="n">
        <v>0</v>
      </c>
      <c r="D29" s="252" t="n">
        <v>0</v>
      </c>
      <c r="E29" s="252" t="n">
        <v>0</v>
      </c>
      <c r="F29" s="252">
        <f>+B29</f>
        <v/>
      </c>
      <c r="G29" s="253" t="n">
        <v>0.15</v>
      </c>
      <c r="H29" s="252">
        <f>+F29*G29</f>
        <v/>
      </c>
      <c r="I29" s="252" t="n">
        <v>0</v>
      </c>
      <c r="J29" s="252" t="n">
        <v>0</v>
      </c>
      <c r="K29" s="252">
        <f>+H29</f>
        <v/>
      </c>
      <c r="L29" s="252">
        <f>+(H29+I29)-K29</f>
        <v/>
      </c>
      <c r="M29" s="252">
        <f>+J29+K29</f>
        <v/>
      </c>
      <c r="N29" s="254">
        <f>+'DM4 Compras '!L42+'DM4 Compras '!L43</f>
        <v/>
      </c>
      <c r="O29" s="254">
        <f>+N29*G29</f>
        <v/>
      </c>
      <c r="P29" s="254" t="n">
        <v>0</v>
      </c>
      <c r="Q29" s="255">
        <f>IF(SUM(B29:E29)=0,0%,+(B29+C29+E29)/(B29+C29+D29+E29))</f>
        <v/>
      </c>
      <c r="R29" s="252">
        <f>+(O29+P29)*Q29</f>
        <v/>
      </c>
      <c r="S29" s="252" t="n">
        <v>0</v>
      </c>
      <c r="T29" s="252">
        <f>+W28</f>
        <v/>
      </c>
      <c r="U29" s="254" t="n"/>
      <c r="V29" s="254" t="n">
        <v>0</v>
      </c>
      <c r="W29" s="252">
        <f>ABS(IF((M29-R29-S29-T29-U29+V29)&lt;0,(M29-R29-S29-T29-U29+V29),0))</f>
        <v/>
      </c>
      <c r="X29" s="252">
        <f>+IF((M29-R29-S29-T29-U29+V29)&gt;0,(M29-R29-S29-T29-U29+V29),0)</f>
        <v/>
      </c>
      <c r="Y29" s="257">
        <f>+'DM5 Ventas '!L43</f>
        <v/>
      </c>
      <c r="Z29" s="257">
        <f>0+0</f>
        <v/>
      </c>
      <c r="AA29" s="257" t="n">
        <v>0</v>
      </c>
      <c r="AB29" s="258">
        <f>+Y29-B29-C29-D29-E29</f>
        <v/>
      </c>
      <c r="AC29" s="258">
        <f>Z29-W29</f>
        <v/>
      </c>
      <c r="AD29" s="252" t="n">
        <v>0</v>
      </c>
      <c r="AE29" s="239" t="n"/>
      <c r="AF29" s="246" t="n">
        <v>0</v>
      </c>
      <c r="AG29" s="246">
        <f>+U29-AF29</f>
        <v/>
      </c>
      <c r="AI29" s="252" t="n"/>
    </row>
    <row r="30">
      <c r="A30" s="251" t="inlineStr">
        <is>
          <t>Noviembre</t>
        </is>
      </c>
      <c r="B30" s="252">
        <f>+'DM5 Ventas '!M19</f>
        <v/>
      </c>
      <c r="C30" s="252" t="n">
        <v>0</v>
      </c>
      <c r="D30" s="252" t="n">
        <v>0</v>
      </c>
      <c r="E30" s="252" t="n">
        <v>0</v>
      </c>
      <c r="F30" s="252">
        <f>+B30</f>
        <v/>
      </c>
      <c r="G30" s="253" t="n">
        <v>0.15</v>
      </c>
      <c r="H30" s="252">
        <f>+F30*G30</f>
        <v/>
      </c>
      <c r="I30" s="252" t="n">
        <v>0</v>
      </c>
      <c r="J30" s="252">
        <f>+L29</f>
        <v/>
      </c>
      <c r="K30" s="252">
        <f>+H30</f>
        <v/>
      </c>
      <c r="L30" s="252">
        <f>+(H30+I30)-K30</f>
        <v/>
      </c>
      <c r="M30" s="252">
        <f>+J30+K30</f>
        <v/>
      </c>
      <c r="N30" s="254">
        <f>+'DM4 Compras '!M42+'DM4 Compras '!M43</f>
        <v/>
      </c>
      <c r="O30" s="254">
        <f>+N30*G30</f>
        <v/>
      </c>
      <c r="P30" s="254" t="n">
        <v>0</v>
      </c>
      <c r="Q30" s="255">
        <f>IF(SUM(B30:E30)=0,0%,+(B30+C30+E30)/(B30+C30+D30+E30))</f>
        <v/>
      </c>
      <c r="R30" s="252">
        <f>+(O30+P30)*Q30</f>
        <v/>
      </c>
      <c r="S30" s="252" t="n">
        <v>0</v>
      </c>
      <c r="T30" s="252">
        <f>+W29</f>
        <v/>
      </c>
      <c r="U30" s="254" t="n"/>
      <c r="V30" s="254" t="n">
        <v>0</v>
      </c>
      <c r="W30" s="252">
        <f>ABS(IF((M30-R30-S30-T30-U30+V30)&lt;0,(M30-R30-S30-T30-U30+V30),0))</f>
        <v/>
      </c>
      <c r="X30" s="252">
        <f>+IF((M30-R30-S30-T30-U30+V30)&gt;0,(M30-R30-S30-T30-U30+V30),0)</f>
        <v/>
      </c>
      <c r="Y30" s="257">
        <f>+'DM5 Ventas '!M43</f>
        <v/>
      </c>
      <c r="Z30" s="257">
        <f>0+0</f>
        <v/>
      </c>
      <c r="AA30" s="257" t="n">
        <v>0</v>
      </c>
      <c r="AB30" s="258">
        <f>+Y30-B30-C30-D30-E30</f>
        <v/>
      </c>
      <c r="AC30" s="258">
        <f>Z30-W30</f>
        <v/>
      </c>
      <c r="AD30" s="252">
        <f>AA30-X30</f>
        <v/>
      </c>
      <c r="AE30" s="239" t="n"/>
      <c r="AF30" s="246" t="n">
        <v>0</v>
      </c>
      <c r="AG30" s="246">
        <f>+U30-AF30</f>
        <v/>
      </c>
      <c r="AI30" s="252" t="n"/>
    </row>
    <row r="31">
      <c r="A31" s="251" t="inlineStr">
        <is>
          <t>Diciembre</t>
        </is>
      </c>
      <c r="B31" s="252">
        <f>+'DM5 Ventas '!N19</f>
        <v/>
      </c>
      <c r="C31" s="252" t="n">
        <v>0</v>
      </c>
      <c r="D31" s="252" t="n">
        <v>0</v>
      </c>
      <c r="E31" s="252" t="n">
        <v>0</v>
      </c>
      <c r="F31" s="252">
        <f>+B31</f>
        <v/>
      </c>
      <c r="G31" s="253" t="n">
        <v>0.15</v>
      </c>
      <c r="H31" s="252">
        <f>+F31*G31</f>
        <v/>
      </c>
      <c r="I31" s="252" t="n">
        <v>0</v>
      </c>
      <c r="J31" s="252" t="n">
        <v>0</v>
      </c>
      <c r="K31" s="252">
        <f>+H31</f>
        <v/>
      </c>
      <c r="L31" s="252">
        <f>+(H31+I31)-K31</f>
        <v/>
      </c>
      <c r="M31" s="252">
        <f>+J31+K31</f>
        <v/>
      </c>
      <c r="N31" s="254">
        <f>+'DM4 Compras '!N42+'DM4 Compras '!N43</f>
        <v/>
      </c>
      <c r="O31" s="254">
        <f>+N31*G31</f>
        <v/>
      </c>
      <c r="P31" s="254" t="n">
        <v>0</v>
      </c>
      <c r="Q31" s="255">
        <f>IF(SUM(B31:E31)=0,0%,+(B31+C31+E31)/(B31+C31+D31+E31))</f>
        <v/>
      </c>
      <c r="R31" s="252">
        <f>+(O31+P31)*Q31</f>
        <v/>
      </c>
      <c r="S31" s="252" t="n">
        <v>0</v>
      </c>
      <c r="T31" s="252">
        <f>+W30</f>
        <v/>
      </c>
      <c r="U31" s="254" t="n"/>
      <c r="V31" s="254" t="n">
        <v>0</v>
      </c>
      <c r="W31" s="252">
        <f>ABS(IF((M31-R31-S31-T31-U31+V31)&lt;0,(M31-R31-S31-T31-U31+V31),0))</f>
        <v/>
      </c>
      <c r="X31" s="252">
        <f>+IF((M31-R31-S31-T31-U31+V31)&gt;0,(M31-R31-S31-T31-U31+V31),0)</f>
        <v/>
      </c>
      <c r="Y31" s="257">
        <f>+'DM5 Ventas '!N43</f>
        <v/>
      </c>
      <c r="Z31" s="257" t="n"/>
      <c r="AA31" s="257" t="n">
        <v>0</v>
      </c>
      <c r="AB31" s="258">
        <f>+Y31-B31-C31-D31-E31</f>
        <v/>
      </c>
      <c r="AC31" s="258">
        <f>Z31-W31</f>
        <v/>
      </c>
      <c r="AD31" s="252">
        <f>AA31-X31</f>
        <v/>
      </c>
      <c r="AE31" s="239" t="n"/>
      <c r="AF31" s="246" t="n">
        <v>0</v>
      </c>
      <c r="AG31" s="246">
        <f>+U31-AF31</f>
        <v/>
      </c>
      <c r="AI31" s="252" t="n"/>
    </row>
    <row r="32">
      <c r="A32" s="264" t="inlineStr">
        <is>
          <t>TOTAL</t>
        </is>
      </c>
      <c r="B32" s="265">
        <f>+SUM(B20:B31)</f>
        <v/>
      </c>
      <c r="C32" s="265">
        <f>+SUM(C20:C31)</f>
        <v/>
      </c>
      <c r="D32" s="265">
        <f>+SUM(D20:D31)</f>
        <v/>
      </c>
      <c r="E32" s="265">
        <f>+SUM(E20:E31)</f>
        <v/>
      </c>
      <c r="F32" s="265">
        <f>+SUM(F20:F31)</f>
        <v/>
      </c>
      <c r="G32" s="266" t="n"/>
      <c r="H32" s="265">
        <f>+SUM(H20:H31)</f>
        <v/>
      </c>
      <c r="I32" s="265">
        <f>+SUM(I20:I31)</f>
        <v/>
      </c>
      <c r="J32" s="265">
        <f>+SUM(J20:J31)</f>
        <v/>
      </c>
      <c r="K32" s="265">
        <f>+SUM(K20:K31)</f>
        <v/>
      </c>
      <c r="L32" s="265">
        <f>+SUM(L20:L31)</f>
        <v/>
      </c>
      <c r="M32" s="265">
        <f>+SUM(M20:M31)</f>
        <v/>
      </c>
      <c r="N32" s="265">
        <f>+SUM(N20:N31)</f>
        <v/>
      </c>
      <c r="O32" s="265">
        <f>+SUM(O20:O31)</f>
        <v/>
      </c>
      <c r="P32" s="265">
        <f>+SUM(P20:P31)</f>
        <v/>
      </c>
      <c r="Q32" s="265">
        <f>+SUM(Q20:Q31)</f>
        <v/>
      </c>
      <c r="R32" s="265">
        <f>+SUM(R20:R31)</f>
        <v/>
      </c>
      <c r="S32" s="265">
        <f>+SUM(S20:S31)</f>
        <v/>
      </c>
      <c r="T32" s="265">
        <f>+SUM(T20:T31)</f>
        <v/>
      </c>
      <c r="U32" s="265">
        <f>+SUM(U20:U31)</f>
        <v/>
      </c>
      <c r="V32" s="265">
        <f>+SUM(V20:V31)</f>
        <v/>
      </c>
      <c r="W32" s="267" t="n"/>
      <c r="X32" s="265">
        <f>+SUM(X20:X31)</f>
        <v/>
      </c>
      <c r="Y32" s="265">
        <f>+SUM(Y20:Y31)</f>
        <v/>
      </c>
      <c r="Z32" s="265">
        <f>+SUM(Z20:Z31)</f>
        <v/>
      </c>
      <c r="AA32" s="265">
        <f>+SUM(AA20:AA31)</f>
        <v/>
      </c>
      <c r="AB32" s="511">
        <f>+SUM(AB20:AB31)</f>
        <v/>
      </c>
      <c r="AC32" s="511">
        <f>+SUM(AC20:AC31)</f>
        <v/>
      </c>
      <c r="AD32" s="511">
        <f>+SUM(AD20:AD31)</f>
        <v/>
      </c>
      <c r="AE32" s="239" t="n"/>
      <c r="AF32" s="273">
        <f>+SUM(AF20:AF31)</f>
        <v/>
      </c>
      <c r="AG32" s="273">
        <f>+U32-AF32</f>
        <v/>
      </c>
      <c r="AI32" s="265">
        <f>+SUM(AI20:AI31)</f>
        <v/>
      </c>
    </row>
    <row r="33" ht="15" customHeight="1">
      <c r="A33" s="239" t="n"/>
      <c r="C33" s="239" t="n"/>
      <c r="D33" s="239" t="n"/>
      <c r="E33" s="239" t="n"/>
      <c r="F33" s="239" t="n"/>
      <c r="G33" s="239" t="n"/>
      <c r="H33" s="268" t="n"/>
      <c r="I33" s="268" t="n"/>
      <c r="J33" s="268" t="n"/>
      <c r="K33" s="268" t="n"/>
      <c r="L33" s="268" t="n"/>
      <c r="M33" s="268" t="n"/>
      <c r="N33" s="239" t="n"/>
      <c r="O33" s="239" t="n"/>
      <c r="P33" s="239" t="n"/>
      <c r="Q33" s="239" t="n"/>
      <c r="R33" s="239" t="n"/>
      <c r="S33" s="239" t="n"/>
      <c r="T33" s="239" t="n"/>
      <c r="U33" s="239" t="n"/>
      <c r="V33" s="239" t="n"/>
      <c r="W33" s="551" t="n"/>
      <c r="X33" s="239" t="n"/>
      <c r="Y33" s="552" t="n"/>
      <c r="Z33" s="239" t="n"/>
      <c r="AA33" s="239" t="n"/>
      <c r="AB33" s="239" t="n"/>
      <c r="AC33" s="271" t="n"/>
      <c r="AD33" s="272" t="n"/>
      <c r="AE33" s="239" t="n"/>
      <c r="AF33" s="273" t="n"/>
      <c r="AG33" s="274" t="n"/>
    </row>
    <row r="34">
      <c r="A34" s="239" t="n"/>
      <c r="B34" s="239" t="n"/>
      <c r="C34" s="239" t="n"/>
      <c r="D34" s="239" t="n"/>
      <c r="E34" s="239" t="n"/>
      <c r="F34" s="239" t="n"/>
      <c r="G34" s="239" t="n"/>
      <c r="H34" s="239" t="n"/>
      <c r="I34" s="239" t="n"/>
      <c r="J34" s="239" t="n"/>
      <c r="K34" s="239" t="n"/>
      <c r="L34" s="239" t="n"/>
      <c r="M34" s="239" t="n"/>
      <c r="N34" s="239" t="n"/>
      <c r="O34" s="239" t="n"/>
      <c r="P34" s="239" t="n"/>
      <c r="Q34" s="239" t="n"/>
      <c r="R34" s="239" t="n"/>
      <c r="S34" s="239" t="n"/>
      <c r="T34" s="239" t="n"/>
      <c r="U34" s="239" t="n"/>
      <c r="V34" s="239" t="n"/>
      <c r="W34" s="239" t="n"/>
      <c r="X34" s="239" t="n"/>
      <c r="Y34" s="239" t="n"/>
      <c r="Z34" s="239" t="n"/>
      <c r="AA34" s="239" t="n"/>
      <c r="AB34" s="239" t="n"/>
      <c r="AC34" s="239" t="n"/>
      <c r="AD34" s="239" t="n"/>
      <c r="AE34" s="239" t="n"/>
    </row>
    <row r="35">
      <c r="A35" s="239" t="n"/>
      <c r="B35" s="239" t="n"/>
      <c r="C35" s="239" t="n"/>
      <c r="D35" s="239" t="n"/>
      <c r="E35" s="239" t="n"/>
      <c r="F35" s="239" t="n"/>
      <c r="G35" s="239" t="n"/>
      <c r="H35" s="239" t="n"/>
      <c r="I35" s="239" t="n"/>
      <c r="J35" s="239" t="n"/>
      <c r="K35" s="239" t="n"/>
      <c r="L35" s="239" t="n"/>
      <c r="M35" s="239" t="n"/>
      <c r="N35" s="239" t="n"/>
      <c r="O35" s="239" t="n"/>
      <c r="P35" s="239" t="n"/>
      <c r="Q35" s="239" t="n"/>
      <c r="R35" s="239" t="n"/>
      <c r="S35" s="239" t="n"/>
      <c r="T35" s="239" t="n"/>
      <c r="U35" s="239" t="n"/>
      <c r="V35" s="239" t="n"/>
      <c r="W35" s="239" t="n"/>
      <c r="X35" s="239" t="n"/>
      <c r="Y35" s="239" t="n"/>
      <c r="Z35" s="239" t="n"/>
      <c r="AA35" s="239" t="n"/>
      <c r="AB35" s="239" t="n"/>
      <c r="AC35" s="239" t="n"/>
      <c r="AD35" s="239" t="n"/>
      <c r="AE35" s="239" t="n"/>
    </row>
    <row r="36">
      <c r="A36" s="239" t="n"/>
      <c r="B36" s="239" t="n"/>
      <c r="C36" s="239" t="n"/>
      <c r="D36" s="239" t="n"/>
      <c r="E36" s="239" t="n"/>
      <c r="F36" s="239" t="n"/>
      <c r="G36" s="239" t="n"/>
      <c r="H36" s="239" t="n"/>
      <c r="I36" s="239" t="n"/>
      <c r="J36" s="239" t="n"/>
      <c r="K36" s="239" t="n"/>
      <c r="L36" s="239" t="n"/>
      <c r="M36" s="239" t="n"/>
      <c r="N36" s="239" t="n"/>
      <c r="O36" s="239" t="n"/>
      <c r="P36" s="239" t="n"/>
      <c r="Q36" s="239" t="n"/>
      <c r="R36" s="239" t="n"/>
      <c r="S36" s="239" t="n"/>
      <c r="T36" s="239" t="n"/>
      <c r="U36" s="239" t="n"/>
      <c r="V36" s="239" t="n"/>
      <c r="W36" s="239" t="n"/>
      <c r="X36" s="239" t="n"/>
      <c r="Y36" s="239" t="n"/>
      <c r="Z36" s="239" t="n"/>
      <c r="AA36" s="239" t="n"/>
      <c r="AB36" s="239" t="n"/>
      <c r="AC36" s="239" t="n"/>
      <c r="AD36" s="239" t="n"/>
      <c r="AE36" s="239" t="n"/>
    </row>
    <row r="37">
      <c r="A37" s="239" t="n"/>
      <c r="B37" s="239" t="n"/>
      <c r="C37" s="239" t="n"/>
      <c r="D37" s="239" t="n"/>
      <c r="E37" s="239" t="n"/>
      <c r="F37" s="239" t="n"/>
      <c r="G37" s="239" t="n"/>
      <c r="H37" s="239" t="n"/>
      <c r="I37" s="239" t="n"/>
      <c r="J37" s="239" t="n"/>
      <c r="K37" s="239" t="n"/>
      <c r="L37" s="239" t="n"/>
      <c r="M37" s="239" t="n"/>
      <c r="N37" s="239" t="n"/>
      <c r="O37" s="239" t="n"/>
      <c r="P37" s="239" t="n"/>
      <c r="Q37" s="239" t="n"/>
      <c r="R37" s="239" t="n"/>
      <c r="S37" s="239" t="n"/>
      <c r="T37" s="239" t="n"/>
      <c r="U37" s="239" t="n"/>
      <c r="V37" s="239" t="n"/>
      <c r="W37" s="239" t="n"/>
      <c r="X37" s="239" t="n"/>
      <c r="Y37" s="239" t="n"/>
      <c r="Z37" s="239" t="n"/>
      <c r="AA37" s="239" t="n"/>
      <c r="AB37" s="239" t="n"/>
      <c r="AC37" s="239" t="n"/>
      <c r="AD37" s="239" t="n"/>
      <c r="AE37" s="239" t="n"/>
    </row>
    <row r="38">
      <c r="A38" s="239" t="n"/>
      <c r="B38" s="239" t="n"/>
      <c r="C38" s="239" t="n"/>
      <c r="D38" s="239" t="n"/>
      <c r="E38" s="239" t="n"/>
      <c r="F38" s="239" t="n"/>
      <c r="G38" s="239" t="n"/>
      <c r="H38" s="239" t="n"/>
      <c r="I38" s="239" t="n"/>
      <c r="J38" s="239" t="n"/>
      <c r="K38" s="239" t="n"/>
      <c r="L38" s="239" t="n"/>
      <c r="M38" s="239" t="n"/>
      <c r="N38" s="239" t="n"/>
      <c r="O38" s="239" t="n"/>
      <c r="P38" s="239" t="n"/>
      <c r="Q38" s="239" t="n"/>
      <c r="R38" s="239" t="n"/>
      <c r="S38" s="239" t="n"/>
      <c r="T38" s="239" t="n"/>
      <c r="U38" s="239" t="n"/>
      <c r="V38" s="239" t="n"/>
      <c r="W38" s="239" t="n"/>
      <c r="X38" s="239" t="n"/>
      <c r="Y38" s="239" t="n"/>
      <c r="Z38" s="239" t="n"/>
      <c r="AA38" s="239" t="n"/>
      <c r="AB38" s="239" t="n"/>
      <c r="AC38" s="239" t="n"/>
      <c r="AD38" s="239" t="n"/>
      <c r="AE38" s="239" t="n"/>
    </row>
    <row r="39">
      <c r="A39" s="239" t="n"/>
      <c r="B39" s="239" t="n"/>
      <c r="C39" s="239" t="n"/>
      <c r="D39" s="239" t="n"/>
      <c r="E39" s="239" t="n"/>
      <c r="F39" s="239" t="n"/>
      <c r="G39" s="239" t="n"/>
      <c r="H39" s="239" t="n"/>
      <c r="I39" s="239" t="n"/>
      <c r="J39" s="239" t="n"/>
      <c r="K39" s="239" t="n"/>
      <c r="L39" s="239" t="n"/>
      <c r="M39" s="239" t="n"/>
      <c r="N39" s="239" t="n"/>
      <c r="O39" s="239" t="n"/>
      <c r="P39" s="239" t="n"/>
      <c r="Q39" s="239" t="n"/>
      <c r="R39" s="239" t="n"/>
      <c r="S39" s="239" t="n"/>
      <c r="T39" s="239" t="n"/>
      <c r="U39" s="239" t="n"/>
      <c r="V39" s="239" t="n"/>
      <c r="W39" s="239" t="n"/>
      <c r="X39" s="239" t="n"/>
      <c r="Y39" s="239" t="n"/>
      <c r="Z39" s="239" t="n"/>
      <c r="AA39" s="239" t="n"/>
      <c r="AB39" s="239" t="n"/>
      <c r="AC39" s="239" t="n"/>
      <c r="AD39" s="239" t="n"/>
      <c r="AE39" s="239" t="n"/>
    </row>
    <row r="40">
      <c r="A40" s="239" t="n"/>
      <c r="B40" s="239" t="n"/>
      <c r="C40" s="239" t="n"/>
      <c r="D40" s="239" t="n"/>
      <c r="E40" s="239" t="n"/>
      <c r="F40" s="239" t="n"/>
      <c r="G40" s="239" t="n"/>
      <c r="H40" s="239" t="n"/>
      <c r="I40" s="239" t="n"/>
      <c r="J40" s="239" t="n"/>
      <c r="K40" s="239" t="n"/>
      <c r="L40" s="239" t="n"/>
      <c r="M40" s="239" t="n"/>
      <c r="N40" s="239" t="n"/>
      <c r="O40" s="239" t="n"/>
      <c r="P40" s="239" t="n"/>
      <c r="Q40" s="239" t="n"/>
      <c r="R40" s="239" t="n"/>
      <c r="S40" s="239" t="n"/>
      <c r="T40" s="239" t="n"/>
      <c r="U40" s="239" t="n"/>
      <c r="V40" s="239" t="n"/>
      <c r="W40" s="239" t="n"/>
      <c r="X40" s="239" t="n"/>
      <c r="Y40" s="239" t="n"/>
      <c r="Z40" s="239" t="n"/>
      <c r="AA40" s="239" t="n"/>
      <c r="AB40" s="239" t="n"/>
      <c r="AC40" s="239" t="n"/>
      <c r="AD40" s="239" t="n"/>
      <c r="AE40" s="239" t="n"/>
    </row>
    <row r="41">
      <c r="A41" s="239" t="n"/>
      <c r="B41" s="239" t="n"/>
      <c r="C41" s="239" t="n"/>
      <c r="D41" s="239" t="n"/>
      <c r="E41" s="239" t="n"/>
      <c r="F41" s="239" t="n"/>
      <c r="G41" s="239" t="n"/>
      <c r="H41" s="239" t="n"/>
      <c r="I41" s="239" t="n"/>
      <c r="J41" s="239" t="n"/>
      <c r="K41" s="239" t="n"/>
      <c r="L41" s="239" t="n"/>
      <c r="M41" s="239" t="n"/>
      <c r="N41" s="239" t="n"/>
      <c r="O41" s="239" t="n"/>
      <c r="P41" s="239" t="n"/>
      <c r="Q41" s="239" t="n"/>
      <c r="R41" s="239" t="n"/>
      <c r="S41" s="239" t="n"/>
      <c r="T41" s="239" t="n"/>
      <c r="U41" s="239" t="n"/>
      <c r="V41" s="239" t="n"/>
      <c r="W41" s="239" t="n"/>
      <c r="X41" s="239" t="n"/>
      <c r="Y41" s="239" t="n"/>
      <c r="Z41" s="239" t="n"/>
      <c r="AA41" s="239" t="n"/>
      <c r="AB41" s="239" t="n"/>
      <c r="AC41" s="239" t="n"/>
      <c r="AD41" s="239" t="n"/>
      <c r="AE41" s="239" t="n"/>
    </row>
    <row r="42">
      <c r="A42" s="239" t="n"/>
      <c r="B42" s="239" t="n"/>
      <c r="C42" s="239" t="n"/>
      <c r="D42" s="239" t="n"/>
      <c r="E42" s="239" t="n"/>
      <c r="F42" s="239" t="n"/>
      <c r="G42" s="239" t="n"/>
      <c r="H42" s="239" t="n"/>
      <c r="I42" s="239" t="n"/>
      <c r="J42" s="239" t="n"/>
      <c r="K42" s="239" t="n"/>
      <c r="L42" s="239" t="n"/>
      <c r="M42" s="239" t="n"/>
      <c r="N42" s="239" t="n"/>
      <c r="O42" s="239" t="n"/>
      <c r="P42" s="239" t="n"/>
      <c r="Q42" s="239" t="n"/>
      <c r="R42" s="239" t="n"/>
      <c r="S42" s="239" t="n"/>
      <c r="T42" s="239" t="n"/>
      <c r="U42" s="239" t="n"/>
      <c r="V42" s="239" t="n"/>
      <c r="W42" s="239" t="n"/>
      <c r="X42" s="239" t="n"/>
      <c r="Y42" s="239" t="n"/>
      <c r="Z42" s="239" t="n"/>
      <c r="AA42" s="239" t="n"/>
      <c r="AB42" s="239" t="n"/>
      <c r="AC42" s="239" t="n"/>
      <c r="AD42" s="239" t="n"/>
      <c r="AE42" s="239" t="n"/>
    </row>
    <row r="43">
      <c r="A43" s="239" t="n"/>
      <c r="B43" s="239" t="n"/>
      <c r="C43" s="239" t="n"/>
      <c r="D43" s="239" t="n"/>
      <c r="E43" s="239" t="n"/>
      <c r="F43" s="239" t="n"/>
      <c r="G43" s="239" t="n"/>
      <c r="H43" s="239" t="n"/>
      <c r="I43" s="239" t="n"/>
      <c r="J43" s="239" t="n"/>
      <c r="K43" s="239" t="n"/>
      <c r="L43" s="239" t="n"/>
      <c r="M43" s="239" t="n"/>
      <c r="N43" s="239" t="n"/>
      <c r="O43" s="239" t="n"/>
      <c r="P43" s="239" t="n"/>
      <c r="Q43" s="239" t="n"/>
      <c r="R43" s="239" t="n"/>
      <c r="S43" s="239" t="n"/>
      <c r="T43" s="239" t="n"/>
      <c r="U43" s="239" t="n"/>
      <c r="V43" s="239" t="n"/>
      <c r="W43" s="239" t="n"/>
      <c r="X43" s="239" t="n"/>
      <c r="Y43" s="239" t="n"/>
      <c r="Z43" s="239" t="n"/>
      <c r="AA43" s="239" t="n"/>
      <c r="AB43" s="239" t="n"/>
      <c r="AC43" s="239" t="n"/>
      <c r="AD43" s="239" t="n"/>
      <c r="AE43" s="239" t="n"/>
    </row>
    <row r="44">
      <c r="A44" s="239" t="n"/>
      <c r="B44" s="239" t="n"/>
      <c r="C44" s="239" t="n"/>
      <c r="D44" s="239" t="n"/>
      <c r="E44" s="239" t="n"/>
      <c r="F44" s="239" t="n"/>
      <c r="G44" s="239" t="n"/>
      <c r="H44" s="239" t="n"/>
      <c r="I44" s="239" t="n"/>
      <c r="J44" s="239" t="n"/>
      <c r="K44" s="239" t="n"/>
      <c r="L44" s="239" t="n"/>
      <c r="M44" s="239" t="n"/>
      <c r="N44" s="239" t="n"/>
      <c r="O44" s="239" t="n"/>
      <c r="P44" s="239" t="n"/>
      <c r="Q44" s="239" t="n"/>
      <c r="R44" s="239" t="n"/>
      <c r="S44" s="239" t="n"/>
      <c r="T44" s="239" t="n"/>
      <c r="U44" s="239" t="n"/>
      <c r="V44" s="239" t="n"/>
      <c r="W44" s="239" t="n"/>
      <c r="X44" s="239" t="n"/>
      <c r="Y44" s="239" t="n"/>
      <c r="Z44" s="239" t="n"/>
      <c r="AA44" s="239" t="n"/>
      <c r="AB44" s="239" t="n"/>
      <c r="AC44" s="239" t="n"/>
      <c r="AD44" s="239" t="n"/>
      <c r="AE44" s="239" t="n"/>
    </row>
    <row r="45">
      <c r="A45" s="239" t="n"/>
      <c r="B45" s="239" t="n"/>
      <c r="C45" s="239" t="n"/>
      <c r="D45" s="239" t="n"/>
      <c r="E45" s="239" t="n"/>
      <c r="F45" s="239" t="n"/>
      <c r="G45" s="239" t="n"/>
      <c r="H45" s="239" t="n"/>
      <c r="I45" s="239" t="n"/>
      <c r="J45" s="239" t="n"/>
      <c r="K45" s="239" t="n"/>
      <c r="L45" s="239" t="n"/>
      <c r="M45" s="239" t="n"/>
      <c r="N45" s="239" t="n"/>
      <c r="O45" s="239" t="n"/>
      <c r="P45" s="239" t="n"/>
      <c r="Q45" s="239" t="n"/>
      <c r="R45" s="239" t="n"/>
      <c r="S45" s="239" t="n"/>
      <c r="T45" s="239" t="n"/>
      <c r="U45" s="239" t="n"/>
      <c r="V45" s="239" t="n"/>
      <c r="W45" s="239" t="n"/>
      <c r="X45" s="239" t="n"/>
      <c r="Y45" s="239" t="n"/>
      <c r="Z45" s="239" t="n"/>
      <c r="AA45" s="239" t="n"/>
      <c r="AB45" s="239" t="n"/>
      <c r="AC45" s="239" t="n"/>
      <c r="AD45" s="239" t="n"/>
      <c r="AE45" s="239" t="n"/>
    </row>
    <row r="46">
      <c r="A46" s="239" t="n"/>
      <c r="B46" s="239" t="n"/>
      <c r="C46" s="239" t="n"/>
      <c r="D46" s="239" t="n"/>
      <c r="E46" s="239" t="n"/>
      <c r="F46" s="239" t="n"/>
      <c r="G46" s="239" t="n"/>
      <c r="H46" s="239" t="n"/>
      <c r="I46" s="239" t="n"/>
      <c r="J46" s="239" t="n"/>
      <c r="K46" s="239" t="n"/>
      <c r="L46" s="239" t="n"/>
      <c r="M46" s="239" t="n"/>
      <c r="N46" s="239" t="n"/>
      <c r="O46" s="239" t="n"/>
      <c r="P46" s="239" t="n"/>
      <c r="Q46" s="239" t="n"/>
      <c r="R46" s="239" t="n"/>
      <c r="S46" s="239" t="n"/>
      <c r="T46" s="239" t="n"/>
      <c r="U46" s="239" t="n"/>
      <c r="V46" s="239" t="n"/>
      <c r="W46" s="239" t="n"/>
      <c r="X46" s="239" t="n"/>
      <c r="Y46" s="239" t="n"/>
      <c r="Z46" s="239" t="n"/>
      <c r="AA46" s="239" t="n"/>
      <c r="AB46" s="239" t="n"/>
      <c r="AC46" s="239" t="n"/>
      <c r="AD46" s="239" t="n"/>
      <c r="AE46" s="239" t="n"/>
    </row>
    <row r="47">
      <c r="A47" s="239" t="n"/>
      <c r="B47" s="239" t="n"/>
      <c r="C47" s="239" t="n"/>
      <c r="D47" s="239" t="n"/>
      <c r="E47" s="239" t="n"/>
      <c r="F47" s="239" t="n"/>
      <c r="G47" s="239" t="n"/>
      <c r="H47" s="239" t="n"/>
      <c r="I47" s="239" t="n"/>
      <c r="J47" s="239" t="n"/>
      <c r="K47" s="239" t="n"/>
      <c r="L47" s="239" t="n"/>
      <c r="M47" s="239" t="n"/>
      <c r="N47" s="239" t="n"/>
      <c r="O47" s="239" t="n"/>
      <c r="P47" s="239" t="n"/>
      <c r="Q47" s="239" t="n"/>
      <c r="R47" s="239" t="n"/>
      <c r="S47" s="239" t="n"/>
      <c r="T47" s="239" t="n"/>
      <c r="U47" s="239" t="n"/>
      <c r="V47" s="239" t="n"/>
      <c r="W47" s="239" t="n"/>
      <c r="X47" s="239" t="n"/>
      <c r="Y47" s="239" t="n"/>
      <c r="Z47" s="239" t="n"/>
      <c r="AA47" s="239" t="n"/>
      <c r="AB47" s="239" t="n"/>
      <c r="AC47" s="239" t="n"/>
      <c r="AD47" s="239" t="n"/>
      <c r="AE47" s="239" t="n"/>
    </row>
    <row r="48">
      <c r="A48" s="239" t="n"/>
      <c r="B48" s="239" t="n"/>
      <c r="C48" s="239" t="n"/>
      <c r="D48" s="239" t="n"/>
      <c r="E48" s="239" t="n"/>
      <c r="F48" s="239" t="n"/>
      <c r="G48" s="239" t="n"/>
      <c r="H48" s="239" t="n"/>
      <c r="I48" s="239" t="n"/>
      <c r="J48" s="239" t="n"/>
      <c r="K48" s="239" t="n"/>
      <c r="L48" s="239" t="n"/>
      <c r="M48" s="239" t="n"/>
      <c r="N48" s="239" t="n"/>
      <c r="O48" s="239" t="n"/>
      <c r="P48" s="239" t="n"/>
      <c r="Q48" s="239" t="n"/>
      <c r="R48" s="239" t="n"/>
      <c r="S48" s="239" t="n"/>
      <c r="T48" s="239" t="n"/>
      <c r="U48" s="239" t="n"/>
      <c r="V48" s="239" t="n"/>
      <c r="W48" s="239" t="n"/>
      <c r="X48" s="239" t="n"/>
      <c r="Y48" s="239" t="n"/>
      <c r="Z48" s="239" t="n"/>
      <c r="AA48" s="239" t="n"/>
      <c r="AB48" s="239" t="n"/>
      <c r="AC48" s="239" t="n"/>
      <c r="AD48" s="239" t="n"/>
      <c r="AE48" s="239" t="n"/>
    </row>
    <row r="49">
      <c r="A49" s="239" t="n"/>
      <c r="B49" s="239" t="n"/>
      <c r="C49" s="239" t="n"/>
      <c r="D49" s="239" t="n"/>
      <c r="E49" s="239" t="n"/>
      <c r="F49" s="239" t="n"/>
      <c r="G49" s="239" t="n"/>
      <c r="H49" s="239" t="n"/>
      <c r="I49" s="239" t="n"/>
      <c r="J49" s="239" t="n"/>
      <c r="K49" s="239" t="n"/>
      <c r="L49" s="239" t="n"/>
      <c r="M49" s="239" t="n"/>
      <c r="N49" s="239" t="n"/>
      <c r="O49" s="239" t="n"/>
      <c r="P49" s="239" t="n"/>
      <c r="Q49" s="239" t="n"/>
      <c r="R49" s="239" t="n"/>
      <c r="S49" s="239" t="n"/>
      <c r="T49" s="239" t="n"/>
      <c r="U49" s="239" t="n"/>
      <c r="V49" s="239" t="n"/>
      <c r="W49" s="239" t="n"/>
      <c r="X49" s="239" t="n"/>
      <c r="Y49" s="239" t="n"/>
      <c r="Z49" s="239" t="n"/>
      <c r="AA49" s="239" t="n"/>
      <c r="AB49" s="239" t="n"/>
      <c r="AC49" s="239" t="n"/>
      <c r="AD49" s="239" t="n"/>
      <c r="AE49" s="239" t="n"/>
    </row>
    <row r="50">
      <c r="A50" s="239" t="n"/>
      <c r="B50" s="239" t="n"/>
      <c r="C50" s="239" t="n"/>
      <c r="D50" s="239" t="n"/>
      <c r="E50" s="239" t="n"/>
      <c r="F50" s="239" t="n"/>
      <c r="G50" s="239" t="n"/>
      <c r="H50" s="239" t="n"/>
      <c r="I50" s="239" t="n"/>
      <c r="J50" s="239" t="n"/>
      <c r="K50" s="239" t="n"/>
      <c r="L50" s="239" t="n"/>
      <c r="M50" s="239" t="n"/>
      <c r="N50" s="239" t="n"/>
      <c r="O50" s="239" t="n"/>
      <c r="P50" s="239" t="n"/>
      <c r="Q50" s="239" t="n"/>
      <c r="R50" s="239" t="n"/>
      <c r="S50" s="239" t="n"/>
      <c r="T50" s="239" t="n"/>
      <c r="U50" s="239" t="n"/>
      <c r="V50" s="239" t="n"/>
      <c r="W50" s="239" t="n"/>
      <c r="X50" s="239" t="n"/>
      <c r="Y50" s="239" t="n"/>
      <c r="Z50" s="239" t="n"/>
      <c r="AA50" s="239" t="n"/>
      <c r="AB50" s="239" t="n"/>
      <c r="AC50" s="239" t="n"/>
      <c r="AD50" s="239" t="n"/>
      <c r="AE50" s="239" t="n"/>
    </row>
    <row r="51">
      <c r="A51" s="239" t="n"/>
      <c r="B51" s="239" t="n"/>
      <c r="C51" s="239" t="n"/>
      <c r="D51" s="239" t="n"/>
      <c r="E51" s="239" t="n"/>
      <c r="F51" s="239" t="n"/>
      <c r="G51" s="239" t="n"/>
      <c r="H51" s="239" t="n"/>
      <c r="I51" s="239" t="n"/>
      <c r="J51" s="239" t="n"/>
      <c r="K51" s="239" t="n"/>
      <c r="L51" s="239" t="n"/>
      <c r="M51" s="239" t="n"/>
      <c r="N51" s="239" t="n"/>
      <c r="O51" s="239" t="n"/>
      <c r="P51" s="239" t="n"/>
      <c r="Q51" s="239" t="n"/>
      <c r="R51" s="239" t="n"/>
      <c r="S51" s="239" t="n"/>
      <c r="T51" s="239" t="n"/>
      <c r="U51" s="239" t="n"/>
      <c r="V51" s="239" t="n"/>
      <c r="W51" s="239" t="n"/>
      <c r="X51" s="239" t="n"/>
      <c r="Y51" s="239" t="n"/>
      <c r="Z51" s="239" t="n"/>
      <c r="AA51" s="239" t="n"/>
      <c r="AB51" s="239" t="n"/>
      <c r="AC51" s="239" t="n"/>
      <c r="AD51" s="239" t="n"/>
      <c r="AE51" s="239" t="n"/>
    </row>
    <row r="52">
      <c r="A52" s="239" t="n"/>
      <c r="B52" s="239" t="n"/>
      <c r="C52" s="239" t="n"/>
      <c r="D52" s="239" t="n"/>
      <c r="E52" s="239" t="n"/>
      <c r="F52" s="239" t="n"/>
      <c r="G52" s="239" t="n"/>
      <c r="H52" s="239" t="n"/>
      <c r="I52" s="239" t="n"/>
      <c r="J52" s="239" t="n"/>
      <c r="K52" s="239" t="n"/>
      <c r="L52" s="239" t="n"/>
      <c r="M52" s="239" t="n"/>
      <c r="N52" s="239" t="n"/>
      <c r="O52" s="239" t="n"/>
      <c r="P52" s="239" t="n"/>
      <c r="Q52" s="239" t="n"/>
      <c r="R52" s="239" t="n"/>
      <c r="S52" s="239" t="n"/>
      <c r="T52" s="239" t="n"/>
      <c r="U52" s="239" t="n"/>
      <c r="V52" s="239" t="n"/>
      <c r="W52" s="239" t="n"/>
      <c r="X52" s="239" t="n"/>
      <c r="Y52" s="239" t="n"/>
      <c r="Z52" s="239" t="n"/>
      <c r="AA52" s="239" t="n"/>
      <c r="AB52" s="239" t="n"/>
      <c r="AC52" s="239" t="n"/>
      <c r="AD52" s="239" t="n"/>
      <c r="AE52" s="239" t="n"/>
    </row>
    <row r="53">
      <c r="A53" s="239" t="n"/>
      <c r="B53" s="239" t="n"/>
      <c r="C53" s="239" t="n"/>
      <c r="D53" s="239" t="n"/>
      <c r="E53" s="239" t="n"/>
      <c r="F53" s="239" t="n"/>
      <c r="G53" s="239" t="n"/>
      <c r="H53" s="239" t="n"/>
      <c r="I53" s="239" t="n"/>
      <c r="J53" s="239" t="n"/>
      <c r="K53" s="239" t="n"/>
      <c r="L53" s="239" t="n"/>
      <c r="M53" s="239" t="n"/>
      <c r="N53" s="239" t="n"/>
      <c r="O53" s="239" t="n"/>
      <c r="P53" s="239" t="n"/>
      <c r="Q53" s="239" t="n"/>
      <c r="R53" s="239" t="n"/>
      <c r="S53" s="239" t="n"/>
      <c r="T53" s="239" t="n"/>
      <c r="U53" s="239" t="n"/>
      <c r="V53" s="239" t="n"/>
      <c r="W53" s="239" t="n"/>
      <c r="X53" s="239" t="n"/>
      <c r="Y53" s="239" t="n"/>
      <c r="Z53" s="239" t="n"/>
      <c r="AA53" s="239" t="n"/>
      <c r="AB53" s="239" t="n"/>
      <c r="AC53" s="239" t="n"/>
      <c r="AD53" s="239" t="n"/>
      <c r="AE53" s="239" t="n"/>
    </row>
    <row r="54">
      <c r="A54" s="239" t="n"/>
      <c r="B54" s="239" t="n"/>
      <c r="C54" s="239" t="n"/>
      <c r="D54" s="239" t="n"/>
      <c r="E54" s="239" t="n"/>
      <c r="F54" s="239" t="n"/>
      <c r="G54" s="239" t="n"/>
      <c r="H54" s="239" t="n"/>
      <c r="I54" s="239" t="n"/>
      <c r="J54" s="239" t="n"/>
      <c r="K54" s="239" t="n"/>
      <c r="L54" s="239" t="n"/>
      <c r="M54" s="239" t="n"/>
      <c r="N54" s="239" t="n"/>
      <c r="O54" s="239" t="n"/>
      <c r="P54" s="239" t="n"/>
      <c r="Q54" s="239" t="n"/>
      <c r="R54" s="239" t="n"/>
      <c r="S54" s="239" t="n"/>
      <c r="T54" s="239" t="n"/>
      <c r="U54" s="239" t="n"/>
      <c r="V54" s="239" t="n"/>
      <c r="W54" s="239" t="n"/>
      <c r="X54" s="239" t="n"/>
      <c r="Y54" s="239" t="n"/>
      <c r="Z54" s="239" t="n"/>
      <c r="AA54" s="239" t="n"/>
      <c r="AB54" s="239" t="n"/>
      <c r="AC54" s="239" t="n"/>
      <c r="AD54" s="239" t="n"/>
      <c r="AE54" s="239" t="n"/>
    </row>
    <row r="55">
      <c r="A55" s="239" t="n"/>
      <c r="B55" s="239" t="n"/>
      <c r="C55" s="239" t="n"/>
      <c r="D55" s="239" t="n"/>
      <c r="E55" s="239" t="n"/>
      <c r="F55" s="239" t="n"/>
      <c r="G55" s="239" t="n"/>
      <c r="H55" s="239" t="n"/>
      <c r="I55" s="239" t="n"/>
      <c r="J55" s="239" t="n"/>
      <c r="K55" s="239" t="n"/>
      <c r="L55" s="239" t="n"/>
      <c r="M55" s="239" t="n"/>
      <c r="N55" s="239" t="n"/>
      <c r="O55" s="239" t="n"/>
      <c r="P55" s="239" t="n"/>
      <c r="Q55" s="239" t="n"/>
      <c r="R55" s="239" t="n"/>
      <c r="S55" s="239" t="n"/>
      <c r="T55" s="239" t="n"/>
      <c r="U55" s="239" t="n"/>
      <c r="V55" s="239" t="n"/>
      <c r="W55" s="239" t="n"/>
      <c r="X55" s="239" t="n"/>
      <c r="Y55" s="239" t="n"/>
      <c r="Z55" s="239" t="n"/>
      <c r="AA55" s="239" t="n"/>
      <c r="AB55" s="239" t="n"/>
      <c r="AC55" s="239" t="n"/>
      <c r="AD55" s="239" t="n"/>
      <c r="AE55" s="239" t="n"/>
    </row>
    <row r="56">
      <c r="A56" s="239" t="n"/>
      <c r="B56" s="239" t="n"/>
      <c r="C56" s="239" t="n"/>
      <c r="D56" s="239" t="n"/>
      <c r="E56" s="239" t="n"/>
      <c r="F56" s="239" t="n"/>
      <c r="G56" s="239" t="n"/>
      <c r="H56" s="239" t="n"/>
      <c r="I56" s="239" t="n"/>
      <c r="J56" s="239" t="n"/>
      <c r="K56" s="239" t="n"/>
      <c r="L56" s="239" t="n"/>
      <c r="M56" s="239" t="n"/>
      <c r="N56" s="239" t="n"/>
      <c r="O56" s="239" t="n"/>
      <c r="P56" s="239" t="n"/>
      <c r="Q56" s="239" t="n"/>
      <c r="R56" s="239" t="n"/>
      <c r="S56" s="239" t="n"/>
      <c r="T56" s="239" t="n"/>
      <c r="U56" s="239" t="n"/>
      <c r="V56" s="239" t="n"/>
      <c r="W56" s="239" t="n"/>
      <c r="X56" s="239" t="n"/>
      <c r="Y56" s="239" t="n"/>
      <c r="Z56" s="239" t="n"/>
      <c r="AA56" s="239" t="n"/>
      <c r="AB56" s="239" t="n"/>
      <c r="AC56" s="239" t="n"/>
      <c r="AD56" s="239" t="n"/>
      <c r="AE56" s="239" t="n"/>
    </row>
    <row r="57">
      <c r="A57" s="239" t="n"/>
      <c r="B57" s="239" t="n"/>
      <c r="C57" s="239" t="n"/>
      <c r="D57" s="239" t="n"/>
      <c r="E57" s="239" t="n"/>
      <c r="F57" s="239" t="n"/>
      <c r="G57" s="239" t="n"/>
      <c r="H57" s="239" t="n"/>
      <c r="I57" s="239" t="n"/>
      <c r="J57" s="239" t="n"/>
      <c r="K57" s="239" t="n"/>
      <c r="L57" s="239" t="n"/>
      <c r="M57" s="239" t="n"/>
      <c r="N57" s="239" t="n"/>
      <c r="O57" s="239" t="n"/>
      <c r="P57" s="239" t="n"/>
      <c r="Q57" s="239" t="n"/>
      <c r="R57" s="239" t="n"/>
      <c r="S57" s="239" t="n"/>
      <c r="T57" s="239" t="n"/>
      <c r="U57" s="239" t="n"/>
      <c r="V57" s="239" t="n"/>
      <c r="W57" s="239" t="n"/>
      <c r="X57" s="239" t="n"/>
      <c r="Y57" s="239" t="n"/>
      <c r="Z57" s="239" t="n"/>
      <c r="AA57" s="239" t="n"/>
      <c r="AB57" s="239" t="n"/>
      <c r="AC57" s="239" t="n"/>
      <c r="AD57" s="239" t="n"/>
      <c r="AE57" s="239" t="n"/>
    </row>
    <row r="58">
      <c r="A58" s="239" t="n"/>
      <c r="B58" s="239" t="n"/>
      <c r="C58" s="239" t="n"/>
      <c r="D58" s="239" t="n"/>
      <c r="E58" s="239" t="n"/>
      <c r="F58" s="239" t="n"/>
      <c r="G58" s="239" t="n"/>
      <c r="H58" s="239" t="n"/>
      <c r="I58" s="239" t="n"/>
      <c r="J58" s="239" t="n"/>
      <c r="K58" s="239" t="n"/>
      <c r="L58" s="239" t="n"/>
      <c r="M58" s="239" t="n"/>
      <c r="N58" s="239" t="n"/>
      <c r="O58" s="239" t="n"/>
      <c r="P58" s="239" t="n"/>
      <c r="Q58" s="239" t="n"/>
      <c r="R58" s="239" t="n"/>
      <c r="S58" s="239" t="n"/>
      <c r="T58" s="239" t="n"/>
      <c r="U58" s="239" t="n"/>
      <c r="V58" s="239" t="n"/>
      <c r="W58" s="239" t="n"/>
      <c r="X58" s="239" t="n"/>
      <c r="Y58" s="239" t="n"/>
      <c r="Z58" s="239" t="n"/>
      <c r="AA58" s="239" t="n"/>
      <c r="AB58" s="239" t="n"/>
      <c r="AC58" s="239" t="n"/>
      <c r="AD58" s="239" t="n"/>
      <c r="AE58" s="239" t="n"/>
    </row>
    <row r="59">
      <c r="A59" s="239" t="n"/>
      <c r="B59" s="239" t="n"/>
      <c r="C59" s="239" t="n"/>
      <c r="D59" s="239" t="n"/>
      <c r="E59" s="239" t="n"/>
      <c r="F59" s="239" t="n"/>
      <c r="G59" s="239" t="n"/>
      <c r="H59" s="239" t="n"/>
      <c r="I59" s="239" t="n"/>
      <c r="J59" s="239" t="n"/>
      <c r="K59" s="239" t="n"/>
      <c r="L59" s="239" t="n"/>
      <c r="M59" s="239" t="n"/>
      <c r="N59" s="239" t="n"/>
      <c r="O59" s="239" t="n"/>
      <c r="P59" s="239" t="n"/>
      <c r="Q59" s="239" t="n"/>
      <c r="R59" s="239" t="n"/>
      <c r="S59" s="239" t="n"/>
      <c r="T59" s="239" t="n"/>
      <c r="U59" s="239" t="n"/>
      <c r="V59" s="239" t="n"/>
      <c r="W59" s="239" t="n"/>
      <c r="X59" s="239" t="n"/>
      <c r="Y59" s="239" t="n"/>
      <c r="Z59" s="239" t="n"/>
      <c r="AA59" s="239" t="n"/>
      <c r="AB59" s="239" t="n"/>
      <c r="AC59" s="239" t="n"/>
      <c r="AD59" s="239" t="n"/>
      <c r="AE59" s="239" t="n"/>
    </row>
    <row r="60">
      <c r="A60" s="239" t="n"/>
      <c r="B60" s="239" t="n"/>
      <c r="C60" s="239" t="n"/>
      <c r="D60" s="239" t="n"/>
      <c r="E60" s="239" t="n"/>
      <c r="F60" s="239" t="n"/>
      <c r="G60" s="239" t="n"/>
      <c r="H60" s="239" t="n"/>
      <c r="I60" s="239" t="n"/>
      <c r="J60" s="239" t="n"/>
      <c r="K60" s="239" t="n"/>
      <c r="L60" s="239" t="n"/>
      <c r="M60" s="239" t="n"/>
      <c r="N60" s="239" t="n"/>
      <c r="O60" s="239" t="n"/>
      <c r="P60" s="239" t="n"/>
      <c r="Q60" s="239" t="n"/>
      <c r="R60" s="239" t="n"/>
      <c r="S60" s="239" t="n"/>
      <c r="T60" s="239" t="n"/>
      <c r="U60" s="239" t="n"/>
      <c r="V60" s="239" t="n"/>
      <c r="W60" s="239" t="n"/>
      <c r="X60" s="239" t="n"/>
      <c r="Y60" s="239" t="n"/>
      <c r="Z60" s="239" t="n"/>
      <c r="AA60" s="239" t="n"/>
      <c r="AB60" s="239" t="n"/>
      <c r="AC60" s="239" t="n"/>
      <c r="AD60" s="239" t="n"/>
      <c r="AE60" s="239" t="n"/>
    </row>
    <row r="61">
      <c r="A61" s="239" t="n"/>
      <c r="B61" s="239" t="n"/>
      <c r="C61" s="239" t="n"/>
      <c r="D61" s="239" t="n"/>
      <c r="E61" s="239" t="n"/>
      <c r="F61" s="239" t="n"/>
      <c r="G61" s="239" t="n"/>
      <c r="H61" s="239" t="n"/>
      <c r="I61" s="239" t="n"/>
      <c r="J61" s="239" t="n"/>
      <c r="K61" s="239" t="n"/>
      <c r="L61" s="239" t="n"/>
      <c r="M61" s="239" t="n"/>
      <c r="N61" s="239" t="n"/>
      <c r="O61" s="239" t="n"/>
      <c r="P61" s="239" t="n"/>
      <c r="Q61" s="239" t="n"/>
      <c r="R61" s="239" t="n"/>
      <c r="S61" s="239" t="n"/>
      <c r="T61" s="239" t="n"/>
      <c r="U61" s="239" t="n"/>
      <c r="V61" s="239" t="n"/>
      <c r="W61" s="239" t="n"/>
      <c r="X61" s="239" t="n"/>
      <c r="Y61" s="239" t="n"/>
      <c r="Z61" s="239" t="n"/>
      <c r="AA61" s="239" t="n"/>
      <c r="AB61" s="239" t="n"/>
      <c r="AC61" s="239" t="n"/>
      <c r="AD61" s="239" t="n"/>
      <c r="AE61" s="239" t="n"/>
    </row>
    <row r="62">
      <c r="A62" s="239" t="n"/>
      <c r="B62" s="239" t="n"/>
      <c r="C62" s="239" t="n"/>
      <c r="D62" s="239" t="n"/>
      <c r="E62" s="239" t="n"/>
      <c r="F62" s="239" t="n"/>
      <c r="G62" s="239" t="n"/>
      <c r="H62" s="239" t="n"/>
      <c r="I62" s="239" t="n"/>
      <c r="J62" s="239" t="n"/>
      <c r="K62" s="239" t="n"/>
      <c r="L62" s="239" t="n"/>
      <c r="M62" s="239" t="n"/>
      <c r="N62" s="239" t="n"/>
      <c r="O62" s="239" t="n"/>
      <c r="P62" s="239" t="n"/>
      <c r="Q62" s="239" t="n"/>
      <c r="R62" s="239" t="n"/>
      <c r="S62" s="239" t="n"/>
      <c r="T62" s="239" t="n"/>
      <c r="U62" s="239" t="n"/>
      <c r="V62" s="239" t="n"/>
      <c r="W62" s="239" t="n"/>
      <c r="X62" s="239" t="n"/>
      <c r="Y62" s="239" t="n"/>
      <c r="Z62" s="239" t="n"/>
      <c r="AA62" s="239" t="n"/>
      <c r="AB62" s="239" t="n"/>
      <c r="AC62" s="239" t="n"/>
      <c r="AD62" s="239" t="n"/>
      <c r="AE62" s="239" t="n"/>
    </row>
    <row r="63">
      <c r="A63" s="239" t="n"/>
      <c r="B63" s="239" t="n"/>
      <c r="C63" s="239" t="n"/>
      <c r="D63" s="239" t="n"/>
      <c r="E63" s="239" t="n"/>
      <c r="F63" s="239" t="n"/>
      <c r="G63" s="239" t="n"/>
      <c r="H63" s="239" t="n"/>
      <c r="I63" s="239" t="n"/>
      <c r="J63" s="239" t="n"/>
      <c r="K63" s="239" t="n"/>
      <c r="L63" s="239" t="n"/>
      <c r="M63" s="239" t="n"/>
      <c r="N63" s="239" t="n"/>
      <c r="O63" s="239" t="n"/>
      <c r="P63" s="239" t="n"/>
      <c r="Q63" s="239" t="n"/>
      <c r="R63" s="239" t="n"/>
      <c r="S63" s="239" t="n"/>
      <c r="T63" s="239" t="n"/>
      <c r="U63" s="239" t="n"/>
      <c r="V63" s="239" t="n"/>
      <c r="W63" s="239" t="n"/>
      <c r="X63" s="239" t="n"/>
      <c r="Y63" s="239" t="n"/>
      <c r="Z63" s="239" t="n"/>
      <c r="AA63" s="239" t="n"/>
      <c r="AB63" s="239" t="n"/>
      <c r="AC63" s="239" t="n"/>
      <c r="AD63" s="239" t="n"/>
      <c r="AE63" s="239" t="n"/>
    </row>
    <row r="64">
      <c r="A64" s="239" t="n"/>
      <c r="B64" s="239" t="n"/>
      <c r="C64" s="239" t="n"/>
      <c r="D64" s="239" t="n"/>
      <c r="E64" s="239" t="n"/>
      <c r="F64" s="239" t="n"/>
      <c r="G64" s="239" t="n"/>
      <c r="H64" s="239" t="n"/>
      <c r="I64" s="239" t="n"/>
      <c r="J64" s="239" t="n"/>
      <c r="K64" s="239" t="n"/>
      <c r="L64" s="239" t="n"/>
      <c r="M64" s="239" t="n"/>
      <c r="N64" s="239" t="n"/>
      <c r="O64" s="239" t="n"/>
      <c r="P64" s="239" t="n"/>
      <c r="Q64" s="239" t="n"/>
      <c r="R64" s="239" t="n"/>
      <c r="S64" s="239" t="n"/>
      <c r="T64" s="239" t="n"/>
      <c r="U64" s="239" t="n"/>
      <c r="V64" s="239" t="n"/>
      <c r="W64" s="239" t="n"/>
      <c r="X64" s="239" t="n"/>
      <c r="Y64" s="239" t="n"/>
      <c r="Z64" s="239" t="n"/>
      <c r="AA64" s="239" t="n"/>
      <c r="AB64" s="239" t="n"/>
      <c r="AC64" s="239" t="n"/>
      <c r="AD64" s="239" t="n"/>
      <c r="AE64" s="239" t="n"/>
    </row>
    <row r="65">
      <c r="A65" s="239" t="n"/>
      <c r="B65" s="239" t="n"/>
      <c r="C65" s="239" t="n"/>
      <c r="D65" s="239" t="n"/>
      <c r="E65" s="239" t="n"/>
      <c r="F65" s="239" t="n"/>
      <c r="G65" s="239" t="n"/>
      <c r="H65" s="239" t="n"/>
      <c r="I65" s="239" t="n"/>
      <c r="J65" s="239" t="n"/>
      <c r="K65" s="239" t="n"/>
      <c r="L65" s="239" t="n"/>
      <c r="M65" s="239" t="n"/>
      <c r="N65" s="239" t="n"/>
      <c r="O65" s="239" t="n"/>
      <c r="P65" s="239" t="n"/>
      <c r="Q65" s="239" t="n"/>
      <c r="R65" s="239" t="n"/>
      <c r="S65" s="239" t="n"/>
      <c r="T65" s="239" t="n"/>
      <c r="U65" s="239" t="n"/>
      <c r="V65" s="239" t="n"/>
      <c r="W65" s="239" t="n"/>
      <c r="X65" s="239" t="n"/>
      <c r="Y65" s="239" t="n"/>
      <c r="Z65" s="239" t="n"/>
      <c r="AA65" s="239" t="n"/>
      <c r="AB65" s="239" t="n"/>
      <c r="AC65" s="239" t="n"/>
      <c r="AD65" s="239" t="n"/>
      <c r="AE65" s="239" t="n"/>
    </row>
    <row r="66">
      <c r="A66" s="239" t="n"/>
      <c r="B66" s="239" t="n"/>
      <c r="C66" s="239" t="n"/>
      <c r="D66" s="239" t="n"/>
      <c r="E66" s="239" t="n"/>
      <c r="F66" s="239" t="n"/>
      <c r="G66" s="239" t="n"/>
      <c r="H66" s="239" t="n"/>
      <c r="I66" s="239" t="n"/>
      <c r="J66" s="239" t="n"/>
      <c r="K66" s="239" t="n"/>
      <c r="L66" s="239" t="n"/>
      <c r="M66" s="239" t="n"/>
      <c r="N66" s="239" t="n"/>
      <c r="O66" s="239" t="n"/>
      <c r="P66" s="239" t="n"/>
      <c r="Q66" s="239" t="n"/>
      <c r="R66" s="239" t="n"/>
      <c r="S66" s="239" t="n"/>
      <c r="T66" s="239" t="n"/>
      <c r="U66" s="239" t="n"/>
      <c r="V66" s="239" t="n"/>
      <c r="W66" s="239" t="n"/>
      <c r="X66" s="239" t="n"/>
      <c r="Y66" s="239" t="n"/>
      <c r="Z66" s="239" t="n"/>
      <c r="AA66" s="239" t="n"/>
      <c r="AB66" s="239" t="n"/>
      <c r="AC66" s="239" t="n"/>
      <c r="AD66" s="239" t="n"/>
      <c r="AE66" s="239" t="n"/>
    </row>
    <row r="67">
      <c r="A67" s="239" t="n"/>
      <c r="B67" s="239" t="n"/>
      <c r="C67" s="239" t="n"/>
      <c r="D67" s="239" t="n"/>
      <c r="E67" s="239" t="n"/>
      <c r="F67" s="239" t="n"/>
      <c r="G67" s="239" t="n"/>
      <c r="H67" s="239" t="n"/>
      <c r="I67" s="239" t="n"/>
      <c r="J67" s="239" t="n"/>
      <c r="K67" s="239" t="n"/>
      <c r="L67" s="239" t="n"/>
      <c r="M67" s="239" t="n"/>
      <c r="N67" s="239" t="n"/>
      <c r="O67" s="239" t="n"/>
      <c r="P67" s="239" t="n"/>
      <c r="Q67" s="239" t="n"/>
      <c r="R67" s="239" t="n"/>
      <c r="S67" s="239" t="n"/>
      <c r="T67" s="239" t="n"/>
      <c r="U67" s="239" t="n"/>
      <c r="V67" s="239" t="n"/>
      <c r="W67" s="239" t="n"/>
      <c r="X67" s="239" t="n"/>
      <c r="Y67" s="239" t="n"/>
      <c r="Z67" s="239" t="n"/>
      <c r="AA67" s="239" t="n"/>
      <c r="AB67" s="239" t="n"/>
      <c r="AC67" s="239" t="n"/>
      <c r="AD67" s="239" t="n"/>
      <c r="AE67" s="239" t="n"/>
    </row>
    <row r="68">
      <c r="A68" s="239" t="n"/>
      <c r="B68" s="239" t="n"/>
      <c r="C68" s="239" t="n"/>
      <c r="D68" s="239" t="n"/>
      <c r="E68" s="239" t="n"/>
      <c r="F68" s="239" t="n"/>
      <c r="G68" s="239" t="n"/>
      <c r="H68" s="239" t="n"/>
      <c r="I68" s="239" t="n"/>
      <c r="J68" s="239" t="n"/>
      <c r="K68" s="239" t="n"/>
      <c r="L68" s="239" t="n"/>
      <c r="M68" s="239" t="n"/>
      <c r="N68" s="239" t="n"/>
      <c r="O68" s="239" t="n"/>
      <c r="P68" s="239" t="n"/>
      <c r="Q68" s="239" t="n"/>
      <c r="R68" s="239" t="n"/>
      <c r="S68" s="239" t="n"/>
      <c r="T68" s="239" t="n"/>
      <c r="U68" s="239" t="n"/>
      <c r="V68" s="239" t="n"/>
      <c r="W68" s="239" t="n"/>
      <c r="X68" s="239" t="n"/>
      <c r="Y68" s="239" t="n"/>
      <c r="Z68" s="239" t="n"/>
      <c r="AA68" s="239" t="n"/>
      <c r="AB68" s="239" t="n"/>
      <c r="AC68" s="239" t="n"/>
      <c r="AD68" s="239" t="n"/>
      <c r="AE68" s="239" t="n"/>
    </row>
    <row r="69">
      <c r="A69" s="239" t="n"/>
      <c r="B69" s="239" t="n"/>
      <c r="C69" s="239" t="n"/>
      <c r="D69" s="239" t="n"/>
      <c r="E69" s="239" t="n"/>
      <c r="F69" s="239" t="n"/>
      <c r="G69" s="239" t="n"/>
      <c r="H69" s="239" t="n"/>
      <c r="I69" s="239" t="n"/>
      <c r="J69" s="239" t="n"/>
      <c r="K69" s="239" t="n"/>
      <c r="L69" s="239" t="n"/>
      <c r="M69" s="239" t="n"/>
      <c r="N69" s="239" t="n"/>
      <c r="O69" s="239" t="n"/>
      <c r="P69" s="239" t="n"/>
      <c r="Q69" s="239" t="n"/>
      <c r="R69" s="239" t="n"/>
      <c r="S69" s="239" t="n"/>
      <c r="T69" s="239" t="n"/>
      <c r="U69" s="239" t="n"/>
      <c r="V69" s="239" t="n"/>
      <c r="W69" s="239" t="n"/>
      <c r="X69" s="239" t="n"/>
      <c r="Y69" s="239" t="n"/>
      <c r="Z69" s="239" t="n"/>
      <c r="AA69" s="239" t="n"/>
      <c r="AB69" s="239" t="n"/>
      <c r="AC69" s="239" t="n"/>
      <c r="AD69" s="239" t="n"/>
      <c r="AE69" s="239" t="n"/>
    </row>
    <row r="70">
      <c r="A70" s="239" t="n"/>
      <c r="B70" s="239" t="n"/>
      <c r="C70" s="239" t="n"/>
      <c r="D70" s="239" t="n"/>
      <c r="E70" s="239" t="n"/>
      <c r="F70" s="239" t="n"/>
      <c r="G70" s="239" t="n"/>
      <c r="H70" s="239" t="n"/>
      <c r="I70" s="239" t="n"/>
      <c r="J70" s="239" t="n"/>
      <c r="K70" s="239" t="n"/>
      <c r="L70" s="239" t="n"/>
      <c r="M70" s="239" t="n"/>
      <c r="N70" s="239" t="n"/>
      <c r="O70" s="239" t="n"/>
      <c r="P70" s="239" t="n"/>
      <c r="Q70" s="239" t="n"/>
      <c r="R70" s="239" t="n"/>
      <c r="S70" s="239" t="n"/>
      <c r="T70" s="239" t="n"/>
      <c r="U70" s="239" t="n"/>
      <c r="V70" s="239" t="n"/>
      <c r="W70" s="239" t="n"/>
      <c r="X70" s="239" t="n"/>
      <c r="Y70" s="239" t="n"/>
      <c r="Z70" s="239" t="n"/>
      <c r="AA70" s="239" t="n"/>
      <c r="AB70" s="239" t="n"/>
      <c r="AC70" s="239" t="n"/>
      <c r="AD70" s="239" t="n"/>
      <c r="AE70" s="239" t="n"/>
    </row>
    <row r="71">
      <c r="A71" s="239" t="n"/>
      <c r="B71" s="239" t="n"/>
      <c r="C71" s="239" t="n"/>
      <c r="D71" s="239" t="n"/>
      <c r="E71" s="239" t="n"/>
      <c r="F71" s="239" t="n"/>
      <c r="G71" s="239" t="n"/>
      <c r="H71" s="239" t="n"/>
      <c r="I71" s="239" t="n"/>
      <c r="J71" s="239" t="n"/>
      <c r="K71" s="239" t="n"/>
      <c r="L71" s="239" t="n"/>
      <c r="M71" s="239" t="n"/>
      <c r="N71" s="239" t="n"/>
      <c r="O71" s="239" t="n"/>
      <c r="P71" s="239" t="n"/>
      <c r="Q71" s="239" t="n"/>
      <c r="R71" s="239" t="n"/>
      <c r="S71" s="239" t="n"/>
      <c r="T71" s="239" t="n"/>
      <c r="U71" s="239" t="n"/>
      <c r="V71" s="239" t="n"/>
      <c r="W71" s="239" t="n"/>
      <c r="X71" s="239" t="n"/>
      <c r="Y71" s="239" t="n"/>
      <c r="Z71" s="239" t="n"/>
      <c r="AA71" s="239" t="n"/>
      <c r="AB71" s="239" t="n"/>
      <c r="AC71" s="239" t="n"/>
      <c r="AD71" s="239" t="n"/>
      <c r="AE71" s="239" t="n"/>
    </row>
    <row r="72">
      <c r="A72" s="239" t="n"/>
      <c r="B72" s="239" t="n"/>
      <c r="C72" s="239" t="n"/>
      <c r="D72" s="239" t="n"/>
      <c r="E72" s="239" t="n"/>
      <c r="F72" s="239" t="n"/>
      <c r="G72" s="239" t="n"/>
      <c r="H72" s="239" t="n"/>
      <c r="I72" s="239" t="n"/>
      <c r="J72" s="239" t="n"/>
      <c r="K72" s="239" t="n"/>
      <c r="L72" s="239" t="n"/>
      <c r="M72" s="239" t="n"/>
      <c r="N72" s="239" t="n"/>
      <c r="O72" s="239" t="n"/>
      <c r="P72" s="239" t="n"/>
      <c r="Q72" s="239" t="n"/>
      <c r="R72" s="239" t="n"/>
      <c r="S72" s="239" t="n"/>
      <c r="T72" s="239" t="n"/>
      <c r="U72" s="239" t="n"/>
      <c r="V72" s="239" t="n"/>
      <c r="W72" s="239" t="n"/>
      <c r="X72" s="239" t="n"/>
      <c r="Y72" s="239" t="n"/>
      <c r="Z72" s="239" t="n"/>
      <c r="AA72" s="239" t="n"/>
      <c r="AB72" s="239" t="n"/>
      <c r="AC72" s="239" t="n"/>
      <c r="AD72" s="239" t="n"/>
      <c r="AE72" s="239" t="n"/>
    </row>
    <row r="73">
      <c r="A73" s="239" t="n"/>
      <c r="B73" s="239" t="n"/>
      <c r="C73" s="239" t="n"/>
      <c r="D73" s="239" t="n"/>
      <c r="E73" s="239" t="n"/>
      <c r="F73" s="239" t="n"/>
      <c r="G73" s="239" t="n"/>
      <c r="H73" s="239" t="n"/>
      <c r="I73" s="239" t="n"/>
      <c r="J73" s="239" t="n"/>
      <c r="K73" s="239" t="n"/>
      <c r="L73" s="239" t="n"/>
      <c r="M73" s="239" t="n"/>
      <c r="N73" s="239" t="n"/>
      <c r="O73" s="239" t="n"/>
      <c r="P73" s="239" t="n"/>
      <c r="Q73" s="239" t="n"/>
      <c r="R73" s="239" t="n"/>
      <c r="S73" s="239" t="n"/>
      <c r="T73" s="239" t="n"/>
      <c r="U73" s="239" t="n"/>
      <c r="V73" s="239" t="n"/>
      <c r="W73" s="239" t="n"/>
      <c r="X73" s="239" t="n"/>
      <c r="Y73" s="239" t="n"/>
      <c r="Z73" s="239" t="n"/>
      <c r="AA73" s="239" t="n"/>
      <c r="AB73" s="239" t="n"/>
      <c r="AC73" s="239" t="n"/>
      <c r="AD73" s="239" t="n"/>
      <c r="AE73" s="239" t="n"/>
    </row>
    <row r="74">
      <c r="A74" s="239" t="n"/>
      <c r="B74" s="239" t="n"/>
      <c r="C74" s="239" t="n"/>
      <c r="D74" s="239" t="n"/>
      <c r="E74" s="239" t="n"/>
      <c r="F74" s="239" t="n"/>
      <c r="G74" s="239" t="n"/>
      <c r="H74" s="239" t="n"/>
      <c r="I74" s="239" t="n"/>
      <c r="J74" s="239" t="n"/>
      <c r="K74" s="239" t="n"/>
      <c r="L74" s="239" t="n"/>
      <c r="M74" s="239" t="n"/>
      <c r="N74" s="239" t="n"/>
      <c r="O74" s="239" t="n"/>
      <c r="P74" s="239" t="n"/>
      <c r="Q74" s="239" t="n"/>
      <c r="R74" s="239" t="n"/>
      <c r="S74" s="239" t="n"/>
      <c r="T74" s="239" t="n"/>
      <c r="U74" s="239" t="n"/>
      <c r="V74" s="239" t="n"/>
      <c r="W74" s="239" t="n"/>
      <c r="X74" s="239" t="n"/>
      <c r="Y74" s="239" t="n"/>
      <c r="Z74" s="239" t="n"/>
      <c r="AA74" s="239" t="n"/>
      <c r="AB74" s="239" t="n"/>
      <c r="AC74" s="239" t="n"/>
      <c r="AD74" s="239" t="n"/>
      <c r="AE74" s="239" t="n"/>
    </row>
    <row r="75">
      <c r="A75" s="239" t="n"/>
      <c r="B75" s="239" t="n"/>
      <c r="C75" s="239" t="n"/>
      <c r="D75" s="239" t="n"/>
      <c r="E75" s="239" t="n"/>
      <c r="F75" s="239" t="n"/>
      <c r="G75" s="239" t="n"/>
      <c r="H75" s="239" t="n"/>
      <c r="I75" s="239" t="n"/>
      <c r="J75" s="239" t="n"/>
      <c r="K75" s="239" t="n"/>
      <c r="L75" s="239" t="n"/>
      <c r="M75" s="239" t="n"/>
      <c r="N75" s="239" t="n"/>
      <c r="O75" s="239" t="n"/>
      <c r="P75" s="239" t="n"/>
      <c r="Q75" s="239" t="n"/>
      <c r="R75" s="239" t="n"/>
      <c r="S75" s="239" t="n"/>
      <c r="T75" s="239" t="n"/>
      <c r="U75" s="239" t="n"/>
      <c r="V75" s="239" t="n"/>
      <c r="W75" s="239" t="n"/>
      <c r="X75" s="239" t="n"/>
      <c r="Y75" s="239" t="n"/>
      <c r="Z75" s="239" t="n"/>
      <c r="AA75" s="239" t="n"/>
      <c r="AB75" s="239" t="n"/>
      <c r="AC75" s="239" t="n"/>
      <c r="AD75" s="239" t="n"/>
      <c r="AE75" s="239" t="n"/>
    </row>
    <row r="76">
      <c r="A76" s="239" t="n"/>
      <c r="B76" s="239" t="n"/>
      <c r="C76" s="239" t="n"/>
      <c r="D76" s="239" t="n"/>
      <c r="E76" s="239" t="n"/>
      <c r="F76" s="239" t="n"/>
      <c r="G76" s="239" t="n"/>
      <c r="H76" s="239" t="n"/>
      <c r="I76" s="239" t="n"/>
      <c r="J76" s="239" t="n"/>
      <c r="K76" s="239" t="n"/>
      <c r="L76" s="239" t="n"/>
      <c r="M76" s="239" t="n"/>
      <c r="N76" s="239" t="n"/>
      <c r="O76" s="239" t="n"/>
      <c r="P76" s="239" t="n"/>
      <c r="Q76" s="239" t="n"/>
      <c r="R76" s="239" t="n"/>
      <c r="S76" s="239" t="n"/>
      <c r="T76" s="239" t="n"/>
      <c r="U76" s="239" t="n"/>
      <c r="V76" s="239" t="n"/>
      <c r="W76" s="239" t="n"/>
      <c r="X76" s="239" t="n"/>
      <c r="Y76" s="239" t="n"/>
      <c r="Z76" s="239" t="n"/>
      <c r="AA76" s="239" t="n"/>
      <c r="AB76" s="239" t="n"/>
      <c r="AC76" s="239" t="n"/>
      <c r="AD76" s="239" t="n"/>
      <c r="AE76" s="239" t="n"/>
    </row>
    <row r="77">
      <c r="A77" s="239" t="n"/>
      <c r="B77" s="239" t="n"/>
      <c r="C77" s="239" t="n"/>
      <c r="D77" s="239" t="n"/>
      <c r="E77" s="239" t="n"/>
      <c r="F77" s="239" t="n"/>
      <c r="G77" s="239" t="n"/>
      <c r="H77" s="239" t="n"/>
      <c r="I77" s="239" t="n"/>
      <c r="J77" s="239" t="n"/>
      <c r="K77" s="239" t="n"/>
      <c r="L77" s="239" t="n"/>
      <c r="M77" s="239" t="n"/>
      <c r="N77" s="239" t="n"/>
      <c r="O77" s="239" t="n"/>
      <c r="P77" s="239" t="n"/>
      <c r="Q77" s="239" t="n"/>
      <c r="R77" s="239" t="n"/>
      <c r="S77" s="239" t="n"/>
      <c r="T77" s="239" t="n"/>
      <c r="U77" s="239" t="n"/>
      <c r="V77" s="239" t="n"/>
      <c r="W77" s="239" t="n"/>
      <c r="X77" s="239" t="n"/>
      <c r="Y77" s="239" t="n"/>
      <c r="Z77" s="239" t="n"/>
      <c r="AA77" s="239" t="n"/>
      <c r="AB77" s="239" t="n"/>
      <c r="AC77" s="239" t="n"/>
      <c r="AD77" s="239" t="n"/>
      <c r="AE77" s="239" t="n"/>
    </row>
    <row r="78">
      <c r="A78" s="239" t="n"/>
      <c r="B78" s="239" t="n"/>
      <c r="C78" s="239" t="n"/>
      <c r="D78" s="239" t="n"/>
      <c r="E78" s="239" t="n"/>
      <c r="F78" s="239" t="n"/>
      <c r="G78" s="239" t="n"/>
      <c r="H78" s="239" t="n"/>
      <c r="I78" s="239" t="n"/>
      <c r="J78" s="239" t="n"/>
      <c r="K78" s="239" t="n"/>
      <c r="L78" s="239" t="n"/>
      <c r="M78" s="239" t="n"/>
      <c r="N78" s="239" t="n"/>
      <c r="O78" s="239" t="n"/>
      <c r="P78" s="239" t="n"/>
      <c r="Q78" s="239" t="n"/>
      <c r="R78" s="239" t="n"/>
      <c r="S78" s="239" t="n"/>
      <c r="T78" s="239" t="n"/>
      <c r="U78" s="239" t="n"/>
      <c r="V78" s="239" t="n"/>
      <c r="W78" s="239" t="n"/>
      <c r="X78" s="239" t="n"/>
      <c r="Y78" s="239" t="n"/>
      <c r="Z78" s="239" t="n"/>
      <c r="AA78" s="239" t="n"/>
      <c r="AB78" s="239" t="n"/>
      <c r="AC78" s="239" t="n"/>
      <c r="AD78" s="239" t="n"/>
      <c r="AE78" s="239" t="n"/>
    </row>
    <row r="79">
      <c r="A79" s="239" t="n"/>
      <c r="B79" s="239" t="n"/>
      <c r="C79" s="239" t="n"/>
      <c r="D79" s="239" t="n"/>
      <c r="E79" s="239" t="n"/>
      <c r="F79" s="239" t="n"/>
      <c r="G79" s="239" t="n"/>
      <c r="H79" s="239" t="n"/>
      <c r="I79" s="239" t="n"/>
      <c r="J79" s="239" t="n"/>
      <c r="K79" s="239" t="n"/>
      <c r="L79" s="239" t="n"/>
      <c r="M79" s="239" t="n"/>
      <c r="N79" s="239" t="n"/>
      <c r="O79" s="239" t="n"/>
      <c r="P79" s="239" t="n"/>
      <c r="Q79" s="239" t="n"/>
      <c r="R79" s="239" t="n"/>
      <c r="S79" s="239" t="n"/>
      <c r="T79" s="239" t="n"/>
      <c r="U79" s="239" t="n"/>
      <c r="V79" s="239" t="n"/>
      <c r="W79" s="239" t="n"/>
      <c r="X79" s="239" t="n"/>
      <c r="Y79" s="239" t="n"/>
      <c r="Z79" s="239" t="n"/>
      <c r="AA79" s="239" t="n"/>
      <c r="AB79" s="239" t="n"/>
      <c r="AC79" s="239" t="n"/>
      <c r="AD79" s="239" t="n"/>
      <c r="AE79" s="239" t="n"/>
    </row>
    <row r="80">
      <c r="A80" s="239" t="n"/>
      <c r="B80" s="239" t="n"/>
      <c r="C80" s="239" t="n"/>
      <c r="D80" s="239" t="n"/>
      <c r="E80" s="239" t="n"/>
      <c r="F80" s="239" t="n"/>
      <c r="G80" s="239" t="n"/>
      <c r="H80" s="239" t="n"/>
      <c r="I80" s="239" t="n"/>
      <c r="J80" s="239" t="n"/>
      <c r="K80" s="239" t="n"/>
      <c r="L80" s="239" t="n"/>
      <c r="M80" s="239" t="n"/>
      <c r="N80" s="239" t="n"/>
      <c r="O80" s="239" t="n"/>
      <c r="P80" s="239" t="n"/>
      <c r="Q80" s="239" t="n"/>
      <c r="R80" s="239" t="n"/>
      <c r="S80" s="239" t="n"/>
      <c r="T80" s="239" t="n"/>
      <c r="U80" s="239" t="n"/>
      <c r="V80" s="239" t="n"/>
      <c r="W80" s="239" t="n"/>
      <c r="X80" s="239" t="n"/>
      <c r="Y80" s="239" t="n"/>
      <c r="Z80" s="239" t="n"/>
      <c r="AA80" s="239" t="n"/>
      <c r="AB80" s="239" t="n"/>
      <c r="AC80" s="239" t="n"/>
      <c r="AD80" s="239" t="n"/>
      <c r="AE80" s="239" t="n"/>
    </row>
    <row r="81">
      <c r="A81" s="239" t="n"/>
      <c r="B81" s="239" t="n"/>
      <c r="C81" s="239" t="n"/>
      <c r="D81" s="239" t="n"/>
      <c r="E81" s="239" t="n"/>
      <c r="F81" s="239" t="n"/>
      <c r="G81" s="239" t="n"/>
      <c r="H81" s="239" t="n"/>
      <c r="I81" s="239" t="n"/>
      <c r="J81" s="239" t="n"/>
      <c r="K81" s="239" t="n"/>
      <c r="L81" s="239" t="n"/>
      <c r="M81" s="239" t="n"/>
      <c r="N81" s="239" t="n"/>
      <c r="O81" s="239" t="n"/>
      <c r="P81" s="239" t="n"/>
      <c r="Q81" s="239" t="n"/>
      <c r="R81" s="239" t="n"/>
      <c r="S81" s="239" t="n"/>
      <c r="T81" s="239" t="n"/>
      <c r="U81" s="239" t="n"/>
      <c r="V81" s="239" t="n"/>
      <c r="W81" s="239" t="n"/>
      <c r="X81" s="239" t="n"/>
      <c r="Y81" s="239" t="n"/>
      <c r="Z81" s="239" t="n"/>
      <c r="AA81" s="239" t="n"/>
      <c r="AB81" s="239" t="n"/>
      <c r="AC81" s="239" t="n"/>
      <c r="AD81" s="239" t="n"/>
      <c r="AE81" s="239" t="n"/>
    </row>
    <row r="82">
      <c r="A82" s="239" t="n"/>
      <c r="B82" s="239" t="n"/>
      <c r="C82" s="239" t="n"/>
      <c r="D82" s="239" t="n"/>
      <c r="E82" s="239" t="n"/>
      <c r="F82" s="239" t="n"/>
      <c r="G82" s="239" t="n"/>
      <c r="H82" s="239" t="n"/>
      <c r="I82" s="239" t="n"/>
      <c r="J82" s="239" t="n"/>
      <c r="K82" s="239" t="n"/>
      <c r="L82" s="239" t="n"/>
      <c r="M82" s="239" t="n"/>
      <c r="N82" s="239" t="n"/>
      <c r="O82" s="239" t="n"/>
      <c r="P82" s="239" t="n"/>
      <c r="Q82" s="239" t="n"/>
      <c r="R82" s="239" t="n"/>
      <c r="S82" s="239" t="n"/>
      <c r="T82" s="239" t="n"/>
      <c r="U82" s="239" t="n"/>
      <c r="V82" s="239" t="n"/>
      <c r="W82" s="239" t="n"/>
      <c r="X82" s="239" t="n"/>
      <c r="Y82" s="239" t="n"/>
      <c r="Z82" s="239" t="n"/>
      <c r="AA82" s="239" t="n"/>
      <c r="AB82" s="239" t="n"/>
      <c r="AC82" s="239" t="n"/>
      <c r="AD82" s="239" t="n"/>
      <c r="AE82" s="239" t="n"/>
    </row>
    <row r="83">
      <c r="A83" s="239" t="n"/>
      <c r="B83" s="239" t="n"/>
      <c r="C83" s="239" t="n"/>
      <c r="D83" s="239" t="n"/>
      <c r="E83" s="239" t="n"/>
      <c r="F83" s="239" t="n"/>
      <c r="G83" s="239" t="n"/>
      <c r="H83" s="239" t="n"/>
      <c r="I83" s="239" t="n"/>
      <c r="J83" s="239" t="n"/>
      <c r="K83" s="239" t="n"/>
      <c r="L83" s="239" t="n"/>
      <c r="M83" s="239" t="n"/>
      <c r="N83" s="239" t="n"/>
      <c r="O83" s="239" t="n"/>
      <c r="P83" s="239" t="n"/>
      <c r="Q83" s="239" t="n"/>
      <c r="R83" s="239" t="n"/>
      <c r="S83" s="239" t="n"/>
      <c r="T83" s="239" t="n"/>
      <c r="U83" s="239" t="n"/>
      <c r="V83" s="239" t="n"/>
      <c r="W83" s="239" t="n"/>
      <c r="X83" s="239" t="n"/>
      <c r="Y83" s="239" t="n"/>
      <c r="Z83" s="239" t="n"/>
      <c r="AA83" s="239" t="n"/>
      <c r="AB83" s="239" t="n"/>
      <c r="AC83" s="239" t="n"/>
      <c r="AD83" s="239" t="n"/>
      <c r="AE83" s="239" t="n"/>
    </row>
    <row r="84">
      <c r="A84" s="239" t="n"/>
      <c r="B84" s="239" t="n"/>
      <c r="C84" s="239" t="n"/>
      <c r="D84" s="239" t="n"/>
      <c r="E84" s="239" t="n"/>
      <c r="F84" s="239" t="n"/>
      <c r="G84" s="239" t="n"/>
      <c r="H84" s="239" t="n"/>
      <c r="I84" s="239" t="n"/>
      <c r="J84" s="239" t="n"/>
      <c r="K84" s="239" t="n"/>
      <c r="L84" s="239" t="n"/>
      <c r="M84" s="239" t="n"/>
      <c r="N84" s="239" t="n"/>
      <c r="O84" s="239" t="n"/>
      <c r="P84" s="239" t="n"/>
      <c r="Q84" s="239" t="n"/>
      <c r="R84" s="239" t="n"/>
      <c r="S84" s="239" t="n"/>
      <c r="T84" s="239" t="n"/>
      <c r="U84" s="239" t="n"/>
      <c r="V84" s="239" t="n"/>
      <c r="W84" s="239" t="n"/>
      <c r="X84" s="239" t="n"/>
      <c r="Y84" s="239" t="n"/>
      <c r="Z84" s="239" t="n"/>
      <c r="AA84" s="239" t="n"/>
      <c r="AB84" s="239" t="n"/>
      <c r="AC84" s="239" t="n"/>
      <c r="AD84" s="239" t="n"/>
      <c r="AE84" s="239" t="n"/>
    </row>
    <row r="85">
      <c r="A85" s="239" t="n"/>
      <c r="B85" s="239" t="n"/>
      <c r="C85" s="239" t="n"/>
      <c r="D85" s="239" t="n"/>
      <c r="E85" s="239" t="n"/>
      <c r="F85" s="239" t="n"/>
      <c r="G85" s="239" t="n"/>
      <c r="H85" s="239" t="n"/>
      <c r="I85" s="239" t="n"/>
      <c r="J85" s="239" t="n"/>
      <c r="K85" s="239" t="n"/>
      <c r="L85" s="239" t="n"/>
      <c r="M85" s="239" t="n"/>
      <c r="N85" s="239" t="n"/>
      <c r="O85" s="239" t="n"/>
      <c r="P85" s="239" t="n"/>
      <c r="Q85" s="239" t="n"/>
      <c r="R85" s="239" t="n"/>
      <c r="S85" s="239" t="n"/>
      <c r="T85" s="239" t="n"/>
      <c r="U85" s="239" t="n"/>
      <c r="V85" s="239" t="n"/>
      <c r="W85" s="239" t="n"/>
      <c r="X85" s="239" t="n"/>
      <c r="Y85" s="239" t="n"/>
      <c r="Z85" s="239" t="n"/>
      <c r="AA85" s="239" t="n"/>
      <c r="AB85" s="239" t="n"/>
      <c r="AC85" s="239" t="n"/>
      <c r="AD85" s="239" t="n"/>
      <c r="AE85" s="239" t="n"/>
    </row>
    <row r="86">
      <c r="A86" s="239" t="n"/>
      <c r="B86" s="239" t="n"/>
      <c r="C86" s="239" t="n"/>
      <c r="D86" s="239" t="n"/>
      <c r="E86" s="239" t="n"/>
      <c r="F86" s="239" t="n"/>
      <c r="G86" s="239" t="n"/>
      <c r="H86" s="239" t="n"/>
      <c r="I86" s="239" t="n"/>
      <c r="J86" s="239" t="n"/>
      <c r="K86" s="239" t="n"/>
      <c r="L86" s="239" t="n"/>
      <c r="M86" s="239" t="n"/>
      <c r="N86" s="239" t="n"/>
      <c r="O86" s="239" t="n"/>
      <c r="P86" s="239" t="n"/>
      <c r="Q86" s="239" t="n"/>
      <c r="R86" s="239" t="n"/>
      <c r="S86" s="239" t="n"/>
      <c r="T86" s="239" t="n"/>
      <c r="U86" s="239" t="n"/>
      <c r="V86" s="239" t="n"/>
      <c r="W86" s="239" t="n"/>
      <c r="X86" s="239" t="n"/>
      <c r="Y86" s="239" t="n"/>
      <c r="Z86" s="239" t="n"/>
      <c r="AA86" s="239" t="n"/>
      <c r="AB86" s="239" t="n"/>
      <c r="AC86" s="239" t="n"/>
      <c r="AD86" s="239" t="n"/>
      <c r="AE86" s="239" t="n"/>
    </row>
    <row r="87">
      <c r="A87" s="239" t="n"/>
      <c r="B87" s="239" t="n"/>
      <c r="C87" s="239" t="n"/>
      <c r="D87" s="239" t="n"/>
      <c r="E87" s="239" t="n"/>
      <c r="F87" s="239" t="n"/>
      <c r="G87" s="239" t="n"/>
      <c r="H87" s="239" t="n"/>
      <c r="I87" s="239" t="n"/>
      <c r="J87" s="239" t="n"/>
      <c r="K87" s="239" t="n"/>
      <c r="L87" s="239" t="n"/>
      <c r="M87" s="239" t="n"/>
      <c r="N87" s="239" t="n"/>
      <c r="O87" s="239" t="n"/>
      <c r="P87" s="239" t="n"/>
      <c r="Q87" s="239" t="n"/>
      <c r="R87" s="239" t="n"/>
      <c r="S87" s="239" t="n"/>
      <c r="T87" s="239" t="n"/>
      <c r="U87" s="239" t="n"/>
      <c r="V87" s="239" t="n"/>
      <c r="W87" s="239" t="n"/>
      <c r="X87" s="239" t="n"/>
      <c r="Y87" s="239" t="n"/>
      <c r="Z87" s="239" t="n"/>
      <c r="AA87" s="239" t="n"/>
      <c r="AB87" s="239" t="n"/>
      <c r="AC87" s="239" t="n"/>
      <c r="AD87" s="239" t="n"/>
      <c r="AE87" s="239" t="n"/>
    </row>
    <row r="88">
      <c r="A88" s="239" t="n"/>
      <c r="B88" s="239" t="n"/>
      <c r="C88" s="239" t="n"/>
      <c r="D88" s="239" t="n"/>
      <c r="E88" s="239" t="n"/>
      <c r="F88" s="239" t="n"/>
      <c r="G88" s="239" t="n"/>
      <c r="H88" s="239" t="n"/>
      <c r="I88" s="239" t="n"/>
      <c r="J88" s="239" t="n"/>
      <c r="K88" s="239" t="n"/>
      <c r="L88" s="239" t="n"/>
      <c r="M88" s="239" t="n"/>
      <c r="N88" s="239" t="n"/>
      <c r="O88" s="239" t="n"/>
      <c r="P88" s="239" t="n"/>
      <c r="Q88" s="239" t="n"/>
      <c r="R88" s="239" t="n"/>
      <c r="S88" s="239" t="n"/>
      <c r="T88" s="239" t="n"/>
      <c r="U88" s="239" t="n"/>
      <c r="V88" s="239" t="n"/>
      <c r="W88" s="239" t="n"/>
      <c r="X88" s="239" t="n"/>
      <c r="Y88" s="239" t="n"/>
      <c r="Z88" s="239" t="n"/>
      <c r="AA88" s="239" t="n"/>
      <c r="AB88" s="239" t="n"/>
      <c r="AC88" s="239" t="n"/>
      <c r="AD88" s="239" t="n"/>
      <c r="AE88" s="239" t="n"/>
    </row>
    <row r="89">
      <c r="A89" s="239" t="n"/>
      <c r="B89" s="239" t="n"/>
      <c r="C89" s="239" t="n"/>
      <c r="D89" s="239" t="n"/>
      <c r="E89" s="239" t="n"/>
      <c r="F89" s="239" t="n"/>
      <c r="G89" s="239" t="n"/>
      <c r="H89" s="239" t="n"/>
      <c r="I89" s="239" t="n"/>
      <c r="J89" s="239" t="n"/>
      <c r="K89" s="239" t="n"/>
      <c r="L89" s="239" t="n"/>
      <c r="M89" s="239" t="n"/>
      <c r="N89" s="239" t="n"/>
      <c r="O89" s="239" t="n"/>
      <c r="P89" s="239" t="n"/>
      <c r="Q89" s="239" t="n"/>
      <c r="R89" s="239" t="n"/>
      <c r="S89" s="239" t="n"/>
      <c r="T89" s="239" t="n"/>
      <c r="U89" s="239" t="n"/>
      <c r="V89" s="239" t="n"/>
      <c r="W89" s="239" t="n"/>
      <c r="X89" s="239" t="n"/>
      <c r="Y89" s="239" t="n"/>
      <c r="Z89" s="239" t="n"/>
      <c r="AA89" s="239" t="n"/>
      <c r="AB89" s="239" t="n"/>
      <c r="AC89" s="239" t="n"/>
      <c r="AD89" s="239" t="n"/>
      <c r="AE89" s="239" t="n"/>
    </row>
    <row r="90">
      <c r="A90" s="239" t="n"/>
      <c r="B90" s="239" t="n"/>
      <c r="C90" s="239" t="n"/>
      <c r="D90" s="239" t="n"/>
      <c r="E90" s="239" t="n"/>
      <c r="F90" s="239" t="n"/>
      <c r="G90" s="239" t="n"/>
      <c r="H90" s="239" t="n"/>
      <c r="I90" s="239" t="n"/>
      <c r="J90" s="239" t="n"/>
      <c r="K90" s="239" t="n"/>
      <c r="L90" s="239" t="n"/>
      <c r="M90" s="239" t="n"/>
      <c r="N90" s="239" t="n"/>
      <c r="O90" s="239" t="n"/>
      <c r="P90" s="239" t="n"/>
      <c r="Q90" s="239" t="n"/>
      <c r="R90" s="239" t="n"/>
      <c r="S90" s="239" t="n"/>
      <c r="T90" s="239" t="n"/>
      <c r="U90" s="239" t="n"/>
      <c r="V90" s="239" t="n"/>
      <c r="W90" s="239" t="n"/>
      <c r="X90" s="239" t="n"/>
      <c r="Y90" s="239" t="n"/>
      <c r="Z90" s="239" t="n"/>
      <c r="AA90" s="239" t="n"/>
      <c r="AB90" s="239" t="n"/>
      <c r="AC90" s="239" t="n"/>
      <c r="AD90" s="239" t="n"/>
      <c r="AE90" s="239" t="n"/>
    </row>
    <row r="91">
      <c r="A91" s="239" t="n"/>
      <c r="B91" s="239" t="n"/>
      <c r="C91" s="239" t="n"/>
      <c r="D91" s="239" t="n"/>
      <c r="E91" s="239" t="n"/>
      <c r="F91" s="239" t="n"/>
      <c r="G91" s="239" t="n"/>
      <c r="H91" s="239" t="n"/>
      <c r="I91" s="239" t="n"/>
      <c r="J91" s="239" t="n"/>
      <c r="K91" s="239" t="n"/>
      <c r="L91" s="239" t="n"/>
      <c r="M91" s="239" t="n"/>
      <c r="N91" s="239" t="n"/>
      <c r="O91" s="239" t="n"/>
      <c r="P91" s="239" t="n"/>
      <c r="Q91" s="239" t="n"/>
      <c r="R91" s="239" t="n"/>
      <c r="S91" s="239" t="n"/>
      <c r="T91" s="239" t="n"/>
      <c r="U91" s="239" t="n"/>
      <c r="V91" s="239" t="n"/>
      <c r="W91" s="239" t="n"/>
      <c r="X91" s="239" t="n"/>
      <c r="Y91" s="239" t="n"/>
      <c r="Z91" s="239" t="n"/>
      <c r="AA91" s="239" t="n"/>
      <c r="AB91" s="239" t="n"/>
      <c r="AC91" s="239" t="n"/>
      <c r="AD91" s="239" t="n"/>
      <c r="AE91" s="239" t="n"/>
    </row>
    <row r="92">
      <c r="A92" s="239" t="n"/>
      <c r="B92" s="239" t="n"/>
      <c r="C92" s="239" t="n"/>
      <c r="D92" s="239" t="n"/>
      <c r="E92" s="239" t="n"/>
      <c r="F92" s="239" t="n"/>
      <c r="G92" s="239" t="n"/>
      <c r="H92" s="239" t="n"/>
      <c r="I92" s="239" t="n"/>
      <c r="J92" s="239" t="n"/>
      <c r="K92" s="239" t="n"/>
      <c r="L92" s="239" t="n"/>
      <c r="M92" s="239" t="n"/>
      <c r="N92" s="239" t="n"/>
      <c r="O92" s="239" t="n"/>
      <c r="P92" s="239" t="n"/>
      <c r="Q92" s="239" t="n"/>
      <c r="R92" s="239" t="n"/>
      <c r="S92" s="239" t="n"/>
      <c r="T92" s="239" t="n"/>
      <c r="U92" s="239" t="n"/>
      <c r="V92" s="239" t="n"/>
      <c r="W92" s="239" t="n"/>
      <c r="X92" s="239" t="n"/>
      <c r="Y92" s="239" t="n"/>
      <c r="Z92" s="239" t="n"/>
      <c r="AA92" s="239" t="n"/>
      <c r="AB92" s="239" t="n"/>
      <c r="AC92" s="239" t="n"/>
      <c r="AD92" s="239" t="n"/>
      <c r="AE92" s="239" t="n"/>
    </row>
    <row r="93">
      <c r="A93" s="239" t="n"/>
      <c r="B93" s="239" t="n"/>
      <c r="C93" s="239" t="n"/>
      <c r="D93" s="239" t="n"/>
      <c r="E93" s="239" t="n"/>
      <c r="F93" s="239" t="n"/>
      <c r="G93" s="239" t="n"/>
      <c r="H93" s="239" t="n"/>
      <c r="I93" s="239" t="n"/>
      <c r="J93" s="239" t="n"/>
      <c r="K93" s="239" t="n"/>
      <c r="L93" s="239" t="n"/>
      <c r="M93" s="239" t="n"/>
      <c r="N93" s="239" t="n"/>
      <c r="O93" s="239" t="n"/>
      <c r="P93" s="239" t="n"/>
      <c r="Q93" s="239" t="n"/>
      <c r="R93" s="239" t="n"/>
      <c r="S93" s="239" t="n"/>
      <c r="T93" s="239" t="n"/>
      <c r="U93" s="239" t="n"/>
      <c r="V93" s="239" t="n"/>
      <c r="W93" s="239" t="n"/>
      <c r="X93" s="239" t="n"/>
      <c r="Y93" s="239" t="n"/>
      <c r="Z93" s="239" t="n"/>
      <c r="AA93" s="239" t="n"/>
      <c r="AB93" s="239" t="n"/>
      <c r="AC93" s="239" t="n"/>
      <c r="AD93" s="239" t="n"/>
      <c r="AE93" s="239" t="n"/>
    </row>
    <row r="94">
      <c r="A94" s="239" t="n"/>
      <c r="B94" s="239" t="n"/>
      <c r="C94" s="239" t="n"/>
      <c r="D94" s="239" t="n"/>
      <c r="E94" s="239" t="n"/>
      <c r="F94" s="239" t="n"/>
      <c r="G94" s="239" t="n"/>
      <c r="H94" s="239" t="n"/>
      <c r="I94" s="239" t="n"/>
      <c r="J94" s="239" t="n"/>
      <c r="K94" s="239" t="n"/>
      <c r="L94" s="239" t="n"/>
      <c r="M94" s="239" t="n"/>
      <c r="N94" s="239" t="n"/>
      <c r="O94" s="239" t="n"/>
      <c r="P94" s="239" t="n"/>
      <c r="Q94" s="239" t="n"/>
      <c r="R94" s="239" t="n"/>
      <c r="S94" s="239" t="n"/>
      <c r="T94" s="239" t="n"/>
      <c r="U94" s="239" t="n"/>
      <c r="V94" s="239" t="n"/>
      <c r="W94" s="239" t="n"/>
      <c r="X94" s="239" t="n"/>
      <c r="Y94" s="239" t="n"/>
      <c r="Z94" s="239" t="n"/>
      <c r="AA94" s="239" t="n"/>
      <c r="AB94" s="239" t="n"/>
      <c r="AC94" s="239" t="n"/>
      <c r="AD94" s="239" t="n"/>
      <c r="AE94" s="239" t="n"/>
    </row>
    <row r="95">
      <c r="A95" s="239" t="n"/>
      <c r="B95" s="239" t="n"/>
      <c r="C95" s="239" t="n"/>
      <c r="D95" s="239" t="n"/>
      <c r="E95" s="239" t="n"/>
      <c r="F95" s="239" t="n"/>
      <c r="G95" s="239" t="n"/>
      <c r="H95" s="239" t="n"/>
      <c r="I95" s="239" t="n"/>
      <c r="J95" s="239" t="n"/>
      <c r="K95" s="239" t="n"/>
      <c r="L95" s="239" t="n"/>
      <c r="M95" s="239" t="n"/>
      <c r="N95" s="239" t="n"/>
      <c r="O95" s="239" t="n"/>
      <c r="P95" s="239" t="n"/>
      <c r="Q95" s="239" t="n"/>
      <c r="R95" s="239" t="n"/>
      <c r="S95" s="239" t="n"/>
      <c r="T95" s="239" t="n"/>
      <c r="U95" s="239" t="n"/>
      <c r="V95" s="239" t="n"/>
      <c r="W95" s="239" t="n"/>
      <c r="X95" s="239" t="n"/>
      <c r="Y95" s="239" t="n"/>
      <c r="Z95" s="239" t="n"/>
      <c r="AA95" s="239" t="n"/>
      <c r="AB95" s="239" t="n"/>
      <c r="AC95" s="239" t="n"/>
      <c r="AD95" s="239" t="n"/>
      <c r="AE95" s="239" t="n"/>
    </row>
    <row r="96">
      <c r="A96" s="239" t="n"/>
      <c r="B96" s="239" t="n"/>
      <c r="C96" s="239" t="n"/>
      <c r="D96" s="239" t="n"/>
      <c r="E96" s="239" t="n"/>
      <c r="F96" s="239" t="n"/>
      <c r="G96" s="239" t="n"/>
      <c r="H96" s="239" t="n"/>
      <c r="I96" s="239" t="n"/>
      <c r="J96" s="239" t="n"/>
      <c r="K96" s="239" t="n"/>
      <c r="L96" s="239" t="n"/>
      <c r="M96" s="239" t="n"/>
      <c r="N96" s="239" t="n"/>
      <c r="O96" s="239" t="n"/>
      <c r="P96" s="239" t="n"/>
      <c r="Q96" s="239" t="n"/>
      <c r="R96" s="239" t="n"/>
      <c r="S96" s="239" t="n"/>
      <c r="T96" s="239" t="n"/>
      <c r="U96" s="239" t="n"/>
      <c r="V96" s="239" t="n"/>
      <c r="W96" s="239" t="n"/>
      <c r="X96" s="239" t="n"/>
      <c r="Y96" s="239" t="n"/>
      <c r="Z96" s="239" t="n"/>
      <c r="AA96" s="239" t="n"/>
      <c r="AB96" s="239" t="n"/>
      <c r="AC96" s="239" t="n"/>
      <c r="AD96" s="239" t="n"/>
      <c r="AE96" s="239" t="n"/>
    </row>
    <row r="97">
      <c r="A97" s="239" t="n"/>
      <c r="B97" s="239" t="n"/>
      <c r="C97" s="239" t="n"/>
      <c r="D97" s="239" t="n"/>
      <c r="E97" s="239" t="n"/>
      <c r="F97" s="239" t="n"/>
      <c r="G97" s="239" t="n"/>
      <c r="H97" s="239" t="n"/>
      <c r="I97" s="239" t="n"/>
      <c r="J97" s="239" t="n"/>
      <c r="K97" s="239" t="n"/>
      <c r="L97" s="239" t="n"/>
      <c r="M97" s="239" t="n"/>
      <c r="N97" s="239" t="n"/>
      <c r="O97" s="239" t="n"/>
      <c r="P97" s="239" t="n"/>
      <c r="Q97" s="239" t="n"/>
      <c r="R97" s="239" t="n"/>
      <c r="S97" s="239" t="n"/>
      <c r="T97" s="239" t="n"/>
      <c r="U97" s="239" t="n"/>
      <c r="V97" s="239" t="n"/>
      <c r="W97" s="239" t="n"/>
      <c r="X97" s="239" t="n"/>
      <c r="Y97" s="239" t="n"/>
      <c r="Z97" s="239" t="n"/>
      <c r="AA97" s="239" t="n"/>
      <c r="AB97" s="239" t="n"/>
      <c r="AC97" s="239" t="n"/>
      <c r="AD97" s="239" t="n"/>
      <c r="AE97" s="239" t="n"/>
    </row>
    <row r="98">
      <c r="A98" s="239" t="n"/>
      <c r="B98" s="239" t="n"/>
      <c r="C98" s="239" t="n"/>
      <c r="D98" s="239" t="n"/>
      <c r="E98" s="239" t="n"/>
      <c r="F98" s="239" t="n"/>
      <c r="G98" s="239" t="n"/>
      <c r="H98" s="239" t="n"/>
      <c r="I98" s="239" t="n"/>
      <c r="J98" s="239" t="n"/>
      <c r="K98" s="239" t="n"/>
      <c r="L98" s="239" t="n"/>
      <c r="M98" s="239" t="n"/>
      <c r="N98" s="239" t="n"/>
      <c r="O98" s="239" t="n"/>
      <c r="P98" s="239" t="n"/>
      <c r="Q98" s="239" t="n"/>
      <c r="R98" s="239" t="n"/>
      <c r="S98" s="239" t="n"/>
      <c r="T98" s="239" t="n"/>
      <c r="U98" s="239" t="n"/>
      <c r="V98" s="239" t="n"/>
      <c r="W98" s="239" t="n"/>
      <c r="X98" s="239" t="n"/>
      <c r="Y98" s="239" t="n"/>
      <c r="Z98" s="239" t="n"/>
      <c r="AA98" s="239" t="n"/>
      <c r="AB98" s="239" t="n"/>
      <c r="AC98" s="239" t="n"/>
      <c r="AD98" s="239" t="n"/>
      <c r="AE98" s="239" t="n"/>
    </row>
    <row r="99">
      <c r="A99" s="239" t="n"/>
      <c r="B99" s="239" t="n"/>
      <c r="C99" s="239" t="n"/>
      <c r="D99" s="239" t="n"/>
      <c r="E99" s="239" t="n"/>
      <c r="F99" s="239" t="n"/>
      <c r="G99" s="239" t="n"/>
      <c r="H99" s="239" t="n"/>
      <c r="I99" s="239" t="n"/>
      <c r="J99" s="239" t="n"/>
      <c r="K99" s="239" t="n"/>
      <c r="L99" s="239" t="n"/>
      <c r="M99" s="239" t="n"/>
      <c r="N99" s="239" t="n"/>
      <c r="O99" s="239" t="n"/>
      <c r="P99" s="239" t="n"/>
      <c r="Q99" s="239" t="n"/>
      <c r="R99" s="239" t="n"/>
      <c r="S99" s="239" t="n"/>
      <c r="T99" s="239" t="n"/>
      <c r="U99" s="239" t="n"/>
      <c r="V99" s="239" t="n"/>
      <c r="W99" s="239" t="n"/>
      <c r="X99" s="239" t="n"/>
      <c r="Y99" s="239" t="n"/>
      <c r="Z99" s="239" t="n"/>
      <c r="AA99" s="239" t="n"/>
      <c r="AB99" s="239" t="n"/>
      <c r="AC99" s="239" t="n"/>
      <c r="AD99" s="239" t="n"/>
      <c r="AE99" s="239" t="n"/>
    </row>
    <row r="100">
      <c r="A100" s="239" t="n"/>
      <c r="B100" s="239" t="n"/>
      <c r="C100" s="239" t="n"/>
      <c r="D100" s="239" t="n"/>
      <c r="E100" s="239" t="n"/>
      <c r="F100" s="239" t="n"/>
      <c r="G100" s="239" t="n"/>
      <c r="H100" s="239" t="n"/>
      <c r="I100" s="239" t="n"/>
      <c r="J100" s="239" t="n"/>
      <c r="K100" s="239" t="n"/>
      <c r="L100" s="239" t="n"/>
      <c r="M100" s="239" t="n"/>
      <c r="N100" s="239" t="n"/>
      <c r="O100" s="239" t="n"/>
      <c r="P100" s="239" t="n"/>
      <c r="Q100" s="239" t="n"/>
      <c r="R100" s="239" t="n"/>
      <c r="S100" s="239" t="n"/>
      <c r="T100" s="239" t="n"/>
      <c r="U100" s="239" t="n"/>
      <c r="V100" s="239" t="n"/>
      <c r="W100" s="239" t="n"/>
      <c r="X100" s="239" t="n"/>
      <c r="Y100" s="239" t="n"/>
      <c r="Z100" s="239" t="n"/>
      <c r="AA100" s="239" t="n"/>
      <c r="AB100" s="239" t="n"/>
      <c r="AC100" s="239" t="n"/>
      <c r="AD100" s="239" t="n"/>
      <c r="AE100" s="239" t="n"/>
    </row>
    <row r="101">
      <c r="A101" s="239" t="n"/>
      <c r="B101" s="239" t="n"/>
      <c r="C101" s="239" t="n"/>
      <c r="D101" s="239" t="n"/>
      <c r="E101" s="239" t="n"/>
      <c r="F101" s="239" t="n"/>
      <c r="G101" s="239" t="n"/>
      <c r="H101" s="239" t="n"/>
      <c r="I101" s="239" t="n"/>
      <c r="J101" s="239" t="n"/>
      <c r="K101" s="239" t="n"/>
      <c r="L101" s="239" t="n"/>
      <c r="M101" s="239" t="n"/>
      <c r="N101" s="239" t="n"/>
      <c r="O101" s="239" t="n"/>
      <c r="P101" s="239" t="n"/>
      <c r="Q101" s="239" t="n"/>
      <c r="R101" s="239" t="n"/>
      <c r="S101" s="239" t="n"/>
      <c r="T101" s="239" t="n"/>
      <c r="U101" s="239" t="n"/>
      <c r="V101" s="239" t="n"/>
      <c r="W101" s="239" t="n"/>
      <c r="X101" s="239" t="n"/>
      <c r="Y101" s="239" t="n"/>
      <c r="Z101" s="239" t="n"/>
      <c r="AA101" s="239" t="n"/>
      <c r="AB101" s="239" t="n"/>
      <c r="AC101" s="239" t="n"/>
      <c r="AD101" s="239" t="n"/>
      <c r="AE101" s="239" t="n"/>
    </row>
    <row r="102">
      <c r="A102" s="239" t="n"/>
      <c r="B102" s="239" t="n"/>
      <c r="C102" s="239" t="n"/>
      <c r="D102" s="239" t="n"/>
      <c r="E102" s="239" t="n"/>
      <c r="F102" s="239" t="n"/>
      <c r="G102" s="239" t="n"/>
      <c r="H102" s="239" t="n"/>
      <c r="I102" s="239" t="n"/>
      <c r="J102" s="239" t="n"/>
      <c r="K102" s="239" t="n"/>
      <c r="L102" s="239" t="n"/>
      <c r="M102" s="239" t="n"/>
      <c r="N102" s="239" t="n"/>
      <c r="O102" s="239" t="n"/>
      <c r="P102" s="239" t="n"/>
      <c r="Q102" s="239" t="n"/>
      <c r="R102" s="239" t="n"/>
      <c r="S102" s="239" t="n"/>
      <c r="T102" s="239" t="n"/>
      <c r="U102" s="239" t="n"/>
      <c r="V102" s="239" t="n"/>
      <c r="W102" s="239" t="n"/>
      <c r="X102" s="239" t="n"/>
      <c r="Y102" s="239" t="n"/>
      <c r="Z102" s="239" t="n"/>
      <c r="AA102" s="239" t="n"/>
      <c r="AB102" s="239" t="n"/>
      <c r="AC102" s="239" t="n"/>
      <c r="AD102" s="239" t="n"/>
      <c r="AE102" s="239" t="n"/>
    </row>
    <row r="103">
      <c r="A103" s="239" t="n"/>
      <c r="B103" s="239" t="n"/>
      <c r="C103" s="239" t="n"/>
      <c r="D103" s="239" t="n"/>
      <c r="E103" s="239" t="n"/>
      <c r="F103" s="239" t="n"/>
      <c r="G103" s="239" t="n"/>
      <c r="H103" s="239" t="n"/>
      <c r="I103" s="239" t="n"/>
      <c r="J103" s="239" t="n"/>
      <c r="K103" s="239" t="n"/>
      <c r="L103" s="239" t="n"/>
      <c r="M103" s="239" t="n"/>
      <c r="N103" s="239" t="n"/>
      <c r="O103" s="239" t="n"/>
      <c r="P103" s="239" t="n"/>
      <c r="Q103" s="239" t="n"/>
      <c r="R103" s="239" t="n"/>
      <c r="S103" s="239" t="n"/>
      <c r="T103" s="239" t="n"/>
      <c r="U103" s="239" t="n"/>
      <c r="V103" s="239" t="n"/>
      <c r="W103" s="239" t="n"/>
      <c r="X103" s="239" t="n"/>
      <c r="Y103" s="239" t="n"/>
      <c r="Z103" s="239" t="n"/>
      <c r="AA103" s="239" t="n"/>
      <c r="AB103" s="239" t="n"/>
      <c r="AC103" s="239" t="n"/>
      <c r="AD103" s="239" t="n"/>
      <c r="AE103" s="239" t="n"/>
    </row>
    <row r="104">
      <c r="A104" s="239" t="n"/>
      <c r="B104" s="239" t="n"/>
      <c r="C104" s="239" t="n"/>
      <c r="D104" s="239" t="n"/>
      <c r="E104" s="239" t="n"/>
      <c r="F104" s="239" t="n"/>
      <c r="G104" s="239" t="n"/>
      <c r="H104" s="239" t="n"/>
      <c r="I104" s="239" t="n"/>
      <c r="J104" s="239" t="n"/>
      <c r="K104" s="239" t="n"/>
      <c r="L104" s="239" t="n"/>
      <c r="M104" s="239" t="n"/>
      <c r="N104" s="239" t="n"/>
      <c r="O104" s="239" t="n"/>
      <c r="P104" s="239" t="n"/>
      <c r="Q104" s="239" t="n"/>
      <c r="R104" s="239" t="n"/>
      <c r="S104" s="239" t="n"/>
      <c r="T104" s="239" t="n"/>
      <c r="U104" s="239" t="n"/>
      <c r="V104" s="239" t="n"/>
      <c r="W104" s="239" t="n"/>
      <c r="X104" s="239" t="n"/>
      <c r="Y104" s="239" t="n"/>
      <c r="Z104" s="239" t="n"/>
      <c r="AA104" s="239" t="n"/>
      <c r="AB104" s="239" t="n"/>
      <c r="AC104" s="239" t="n"/>
      <c r="AD104" s="239" t="n"/>
      <c r="AE104" s="239" t="n"/>
    </row>
    <row r="105">
      <c r="A105" s="239" t="n"/>
      <c r="B105" s="239" t="n"/>
      <c r="C105" s="239" t="n"/>
      <c r="D105" s="239" t="n"/>
      <c r="E105" s="239" t="n"/>
      <c r="F105" s="239" t="n"/>
      <c r="G105" s="239" t="n"/>
      <c r="H105" s="239" t="n"/>
      <c r="I105" s="239" t="n"/>
      <c r="J105" s="239" t="n"/>
      <c r="K105" s="239" t="n"/>
      <c r="L105" s="239" t="n"/>
      <c r="M105" s="239" t="n"/>
      <c r="N105" s="239" t="n"/>
      <c r="O105" s="239" t="n"/>
      <c r="P105" s="239" t="n"/>
      <c r="Q105" s="239" t="n"/>
      <c r="R105" s="239" t="n"/>
      <c r="S105" s="239" t="n"/>
      <c r="T105" s="239" t="n"/>
      <c r="U105" s="239" t="n"/>
      <c r="V105" s="239" t="n"/>
      <c r="W105" s="239" t="n"/>
      <c r="X105" s="239" t="n"/>
      <c r="Y105" s="239" t="n"/>
      <c r="Z105" s="239" t="n"/>
      <c r="AA105" s="239" t="n"/>
      <c r="AB105" s="239" t="n"/>
      <c r="AC105" s="239" t="n"/>
      <c r="AD105" s="239" t="n"/>
      <c r="AE105" s="239" t="n"/>
    </row>
    <row r="106">
      <c r="A106" s="239" t="n"/>
      <c r="B106" s="239" t="n"/>
      <c r="C106" s="239" t="n"/>
      <c r="D106" s="239" t="n"/>
      <c r="E106" s="239" t="n"/>
      <c r="F106" s="239" t="n"/>
      <c r="G106" s="239" t="n"/>
      <c r="H106" s="239" t="n"/>
      <c r="I106" s="239" t="n"/>
      <c r="J106" s="239" t="n"/>
      <c r="K106" s="239" t="n"/>
      <c r="L106" s="239" t="n"/>
      <c r="M106" s="239" t="n"/>
      <c r="N106" s="239" t="n"/>
      <c r="O106" s="239" t="n"/>
      <c r="P106" s="239" t="n"/>
      <c r="Q106" s="239" t="n"/>
      <c r="R106" s="239" t="n"/>
      <c r="S106" s="239" t="n"/>
      <c r="T106" s="239" t="n"/>
      <c r="U106" s="239" t="n"/>
      <c r="V106" s="239" t="n"/>
      <c r="W106" s="239" t="n"/>
      <c r="X106" s="239" t="n"/>
      <c r="Y106" s="239" t="n"/>
      <c r="Z106" s="239" t="n"/>
      <c r="AA106" s="239" t="n"/>
      <c r="AB106" s="239" t="n"/>
      <c r="AC106" s="239" t="n"/>
      <c r="AD106" s="239" t="n"/>
      <c r="AE106" s="239" t="n"/>
    </row>
    <row r="107">
      <c r="A107" s="239" t="n"/>
      <c r="B107" s="239" t="n"/>
      <c r="C107" s="239" t="n"/>
      <c r="D107" s="239" t="n"/>
      <c r="E107" s="239" t="n"/>
      <c r="F107" s="239" t="n"/>
      <c r="G107" s="239" t="n"/>
      <c r="H107" s="239" t="n"/>
      <c r="I107" s="239" t="n"/>
      <c r="J107" s="239" t="n"/>
      <c r="K107" s="239" t="n"/>
      <c r="L107" s="239" t="n"/>
      <c r="M107" s="239" t="n"/>
      <c r="N107" s="239" t="n"/>
      <c r="O107" s="239" t="n"/>
      <c r="P107" s="239" t="n"/>
      <c r="Q107" s="239" t="n"/>
      <c r="R107" s="239" t="n"/>
      <c r="S107" s="239" t="n"/>
      <c r="T107" s="239" t="n"/>
      <c r="U107" s="239" t="n"/>
      <c r="V107" s="239" t="n"/>
      <c r="W107" s="239" t="n"/>
      <c r="X107" s="239" t="n"/>
      <c r="Y107" s="239" t="n"/>
      <c r="Z107" s="239" t="n"/>
      <c r="AA107" s="239" t="n"/>
      <c r="AB107" s="239" t="n"/>
      <c r="AC107" s="239" t="n"/>
      <c r="AD107" s="239" t="n"/>
      <c r="AE107" s="239" t="n"/>
    </row>
    <row r="108">
      <c r="A108" s="239" t="n"/>
      <c r="B108" s="239" t="n"/>
      <c r="C108" s="239" t="n"/>
      <c r="D108" s="239" t="n"/>
      <c r="E108" s="239" t="n"/>
      <c r="F108" s="239" t="n"/>
      <c r="G108" s="239" t="n"/>
      <c r="H108" s="239" t="n"/>
      <c r="I108" s="239" t="n"/>
      <c r="J108" s="239" t="n"/>
      <c r="K108" s="239" t="n"/>
      <c r="L108" s="239" t="n"/>
      <c r="M108" s="239" t="n"/>
      <c r="N108" s="239" t="n"/>
      <c r="O108" s="239" t="n"/>
      <c r="P108" s="239" t="n"/>
      <c r="Q108" s="239" t="n"/>
      <c r="R108" s="239" t="n"/>
      <c r="S108" s="239" t="n"/>
      <c r="T108" s="239" t="n"/>
      <c r="U108" s="239" t="n"/>
      <c r="V108" s="239" t="n"/>
      <c r="W108" s="239" t="n"/>
      <c r="X108" s="239" t="n"/>
      <c r="Y108" s="239" t="n"/>
      <c r="Z108" s="239" t="n"/>
      <c r="AA108" s="239" t="n"/>
      <c r="AB108" s="239" t="n"/>
      <c r="AC108" s="239" t="n"/>
      <c r="AD108" s="239" t="n"/>
      <c r="AE108" s="239" t="n"/>
    </row>
    <row r="109">
      <c r="A109" s="239" t="n"/>
      <c r="B109" s="239" t="n"/>
      <c r="C109" s="239" t="n"/>
      <c r="D109" s="239" t="n"/>
      <c r="E109" s="239" t="n"/>
      <c r="F109" s="239" t="n"/>
      <c r="G109" s="239" t="n"/>
      <c r="H109" s="239" t="n"/>
      <c r="I109" s="239" t="n"/>
      <c r="J109" s="239" t="n"/>
      <c r="K109" s="239" t="n"/>
      <c r="L109" s="239" t="n"/>
      <c r="M109" s="239" t="n"/>
      <c r="N109" s="239" t="n"/>
      <c r="O109" s="239" t="n"/>
      <c r="P109" s="239" t="n"/>
      <c r="Q109" s="239" t="n"/>
      <c r="R109" s="239" t="n"/>
      <c r="S109" s="239" t="n"/>
      <c r="T109" s="239" t="n"/>
      <c r="U109" s="239" t="n"/>
      <c r="V109" s="239" t="n"/>
      <c r="W109" s="239" t="n"/>
      <c r="X109" s="239" t="n"/>
      <c r="Y109" s="239" t="n"/>
      <c r="Z109" s="239" t="n"/>
      <c r="AA109" s="239" t="n"/>
      <c r="AB109" s="239" t="n"/>
      <c r="AC109" s="239" t="n"/>
      <c r="AD109" s="239" t="n"/>
      <c r="AE109" s="239" t="n"/>
    </row>
    <row r="110">
      <c r="A110" s="239" t="n"/>
      <c r="B110" s="239" t="n"/>
      <c r="C110" s="239" t="n"/>
      <c r="D110" s="239" t="n"/>
      <c r="E110" s="239" t="n"/>
      <c r="F110" s="239" t="n"/>
      <c r="G110" s="239" t="n"/>
      <c r="H110" s="239" t="n"/>
      <c r="I110" s="239" t="n"/>
      <c r="J110" s="239" t="n"/>
      <c r="K110" s="239" t="n"/>
      <c r="L110" s="239" t="n"/>
      <c r="M110" s="239" t="n"/>
      <c r="N110" s="239" t="n"/>
      <c r="O110" s="239" t="n"/>
      <c r="P110" s="239" t="n"/>
      <c r="Q110" s="239" t="n"/>
      <c r="R110" s="239" t="n"/>
      <c r="S110" s="239" t="n"/>
      <c r="T110" s="239" t="n"/>
      <c r="U110" s="239" t="n"/>
      <c r="V110" s="239" t="n"/>
      <c r="W110" s="239" t="n"/>
      <c r="X110" s="239" t="n"/>
      <c r="Y110" s="239" t="n"/>
      <c r="Z110" s="239" t="n"/>
      <c r="AA110" s="239" t="n"/>
      <c r="AB110" s="239" t="n"/>
      <c r="AC110" s="239" t="n"/>
      <c r="AD110" s="239" t="n"/>
      <c r="AE110" s="239" t="n"/>
    </row>
    <row r="111">
      <c r="A111" s="239" t="n"/>
      <c r="B111" s="239" t="n"/>
      <c r="C111" s="239" t="n"/>
      <c r="D111" s="239" t="n"/>
      <c r="E111" s="239" t="n"/>
      <c r="F111" s="239" t="n"/>
      <c r="G111" s="239" t="n"/>
      <c r="H111" s="239" t="n"/>
      <c r="I111" s="239" t="n"/>
      <c r="J111" s="239" t="n"/>
      <c r="K111" s="239" t="n"/>
      <c r="L111" s="239" t="n"/>
      <c r="M111" s="239" t="n"/>
      <c r="N111" s="239" t="n"/>
      <c r="O111" s="239" t="n"/>
      <c r="P111" s="239" t="n"/>
      <c r="Q111" s="239" t="n"/>
      <c r="R111" s="239" t="n"/>
      <c r="S111" s="239" t="n"/>
      <c r="T111" s="239" t="n"/>
      <c r="U111" s="239" t="n"/>
      <c r="V111" s="239" t="n"/>
      <c r="W111" s="239" t="n"/>
      <c r="X111" s="239" t="n"/>
      <c r="Y111" s="239" t="n"/>
      <c r="Z111" s="239" t="n"/>
      <c r="AA111" s="239" t="n"/>
      <c r="AB111" s="239" t="n"/>
      <c r="AC111" s="239" t="n"/>
      <c r="AD111" s="239" t="n"/>
      <c r="AE111" s="239" t="n"/>
    </row>
    <row r="112">
      <c r="A112" s="239" t="n"/>
      <c r="B112" s="239" t="n"/>
      <c r="C112" s="239" t="n"/>
      <c r="D112" s="239" t="n"/>
      <c r="E112" s="239" t="n"/>
      <c r="F112" s="239" t="n"/>
      <c r="G112" s="239" t="n"/>
      <c r="H112" s="239" t="n"/>
      <c r="I112" s="239" t="n"/>
      <c r="J112" s="239" t="n"/>
      <c r="K112" s="239" t="n"/>
      <c r="L112" s="239" t="n"/>
      <c r="M112" s="239" t="n"/>
      <c r="N112" s="239" t="n"/>
      <c r="O112" s="239" t="n"/>
      <c r="P112" s="239" t="n"/>
      <c r="Q112" s="239" t="n"/>
      <c r="R112" s="239" t="n"/>
      <c r="S112" s="239" t="n"/>
      <c r="T112" s="239" t="n"/>
      <c r="U112" s="239" t="n"/>
      <c r="V112" s="239" t="n"/>
      <c r="W112" s="239" t="n"/>
      <c r="X112" s="239" t="n"/>
      <c r="Y112" s="239" t="n"/>
      <c r="Z112" s="239" t="n"/>
      <c r="AA112" s="239" t="n"/>
      <c r="AB112" s="239" t="n"/>
      <c r="AC112" s="239" t="n"/>
      <c r="AD112" s="239" t="n"/>
      <c r="AE112" s="239" t="n"/>
    </row>
    <row r="113">
      <c r="A113" s="239" t="n"/>
      <c r="B113" s="239" t="n"/>
      <c r="C113" s="239" t="n"/>
      <c r="D113" s="239" t="n"/>
      <c r="E113" s="239" t="n"/>
      <c r="F113" s="239" t="n"/>
      <c r="G113" s="239" t="n"/>
      <c r="H113" s="239" t="n"/>
      <c r="I113" s="239" t="n"/>
      <c r="J113" s="239" t="n"/>
      <c r="K113" s="239" t="n"/>
      <c r="L113" s="239" t="n"/>
      <c r="M113" s="239" t="n"/>
      <c r="N113" s="239" t="n"/>
      <c r="O113" s="239" t="n"/>
      <c r="P113" s="239" t="n"/>
      <c r="Q113" s="239" t="n"/>
      <c r="R113" s="239" t="n"/>
      <c r="S113" s="239" t="n"/>
      <c r="T113" s="239" t="n"/>
      <c r="U113" s="239" t="n"/>
      <c r="V113" s="239" t="n"/>
      <c r="W113" s="239" t="n"/>
      <c r="X113" s="239" t="n"/>
      <c r="Y113" s="239" t="n"/>
      <c r="Z113" s="239" t="n"/>
      <c r="AA113" s="239" t="n"/>
      <c r="AB113" s="239" t="n"/>
      <c r="AC113" s="239" t="n"/>
      <c r="AD113" s="239" t="n"/>
      <c r="AE113" s="239" t="n"/>
    </row>
    <row r="114">
      <c r="A114" s="239" t="n"/>
      <c r="B114" s="239" t="n"/>
      <c r="C114" s="239" t="n"/>
      <c r="D114" s="239" t="n"/>
      <c r="E114" s="239" t="n"/>
      <c r="F114" s="239" t="n"/>
      <c r="G114" s="239" t="n"/>
      <c r="H114" s="239" t="n"/>
      <c r="I114" s="239" t="n"/>
      <c r="J114" s="239" t="n"/>
      <c r="K114" s="239" t="n"/>
      <c r="L114" s="239" t="n"/>
      <c r="M114" s="239" t="n"/>
      <c r="N114" s="239" t="n"/>
      <c r="O114" s="239" t="n"/>
      <c r="P114" s="239" t="n"/>
      <c r="Q114" s="239" t="n"/>
      <c r="R114" s="239" t="n"/>
      <c r="S114" s="239" t="n"/>
      <c r="T114" s="239" t="n"/>
      <c r="U114" s="239" t="n"/>
      <c r="V114" s="239" t="n"/>
      <c r="W114" s="239" t="n"/>
      <c r="X114" s="239" t="n"/>
      <c r="Y114" s="239" t="n"/>
      <c r="Z114" s="239" t="n"/>
      <c r="AA114" s="239" t="n"/>
      <c r="AB114" s="239" t="n"/>
      <c r="AC114" s="239" t="n"/>
      <c r="AD114" s="239" t="n"/>
      <c r="AE114" s="239" t="n"/>
    </row>
    <row r="115">
      <c r="A115" s="239" t="n"/>
      <c r="B115" s="239" t="n"/>
      <c r="C115" s="239" t="n"/>
      <c r="D115" s="239" t="n"/>
      <c r="E115" s="239" t="n"/>
      <c r="F115" s="239" t="n"/>
      <c r="G115" s="239" t="n"/>
      <c r="H115" s="239" t="n"/>
      <c r="I115" s="239" t="n"/>
      <c r="J115" s="239" t="n"/>
      <c r="K115" s="239" t="n"/>
      <c r="L115" s="239" t="n"/>
      <c r="M115" s="239" t="n"/>
      <c r="N115" s="239" t="n"/>
      <c r="O115" s="239" t="n"/>
      <c r="P115" s="239" t="n"/>
      <c r="Q115" s="239" t="n"/>
      <c r="R115" s="239" t="n"/>
      <c r="S115" s="239" t="n"/>
      <c r="T115" s="239" t="n"/>
      <c r="U115" s="239" t="n"/>
      <c r="V115" s="239" t="n"/>
      <c r="W115" s="239" t="n"/>
      <c r="X115" s="239" t="n"/>
      <c r="Y115" s="239" t="n"/>
      <c r="Z115" s="239" t="n"/>
      <c r="AA115" s="239" t="n"/>
      <c r="AB115" s="239" t="n"/>
      <c r="AC115" s="239" t="n"/>
      <c r="AD115" s="239" t="n"/>
      <c r="AE115" s="239" t="n"/>
    </row>
    <row r="116">
      <c r="A116" s="239" t="n"/>
      <c r="B116" s="239" t="n"/>
      <c r="C116" s="239" t="n"/>
      <c r="D116" s="239" t="n"/>
      <c r="E116" s="239" t="n"/>
      <c r="F116" s="239" t="n"/>
      <c r="G116" s="239" t="n"/>
      <c r="H116" s="239" t="n"/>
      <c r="I116" s="239" t="n"/>
      <c r="J116" s="239" t="n"/>
      <c r="K116" s="239" t="n"/>
      <c r="L116" s="239" t="n"/>
      <c r="M116" s="239" t="n"/>
      <c r="N116" s="239" t="n"/>
      <c r="O116" s="239" t="n"/>
      <c r="P116" s="239" t="n"/>
      <c r="Q116" s="239" t="n"/>
      <c r="R116" s="239" t="n"/>
      <c r="S116" s="239" t="n"/>
      <c r="T116" s="239" t="n"/>
      <c r="U116" s="239" t="n"/>
      <c r="V116" s="239" t="n"/>
      <c r="W116" s="239" t="n"/>
      <c r="X116" s="239" t="n"/>
      <c r="Y116" s="239" t="n"/>
      <c r="Z116" s="239" t="n"/>
      <c r="AA116" s="239" t="n"/>
      <c r="AB116" s="239" t="n"/>
      <c r="AC116" s="239" t="n"/>
      <c r="AD116" s="239" t="n"/>
      <c r="AE116" s="239" t="n"/>
    </row>
    <row r="117">
      <c r="A117" s="239" t="n"/>
      <c r="B117" s="239" t="n"/>
      <c r="C117" s="239" t="n"/>
      <c r="D117" s="239" t="n"/>
      <c r="E117" s="239" t="n"/>
      <c r="F117" s="239" t="n"/>
      <c r="G117" s="239" t="n"/>
      <c r="H117" s="239" t="n"/>
      <c r="I117" s="239" t="n"/>
      <c r="J117" s="239" t="n"/>
      <c r="K117" s="239" t="n"/>
      <c r="L117" s="239" t="n"/>
      <c r="M117" s="239" t="n"/>
      <c r="N117" s="239" t="n"/>
      <c r="O117" s="239" t="n"/>
      <c r="P117" s="239" t="n"/>
      <c r="Q117" s="239" t="n"/>
      <c r="R117" s="239" t="n"/>
      <c r="S117" s="239" t="n"/>
      <c r="T117" s="239" t="n"/>
      <c r="U117" s="239" t="n"/>
      <c r="V117" s="239" t="n"/>
      <c r="W117" s="239" t="n"/>
      <c r="X117" s="239" t="n"/>
      <c r="Y117" s="239" t="n"/>
      <c r="Z117" s="239" t="n"/>
      <c r="AA117" s="239" t="n"/>
      <c r="AB117" s="239" t="n"/>
      <c r="AC117" s="239" t="n"/>
      <c r="AD117" s="239" t="n"/>
      <c r="AE117" s="239" t="n"/>
    </row>
    <row r="118">
      <c r="A118" s="239" t="n"/>
      <c r="B118" s="239" t="n"/>
      <c r="C118" s="239" t="n"/>
      <c r="D118" s="239" t="n"/>
      <c r="E118" s="239" t="n"/>
      <c r="F118" s="239" t="n"/>
      <c r="G118" s="239" t="n"/>
      <c r="H118" s="239" t="n"/>
      <c r="I118" s="239" t="n"/>
      <c r="J118" s="239" t="n"/>
      <c r="K118" s="239" t="n"/>
      <c r="L118" s="239" t="n"/>
      <c r="M118" s="239" t="n"/>
      <c r="N118" s="239" t="n"/>
      <c r="O118" s="239" t="n"/>
      <c r="P118" s="239" t="n"/>
      <c r="Q118" s="239" t="n"/>
      <c r="R118" s="239" t="n"/>
      <c r="S118" s="239" t="n"/>
      <c r="T118" s="239" t="n"/>
      <c r="U118" s="239" t="n"/>
      <c r="V118" s="239" t="n"/>
      <c r="W118" s="239" t="n"/>
      <c r="X118" s="239" t="n"/>
      <c r="Y118" s="239" t="n"/>
      <c r="Z118" s="239" t="n"/>
      <c r="AA118" s="239" t="n"/>
      <c r="AB118" s="239" t="n"/>
      <c r="AC118" s="239" t="n"/>
      <c r="AD118" s="239" t="n"/>
      <c r="AE118" s="239" t="n"/>
    </row>
    <row r="119">
      <c r="A119" s="239" t="n"/>
      <c r="B119" s="239" t="n"/>
      <c r="C119" s="239" t="n"/>
      <c r="D119" s="239" t="n"/>
      <c r="E119" s="239" t="n"/>
      <c r="F119" s="239" t="n"/>
      <c r="G119" s="239" t="n"/>
      <c r="H119" s="239" t="n"/>
      <c r="I119" s="239" t="n"/>
      <c r="J119" s="239" t="n"/>
      <c r="K119" s="239" t="n"/>
      <c r="L119" s="239" t="n"/>
      <c r="M119" s="239" t="n"/>
      <c r="N119" s="239" t="n"/>
      <c r="O119" s="239" t="n"/>
      <c r="P119" s="239" t="n"/>
      <c r="Q119" s="239" t="n"/>
      <c r="R119" s="239" t="n"/>
      <c r="S119" s="239" t="n"/>
      <c r="T119" s="239" t="n"/>
      <c r="U119" s="239" t="n"/>
      <c r="V119" s="239" t="n"/>
      <c r="W119" s="239" t="n"/>
      <c r="X119" s="239" t="n"/>
      <c r="Y119" s="239" t="n"/>
      <c r="Z119" s="239" t="n"/>
      <c r="AA119" s="239" t="n"/>
      <c r="AB119" s="239" t="n"/>
      <c r="AC119" s="239" t="n"/>
      <c r="AD119" s="239" t="n"/>
      <c r="AE119" s="239" t="n"/>
    </row>
    <row r="120">
      <c r="A120" s="239" t="n"/>
      <c r="B120" s="239" t="n"/>
      <c r="C120" s="239" t="n"/>
      <c r="D120" s="239" t="n"/>
      <c r="E120" s="239" t="n"/>
      <c r="F120" s="239" t="n"/>
      <c r="G120" s="239" t="n"/>
      <c r="H120" s="239" t="n"/>
      <c r="I120" s="239" t="n"/>
      <c r="J120" s="239" t="n"/>
      <c r="K120" s="239" t="n"/>
      <c r="L120" s="239" t="n"/>
      <c r="M120" s="239" t="n"/>
      <c r="N120" s="239" t="n"/>
      <c r="O120" s="239" t="n"/>
      <c r="P120" s="239" t="n"/>
      <c r="Q120" s="239" t="n"/>
      <c r="R120" s="239" t="n"/>
      <c r="S120" s="239" t="n"/>
      <c r="T120" s="239" t="n"/>
      <c r="U120" s="239" t="n"/>
      <c r="V120" s="239" t="n"/>
      <c r="W120" s="239" t="n"/>
      <c r="X120" s="239" t="n"/>
      <c r="Y120" s="239" t="n"/>
      <c r="Z120" s="239" t="n"/>
      <c r="AA120" s="239" t="n"/>
      <c r="AB120" s="239" t="n"/>
      <c r="AC120" s="239" t="n"/>
      <c r="AD120" s="239" t="n"/>
      <c r="AE120" s="239" t="n"/>
    </row>
    <row r="121">
      <c r="A121" s="239" t="n"/>
      <c r="B121" s="239" t="n"/>
      <c r="C121" s="239" t="n"/>
      <c r="D121" s="239" t="n"/>
      <c r="E121" s="239" t="n"/>
      <c r="F121" s="239" t="n"/>
      <c r="G121" s="239" t="n"/>
      <c r="H121" s="239" t="n"/>
      <c r="I121" s="239" t="n"/>
      <c r="J121" s="239" t="n"/>
      <c r="K121" s="239" t="n"/>
      <c r="L121" s="239" t="n"/>
      <c r="M121" s="239" t="n"/>
      <c r="N121" s="239" t="n"/>
      <c r="O121" s="239" t="n"/>
      <c r="P121" s="239" t="n"/>
      <c r="Q121" s="239" t="n"/>
      <c r="R121" s="239" t="n"/>
      <c r="S121" s="239" t="n"/>
      <c r="T121" s="239" t="n"/>
      <c r="U121" s="239" t="n"/>
      <c r="V121" s="239" t="n"/>
      <c r="W121" s="239" t="n"/>
      <c r="X121" s="239" t="n"/>
      <c r="Y121" s="239" t="n"/>
      <c r="Z121" s="239" t="n"/>
      <c r="AA121" s="239" t="n"/>
      <c r="AB121" s="239" t="n"/>
      <c r="AC121" s="239" t="n"/>
      <c r="AD121" s="239" t="n"/>
      <c r="AE121" s="239" t="n"/>
    </row>
    <row r="122">
      <c r="A122" s="239" t="n"/>
      <c r="B122" s="239" t="n"/>
      <c r="C122" s="239" t="n"/>
      <c r="D122" s="239" t="n"/>
      <c r="E122" s="239" t="n"/>
      <c r="F122" s="239" t="n"/>
      <c r="G122" s="239" t="n"/>
      <c r="H122" s="239" t="n"/>
      <c r="I122" s="239" t="n"/>
      <c r="J122" s="239" t="n"/>
      <c r="K122" s="239" t="n"/>
      <c r="L122" s="239" t="n"/>
      <c r="M122" s="239" t="n"/>
      <c r="N122" s="239" t="n"/>
      <c r="O122" s="239" t="n"/>
      <c r="P122" s="239" t="n"/>
      <c r="Q122" s="239" t="n"/>
      <c r="R122" s="239" t="n"/>
      <c r="S122" s="239" t="n"/>
      <c r="T122" s="239" t="n"/>
      <c r="U122" s="239" t="n"/>
      <c r="V122" s="239" t="n"/>
      <c r="W122" s="239" t="n"/>
      <c r="X122" s="239" t="n"/>
      <c r="Y122" s="239" t="n"/>
      <c r="Z122" s="239" t="n"/>
      <c r="AA122" s="239" t="n"/>
      <c r="AB122" s="239" t="n"/>
      <c r="AC122" s="239" t="n"/>
      <c r="AD122" s="239" t="n"/>
      <c r="AE122" s="239" t="n"/>
    </row>
    <row r="123">
      <c r="A123" s="239" t="n"/>
      <c r="B123" s="239" t="n"/>
      <c r="C123" s="239" t="n"/>
      <c r="D123" s="239" t="n"/>
      <c r="E123" s="239" t="n"/>
      <c r="F123" s="239" t="n"/>
      <c r="G123" s="239" t="n"/>
      <c r="H123" s="239" t="n"/>
      <c r="I123" s="239" t="n"/>
      <c r="J123" s="239" t="n"/>
      <c r="K123" s="239" t="n"/>
      <c r="L123" s="239" t="n"/>
      <c r="M123" s="239" t="n"/>
      <c r="N123" s="239" t="n"/>
      <c r="O123" s="239" t="n"/>
      <c r="P123" s="239" t="n"/>
      <c r="Q123" s="239" t="n"/>
      <c r="R123" s="239" t="n"/>
      <c r="S123" s="239" t="n"/>
      <c r="T123" s="239" t="n"/>
      <c r="U123" s="239" t="n"/>
      <c r="V123" s="239" t="n"/>
      <c r="W123" s="239" t="n"/>
      <c r="X123" s="239" t="n"/>
      <c r="Y123" s="239" t="n"/>
      <c r="Z123" s="239" t="n"/>
      <c r="AA123" s="239" t="n"/>
      <c r="AB123" s="239" t="n"/>
      <c r="AC123" s="239" t="n"/>
      <c r="AD123" s="239" t="n"/>
      <c r="AE123" s="239" t="n"/>
    </row>
    <row r="124">
      <c r="A124" s="239" t="n"/>
      <c r="B124" s="239" t="n"/>
      <c r="C124" s="239" t="n"/>
      <c r="D124" s="239" t="n"/>
      <c r="E124" s="239" t="n"/>
      <c r="F124" s="239" t="n"/>
      <c r="G124" s="239" t="n"/>
      <c r="H124" s="239" t="n"/>
      <c r="I124" s="239" t="n"/>
      <c r="J124" s="239" t="n"/>
      <c r="K124" s="239" t="n"/>
      <c r="L124" s="239" t="n"/>
      <c r="M124" s="239" t="n"/>
      <c r="N124" s="239" t="n"/>
      <c r="O124" s="239" t="n"/>
      <c r="P124" s="239" t="n"/>
      <c r="Q124" s="239" t="n"/>
      <c r="R124" s="239" t="n"/>
      <c r="S124" s="239" t="n"/>
      <c r="T124" s="239" t="n"/>
      <c r="U124" s="239" t="n"/>
      <c r="V124" s="239" t="n"/>
      <c r="W124" s="239" t="n"/>
      <c r="X124" s="239" t="n"/>
      <c r="Y124" s="239" t="n"/>
      <c r="Z124" s="239" t="n"/>
      <c r="AA124" s="239" t="n"/>
      <c r="AB124" s="239" t="n"/>
      <c r="AC124" s="239" t="n"/>
      <c r="AD124" s="239" t="n"/>
      <c r="AE124" s="239" t="n"/>
    </row>
    <row r="125">
      <c r="A125" s="239" t="n"/>
      <c r="B125" s="239" t="n"/>
      <c r="C125" s="239" t="n"/>
      <c r="D125" s="239" t="n"/>
      <c r="E125" s="239" t="n"/>
      <c r="F125" s="239" t="n"/>
      <c r="G125" s="239" t="n"/>
      <c r="H125" s="239" t="n"/>
      <c r="I125" s="239" t="n"/>
      <c r="J125" s="239" t="n"/>
      <c r="K125" s="239" t="n"/>
      <c r="L125" s="239" t="n"/>
      <c r="M125" s="239" t="n"/>
      <c r="N125" s="239" t="n"/>
      <c r="O125" s="239" t="n"/>
      <c r="P125" s="239" t="n"/>
      <c r="Q125" s="239" t="n"/>
      <c r="R125" s="239" t="n"/>
      <c r="S125" s="239" t="n"/>
      <c r="T125" s="239" t="n"/>
      <c r="U125" s="239" t="n"/>
      <c r="V125" s="239" t="n"/>
      <c r="W125" s="239" t="n"/>
      <c r="X125" s="239" t="n"/>
      <c r="Y125" s="239" t="n"/>
      <c r="Z125" s="239" t="n"/>
      <c r="AA125" s="239" t="n"/>
      <c r="AB125" s="239" t="n"/>
      <c r="AC125" s="239" t="n"/>
      <c r="AD125" s="239" t="n"/>
      <c r="AE125" s="239" t="n"/>
    </row>
    <row r="126">
      <c r="A126" s="239" t="n"/>
      <c r="B126" s="239" t="n"/>
      <c r="C126" s="239" t="n"/>
      <c r="D126" s="239" t="n"/>
      <c r="E126" s="239" t="n"/>
      <c r="F126" s="239" t="n"/>
      <c r="G126" s="239" t="n"/>
      <c r="H126" s="239" t="n"/>
      <c r="I126" s="239" t="n"/>
      <c r="J126" s="239" t="n"/>
      <c r="K126" s="239" t="n"/>
      <c r="L126" s="239" t="n"/>
      <c r="M126" s="239" t="n"/>
      <c r="N126" s="239" t="n"/>
      <c r="O126" s="239" t="n"/>
      <c r="P126" s="239" t="n"/>
      <c r="Q126" s="239" t="n"/>
      <c r="R126" s="239" t="n"/>
      <c r="S126" s="239" t="n"/>
      <c r="T126" s="239" t="n"/>
      <c r="U126" s="239" t="n"/>
      <c r="V126" s="239" t="n"/>
      <c r="W126" s="239" t="n"/>
      <c r="X126" s="239" t="n"/>
      <c r="Y126" s="239" t="n"/>
      <c r="Z126" s="239" t="n"/>
      <c r="AA126" s="239" t="n"/>
      <c r="AB126" s="239" t="n"/>
      <c r="AC126" s="239" t="n"/>
      <c r="AD126" s="239" t="n"/>
      <c r="AE126" s="239" t="n"/>
    </row>
    <row r="127">
      <c r="A127" s="239" t="n"/>
      <c r="B127" s="239" t="n"/>
      <c r="C127" s="239" t="n"/>
      <c r="D127" s="239" t="n"/>
      <c r="E127" s="239" t="n"/>
      <c r="F127" s="239" t="n"/>
      <c r="G127" s="239" t="n"/>
      <c r="H127" s="239" t="n"/>
      <c r="I127" s="239" t="n"/>
      <c r="J127" s="239" t="n"/>
      <c r="K127" s="239" t="n"/>
      <c r="L127" s="239" t="n"/>
      <c r="M127" s="239" t="n"/>
      <c r="N127" s="239" t="n"/>
      <c r="O127" s="239" t="n"/>
      <c r="P127" s="239" t="n"/>
      <c r="Q127" s="239" t="n"/>
      <c r="R127" s="239" t="n"/>
      <c r="S127" s="239" t="n"/>
      <c r="T127" s="239" t="n"/>
      <c r="U127" s="239" t="n"/>
      <c r="V127" s="239" t="n"/>
      <c r="W127" s="239" t="n"/>
      <c r="X127" s="239" t="n"/>
      <c r="Y127" s="239" t="n"/>
      <c r="Z127" s="239" t="n"/>
      <c r="AA127" s="239" t="n"/>
      <c r="AB127" s="239" t="n"/>
      <c r="AC127" s="239" t="n"/>
      <c r="AD127" s="239" t="n"/>
      <c r="AE127" s="239" t="n"/>
    </row>
    <row r="128">
      <c r="A128" s="239" t="n"/>
      <c r="B128" s="239" t="n"/>
      <c r="C128" s="239" t="n"/>
      <c r="D128" s="239" t="n"/>
      <c r="E128" s="239" t="n"/>
      <c r="F128" s="239" t="n"/>
      <c r="G128" s="239" t="n"/>
      <c r="H128" s="239" t="n"/>
      <c r="I128" s="239" t="n"/>
      <c r="J128" s="239" t="n"/>
      <c r="K128" s="239" t="n"/>
      <c r="L128" s="239" t="n"/>
      <c r="M128" s="239" t="n"/>
      <c r="N128" s="239" t="n"/>
      <c r="O128" s="239" t="n"/>
      <c r="P128" s="239" t="n"/>
      <c r="Q128" s="239" t="n"/>
      <c r="R128" s="239" t="n"/>
      <c r="S128" s="239" t="n"/>
      <c r="T128" s="239" t="n"/>
      <c r="U128" s="239" t="n"/>
      <c r="V128" s="239" t="n"/>
      <c r="W128" s="239" t="n"/>
      <c r="X128" s="239" t="n"/>
      <c r="Y128" s="239" t="n"/>
      <c r="Z128" s="239" t="n"/>
      <c r="AA128" s="239" t="n"/>
      <c r="AB128" s="239" t="n"/>
      <c r="AC128" s="239" t="n"/>
      <c r="AD128" s="239" t="n"/>
      <c r="AE128" s="239" t="n"/>
    </row>
    <row r="129">
      <c r="A129" s="239" t="n"/>
      <c r="B129" s="239" t="n"/>
      <c r="C129" s="239" t="n"/>
      <c r="D129" s="239" t="n"/>
      <c r="E129" s="239" t="n"/>
      <c r="F129" s="239" t="n"/>
      <c r="G129" s="239" t="n"/>
      <c r="H129" s="239" t="n"/>
      <c r="I129" s="239" t="n"/>
      <c r="J129" s="239" t="n"/>
      <c r="K129" s="239" t="n"/>
      <c r="L129" s="239" t="n"/>
      <c r="M129" s="239" t="n"/>
      <c r="N129" s="239" t="n"/>
      <c r="O129" s="239" t="n"/>
      <c r="P129" s="239" t="n"/>
      <c r="Q129" s="239" t="n"/>
      <c r="R129" s="239" t="n"/>
      <c r="S129" s="239" t="n"/>
      <c r="T129" s="239" t="n"/>
      <c r="U129" s="239" t="n"/>
      <c r="V129" s="239" t="n"/>
      <c r="W129" s="239" t="n"/>
      <c r="X129" s="239" t="n"/>
      <c r="Y129" s="239" t="n"/>
      <c r="Z129" s="239" t="n"/>
      <c r="AA129" s="239" t="n"/>
      <c r="AB129" s="239" t="n"/>
      <c r="AC129" s="239" t="n"/>
      <c r="AD129" s="239" t="n"/>
      <c r="AE129" s="239" t="n"/>
    </row>
    <row r="130">
      <c r="A130" s="239" t="n"/>
      <c r="B130" s="239" t="n"/>
      <c r="C130" s="239" t="n"/>
      <c r="D130" s="239" t="n"/>
      <c r="E130" s="239" t="n"/>
      <c r="F130" s="239" t="n"/>
      <c r="G130" s="239" t="n"/>
      <c r="H130" s="239" t="n"/>
      <c r="I130" s="239" t="n"/>
      <c r="J130" s="239" t="n"/>
      <c r="K130" s="239" t="n"/>
      <c r="L130" s="239" t="n"/>
      <c r="M130" s="239" t="n"/>
      <c r="N130" s="239" t="n"/>
      <c r="O130" s="239" t="n"/>
      <c r="P130" s="239" t="n"/>
      <c r="Q130" s="239" t="n"/>
      <c r="R130" s="239" t="n"/>
      <c r="S130" s="239" t="n"/>
      <c r="T130" s="239" t="n"/>
      <c r="U130" s="239" t="n"/>
      <c r="V130" s="239" t="n"/>
      <c r="W130" s="239" t="n"/>
      <c r="X130" s="239" t="n"/>
      <c r="Y130" s="239" t="n"/>
      <c r="Z130" s="239" t="n"/>
      <c r="AA130" s="239" t="n"/>
      <c r="AB130" s="239" t="n"/>
      <c r="AC130" s="239" t="n"/>
      <c r="AD130" s="239" t="n"/>
      <c r="AE130" s="239" t="n"/>
    </row>
    <row r="131">
      <c r="A131" s="239" t="n"/>
      <c r="B131" s="239" t="n"/>
      <c r="C131" s="239" t="n"/>
      <c r="D131" s="239" t="n"/>
      <c r="E131" s="239" t="n"/>
      <c r="F131" s="239" t="n"/>
      <c r="G131" s="239" t="n"/>
      <c r="H131" s="239" t="n"/>
      <c r="I131" s="239" t="n"/>
      <c r="J131" s="239" t="n"/>
      <c r="K131" s="239" t="n"/>
      <c r="L131" s="239" t="n"/>
      <c r="M131" s="239" t="n"/>
      <c r="N131" s="239" t="n"/>
      <c r="O131" s="239" t="n"/>
      <c r="P131" s="239" t="n"/>
      <c r="Q131" s="239" t="n"/>
      <c r="R131" s="239" t="n"/>
      <c r="S131" s="239" t="n"/>
      <c r="T131" s="239" t="n"/>
      <c r="U131" s="239" t="n"/>
      <c r="V131" s="239" t="n"/>
      <c r="W131" s="239" t="n"/>
      <c r="X131" s="239" t="n"/>
      <c r="Y131" s="239" t="n"/>
      <c r="Z131" s="239" t="n"/>
      <c r="AA131" s="239" t="n"/>
      <c r="AB131" s="239" t="n"/>
      <c r="AC131" s="239" t="n"/>
      <c r="AD131" s="239" t="n"/>
      <c r="AE131" s="239" t="n"/>
    </row>
    <row r="132">
      <c r="A132" s="239" t="n"/>
      <c r="B132" s="239" t="n"/>
      <c r="C132" s="239" t="n"/>
      <c r="D132" s="239" t="n"/>
      <c r="E132" s="239" t="n"/>
      <c r="F132" s="239" t="n"/>
      <c r="G132" s="239" t="n"/>
      <c r="H132" s="239" t="n"/>
      <c r="I132" s="239" t="n"/>
      <c r="J132" s="239" t="n"/>
      <c r="K132" s="239" t="n"/>
      <c r="L132" s="239" t="n"/>
      <c r="M132" s="239" t="n"/>
      <c r="N132" s="239" t="n"/>
      <c r="O132" s="239" t="n"/>
      <c r="P132" s="239" t="n"/>
      <c r="Q132" s="239" t="n"/>
      <c r="R132" s="239" t="n"/>
      <c r="S132" s="239" t="n"/>
      <c r="T132" s="239" t="n"/>
      <c r="U132" s="239" t="n"/>
      <c r="V132" s="239" t="n"/>
      <c r="W132" s="239" t="n"/>
      <c r="X132" s="239" t="n"/>
      <c r="Y132" s="239" t="n"/>
      <c r="Z132" s="239" t="n"/>
      <c r="AA132" s="239" t="n"/>
      <c r="AB132" s="239" t="n"/>
      <c r="AC132" s="239" t="n"/>
      <c r="AD132" s="239" t="n"/>
      <c r="AE132" s="239" t="n"/>
    </row>
    <row r="133">
      <c r="A133" s="239" t="n"/>
      <c r="B133" s="239" t="n"/>
      <c r="C133" s="239" t="n"/>
      <c r="D133" s="239" t="n"/>
      <c r="E133" s="239" t="n"/>
      <c r="F133" s="239" t="n"/>
      <c r="G133" s="239" t="n"/>
      <c r="H133" s="239" t="n"/>
      <c r="I133" s="239" t="n"/>
      <c r="J133" s="239" t="n"/>
      <c r="K133" s="239" t="n"/>
      <c r="L133" s="239" t="n"/>
      <c r="M133" s="239" t="n"/>
      <c r="N133" s="239" t="n"/>
      <c r="O133" s="239" t="n"/>
      <c r="P133" s="239" t="n"/>
      <c r="Q133" s="239" t="n"/>
      <c r="R133" s="239" t="n"/>
      <c r="S133" s="239" t="n"/>
      <c r="T133" s="239" t="n"/>
      <c r="U133" s="239" t="n"/>
      <c r="V133" s="239" t="n"/>
      <c r="W133" s="239" t="n"/>
      <c r="X133" s="239" t="n"/>
      <c r="Y133" s="239" t="n"/>
      <c r="Z133" s="239" t="n"/>
      <c r="AA133" s="239" t="n"/>
      <c r="AB133" s="239" t="n"/>
      <c r="AC133" s="239" t="n"/>
      <c r="AD133" s="239" t="n"/>
      <c r="AE133" s="239" t="n"/>
    </row>
    <row r="134">
      <c r="A134" s="239" t="n"/>
      <c r="B134" s="239" t="n"/>
      <c r="C134" s="239" t="n"/>
      <c r="D134" s="239" t="n"/>
      <c r="E134" s="239" t="n"/>
      <c r="F134" s="239" t="n"/>
      <c r="G134" s="239" t="n"/>
      <c r="H134" s="239" t="n"/>
      <c r="I134" s="239" t="n"/>
      <c r="J134" s="239" t="n"/>
      <c r="K134" s="239" t="n"/>
      <c r="L134" s="239" t="n"/>
      <c r="M134" s="239" t="n"/>
      <c r="N134" s="239" t="n"/>
      <c r="O134" s="239" t="n"/>
      <c r="P134" s="239" t="n"/>
      <c r="Q134" s="239" t="n"/>
      <c r="R134" s="239" t="n"/>
      <c r="S134" s="239" t="n"/>
      <c r="T134" s="239" t="n"/>
      <c r="U134" s="239" t="n"/>
      <c r="V134" s="239" t="n"/>
      <c r="W134" s="239" t="n"/>
      <c r="X134" s="239" t="n"/>
      <c r="Y134" s="239" t="n"/>
      <c r="Z134" s="239" t="n"/>
      <c r="AA134" s="239" t="n"/>
      <c r="AB134" s="239" t="n"/>
      <c r="AC134" s="239" t="n"/>
      <c r="AD134" s="239" t="n"/>
      <c r="AE134" s="239" t="n"/>
    </row>
    <row r="135">
      <c r="A135" s="239" t="n"/>
      <c r="B135" s="239" t="n"/>
      <c r="C135" s="239" t="n"/>
      <c r="D135" s="239" t="n"/>
      <c r="E135" s="239" t="n"/>
      <c r="F135" s="239" t="n"/>
      <c r="G135" s="239" t="n"/>
      <c r="H135" s="239" t="n"/>
      <c r="I135" s="239" t="n"/>
      <c r="J135" s="239" t="n"/>
      <c r="K135" s="239" t="n"/>
      <c r="L135" s="239" t="n"/>
      <c r="M135" s="239" t="n"/>
      <c r="N135" s="239" t="n"/>
      <c r="O135" s="239" t="n"/>
      <c r="P135" s="239" t="n"/>
      <c r="Q135" s="239" t="n"/>
      <c r="R135" s="239" t="n"/>
      <c r="S135" s="239" t="n"/>
      <c r="T135" s="239" t="n"/>
      <c r="U135" s="239" t="n"/>
      <c r="V135" s="239" t="n"/>
      <c r="W135" s="239" t="n"/>
      <c r="X135" s="239" t="n"/>
      <c r="Y135" s="239" t="n"/>
      <c r="Z135" s="239" t="n"/>
      <c r="AA135" s="239" t="n"/>
      <c r="AB135" s="239" t="n"/>
      <c r="AC135" s="239" t="n"/>
      <c r="AD135" s="239" t="n"/>
      <c r="AE135" s="239" t="n"/>
    </row>
    <row r="136">
      <c r="A136" s="239" t="n"/>
      <c r="B136" s="239" t="n"/>
      <c r="C136" s="239" t="n"/>
      <c r="D136" s="239" t="n"/>
      <c r="E136" s="239" t="n"/>
      <c r="F136" s="239" t="n"/>
      <c r="G136" s="239" t="n"/>
      <c r="H136" s="239" t="n"/>
      <c r="I136" s="239" t="n"/>
      <c r="J136" s="239" t="n"/>
      <c r="K136" s="239" t="n"/>
      <c r="L136" s="239" t="n"/>
      <c r="M136" s="239" t="n"/>
      <c r="N136" s="239" t="n"/>
      <c r="O136" s="239" t="n"/>
      <c r="P136" s="239" t="n"/>
      <c r="Q136" s="239" t="n"/>
      <c r="R136" s="239" t="n"/>
      <c r="S136" s="239" t="n"/>
      <c r="T136" s="239" t="n"/>
      <c r="U136" s="239" t="n"/>
      <c r="V136" s="239" t="n"/>
      <c r="W136" s="239" t="n"/>
      <c r="X136" s="239" t="n"/>
      <c r="Y136" s="239" t="n"/>
      <c r="Z136" s="239" t="n"/>
      <c r="AA136" s="239" t="n"/>
      <c r="AB136" s="239" t="n"/>
      <c r="AC136" s="239" t="n"/>
      <c r="AD136" s="239" t="n"/>
      <c r="AE136" s="239" t="n"/>
    </row>
    <row r="137">
      <c r="A137" s="239" t="n"/>
      <c r="B137" s="239" t="n"/>
      <c r="C137" s="239" t="n"/>
      <c r="D137" s="239" t="n"/>
      <c r="E137" s="239" t="n"/>
      <c r="F137" s="239" t="n"/>
      <c r="G137" s="239" t="n"/>
      <c r="H137" s="239" t="n"/>
      <c r="I137" s="239" t="n"/>
      <c r="J137" s="239" t="n"/>
      <c r="K137" s="239" t="n"/>
      <c r="L137" s="239" t="n"/>
      <c r="M137" s="239" t="n"/>
      <c r="N137" s="239" t="n"/>
      <c r="O137" s="239" t="n"/>
      <c r="P137" s="239" t="n"/>
      <c r="Q137" s="239" t="n"/>
      <c r="R137" s="239" t="n"/>
      <c r="S137" s="239" t="n"/>
      <c r="T137" s="239" t="n"/>
      <c r="U137" s="239" t="n"/>
      <c r="V137" s="239" t="n"/>
      <c r="W137" s="239" t="n"/>
      <c r="X137" s="239" t="n"/>
      <c r="Y137" s="239" t="n"/>
      <c r="Z137" s="239" t="n"/>
      <c r="AA137" s="239" t="n"/>
      <c r="AB137" s="239" t="n"/>
      <c r="AC137" s="239" t="n"/>
      <c r="AD137" s="239" t="n"/>
      <c r="AE137" s="239" t="n"/>
    </row>
    <row r="138">
      <c r="A138" s="239" t="n"/>
      <c r="B138" s="239" t="n"/>
      <c r="C138" s="239" t="n"/>
      <c r="D138" s="239" t="n"/>
      <c r="E138" s="239" t="n"/>
      <c r="F138" s="239" t="n"/>
      <c r="G138" s="239" t="n"/>
      <c r="H138" s="239" t="n"/>
      <c r="I138" s="239" t="n"/>
      <c r="J138" s="239" t="n"/>
      <c r="K138" s="239" t="n"/>
      <c r="L138" s="239" t="n"/>
      <c r="M138" s="239" t="n"/>
      <c r="N138" s="239" t="n"/>
      <c r="O138" s="239" t="n"/>
      <c r="P138" s="239" t="n"/>
      <c r="Q138" s="239" t="n"/>
      <c r="R138" s="239" t="n"/>
      <c r="S138" s="239" t="n"/>
      <c r="T138" s="239" t="n"/>
      <c r="U138" s="239" t="n"/>
      <c r="V138" s="239" t="n"/>
      <c r="W138" s="239" t="n"/>
      <c r="X138" s="239" t="n"/>
      <c r="Y138" s="239" t="n"/>
      <c r="Z138" s="239" t="n"/>
      <c r="AA138" s="239" t="n"/>
      <c r="AB138" s="239" t="n"/>
      <c r="AC138" s="239" t="n"/>
      <c r="AD138" s="239" t="n"/>
      <c r="AE138" s="239" t="n"/>
    </row>
    <row r="139">
      <c r="A139" s="239" t="n"/>
      <c r="B139" s="239" t="n"/>
      <c r="C139" s="239" t="n"/>
      <c r="D139" s="239" t="n"/>
      <c r="E139" s="239" t="n"/>
      <c r="F139" s="239" t="n"/>
      <c r="G139" s="239" t="n"/>
      <c r="H139" s="239" t="n"/>
      <c r="I139" s="239" t="n"/>
      <c r="J139" s="239" t="n"/>
      <c r="K139" s="239" t="n"/>
      <c r="L139" s="239" t="n"/>
      <c r="M139" s="239" t="n"/>
      <c r="N139" s="239" t="n"/>
      <c r="O139" s="239" t="n"/>
      <c r="P139" s="239" t="n"/>
      <c r="Q139" s="239" t="n"/>
      <c r="R139" s="239" t="n"/>
      <c r="S139" s="239" t="n"/>
      <c r="T139" s="239" t="n"/>
      <c r="U139" s="239" t="n"/>
      <c r="V139" s="239" t="n"/>
      <c r="W139" s="239" t="n"/>
      <c r="X139" s="239" t="n"/>
      <c r="Y139" s="239" t="n"/>
      <c r="Z139" s="239" t="n"/>
      <c r="AA139" s="239" t="n"/>
      <c r="AB139" s="239" t="n"/>
      <c r="AC139" s="239" t="n"/>
      <c r="AD139" s="239" t="n"/>
      <c r="AE139" s="239" t="n"/>
    </row>
    <row r="140">
      <c r="A140" s="239" t="n"/>
      <c r="B140" s="239" t="n"/>
      <c r="C140" s="239" t="n"/>
      <c r="D140" s="239" t="n"/>
      <c r="E140" s="239" t="n"/>
      <c r="F140" s="239" t="n"/>
      <c r="G140" s="239" t="n"/>
      <c r="H140" s="239" t="n"/>
      <c r="I140" s="239" t="n"/>
      <c r="J140" s="239" t="n"/>
      <c r="K140" s="239" t="n"/>
      <c r="L140" s="239" t="n"/>
      <c r="M140" s="239" t="n"/>
      <c r="N140" s="239" t="n"/>
      <c r="O140" s="239" t="n"/>
      <c r="P140" s="239" t="n"/>
      <c r="Q140" s="239" t="n"/>
      <c r="R140" s="239" t="n"/>
      <c r="S140" s="239" t="n"/>
      <c r="T140" s="239" t="n"/>
      <c r="U140" s="239" t="n"/>
      <c r="V140" s="239" t="n"/>
      <c r="W140" s="239" t="n"/>
      <c r="X140" s="239" t="n"/>
      <c r="Y140" s="239" t="n"/>
      <c r="Z140" s="239" t="n"/>
      <c r="AA140" s="239" t="n"/>
      <c r="AB140" s="239" t="n"/>
      <c r="AC140" s="239" t="n"/>
      <c r="AD140" s="239" t="n"/>
      <c r="AE140" s="239" t="n"/>
    </row>
    <row r="141">
      <c r="A141" s="239" t="n"/>
      <c r="B141" s="239" t="n"/>
      <c r="C141" s="239" t="n"/>
      <c r="D141" s="239" t="n"/>
      <c r="E141" s="239" t="n"/>
      <c r="F141" s="239" t="n"/>
      <c r="G141" s="239" t="n"/>
      <c r="H141" s="239" t="n"/>
      <c r="I141" s="239" t="n"/>
      <c r="J141" s="239" t="n"/>
      <c r="K141" s="239" t="n"/>
      <c r="L141" s="239" t="n"/>
      <c r="M141" s="239" t="n"/>
      <c r="N141" s="239" t="n"/>
      <c r="O141" s="239" t="n"/>
      <c r="P141" s="239" t="n"/>
      <c r="Q141" s="239" t="n"/>
      <c r="R141" s="239" t="n"/>
      <c r="S141" s="239" t="n"/>
      <c r="T141" s="239" t="n"/>
      <c r="U141" s="239" t="n"/>
      <c r="V141" s="239" t="n"/>
      <c r="W141" s="239" t="n"/>
      <c r="X141" s="239" t="n"/>
      <c r="Y141" s="239" t="n"/>
      <c r="Z141" s="239" t="n"/>
      <c r="AA141" s="239" t="n"/>
      <c r="AB141" s="239" t="n"/>
      <c r="AC141" s="239" t="n"/>
      <c r="AD141" s="239" t="n"/>
      <c r="AE141" s="239" t="n"/>
    </row>
    <row r="142">
      <c r="A142" s="239" t="n"/>
      <c r="B142" s="239" t="n"/>
      <c r="C142" s="239" t="n"/>
      <c r="D142" s="239" t="n"/>
      <c r="E142" s="239" t="n"/>
      <c r="F142" s="239" t="n"/>
      <c r="G142" s="239" t="n"/>
      <c r="H142" s="239" t="n"/>
      <c r="I142" s="239" t="n"/>
      <c r="J142" s="239" t="n"/>
      <c r="K142" s="239" t="n"/>
      <c r="L142" s="239" t="n"/>
      <c r="M142" s="239" t="n"/>
      <c r="N142" s="239" t="n"/>
      <c r="O142" s="239" t="n"/>
      <c r="P142" s="239" t="n"/>
      <c r="Q142" s="239" t="n"/>
      <c r="R142" s="239" t="n"/>
      <c r="S142" s="239" t="n"/>
      <c r="T142" s="239" t="n"/>
      <c r="U142" s="239" t="n"/>
      <c r="V142" s="239" t="n"/>
      <c r="W142" s="239" t="n"/>
      <c r="X142" s="239" t="n"/>
      <c r="Y142" s="239" t="n"/>
      <c r="Z142" s="239" t="n"/>
      <c r="AA142" s="239" t="n"/>
      <c r="AB142" s="239" t="n"/>
      <c r="AC142" s="239" t="n"/>
      <c r="AD142" s="239" t="n"/>
      <c r="AE142" s="239" t="n"/>
    </row>
    <row r="143">
      <c r="A143" s="239" t="n"/>
      <c r="B143" s="239" t="n"/>
      <c r="C143" s="239" t="n"/>
      <c r="D143" s="239" t="n"/>
      <c r="E143" s="239" t="n"/>
      <c r="F143" s="239" t="n"/>
      <c r="G143" s="239" t="n"/>
      <c r="H143" s="239" t="n"/>
      <c r="I143" s="239" t="n"/>
      <c r="J143" s="239" t="n"/>
      <c r="K143" s="239" t="n"/>
      <c r="L143" s="239" t="n"/>
      <c r="M143" s="239" t="n"/>
      <c r="N143" s="239" t="n"/>
      <c r="O143" s="239" t="n"/>
      <c r="P143" s="239" t="n"/>
      <c r="Q143" s="239" t="n"/>
      <c r="R143" s="239" t="n"/>
      <c r="S143" s="239" t="n"/>
      <c r="T143" s="239" t="n"/>
      <c r="U143" s="239" t="n"/>
      <c r="V143" s="239" t="n"/>
      <c r="W143" s="239" t="n"/>
      <c r="X143" s="239" t="n"/>
      <c r="Y143" s="239" t="n"/>
      <c r="Z143" s="239" t="n"/>
      <c r="AA143" s="239" t="n"/>
      <c r="AB143" s="239" t="n"/>
      <c r="AC143" s="239" t="n"/>
      <c r="AD143" s="239" t="n"/>
      <c r="AE143" s="239" t="n"/>
    </row>
    <row r="144">
      <c r="A144" s="239" t="n"/>
      <c r="B144" s="239" t="n"/>
      <c r="C144" s="239" t="n"/>
      <c r="D144" s="239" t="n"/>
      <c r="E144" s="239" t="n"/>
      <c r="F144" s="239" t="n"/>
      <c r="G144" s="239" t="n"/>
      <c r="H144" s="239" t="n"/>
      <c r="I144" s="239" t="n"/>
      <c r="J144" s="239" t="n"/>
      <c r="K144" s="239" t="n"/>
      <c r="L144" s="239" t="n"/>
      <c r="M144" s="239" t="n"/>
      <c r="N144" s="239" t="n"/>
      <c r="O144" s="239" t="n"/>
      <c r="P144" s="239" t="n"/>
      <c r="Q144" s="239" t="n"/>
      <c r="R144" s="239" t="n"/>
      <c r="S144" s="239" t="n"/>
      <c r="T144" s="239" t="n"/>
      <c r="U144" s="239" t="n"/>
      <c r="V144" s="239" t="n"/>
      <c r="W144" s="239" t="n"/>
      <c r="X144" s="239" t="n"/>
      <c r="Y144" s="239" t="n"/>
      <c r="Z144" s="239" t="n"/>
      <c r="AA144" s="239" t="n"/>
      <c r="AB144" s="239" t="n"/>
      <c r="AC144" s="239" t="n"/>
      <c r="AD144" s="239" t="n"/>
      <c r="AE144" s="239" t="n"/>
    </row>
    <row r="145">
      <c r="A145" s="239" t="n"/>
      <c r="B145" s="239" t="n"/>
      <c r="C145" s="239" t="n"/>
      <c r="D145" s="239" t="n"/>
      <c r="E145" s="239" t="n"/>
      <c r="F145" s="239" t="n"/>
      <c r="G145" s="239" t="n"/>
      <c r="H145" s="239" t="n"/>
      <c r="I145" s="239" t="n"/>
      <c r="J145" s="239" t="n"/>
      <c r="K145" s="239" t="n"/>
      <c r="L145" s="239" t="n"/>
      <c r="M145" s="239" t="n"/>
      <c r="N145" s="239" t="n"/>
      <c r="O145" s="239" t="n"/>
      <c r="P145" s="239" t="n"/>
      <c r="Q145" s="239" t="n"/>
      <c r="R145" s="239" t="n"/>
      <c r="S145" s="239" t="n"/>
      <c r="T145" s="239" t="n"/>
      <c r="U145" s="239" t="n"/>
      <c r="V145" s="239" t="n"/>
      <c r="W145" s="239" t="n"/>
      <c r="X145" s="239" t="n"/>
      <c r="Y145" s="239" t="n"/>
      <c r="Z145" s="239" t="n"/>
      <c r="AA145" s="239" t="n"/>
      <c r="AB145" s="239" t="n"/>
      <c r="AC145" s="239" t="n"/>
      <c r="AD145" s="239" t="n"/>
      <c r="AE145" s="239" t="n"/>
    </row>
    <row r="146">
      <c r="A146" s="239" t="n"/>
      <c r="B146" s="239" t="n"/>
      <c r="C146" s="239" t="n"/>
      <c r="D146" s="239" t="n"/>
      <c r="E146" s="239" t="n"/>
      <c r="F146" s="239" t="n"/>
      <c r="G146" s="239" t="n"/>
      <c r="H146" s="239" t="n"/>
      <c r="I146" s="239" t="n"/>
      <c r="J146" s="239" t="n"/>
      <c r="K146" s="239" t="n"/>
      <c r="L146" s="239" t="n"/>
      <c r="M146" s="239" t="n"/>
      <c r="N146" s="239" t="n"/>
      <c r="O146" s="239" t="n"/>
      <c r="P146" s="239" t="n"/>
      <c r="Q146" s="239" t="n"/>
      <c r="R146" s="239" t="n"/>
      <c r="S146" s="239" t="n"/>
      <c r="T146" s="239" t="n"/>
      <c r="U146" s="239" t="n"/>
      <c r="V146" s="239" t="n"/>
      <c r="W146" s="239" t="n"/>
      <c r="X146" s="239" t="n"/>
      <c r="Y146" s="239" t="n"/>
      <c r="Z146" s="239" t="n"/>
      <c r="AA146" s="239" t="n"/>
      <c r="AB146" s="239" t="n"/>
      <c r="AC146" s="239" t="n"/>
      <c r="AD146" s="239" t="n"/>
      <c r="AE146" s="239" t="n"/>
    </row>
    <row r="147">
      <c r="A147" s="239" t="n"/>
      <c r="B147" s="239" t="n"/>
      <c r="C147" s="239" t="n"/>
      <c r="D147" s="239" t="n"/>
      <c r="E147" s="239" t="n"/>
      <c r="F147" s="239" t="n"/>
      <c r="G147" s="239" t="n"/>
      <c r="H147" s="239" t="n"/>
      <c r="I147" s="239" t="n"/>
      <c r="J147" s="239" t="n"/>
      <c r="K147" s="239" t="n"/>
      <c r="L147" s="239" t="n"/>
      <c r="M147" s="239" t="n"/>
      <c r="N147" s="239" t="n"/>
      <c r="O147" s="239" t="n"/>
      <c r="P147" s="239" t="n"/>
      <c r="Q147" s="239" t="n"/>
      <c r="R147" s="239" t="n"/>
      <c r="S147" s="239" t="n"/>
      <c r="T147" s="239" t="n"/>
      <c r="U147" s="239" t="n"/>
      <c r="V147" s="239" t="n"/>
      <c r="W147" s="239" t="n"/>
      <c r="X147" s="239" t="n"/>
      <c r="Y147" s="239" t="n"/>
      <c r="Z147" s="239" t="n"/>
      <c r="AA147" s="239" t="n"/>
      <c r="AB147" s="239" t="n"/>
      <c r="AC147" s="239" t="n"/>
      <c r="AD147" s="239" t="n"/>
      <c r="AE147" s="239" t="n"/>
    </row>
    <row r="148">
      <c r="A148" s="239" t="n"/>
      <c r="B148" s="239" t="n"/>
      <c r="C148" s="239" t="n"/>
      <c r="D148" s="239" t="n"/>
      <c r="E148" s="239" t="n"/>
      <c r="F148" s="239" t="n"/>
      <c r="G148" s="239" t="n"/>
      <c r="H148" s="239" t="n"/>
      <c r="I148" s="239" t="n"/>
      <c r="J148" s="239" t="n"/>
      <c r="K148" s="239" t="n"/>
      <c r="L148" s="239" t="n"/>
      <c r="M148" s="239" t="n"/>
      <c r="N148" s="239" t="n"/>
      <c r="O148" s="239" t="n"/>
      <c r="P148" s="239" t="n"/>
      <c r="Q148" s="239" t="n"/>
      <c r="R148" s="239" t="n"/>
      <c r="S148" s="239" t="n"/>
      <c r="T148" s="239" t="n"/>
      <c r="U148" s="239" t="n"/>
      <c r="V148" s="239" t="n"/>
      <c r="W148" s="239" t="n"/>
      <c r="X148" s="239" t="n"/>
      <c r="Y148" s="239" t="n"/>
      <c r="Z148" s="239" t="n"/>
      <c r="AA148" s="239" t="n"/>
      <c r="AB148" s="239" t="n"/>
      <c r="AC148" s="239" t="n"/>
      <c r="AD148" s="239" t="n"/>
      <c r="AE148" s="239" t="n"/>
    </row>
    <row r="149">
      <c r="A149" s="239" t="n"/>
      <c r="B149" s="239" t="n"/>
      <c r="C149" s="239" t="n"/>
      <c r="D149" s="239" t="n"/>
      <c r="E149" s="239" t="n"/>
      <c r="F149" s="239" t="n"/>
      <c r="G149" s="239" t="n"/>
      <c r="H149" s="239" t="n"/>
      <c r="I149" s="239" t="n"/>
      <c r="J149" s="239" t="n"/>
      <c r="K149" s="239" t="n"/>
      <c r="L149" s="239" t="n"/>
      <c r="M149" s="239" t="n"/>
      <c r="N149" s="239" t="n"/>
      <c r="O149" s="239" t="n"/>
      <c r="P149" s="239" t="n"/>
      <c r="Q149" s="239" t="n"/>
      <c r="R149" s="239" t="n"/>
      <c r="S149" s="239" t="n"/>
      <c r="T149" s="239" t="n"/>
      <c r="U149" s="239" t="n"/>
      <c r="V149" s="239" t="n"/>
      <c r="W149" s="239" t="n"/>
      <c r="X149" s="239" t="n"/>
      <c r="Y149" s="239" t="n"/>
      <c r="Z149" s="239" t="n"/>
      <c r="AA149" s="239" t="n"/>
      <c r="AB149" s="239" t="n"/>
      <c r="AC149" s="239" t="n"/>
      <c r="AD149" s="239" t="n"/>
      <c r="AE149" s="239" t="n"/>
    </row>
    <row r="150">
      <c r="A150" s="239" t="n"/>
      <c r="B150" s="239" t="n"/>
      <c r="C150" s="239" t="n"/>
      <c r="D150" s="239" t="n"/>
      <c r="E150" s="239" t="n"/>
      <c r="F150" s="239" t="n"/>
      <c r="G150" s="239" t="n"/>
      <c r="H150" s="239" t="n"/>
      <c r="I150" s="239" t="n"/>
      <c r="J150" s="239" t="n"/>
      <c r="K150" s="239" t="n"/>
      <c r="L150" s="239" t="n"/>
      <c r="M150" s="239" t="n"/>
      <c r="N150" s="239" t="n"/>
      <c r="O150" s="239" t="n"/>
      <c r="P150" s="239" t="n"/>
      <c r="Q150" s="239" t="n"/>
      <c r="R150" s="239" t="n"/>
      <c r="S150" s="239" t="n"/>
      <c r="T150" s="239" t="n"/>
      <c r="U150" s="239" t="n"/>
      <c r="V150" s="239" t="n"/>
      <c r="W150" s="239" t="n"/>
      <c r="X150" s="239" t="n"/>
      <c r="Y150" s="239" t="n"/>
      <c r="Z150" s="239" t="n"/>
      <c r="AA150" s="239" t="n"/>
      <c r="AB150" s="239" t="n"/>
      <c r="AC150" s="239" t="n"/>
      <c r="AD150" s="239" t="n"/>
      <c r="AE150" s="239" t="n"/>
    </row>
    <row r="151">
      <c r="A151" s="239" t="n"/>
      <c r="B151" s="239" t="n"/>
      <c r="C151" s="239" t="n"/>
      <c r="D151" s="239" t="n"/>
      <c r="E151" s="239" t="n"/>
      <c r="F151" s="239" t="n"/>
      <c r="G151" s="239" t="n"/>
      <c r="H151" s="239" t="n"/>
      <c r="I151" s="239" t="n"/>
      <c r="J151" s="239" t="n"/>
      <c r="K151" s="239" t="n"/>
      <c r="L151" s="239" t="n"/>
      <c r="M151" s="239" t="n"/>
      <c r="N151" s="239" t="n"/>
      <c r="O151" s="239" t="n"/>
      <c r="P151" s="239" t="n"/>
      <c r="Q151" s="239" t="n"/>
      <c r="R151" s="239" t="n"/>
      <c r="S151" s="239" t="n"/>
      <c r="T151" s="239" t="n"/>
      <c r="U151" s="239" t="n"/>
      <c r="V151" s="239" t="n"/>
      <c r="W151" s="239" t="n"/>
      <c r="X151" s="239" t="n"/>
      <c r="Y151" s="239" t="n"/>
      <c r="Z151" s="239" t="n"/>
      <c r="AA151" s="239" t="n"/>
      <c r="AB151" s="239" t="n"/>
      <c r="AC151" s="239" t="n"/>
      <c r="AD151" s="239" t="n"/>
      <c r="AE151" s="239" t="n"/>
    </row>
    <row r="152">
      <c r="A152" s="239" t="n"/>
      <c r="B152" s="239" t="n"/>
      <c r="C152" s="239" t="n"/>
      <c r="D152" s="239" t="n"/>
      <c r="E152" s="239" t="n"/>
      <c r="F152" s="239" t="n"/>
      <c r="G152" s="239" t="n"/>
      <c r="H152" s="239" t="n"/>
      <c r="I152" s="239" t="n"/>
      <c r="J152" s="239" t="n"/>
      <c r="K152" s="239" t="n"/>
      <c r="L152" s="239" t="n"/>
      <c r="M152" s="239" t="n"/>
      <c r="N152" s="239" t="n"/>
      <c r="O152" s="239" t="n"/>
      <c r="P152" s="239" t="n"/>
      <c r="Q152" s="239" t="n"/>
      <c r="R152" s="239" t="n"/>
      <c r="S152" s="239" t="n"/>
      <c r="T152" s="239" t="n"/>
      <c r="U152" s="239" t="n"/>
      <c r="V152" s="239" t="n"/>
      <c r="W152" s="239" t="n"/>
      <c r="X152" s="239" t="n"/>
      <c r="Y152" s="239" t="n"/>
      <c r="Z152" s="239" t="n"/>
      <c r="AA152" s="239" t="n"/>
      <c r="AB152" s="239" t="n"/>
      <c r="AC152" s="239" t="n"/>
      <c r="AD152" s="239" t="n"/>
      <c r="AE152" s="239" t="n"/>
    </row>
    <row r="153">
      <c r="A153" s="239" t="n"/>
      <c r="B153" s="239" t="n"/>
      <c r="C153" s="239" t="n"/>
      <c r="D153" s="239" t="n"/>
      <c r="E153" s="239" t="n"/>
      <c r="F153" s="239" t="n"/>
      <c r="G153" s="239" t="n"/>
      <c r="H153" s="239" t="n"/>
      <c r="I153" s="239" t="n"/>
      <c r="J153" s="239" t="n"/>
      <c r="K153" s="239" t="n"/>
      <c r="L153" s="239" t="n"/>
      <c r="M153" s="239" t="n"/>
      <c r="N153" s="239" t="n"/>
      <c r="O153" s="239" t="n"/>
      <c r="P153" s="239" t="n"/>
      <c r="Q153" s="239" t="n"/>
      <c r="R153" s="239" t="n"/>
      <c r="S153" s="239" t="n"/>
      <c r="T153" s="239" t="n"/>
      <c r="U153" s="239" t="n"/>
      <c r="V153" s="239" t="n"/>
      <c r="W153" s="239" t="n"/>
      <c r="X153" s="239" t="n"/>
      <c r="Y153" s="239" t="n"/>
      <c r="Z153" s="239" t="n"/>
      <c r="AA153" s="239" t="n"/>
      <c r="AB153" s="239" t="n"/>
      <c r="AC153" s="239" t="n"/>
      <c r="AD153" s="239" t="n"/>
      <c r="AE153" s="239" t="n"/>
    </row>
    <row r="154">
      <c r="A154" s="239" t="n"/>
      <c r="B154" s="239" t="n"/>
      <c r="C154" s="239" t="n"/>
      <c r="D154" s="239" t="n"/>
      <c r="E154" s="239" t="n"/>
      <c r="F154" s="239" t="n"/>
      <c r="G154" s="239" t="n"/>
      <c r="H154" s="239" t="n"/>
      <c r="I154" s="239" t="n"/>
      <c r="J154" s="239" t="n"/>
      <c r="K154" s="239" t="n"/>
      <c r="L154" s="239" t="n"/>
      <c r="M154" s="239" t="n"/>
      <c r="N154" s="239" t="n"/>
      <c r="O154" s="239" t="n"/>
      <c r="P154" s="239" t="n"/>
      <c r="Q154" s="239" t="n"/>
      <c r="R154" s="239" t="n"/>
      <c r="S154" s="239" t="n"/>
      <c r="T154" s="239" t="n"/>
      <c r="U154" s="239" t="n"/>
      <c r="V154" s="239" t="n"/>
      <c r="W154" s="239" t="n"/>
      <c r="X154" s="239" t="n"/>
      <c r="Y154" s="239" t="n"/>
      <c r="Z154" s="239" t="n"/>
      <c r="AA154" s="239" t="n"/>
      <c r="AB154" s="239" t="n"/>
      <c r="AC154" s="239" t="n"/>
      <c r="AD154" s="239" t="n"/>
      <c r="AE154" s="239" t="n"/>
    </row>
    <row r="155">
      <c r="A155" s="239" t="n"/>
      <c r="B155" s="239" t="n"/>
      <c r="C155" s="239" t="n"/>
      <c r="D155" s="239" t="n"/>
      <c r="E155" s="239" t="n"/>
      <c r="F155" s="239" t="n"/>
      <c r="G155" s="239" t="n"/>
      <c r="H155" s="239" t="n"/>
      <c r="I155" s="239" t="n"/>
      <c r="J155" s="239" t="n"/>
      <c r="K155" s="239" t="n"/>
      <c r="L155" s="239" t="n"/>
      <c r="M155" s="239" t="n"/>
      <c r="N155" s="239" t="n"/>
      <c r="O155" s="239" t="n"/>
      <c r="P155" s="239" t="n"/>
      <c r="Q155" s="239" t="n"/>
      <c r="R155" s="239" t="n"/>
      <c r="S155" s="239" t="n"/>
      <c r="T155" s="239" t="n"/>
      <c r="U155" s="239" t="n"/>
      <c r="V155" s="239" t="n"/>
      <c r="W155" s="239" t="n"/>
      <c r="X155" s="239" t="n"/>
      <c r="Y155" s="239" t="n"/>
      <c r="Z155" s="239" t="n"/>
      <c r="AA155" s="239" t="n"/>
      <c r="AB155" s="239" t="n"/>
      <c r="AC155" s="239" t="n"/>
      <c r="AD155" s="239" t="n"/>
      <c r="AE155" s="239" t="n"/>
    </row>
    <row r="156">
      <c r="A156" s="239" t="n"/>
      <c r="B156" s="239" t="n"/>
      <c r="C156" s="239" t="n"/>
      <c r="D156" s="239" t="n"/>
      <c r="E156" s="239" t="n"/>
      <c r="F156" s="239" t="n"/>
      <c r="G156" s="239" t="n"/>
      <c r="H156" s="239" t="n"/>
      <c r="I156" s="239" t="n"/>
      <c r="J156" s="239" t="n"/>
      <c r="K156" s="239" t="n"/>
      <c r="L156" s="239" t="n"/>
      <c r="M156" s="239" t="n"/>
      <c r="N156" s="239" t="n"/>
      <c r="O156" s="239" t="n"/>
      <c r="P156" s="239" t="n"/>
      <c r="Q156" s="239" t="n"/>
      <c r="R156" s="239" t="n"/>
      <c r="S156" s="239" t="n"/>
      <c r="T156" s="239" t="n"/>
      <c r="U156" s="239" t="n"/>
      <c r="V156" s="239" t="n"/>
      <c r="W156" s="239" t="n"/>
      <c r="X156" s="239" t="n"/>
      <c r="Y156" s="239" t="n"/>
      <c r="Z156" s="239" t="n"/>
      <c r="AA156" s="239" t="n"/>
      <c r="AB156" s="239" t="n"/>
      <c r="AC156" s="239" t="n"/>
      <c r="AD156" s="239" t="n"/>
      <c r="AE156" s="239" t="n"/>
    </row>
    <row r="157">
      <c r="A157" s="239" t="n"/>
      <c r="B157" s="239" t="n"/>
      <c r="C157" s="239" t="n"/>
      <c r="D157" s="239" t="n"/>
      <c r="E157" s="239" t="n"/>
      <c r="F157" s="239" t="n"/>
      <c r="G157" s="239" t="n"/>
      <c r="H157" s="239" t="n"/>
      <c r="I157" s="239" t="n"/>
      <c r="J157" s="239" t="n"/>
      <c r="K157" s="239" t="n"/>
      <c r="L157" s="239" t="n"/>
      <c r="M157" s="239" t="n"/>
      <c r="N157" s="239" t="n"/>
      <c r="O157" s="239" t="n"/>
      <c r="P157" s="239" t="n"/>
      <c r="Q157" s="239" t="n"/>
      <c r="R157" s="239" t="n"/>
      <c r="S157" s="239" t="n"/>
      <c r="T157" s="239" t="n"/>
      <c r="U157" s="239" t="n"/>
      <c r="V157" s="239" t="n"/>
      <c r="W157" s="239" t="n"/>
      <c r="X157" s="239" t="n"/>
      <c r="Y157" s="239" t="n"/>
      <c r="Z157" s="239" t="n"/>
      <c r="AA157" s="239" t="n"/>
      <c r="AB157" s="239" t="n"/>
      <c r="AC157" s="239" t="n"/>
      <c r="AD157" s="239" t="n"/>
      <c r="AE157" s="239" t="n"/>
    </row>
    <row r="158">
      <c r="A158" s="239" t="n"/>
      <c r="B158" s="239" t="n"/>
      <c r="C158" s="239" t="n"/>
      <c r="D158" s="239" t="n"/>
      <c r="E158" s="239" t="n"/>
      <c r="F158" s="239" t="n"/>
      <c r="G158" s="239" t="n"/>
      <c r="H158" s="239" t="n"/>
      <c r="I158" s="239" t="n"/>
      <c r="J158" s="239" t="n"/>
      <c r="K158" s="239" t="n"/>
      <c r="L158" s="239" t="n"/>
      <c r="M158" s="239" t="n"/>
      <c r="N158" s="239" t="n"/>
      <c r="O158" s="239" t="n"/>
      <c r="P158" s="239" t="n"/>
      <c r="Q158" s="239" t="n"/>
      <c r="R158" s="239" t="n"/>
      <c r="S158" s="239" t="n"/>
      <c r="T158" s="239" t="n"/>
      <c r="U158" s="239" t="n"/>
      <c r="V158" s="239" t="n"/>
      <c r="W158" s="239" t="n"/>
      <c r="X158" s="239" t="n"/>
      <c r="Y158" s="239" t="n"/>
      <c r="Z158" s="239" t="n"/>
      <c r="AA158" s="239" t="n"/>
      <c r="AB158" s="239" t="n"/>
      <c r="AC158" s="239" t="n"/>
      <c r="AD158" s="239" t="n"/>
      <c r="AE158" s="239" t="n"/>
    </row>
    <row r="159">
      <c r="A159" s="239" t="n"/>
      <c r="B159" s="239" t="n"/>
      <c r="C159" s="239" t="n"/>
      <c r="D159" s="239" t="n"/>
      <c r="E159" s="239" t="n"/>
      <c r="F159" s="239" t="n"/>
      <c r="G159" s="239" t="n"/>
      <c r="H159" s="239" t="n"/>
      <c r="I159" s="239" t="n"/>
      <c r="J159" s="239" t="n"/>
      <c r="K159" s="239" t="n"/>
      <c r="L159" s="239" t="n"/>
      <c r="M159" s="239" t="n"/>
      <c r="N159" s="239" t="n"/>
      <c r="O159" s="239" t="n"/>
      <c r="P159" s="239" t="n"/>
      <c r="Q159" s="239" t="n"/>
      <c r="R159" s="239" t="n"/>
      <c r="S159" s="239" t="n"/>
      <c r="T159" s="239" t="n"/>
      <c r="U159" s="239" t="n"/>
      <c r="V159" s="239" t="n"/>
      <c r="W159" s="239" t="n"/>
      <c r="X159" s="239" t="n"/>
      <c r="Y159" s="239" t="n"/>
      <c r="Z159" s="239" t="n"/>
      <c r="AA159" s="239" t="n"/>
      <c r="AB159" s="239" t="n"/>
      <c r="AC159" s="239" t="n"/>
      <c r="AD159" s="239" t="n"/>
      <c r="AE159" s="239" t="n"/>
    </row>
    <row r="160">
      <c r="A160" s="239" t="n"/>
      <c r="B160" s="239" t="n"/>
      <c r="C160" s="239" t="n"/>
      <c r="D160" s="239" t="n"/>
      <c r="E160" s="239" t="n"/>
      <c r="F160" s="239" t="n"/>
      <c r="G160" s="239" t="n"/>
      <c r="H160" s="239" t="n"/>
      <c r="I160" s="239" t="n"/>
      <c r="J160" s="239" t="n"/>
      <c r="K160" s="239" t="n"/>
      <c r="L160" s="239" t="n"/>
      <c r="M160" s="239" t="n"/>
      <c r="N160" s="239" t="n"/>
      <c r="O160" s="239" t="n"/>
      <c r="P160" s="239" t="n"/>
      <c r="Q160" s="239" t="n"/>
      <c r="R160" s="239" t="n"/>
      <c r="S160" s="239" t="n"/>
      <c r="T160" s="239" t="n"/>
      <c r="U160" s="239" t="n"/>
      <c r="V160" s="239" t="n"/>
      <c r="W160" s="239" t="n"/>
      <c r="X160" s="239" t="n"/>
      <c r="Y160" s="239" t="n"/>
      <c r="Z160" s="239" t="n"/>
      <c r="AA160" s="239" t="n"/>
      <c r="AB160" s="239" t="n"/>
      <c r="AC160" s="239" t="n"/>
      <c r="AD160" s="239" t="n"/>
      <c r="AE160" s="239" t="n"/>
    </row>
    <row r="161">
      <c r="A161" s="239" t="n"/>
      <c r="B161" s="239" t="n"/>
      <c r="C161" s="239" t="n"/>
      <c r="D161" s="239" t="n"/>
      <c r="E161" s="239" t="n"/>
      <c r="F161" s="239" t="n"/>
      <c r="G161" s="239" t="n"/>
      <c r="H161" s="239" t="n"/>
      <c r="I161" s="239" t="n"/>
      <c r="J161" s="239" t="n"/>
      <c r="K161" s="239" t="n"/>
      <c r="L161" s="239" t="n"/>
      <c r="M161" s="239" t="n"/>
      <c r="N161" s="239" t="n"/>
      <c r="O161" s="239" t="n"/>
      <c r="P161" s="239" t="n"/>
      <c r="Q161" s="239" t="n"/>
      <c r="R161" s="239" t="n"/>
      <c r="S161" s="239" t="n"/>
      <c r="T161" s="239" t="n"/>
      <c r="U161" s="239" t="n"/>
      <c r="V161" s="239" t="n"/>
      <c r="W161" s="239" t="n"/>
      <c r="X161" s="239" t="n"/>
      <c r="Y161" s="239" t="n"/>
      <c r="Z161" s="239" t="n"/>
      <c r="AA161" s="239" t="n"/>
      <c r="AB161" s="239" t="n"/>
      <c r="AC161" s="239" t="n"/>
      <c r="AD161" s="239" t="n"/>
      <c r="AE161" s="239" t="n"/>
    </row>
    <row r="162">
      <c r="A162" s="239" t="n"/>
      <c r="B162" s="239" t="n"/>
      <c r="C162" s="239" t="n"/>
      <c r="D162" s="239" t="n"/>
      <c r="E162" s="239" t="n"/>
      <c r="F162" s="239" t="n"/>
      <c r="G162" s="239" t="n"/>
      <c r="H162" s="239" t="n"/>
      <c r="I162" s="239" t="n"/>
      <c r="J162" s="239" t="n"/>
      <c r="K162" s="239" t="n"/>
      <c r="L162" s="239" t="n"/>
      <c r="M162" s="239" t="n"/>
      <c r="N162" s="239" t="n"/>
      <c r="O162" s="239" t="n"/>
      <c r="P162" s="239" t="n"/>
      <c r="Q162" s="239" t="n"/>
      <c r="R162" s="239" t="n"/>
      <c r="S162" s="239" t="n"/>
      <c r="T162" s="239" t="n"/>
      <c r="U162" s="239" t="n"/>
      <c r="V162" s="239" t="n"/>
      <c r="W162" s="239" t="n"/>
      <c r="X162" s="239" t="n"/>
      <c r="Y162" s="239" t="n"/>
      <c r="Z162" s="239" t="n"/>
      <c r="AA162" s="239" t="n"/>
      <c r="AB162" s="239" t="n"/>
      <c r="AC162" s="239" t="n"/>
      <c r="AD162" s="239" t="n"/>
      <c r="AE162" s="239" t="n"/>
    </row>
    <row r="163">
      <c r="A163" s="239" t="n"/>
      <c r="B163" s="239" t="n"/>
      <c r="C163" s="239" t="n"/>
      <c r="D163" s="239" t="n"/>
      <c r="E163" s="239" t="n"/>
      <c r="F163" s="239" t="n"/>
      <c r="G163" s="239" t="n"/>
      <c r="H163" s="239" t="n"/>
      <c r="I163" s="239" t="n"/>
      <c r="J163" s="239" t="n"/>
      <c r="K163" s="239" t="n"/>
      <c r="L163" s="239" t="n"/>
      <c r="M163" s="239" t="n"/>
      <c r="N163" s="239" t="n"/>
      <c r="O163" s="239" t="n"/>
      <c r="P163" s="239" t="n"/>
      <c r="Q163" s="239" t="n"/>
      <c r="R163" s="239" t="n"/>
      <c r="S163" s="239" t="n"/>
      <c r="T163" s="239" t="n"/>
      <c r="U163" s="239" t="n"/>
      <c r="V163" s="239" t="n"/>
      <c r="W163" s="239" t="n"/>
      <c r="X163" s="239" t="n"/>
      <c r="Y163" s="239" t="n"/>
      <c r="Z163" s="239" t="n"/>
      <c r="AA163" s="239" t="n"/>
      <c r="AB163" s="239" t="n"/>
      <c r="AC163" s="239" t="n"/>
      <c r="AD163" s="239" t="n"/>
      <c r="AE163" s="239" t="n"/>
    </row>
    <row r="164">
      <c r="A164" s="239" t="n"/>
      <c r="B164" s="239" t="n"/>
      <c r="C164" s="239" t="n"/>
      <c r="D164" s="239" t="n"/>
      <c r="E164" s="239" t="n"/>
      <c r="F164" s="239" t="n"/>
      <c r="G164" s="239" t="n"/>
      <c r="H164" s="239" t="n"/>
      <c r="I164" s="239" t="n"/>
      <c r="J164" s="239" t="n"/>
      <c r="K164" s="239" t="n"/>
      <c r="L164" s="239" t="n"/>
      <c r="M164" s="239" t="n"/>
      <c r="N164" s="239" t="n"/>
      <c r="O164" s="239" t="n"/>
      <c r="P164" s="239" t="n"/>
      <c r="Q164" s="239" t="n"/>
      <c r="R164" s="239" t="n"/>
      <c r="S164" s="239" t="n"/>
      <c r="T164" s="239" t="n"/>
      <c r="U164" s="239" t="n"/>
      <c r="V164" s="239" t="n"/>
      <c r="W164" s="239" t="n"/>
      <c r="X164" s="239" t="n"/>
      <c r="Y164" s="239" t="n"/>
      <c r="Z164" s="239" t="n"/>
      <c r="AA164" s="239" t="n"/>
      <c r="AB164" s="239" t="n"/>
      <c r="AC164" s="239" t="n"/>
      <c r="AD164" s="239" t="n"/>
      <c r="AE164" s="239" t="n"/>
    </row>
    <row r="165">
      <c r="A165" s="239" t="n"/>
      <c r="B165" s="239" t="n"/>
      <c r="C165" s="239" t="n"/>
      <c r="D165" s="239" t="n"/>
      <c r="E165" s="239" t="n"/>
      <c r="F165" s="239" t="n"/>
      <c r="G165" s="239" t="n"/>
      <c r="H165" s="239" t="n"/>
      <c r="I165" s="239" t="n"/>
      <c r="J165" s="239" t="n"/>
      <c r="K165" s="239" t="n"/>
      <c r="L165" s="239" t="n"/>
      <c r="M165" s="239" t="n"/>
      <c r="N165" s="239" t="n"/>
      <c r="O165" s="239" t="n"/>
      <c r="P165" s="239" t="n"/>
      <c r="Q165" s="239" t="n"/>
      <c r="R165" s="239" t="n"/>
      <c r="S165" s="239" t="n"/>
      <c r="T165" s="239" t="n"/>
      <c r="U165" s="239" t="n"/>
      <c r="V165" s="239" t="n"/>
      <c r="W165" s="239" t="n"/>
      <c r="X165" s="239" t="n"/>
      <c r="Y165" s="239" t="n"/>
      <c r="Z165" s="239" t="n"/>
      <c r="AA165" s="239" t="n"/>
      <c r="AB165" s="239" t="n"/>
      <c r="AC165" s="239" t="n"/>
      <c r="AD165" s="239" t="n"/>
      <c r="AE165" s="239" t="n"/>
    </row>
    <row r="166">
      <c r="A166" s="239" t="n"/>
      <c r="B166" s="239" t="n"/>
      <c r="C166" s="239" t="n"/>
      <c r="D166" s="239" t="n"/>
      <c r="E166" s="239" t="n"/>
      <c r="F166" s="239" t="n"/>
      <c r="G166" s="239" t="n"/>
      <c r="H166" s="239" t="n"/>
      <c r="I166" s="239" t="n"/>
      <c r="J166" s="239" t="n"/>
      <c r="K166" s="239" t="n"/>
      <c r="L166" s="239" t="n"/>
      <c r="M166" s="239" t="n"/>
      <c r="N166" s="239" t="n"/>
      <c r="O166" s="239" t="n"/>
      <c r="P166" s="239" t="n"/>
      <c r="Q166" s="239" t="n"/>
      <c r="R166" s="239" t="n"/>
      <c r="S166" s="239" t="n"/>
      <c r="T166" s="239" t="n"/>
      <c r="U166" s="239" t="n"/>
      <c r="V166" s="239" t="n"/>
      <c r="W166" s="239" t="n"/>
      <c r="X166" s="239" t="n"/>
      <c r="Y166" s="239" t="n"/>
      <c r="Z166" s="239" t="n"/>
      <c r="AA166" s="239" t="n"/>
      <c r="AB166" s="239" t="n"/>
      <c r="AC166" s="239" t="n"/>
      <c r="AD166" s="239" t="n"/>
      <c r="AE166" s="239" t="n"/>
    </row>
    <row r="167">
      <c r="A167" s="239" t="n"/>
      <c r="B167" s="239" t="n"/>
      <c r="C167" s="239" t="n"/>
      <c r="D167" s="239" t="n"/>
      <c r="E167" s="239" t="n"/>
      <c r="F167" s="239" t="n"/>
      <c r="G167" s="239" t="n"/>
      <c r="H167" s="239" t="n"/>
      <c r="I167" s="239" t="n"/>
      <c r="J167" s="239" t="n"/>
      <c r="K167" s="239" t="n"/>
      <c r="L167" s="239" t="n"/>
      <c r="M167" s="239" t="n"/>
      <c r="N167" s="239" t="n"/>
      <c r="O167" s="239" t="n"/>
      <c r="P167" s="239" t="n"/>
      <c r="Q167" s="239" t="n"/>
      <c r="R167" s="239" t="n"/>
      <c r="S167" s="239" t="n"/>
      <c r="T167" s="239" t="n"/>
      <c r="U167" s="239" t="n"/>
      <c r="V167" s="239" t="n"/>
      <c r="W167" s="239" t="n"/>
      <c r="X167" s="239" t="n"/>
      <c r="Y167" s="239" t="n"/>
      <c r="Z167" s="239" t="n"/>
      <c r="AA167" s="239" t="n"/>
      <c r="AB167" s="239" t="n"/>
      <c r="AC167" s="239" t="n"/>
      <c r="AD167" s="239" t="n"/>
      <c r="AE167" s="239" t="n"/>
    </row>
    <row r="168">
      <c r="A168" s="239" t="n"/>
      <c r="B168" s="239" t="n"/>
      <c r="C168" s="239" t="n"/>
      <c r="D168" s="239" t="n"/>
      <c r="E168" s="239" t="n"/>
      <c r="F168" s="239" t="n"/>
      <c r="G168" s="239" t="n"/>
      <c r="H168" s="239" t="n"/>
      <c r="I168" s="239" t="n"/>
      <c r="J168" s="239" t="n"/>
      <c r="K168" s="239" t="n"/>
      <c r="L168" s="239" t="n"/>
      <c r="M168" s="239" t="n"/>
      <c r="N168" s="239" t="n"/>
      <c r="O168" s="239" t="n"/>
      <c r="P168" s="239" t="n"/>
      <c r="Q168" s="239" t="n"/>
      <c r="R168" s="239" t="n"/>
      <c r="S168" s="239" t="n"/>
      <c r="T168" s="239" t="n"/>
      <c r="U168" s="239" t="n"/>
      <c r="V168" s="239" t="n"/>
      <c r="W168" s="239" t="n"/>
      <c r="X168" s="239" t="n"/>
      <c r="Y168" s="239" t="n"/>
      <c r="Z168" s="239" t="n"/>
      <c r="AA168" s="239" t="n"/>
      <c r="AB168" s="239" t="n"/>
      <c r="AC168" s="239" t="n"/>
      <c r="AD168" s="239" t="n"/>
      <c r="AE168" s="239" t="n"/>
    </row>
    <row r="169">
      <c r="A169" s="239" t="n"/>
      <c r="B169" s="239" t="n"/>
      <c r="C169" s="239" t="n"/>
      <c r="D169" s="239" t="n"/>
      <c r="E169" s="239" t="n"/>
      <c r="F169" s="239" t="n"/>
      <c r="G169" s="239" t="n"/>
      <c r="H169" s="239" t="n"/>
      <c r="I169" s="239" t="n"/>
      <c r="J169" s="239" t="n"/>
      <c r="K169" s="239" t="n"/>
      <c r="L169" s="239" t="n"/>
      <c r="M169" s="239" t="n"/>
      <c r="N169" s="239" t="n"/>
      <c r="O169" s="239" t="n"/>
      <c r="P169" s="239" t="n"/>
      <c r="Q169" s="239" t="n"/>
      <c r="R169" s="239" t="n"/>
      <c r="S169" s="239" t="n"/>
      <c r="T169" s="239" t="n"/>
      <c r="U169" s="239" t="n"/>
      <c r="V169" s="239" t="n"/>
      <c r="W169" s="239" t="n"/>
      <c r="X169" s="239" t="n"/>
      <c r="Y169" s="239" t="n"/>
      <c r="Z169" s="239" t="n"/>
      <c r="AA169" s="239" t="n"/>
      <c r="AB169" s="239" t="n"/>
      <c r="AC169" s="239" t="n"/>
      <c r="AD169" s="239" t="n"/>
      <c r="AE169" s="239" t="n"/>
    </row>
    <row r="170">
      <c r="A170" s="239" t="n"/>
      <c r="B170" s="239" t="n"/>
      <c r="C170" s="239" t="n"/>
      <c r="D170" s="239" t="n"/>
      <c r="E170" s="239" t="n"/>
      <c r="F170" s="239" t="n"/>
      <c r="G170" s="239" t="n"/>
      <c r="H170" s="239" t="n"/>
      <c r="I170" s="239" t="n"/>
      <c r="J170" s="239" t="n"/>
      <c r="K170" s="239" t="n"/>
      <c r="L170" s="239" t="n"/>
      <c r="M170" s="239" t="n"/>
      <c r="N170" s="239" t="n"/>
      <c r="O170" s="239" t="n"/>
      <c r="P170" s="239" t="n"/>
      <c r="Q170" s="239" t="n"/>
      <c r="R170" s="239" t="n"/>
      <c r="S170" s="239" t="n"/>
      <c r="T170" s="239" t="n"/>
      <c r="U170" s="239" t="n"/>
      <c r="V170" s="239" t="n"/>
      <c r="W170" s="239" t="n"/>
      <c r="X170" s="239" t="n"/>
      <c r="Y170" s="239" t="n"/>
      <c r="Z170" s="239" t="n"/>
      <c r="AA170" s="239" t="n"/>
      <c r="AB170" s="239" t="n"/>
      <c r="AC170" s="239" t="n"/>
      <c r="AD170" s="239" t="n"/>
      <c r="AE170" s="239" t="n"/>
    </row>
    <row r="171">
      <c r="A171" s="239" t="n"/>
      <c r="B171" s="239" t="n"/>
      <c r="C171" s="239" t="n"/>
      <c r="D171" s="239" t="n"/>
      <c r="E171" s="239" t="n"/>
      <c r="F171" s="239" t="n"/>
      <c r="G171" s="239" t="n"/>
      <c r="H171" s="239" t="n"/>
      <c r="I171" s="239" t="n"/>
      <c r="J171" s="239" t="n"/>
      <c r="K171" s="239" t="n"/>
      <c r="L171" s="239" t="n"/>
      <c r="M171" s="239" t="n"/>
      <c r="N171" s="239" t="n"/>
      <c r="O171" s="239" t="n"/>
      <c r="P171" s="239" t="n"/>
      <c r="Q171" s="239" t="n"/>
      <c r="R171" s="239" t="n"/>
      <c r="S171" s="239" t="n"/>
      <c r="T171" s="239" t="n"/>
      <c r="U171" s="239" t="n"/>
      <c r="V171" s="239" t="n"/>
      <c r="W171" s="239" t="n"/>
      <c r="X171" s="239" t="n"/>
      <c r="Y171" s="239" t="n"/>
      <c r="Z171" s="239" t="n"/>
      <c r="AA171" s="239" t="n"/>
      <c r="AB171" s="239" t="n"/>
      <c r="AC171" s="239" t="n"/>
      <c r="AD171" s="239" t="n"/>
      <c r="AE171" s="239" t="n"/>
    </row>
    <row r="172">
      <c r="A172" s="239" t="n"/>
      <c r="B172" s="239" t="n"/>
      <c r="C172" s="239" t="n"/>
      <c r="D172" s="239" t="n"/>
      <c r="E172" s="239" t="n"/>
      <c r="F172" s="239" t="n"/>
      <c r="G172" s="239" t="n"/>
      <c r="H172" s="239" t="n"/>
      <c r="I172" s="239" t="n"/>
      <c r="J172" s="239" t="n"/>
      <c r="K172" s="239" t="n"/>
      <c r="L172" s="239" t="n"/>
      <c r="M172" s="239" t="n"/>
      <c r="N172" s="239" t="n"/>
      <c r="O172" s="239" t="n"/>
      <c r="P172" s="239" t="n"/>
      <c r="Q172" s="239" t="n"/>
      <c r="R172" s="239" t="n"/>
      <c r="S172" s="239" t="n"/>
      <c r="T172" s="239" t="n"/>
      <c r="U172" s="239" t="n"/>
      <c r="V172" s="239" t="n"/>
      <c r="W172" s="239" t="n"/>
      <c r="X172" s="239" t="n"/>
      <c r="Y172" s="239" t="n"/>
      <c r="Z172" s="239" t="n"/>
      <c r="AA172" s="239" t="n"/>
      <c r="AB172" s="239" t="n"/>
      <c r="AC172" s="239" t="n"/>
      <c r="AD172" s="239" t="n"/>
      <c r="AE172" s="239" t="n"/>
    </row>
    <row r="173">
      <c r="A173" s="239" t="n"/>
      <c r="B173" s="239" t="n"/>
      <c r="C173" s="239" t="n"/>
      <c r="D173" s="239" t="n"/>
      <c r="E173" s="239" t="n"/>
      <c r="F173" s="239" t="n"/>
      <c r="G173" s="239" t="n"/>
      <c r="H173" s="239" t="n"/>
      <c r="I173" s="239" t="n"/>
      <c r="J173" s="239" t="n"/>
      <c r="K173" s="239" t="n"/>
      <c r="L173" s="239" t="n"/>
      <c r="M173" s="239" t="n"/>
      <c r="N173" s="239" t="n"/>
      <c r="O173" s="239" t="n"/>
      <c r="P173" s="239" t="n"/>
      <c r="Q173" s="239" t="n"/>
      <c r="R173" s="239" t="n"/>
      <c r="S173" s="239" t="n"/>
      <c r="T173" s="239" t="n"/>
      <c r="U173" s="239" t="n"/>
      <c r="V173" s="239" t="n"/>
      <c r="W173" s="239" t="n"/>
      <c r="X173" s="239" t="n"/>
      <c r="Y173" s="239" t="n"/>
      <c r="Z173" s="239" t="n"/>
      <c r="AA173" s="239" t="n"/>
      <c r="AB173" s="239" t="n"/>
      <c r="AC173" s="239" t="n"/>
      <c r="AD173" s="239" t="n"/>
      <c r="AE173" s="239" t="n"/>
    </row>
    <row r="174">
      <c r="A174" s="239" t="n"/>
      <c r="B174" s="239" t="n"/>
      <c r="C174" s="239" t="n"/>
      <c r="D174" s="239" t="n"/>
      <c r="E174" s="239" t="n"/>
      <c r="F174" s="239" t="n"/>
      <c r="G174" s="239" t="n"/>
      <c r="H174" s="239" t="n"/>
      <c r="I174" s="239" t="n"/>
      <c r="J174" s="239" t="n"/>
      <c r="K174" s="239" t="n"/>
      <c r="L174" s="239" t="n"/>
      <c r="M174" s="239" t="n"/>
      <c r="N174" s="239" t="n"/>
      <c r="O174" s="239" t="n"/>
      <c r="P174" s="239" t="n"/>
      <c r="Q174" s="239" t="n"/>
      <c r="R174" s="239" t="n"/>
      <c r="S174" s="239" t="n"/>
      <c r="T174" s="239" t="n"/>
      <c r="U174" s="239" t="n"/>
      <c r="V174" s="239" t="n"/>
      <c r="W174" s="239" t="n"/>
      <c r="X174" s="239" t="n"/>
      <c r="Y174" s="239" t="n"/>
      <c r="Z174" s="239" t="n"/>
      <c r="AA174" s="239" t="n"/>
      <c r="AB174" s="239" t="n"/>
      <c r="AC174" s="239" t="n"/>
      <c r="AD174" s="239" t="n"/>
      <c r="AE174" s="239" t="n"/>
    </row>
    <row r="175">
      <c r="A175" s="239" t="n"/>
      <c r="B175" s="239" t="n"/>
      <c r="C175" s="239" t="n"/>
      <c r="D175" s="239" t="n"/>
      <c r="E175" s="239" t="n"/>
      <c r="F175" s="239" t="n"/>
      <c r="G175" s="239" t="n"/>
      <c r="H175" s="239" t="n"/>
      <c r="I175" s="239" t="n"/>
      <c r="J175" s="239" t="n"/>
      <c r="K175" s="239" t="n"/>
      <c r="L175" s="239" t="n"/>
      <c r="M175" s="239" t="n"/>
      <c r="N175" s="239" t="n"/>
      <c r="O175" s="239" t="n"/>
      <c r="P175" s="239" t="n"/>
      <c r="Q175" s="239" t="n"/>
      <c r="R175" s="239" t="n"/>
      <c r="S175" s="239" t="n"/>
      <c r="T175" s="239" t="n"/>
      <c r="U175" s="239" t="n"/>
      <c r="V175" s="239" t="n"/>
      <c r="W175" s="239" t="n"/>
      <c r="X175" s="239" t="n"/>
      <c r="Y175" s="239" t="n"/>
      <c r="Z175" s="239" t="n"/>
      <c r="AA175" s="239" t="n"/>
      <c r="AB175" s="239" t="n"/>
      <c r="AC175" s="239" t="n"/>
      <c r="AD175" s="239" t="n"/>
      <c r="AE175" s="239" t="n"/>
    </row>
    <row r="176">
      <c r="A176" s="239" t="n"/>
      <c r="B176" s="239" t="n"/>
      <c r="C176" s="239" t="n"/>
      <c r="D176" s="239" t="n"/>
      <c r="E176" s="239" t="n"/>
      <c r="F176" s="239" t="n"/>
      <c r="G176" s="239" t="n"/>
      <c r="H176" s="239" t="n"/>
      <c r="I176" s="239" t="n"/>
      <c r="J176" s="239" t="n"/>
      <c r="K176" s="239" t="n"/>
      <c r="L176" s="239" t="n"/>
      <c r="M176" s="239" t="n"/>
      <c r="N176" s="239" t="n"/>
      <c r="O176" s="239" t="n"/>
      <c r="P176" s="239" t="n"/>
      <c r="Q176" s="239" t="n"/>
      <c r="R176" s="239" t="n"/>
      <c r="S176" s="239" t="n"/>
      <c r="T176" s="239" t="n"/>
      <c r="U176" s="239" t="n"/>
      <c r="V176" s="239" t="n"/>
      <c r="W176" s="239" t="n"/>
      <c r="X176" s="239" t="n"/>
      <c r="Y176" s="239" t="n"/>
      <c r="Z176" s="239" t="n"/>
      <c r="AA176" s="239" t="n"/>
      <c r="AB176" s="239" t="n"/>
      <c r="AC176" s="239" t="n"/>
      <c r="AD176" s="239" t="n"/>
      <c r="AE176" s="239" t="n"/>
    </row>
    <row r="177">
      <c r="A177" s="239" t="n"/>
      <c r="B177" s="239" t="n"/>
      <c r="C177" s="239" t="n"/>
      <c r="D177" s="239" t="n"/>
      <c r="E177" s="239" t="n"/>
      <c r="F177" s="239" t="n"/>
      <c r="G177" s="239" t="n"/>
      <c r="H177" s="239" t="n"/>
      <c r="I177" s="239" t="n"/>
      <c r="J177" s="239" t="n"/>
      <c r="K177" s="239" t="n"/>
      <c r="L177" s="239" t="n"/>
      <c r="M177" s="239" t="n"/>
      <c r="N177" s="239" t="n"/>
      <c r="O177" s="239" t="n"/>
      <c r="P177" s="239" t="n"/>
      <c r="Q177" s="239" t="n"/>
      <c r="R177" s="239" t="n"/>
      <c r="S177" s="239" t="n"/>
      <c r="T177" s="239" t="n"/>
      <c r="U177" s="239" t="n"/>
      <c r="V177" s="239" t="n"/>
      <c r="W177" s="239" t="n"/>
      <c r="X177" s="239" t="n"/>
      <c r="Y177" s="239" t="n"/>
      <c r="Z177" s="239" t="n"/>
      <c r="AA177" s="239" t="n"/>
      <c r="AB177" s="239" t="n"/>
      <c r="AC177" s="239" t="n"/>
      <c r="AD177" s="239" t="n"/>
      <c r="AE177" s="239" t="n"/>
    </row>
    <row r="178">
      <c r="A178" s="239" t="n"/>
      <c r="B178" s="239" t="n"/>
      <c r="C178" s="239" t="n"/>
      <c r="D178" s="239" t="n"/>
      <c r="E178" s="239" t="n"/>
      <c r="F178" s="239" t="n"/>
      <c r="G178" s="239" t="n"/>
      <c r="H178" s="239" t="n"/>
      <c r="I178" s="239" t="n"/>
      <c r="J178" s="239" t="n"/>
      <c r="K178" s="239" t="n"/>
      <c r="L178" s="239" t="n"/>
      <c r="M178" s="239" t="n"/>
      <c r="N178" s="239" t="n"/>
      <c r="O178" s="239" t="n"/>
      <c r="P178" s="239" t="n"/>
      <c r="Q178" s="239" t="n"/>
      <c r="R178" s="239" t="n"/>
      <c r="S178" s="239" t="n"/>
      <c r="T178" s="239" t="n"/>
      <c r="U178" s="239" t="n"/>
      <c r="V178" s="239" t="n"/>
      <c r="W178" s="239" t="n"/>
      <c r="X178" s="239" t="n"/>
      <c r="Y178" s="239" t="n"/>
      <c r="Z178" s="239" t="n"/>
      <c r="AA178" s="239" t="n"/>
      <c r="AB178" s="239" t="n"/>
      <c r="AC178" s="239" t="n"/>
      <c r="AD178" s="239" t="n"/>
      <c r="AE178" s="239" t="n"/>
    </row>
    <row r="179">
      <c r="A179" s="239" t="n"/>
      <c r="B179" s="239" t="n"/>
      <c r="C179" s="239" t="n"/>
      <c r="D179" s="239" t="n"/>
      <c r="E179" s="239" t="n"/>
      <c r="F179" s="239" t="n"/>
      <c r="G179" s="239" t="n"/>
      <c r="H179" s="239" t="n"/>
      <c r="I179" s="239" t="n"/>
      <c r="J179" s="239" t="n"/>
      <c r="K179" s="239" t="n"/>
      <c r="L179" s="239" t="n"/>
      <c r="M179" s="239" t="n"/>
      <c r="N179" s="239" t="n"/>
      <c r="O179" s="239" t="n"/>
      <c r="P179" s="239" t="n"/>
      <c r="Q179" s="239" t="n"/>
      <c r="R179" s="239" t="n"/>
      <c r="S179" s="239" t="n"/>
      <c r="T179" s="239" t="n"/>
      <c r="U179" s="239" t="n"/>
      <c r="V179" s="239" t="n"/>
      <c r="W179" s="239" t="n"/>
      <c r="X179" s="239" t="n"/>
      <c r="Y179" s="239" t="n"/>
      <c r="Z179" s="239" t="n"/>
      <c r="AA179" s="239" t="n"/>
      <c r="AB179" s="239" t="n"/>
      <c r="AC179" s="239" t="n"/>
      <c r="AD179" s="239" t="n"/>
      <c r="AE179" s="239" t="n"/>
    </row>
    <row r="180">
      <c r="A180" s="239" t="n"/>
      <c r="B180" s="239" t="n"/>
      <c r="C180" s="239" t="n"/>
      <c r="D180" s="239" t="n"/>
      <c r="E180" s="239" t="n"/>
      <c r="F180" s="239" t="n"/>
      <c r="G180" s="239" t="n"/>
      <c r="H180" s="239" t="n"/>
      <c r="I180" s="239" t="n"/>
      <c r="J180" s="239" t="n"/>
      <c r="K180" s="239" t="n"/>
      <c r="L180" s="239" t="n"/>
      <c r="M180" s="239" t="n"/>
      <c r="N180" s="239" t="n"/>
      <c r="O180" s="239" t="n"/>
      <c r="P180" s="239" t="n"/>
      <c r="Q180" s="239" t="n"/>
      <c r="R180" s="239" t="n"/>
      <c r="S180" s="239" t="n"/>
      <c r="T180" s="239" t="n"/>
      <c r="U180" s="239" t="n"/>
      <c r="V180" s="239" t="n"/>
      <c r="W180" s="239" t="n"/>
      <c r="X180" s="239" t="n"/>
      <c r="Y180" s="239" t="n"/>
      <c r="Z180" s="239" t="n"/>
      <c r="AA180" s="239" t="n"/>
      <c r="AB180" s="239" t="n"/>
      <c r="AC180" s="239" t="n"/>
      <c r="AD180" s="239" t="n"/>
      <c r="AE180" s="239" t="n"/>
    </row>
    <row r="181">
      <c r="A181" s="239" t="n"/>
      <c r="B181" s="239" t="n"/>
      <c r="C181" s="239" t="n"/>
      <c r="D181" s="239" t="n"/>
      <c r="E181" s="239" t="n"/>
      <c r="F181" s="239" t="n"/>
      <c r="G181" s="239" t="n"/>
      <c r="H181" s="239" t="n"/>
      <c r="I181" s="239" t="n"/>
      <c r="J181" s="239" t="n"/>
      <c r="K181" s="239" t="n"/>
      <c r="L181" s="239" t="n"/>
      <c r="M181" s="239" t="n"/>
      <c r="N181" s="239" t="n"/>
      <c r="O181" s="239" t="n"/>
      <c r="P181" s="239" t="n"/>
      <c r="Q181" s="239" t="n"/>
      <c r="R181" s="239" t="n"/>
      <c r="S181" s="239" t="n"/>
      <c r="T181" s="239" t="n"/>
      <c r="U181" s="239" t="n"/>
      <c r="V181" s="239" t="n"/>
      <c r="W181" s="239" t="n"/>
      <c r="X181" s="239" t="n"/>
      <c r="Y181" s="239" t="n"/>
      <c r="Z181" s="239" t="n"/>
      <c r="AA181" s="239" t="n"/>
      <c r="AB181" s="239" t="n"/>
      <c r="AC181" s="239" t="n"/>
      <c r="AD181" s="239" t="n"/>
      <c r="AE181" s="239" t="n"/>
    </row>
    <row r="182">
      <c r="A182" s="239" t="n"/>
      <c r="B182" s="239" t="n"/>
      <c r="C182" s="239" t="n"/>
      <c r="D182" s="239" t="n"/>
      <c r="E182" s="239" t="n"/>
      <c r="F182" s="239" t="n"/>
      <c r="G182" s="239" t="n"/>
      <c r="H182" s="239" t="n"/>
      <c r="I182" s="239" t="n"/>
      <c r="J182" s="239" t="n"/>
      <c r="K182" s="239" t="n"/>
      <c r="L182" s="239" t="n"/>
      <c r="M182" s="239" t="n"/>
      <c r="N182" s="239" t="n"/>
      <c r="O182" s="239" t="n"/>
      <c r="P182" s="239" t="n"/>
      <c r="Q182" s="239" t="n"/>
      <c r="R182" s="239" t="n"/>
      <c r="S182" s="239" t="n"/>
      <c r="T182" s="239" t="n"/>
      <c r="U182" s="239" t="n"/>
      <c r="V182" s="239" t="n"/>
      <c r="W182" s="239" t="n"/>
      <c r="X182" s="239" t="n"/>
      <c r="Y182" s="239" t="n"/>
      <c r="Z182" s="239" t="n"/>
      <c r="AA182" s="239" t="n"/>
      <c r="AB182" s="239" t="n"/>
      <c r="AC182" s="239" t="n"/>
      <c r="AD182" s="239" t="n"/>
      <c r="AE182" s="239" t="n"/>
    </row>
    <row r="183">
      <c r="A183" s="239" t="n"/>
      <c r="B183" s="239" t="n"/>
      <c r="C183" s="239" t="n"/>
      <c r="D183" s="239" t="n"/>
      <c r="E183" s="239" t="n"/>
      <c r="F183" s="239" t="n"/>
      <c r="G183" s="239" t="n"/>
      <c r="H183" s="239" t="n"/>
      <c r="I183" s="239" t="n"/>
      <c r="J183" s="239" t="n"/>
      <c r="K183" s="239" t="n"/>
      <c r="L183" s="239" t="n"/>
      <c r="M183" s="239" t="n"/>
      <c r="N183" s="239" t="n"/>
      <c r="O183" s="239" t="n"/>
      <c r="P183" s="239" t="n"/>
      <c r="Q183" s="239" t="n"/>
      <c r="R183" s="239" t="n"/>
      <c r="S183" s="239" t="n"/>
      <c r="T183" s="239" t="n"/>
      <c r="U183" s="239" t="n"/>
      <c r="V183" s="239" t="n"/>
      <c r="W183" s="239" t="n"/>
      <c r="X183" s="239" t="n"/>
      <c r="Y183" s="239" t="n"/>
      <c r="Z183" s="239" t="n"/>
      <c r="AA183" s="239" t="n"/>
      <c r="AB183" s="239" t="n"/>
      <c r="AC183" s="239" t="n"/>
      <c r="AD183" s="239" t="n"/>
      <c r="AE183" s="239" t="n"/>
    </row>
    <row r="184">
      <c r="A184" s="239" t="n"/>
      <c r="B184" s="239" t="n"/>
      <c r="C184" s="239" t="n"/>
      <c r="D184" s="239" t="n"/>
      <c r="E184" s="239" t="n"/>
      <c r="F184" s="239" t="n"/>
      <c r="G184" s="239" t="n"/>
      <c r="H184" s="239" t="n"/>
      <c r="I184" s="239" t="n"/>
      <c r="J184" s="239" t="n"/>
      <c r="K184" s="239" t="n"/>
      <c r="L184" s="239" t="n"/>
      <c r="M184" s="239" t="n"/>
      <c r="N184" s="239" t="n"/>
      <c r="O184" s="239" t="n"/>
      <c r="P184" s="239" t="n"/>
      <c r="Q184" s="239" t="n"/>
      <c r="R184" s="239" t="n"/>
      <c r="S184" s="239" t="n"/>
      <c r="T184" s="239" t="n"/>
      <c r="U184" s="239" t="n"/>
      <c r="V184" s="239" t="n"/>
      <c r="W184" s="239" t="n"/>
      <c r="X184" s="239" t="n"/>
      <c r="Y184" s="239" t="n"/>
      <c r="Z184" s="239" t="n"/>
      <c r="AA184" s="239" t="n"/>
      <c r="AB184" s="239" t="n"/>
      <c r="AC184" s="239" t="n"/>
      <c r="AD184" s="239" t="n"/>
      <c r="AE184" s="239" t="n"/>
    </row>
    <row r="185">
      <c r="A185" s="239" t="n"/>
      <c r="B185" s="239" t="n"/>
      <c r="C185" s="239" t="n"/>
      <c r="D185" s="239" t="n"/>
      <c r="E185" s="239" t="n"/>
      <c r="F185" s="239" t="n"/>
      <c r="G185" s="239" t="n"/>
      <c r="H185" s="239" t="n"/>
      <c r="I185" s="239" t="n"/>
      <c r="J185" s="239" t="n"/>
      <c r="K185" s="239" t="n"/>
      <c r="L185" s="239" t="n"/>
      <c r="M185" s="239" t="n"/>
      <c r="N185" s="239" t="n"/>
      <c r="O185" s="239" t="n"/>
      <c r="P185" s="239" t="n"/>
      <c r="Q185" s="239" t="n"/>
      <c r="R185" s="239" t="n"/>
      <c r="S185" s="239" t="n"/>
      <c r="T185" s="239" t="n"/>
      <c r="U185" s="239" t="n"/>
      <c r="V185" s="239" t="n"/>
      <c r="W185" s="239" t="n"/>
      <c r="X185" s="239" t="n"/>
      <c r="Y185" s="239" t="n"/>
      <c r="Z185" s="239" t="n"/>
      <c r="AA185" s="239" t="n"/>
      <c r="AB185" s="239" t="n"/>
      <c r="AC185" s="239" t="n"/>
      <c r="AD185" s="239" t="n"/>
      <c r="AE185" s="239" t="n"/>
    </row>
    <row r="186">
      <c r="A186" s="239" t="n"/>
      <c r="B186" s="239" t="n"/>
      <c r="C186" s="239" t="n"/>
      <c r="D186" s="239" t="n"/>
      <c r="E186" s="239" t="n"/>
      <c r="F186" s="239" t="n"/>
      <c r="G186" s="239" t="n"/>
      <c r="H186" s="239" t="n"/>
      <c r="I186" s="239" t="n"/>
      <c r="J186" s="239" t="n"/>
      <c r="K186" s="239" t="n"/>
      <c r="L186" s="239" t="n"/>
      <c r="M186" s="239" t="n"/>
      <c r="N186" s="239" t="n"/>
      <c r="O186" s="239" t="n"/>
      <c r="P186" s="239" t="n"/>
      <c r="Q186" s="239" t="n"/>
      <c r="R186" s="239" t="n"/>
      <c r="S186" s="239" t="n"/>
      <c r="T186" s="239" t="n"/>
      <c r="U186" s="239" t="n"/>
      <c r="V186" s="239" t="n"/>
      <c r="W186" s="239" t="n"/>
      <c r="X186" s="239" t="n"/>
      <c r="Y186" s="239" t="n"/>
      <c r="Z186" s="239" t="n"/>
      <c r="AA186" s="239" t="n"/>
      <c r="AB186" s="239" t="n"/>
      <c r="AC186" s="239" t="n"/>
      <c r="AD186" s="239" t="n"/>
      <c r="AE186" s="239" t="n"/>
    </row>
    <row r="187">
      <c r="A187" s="239" t="n"/>
      <c r="B187" s="239" t="n"/>
      <c r="C187" s="239" t="n"/>
      <c r="D187" s="239" t="n"/>
      <c r="E187" s="239" t="n"/>
      <c r="F187" s="239" t="n"/>
      <c r="G187" s="239" t="n"/>
      <c r="H187" s="239" t="n"/>
      <c r="I187" s="239" t="n"/>
      <c r="J187" s="239" t="n"/>
      <c r="K187" s="239" t="n"/>
      <c r="L187" s="239" t="n"/>
      <c r="M187" s="239" t="n"/>
      <c r="N187" s="239" t="n"/>
      <c r="O187" s="239" t="n"/>
      <c r="P187" s="239" t="n"/>
      <c r="Q187" s="239" t="n"/>
      <c r="R187" s="239" t="n"/>
      <c r="S187" s="239" t="n"/>
      <c r="T187" s="239" t="n"/>
      <c r="U187" s="239" t="n"/>
      <c r="V187" s="239" t="n"/>
      <c r="W187" s="239" t="n"/>
      <c r="X187" s="239" t="n"/>
      <c r="Y187" s="239" t="n"/>
      <c r="Z187" s="239" t="n"/>
      <c r="AA187" s="239" t="n"/>
      <c r="AB187" s="239" t="n"/>
      <c r="AC187" s="239" t="n"/>
      <c r="AD187" s="239" t="n"/>
      <c r="AE187" s="239" t="n"/>
    </row>
    <row r="188">
      <c r="A188" s="239" t="n"/>
      <c r="B188" s="239" t="n"/>
      <c r="C188" s="239" t="n"/>
      <c r="D188" s="239" t="n"/>
      <c r="E188" s="239" t="n"/>
      <c r="F188" s="239" t="n"/>
      <c r="G188" s="239" t="n"/>
      <c r="H188" s="239" t="n"/>
      <c r="I188" s="239" t="n"/>
      <c r="J188" s="239" t="n"/>
      <c r="K188" s="239" t="n"/>
      <c r="L188" s="239" t="n"/>
      <c r="M188" s="239" t="n"/>
      <c r="N188" s="239" t="n"/>
      <c r="O188" s="239" t="n"/>
      <c r="P188" s="239" t="n"/>
      <c r="Q188" s="239" t="n"/>
      <c r="R188" s="239" t="n"/>
      <c r="S188" s="239" t="n"/>
      <c r="T188" s="239" t="n"/>
      <c r="U188" s="239" t="n"/>
      <c r="V188" s="239" t="n"/>
      <c r="W188" s="239" t="n"/>
      <c r="X188" s="239" t="n"/>
      <c r="Y188" s="239" t="n"/>
      <c r="Z188" s="239" t="n"/>
      <c r="AA188" s="239" t="n"/>
      <c r="AB188" s="239" t="n"/>
      <c r="AC188" s="239" t="n"/>
      <c r="AD188" s="239" t="n"/>
      <c r="AE188" s="239" t="n"/>
    </row>
    <row r="189">
      <c r="A189" s="239" t="n"/>
      <c r="B189" s="239" t="n"/>
      <c r="C189" s="239" t="n"/>
      <c r="D189" s="239" t="n"/>
      <c r="E189" s="239" t="n"/>
      <c r="F189" s="239" t="n"/>
      <c r="G189" s="239" t="n"/>
      <c r="H189" s="239" t="n"/>
      <c r="I189" s="239" t="n"/>
      <c r="J189" s="239" t="n"/>
      <c r="K189" s="239" t="n"/>
      <c r="L189" s="239" t="n"/>
      <c r="M189" s="239" t="n"/>
      <c r="N189" s="239" t="n"/>
      <c r="O189" s="239" t="n"/>
      <c r="P189" s="239" t="n"/>
      <c r="Q189" s="239" t="n"/>
      <c r="R189" s="239" t="n"/>
      <c r="S189" s="239" t="n"/>
      <c r="T189" s="239" t="n"/>
      <c r="U189" s="239" t="n"/>
      <c r="V189" s="239" t="n"/>
      <c r="W189" s="239" t="n"/>
      <c r="X189" s="239" t="n"/>
      <c r="Y189" s="239" t="n"/>
      <c r="Z189" s="239" t="n"/>
      <c r="AA189" s="239" t="n"/>
      <c r="AB189" s="239" t="n"/>
      <c r="AC189" s="239" t="n"/>
      <c r="AD189" s="239" t="n"/>
      <c r="AE189" s="239" t="n"/>
    </row>
    <row r="190">
      <c r="A190" s="239" t="n"/>
      <c r="B190" s="239" t="n"/>
      <c r="C190" s="239" t="n"/>
      <c r="D190" s="239" t="n"/>
      <c r="E190" s="239" t="n"/>
      <c r="F190" s="239" t="n"/>
      <c r="G190" s="239" t="n"/>
      <c r="H190" s="239" t="n"/>
      <c r="I190" s="239" t="n"/>
      <c r="J190" s="239" t="n"/>
      <c r="K190" s="239" t="n"/>
      <c r="L190" s="239" t="n"/>
      <c r="M190" s="239" t="n"/>
      <c r="N190" s="239" t="n"/>
      <c r="O190" s="239" t="n"/>
      <c r="P190" s="239" t="n"/>
      <c r="Q190" s="239" t="n"/>
      <c r="R190" s="239" t="n"/>
      <c r="S190" s="239" t="n"/>
      <c r="T190" s="239" t="n"/>
      <c r="U190" s="239" t="n"/>
      <c r="V190" s="239" t="n"/>
      <c r="W190" s="239" t="n"/>
      <c r="X190" s="239" t="n"/>
      <c r="Y190" s="239" t="n"/>
      <c r="Z190" s="239" t="n"/>
      <c r="AA190" s="239" t="n"/>
      <c r="AB190" s="239" t="n"/>
      <c r="AC190" s="239" t="n"/>
      <c r="AD190" s="239" t="n"/>
      <c r="AE190" s="239" t="n"/>
    </row>
    <row r="191">
      <c r="A191" s="239" t="n"/>
      <c r="B191" s="239" t="n"/>
      <c r="C191" s="239" t="n"/>
      <c r="D191" s="239" t="n"/>
      <c r="E191" s="239" t="n"/>
      <c r="F191" s="239" t="n"/>
      <c r="G191" s="239" t="n"/>
      <c r="H191" s="239" t="n"/>
      <c r="I191" s="239" t="n"/>
      <c r="J191" s="239" t="n"/>
      <c r="K191" s="239" t="n"/>
      <c r="L191" s="239" t="n"/>
      <c r="M191" s="239" t="n"/>
      <c r="N191" s="239" t="n"/>
      <c r="O191" s="239" t="n"/>
      <c r="P191" s="239" t="n"/>
      <c r="Q191" s="239" t="n"/>
      <c r="R191" s="239" t="n"/>
      <c r="S191" s="239" t="n"/>
      <c r="T191" s="239" t="n"/>
      <c r="U191" s="239" t="n"/>
      <c r="V191" s="239" t="n"/>
      <c r="W191" s="239" t="n"/>
      <c r="X191" s="239" t="n"/>
      <c r="Y191" s="239" t="n"/>
      <c r="Z191" s="239" t="n"/>
      <c r="AA191" s="239" t="n"/>
      <c r="AB191" s="239" t="n"/>
      <c r="AC191" s="239" t="n"/>
      <c r="AD191" s="239" t="n"/>
      <c r="AE191" s="239" t="n"/>
    </row>
    <row r="192">
      <c r="A192" s="239" t="n"/>
      <c r="B192" s="239" t="n"/>
      <c r="C192" s="239" t="n"/>
      <c r="D192" s="239" t="n"/>
      <c r="E192" s="239" t="n"/>
      <c r="F192" s="239" t="n"/>
      <c r="G192" s="239" t="n"/>
      <c r="H192" s="239" t="n"/>
      <c r="I192" s="239" t="n"/>
      <c r="J192" s="239" t="n"/>
      <c r="K192" s="239" t="n"/>
      <c r="L192" s="239" t="n"/>
      <c r="M192" s="239" t="n"/>
      <c r="N192" s="239" t="n"/>
      <c r="O192" s="239" t="n"/>
      <c r="P192" s="239" t="n"/>
      <c r="Q192" s="239" t="n"/>
      <c r="R192" s="239" t="n"/>
      <c r="S192" s="239" t="n"/>
      <c r="T192" s="239" t="n"/>
      <c r="U192" s="239" t="n"/>
      <c r="V192" s="239" t="n"/>
      <c r="W192" s="239" t="n"/>
      <c r="X192" s="239" t="n"/>
      <c r="Y192" s="239" t="n"/>
      <c r="Z192" s="239" t="n"/>
      <c r="AA192" s="239" t="n"/>
      <c r="AB192" s="239" t="n"/>
      <c r="AC192" s="239" t="n"/>
      <c r="AD192" s="239" t="n"/>
      <c r="AE192" s="239" t="n"/>
    </row>
    <row r="193">
      <c r="A193" s="239" t="n"/>
      <c r="B193" s="239" t="n"/>
      <c r="C193" s="239" t="n"/>
      <c r="D193" s="239" t="n"/>
      <c r="E193" s="239" t="n"/>
      <c r="F193" s="239" t="n"/>
      <c r="G193" s="239" t="n"/>
      <c r="H193" s="239" t="n"/>
      <c r="I193" s="239" t="n"/>
      <c r="J193" s="239" t="n"/>
      <c r="K193" s="239" t="n"/>
      <c r="L193" s="239" t="n"/>
      <c r="M193" s="239" t="n"/>
      <c r="N193" s="239" t="n"/>
      <c r="O193" s="239" t="n"/>
      <c r="P193" s="239" t="n"/>
      <c r="Q193" s="239" t="n"/>
      <c r="R193" s="239" t="n"/>
      <c r="S193" s="239" t="n"/>
      <c r="T193" s="239" t="n"/>
      <c r="U193" s="239" t="n"/>
      <c r="V193" s="239" t="n"/>
      <c r="W193" s="239" t="n"/>
      <c r="X193" s="239" t="n"/>
      <c r="Y193" s="239" t="n"/>
      <c r="Z193" s="239" t="n"/>
      <c r="AA193" s="239" t="n"/>
      <c r="AB193" s="239" t="n"/>
      <c r="AC193" s="239" t="n"/>
      <c r="AD193" s="239" t="n"/>
      <c r="AE193" s="239" t="n"/>
    </row>
    <row r="194">
      <c r="A194" s="239" t="n"/>
      <c r="B194" s="239" t="n"/>
      <c r="C194" s="239" t="n"/>
      <c r="D194" s="239" t="n"/>
      <c r="E194" s="239" t="n"/>
      <c r="F194" s="239" t="n"/>
      <c r="G194" s="239" t="n"/>
      <c r="H194" s="239" t="n"/>
      <c r="I194" s="239" t="n"/>
      <c r="J194" s="239" t="n"/>
      <c r="K194" s="239" t="n"/>
      <c r="L194" s="239" t="n"/>
      <c r="M194" s="239" t="n"/>
      <c r="N194" s="239" t="n"/>
      <c r="O194" s="239" t="n"/>
      <c r="P194" s="239" t="n"/>
      <c r="Q194" s="239" t="n"/>
      <c r="R194" s="239" t="n"/>
      <c r="S194" s="239" t="n"/>
      <c r="T194" s="239" t="n"/>
      <c r="U194" s="239" t="n"/>
      <c r="V194" s="239" t="n"/>
      <c r="W194" s="239" t="n"/>
      <c r="X194" s="239" t="n"/>
      <c r="Y194" s="239" t="n"/>
      <c r="Z194" s="239" t="n"/>
      <c r="AA194" s="239" t="n"/>
      <c r="AB194" s="239" t="n"/>
      <c r="AC194" s="239" t="n"/>
      <c r="AD194" s="239" t="n"/>
      <c r="AE194" s="239" t="n"/>
    </row>
    <row r="195">
      <c r="A195" s="239" t="n"/>
      <c r="B195" s="239" t="n"/>
      <c r="C195" s="239" t="n"/>
      <c r="D195" s="239" t="n"/>
      <c r="E195" s="239" t="n"/>
      <c r="F195" s="239" t="n"/>
      <c r="G195" s="239" t="n"/>
      <c r="H195" s="239" t="n"/>
      <c r="I195" s="239" t="n"/>
      <c r="J195" s="239" t="n"/>
      <c r="K195" s="239" t="n"/>
      <c r="L195" s="239" t="n"/>
      <c r="M195" s="239" t="n"/>
      <c r="N195" s="239" t="n"/>
      <c r="O195" s="239" t="n"/>
      <c r="P195" s="239" t="n"/>
      <c r="Q195" s="239" t="n"/>
      <c r="R195" s="239" t="n"/>
      <c r="S195" s="239" t="n"/>
      <c r="T195" s="239" t="n"/>
      <c r="U195" s="239" t="n"/>
      <c r="V195" s="239" t="n"/>
      <c r="W195" s="239" t="n"/>
      <c r="X195" s="239" t="n"/>
      <c r="Y195" s="239" t="n"/>
      <c r="Z195" s="239" t="n"/>
      <c r="AA195" s="239" t="n"/>
      <c r="AB195" s="239" t="n"/>
      <c r="AC195" s="239" t="n"/>
      <c r="AD195" s="239" t="n"/>
      <c r="AE195" s="239" t="n"/>
    </row>
    <row r="196">
      <c r="A196" s="239" t="n"/>
      <c r="B196" s="239" t="n"/>
      <c r="C196" s="239" t="n"/>
      <c r="D196" s="239" t="n"/>
      <c r="E196" s="239" t="n"/>
      <c r="F196" s="239" t="n"/>
      <c r="G196" s="239" t="n"/>
      <c r="H196" s="239" t="n"/>
      <c r="I196" s="239" t="n"/>
      <c r="J196" s="239" t="n"/>
      <c r="K196" s="239" t="n"/>
      <c r="L196" s="239" t="n"/>
      <c r="M196" s="239" t="n"/>
      <c r="N196" s="239" t="n"/>
      <c r="O196" s="239" t="n"/>
      <c r="P196" s="239" t="n"/>
      <c r="Q196" s="239" t="n"/>
      <c r="R196" s="239" t="n"/>
      <c r="S196" s="239" t="n"/>
      <c r="T196" s="239" t="n"/>
      <c r="U196" s="239" t="n"/>
      <c r="V196" s="239" t="n"/>
      <c r="W196" s="239" t="n"/>
      <c r="X196" s="239" t="n"/>
      <c r="Y196" s="239" t="n"/>
      <c r="Z196" s="239" t="n"/>
      <c r="AA196" s="239" t="n"/>
      <c r="AB196" s="239" t="n"/>
      <c r="AC196" s="239" t="n"/>
      <c r="AD196" s="239" t="n"/>
      <c r="AE196" s="239" t="n"/>
    </row>
    <row r="197">
      <c r="A197" s="239" t="n"/>
      <c r="B197" s="239" t="n"/>
      <c r="C197" s="239" t="n"/>
      <c r="D197" s="239" t="n"/>
      <c r="E197" s="239" t="n"/>
      <c r="F197" s="239" t="n"/>
      <c r="G197" s="239" t="n"/>
      <c r="H197" s="239" t="n"/>
      <c r="I197" s="239" t="n"/>
      <c r="J197" s="239" t="n"/>
      <c r="K197" s="239" t="n"/>
      <c r="L197" s="239" t="n"/>
      <c r="M197" s="239" t="n"/>
      <c r="N197" s="239" t="n"/>
      <c r="O197" s="239" t="n"/>
      <c r="P197" s="239" t="n"/>
      <c r="Q197" s="239" t="n"/>
      <c r="R197" s="239" t="n"/>
      <c r="S197" s="239" t="n"/>
      <c r="T197" s="239" t="n"/>
      <c r="U197" s="239" t="n"/>
      <c r="V197" s="239" t="n"/>
      <c r="W197" s="239" t="n"/>
      <c r="X197" s="239" t="n"/>
      <c r="Y197" s="239" t="n"/>
      <c r="Z197" s="239" t="n"/>
      <c r="AA197" s="239" t="n"/>
      <c r="AB197" s="239" t="n"/>
      <c r="AC197" s="239" t="n"/>
      <c r="AD197" s="239" t="n"/>
      <c r="AE197" s="239" t="n"/>
    </row>
    <row r="198">
      <c r="A198" s="239" t="n"/>
      <c r="B198" s="239" t="n"/>
      <c r="C198" s="239" t="n"/>
      <c r="D198" s="239" t="n"/>
      <c r="E198" s="239" t="n"/>
      <c r="F198" s="239" t="n"/>
      <c r="G198" s="239" t="n"/>
      <c r="H198" s="239" t="n"/>
      <c r="I198" s="239" t="n"/>
      <c r="J198" s="239" t="n"/>
      <c r="K198" s="239" t="n"/>
      <c r="L198" s="239" t="n"/>
      <c r="M198" s="239" t="n"/>
      <c r="N198" s="239" t="n"/>
      <c r="O198" s="239" t="n"/>
      <c r="P198" s="239" t="n"/>
      <c r="Q198" s="239" t="n"/>
      <c r="R198" s="239" t="n"/>
      <c r="S198" s="239" t="n"/>
      <c r="T198" s="239" t="n"/>
      <c r="U198" s="239" t="n"/>
      <c r="V198" s="239" t="n"/>
      <c r="W198" s="239" t="n"/>
      <c r="X198" s="239" t="n"/>
      <c r="Y198" s="239" t="n"/>
      <c r="Z198" s="239" t="n"/>
      <c r="AA198" s="239" t="n"/>
      <c r="AB198" s="239" t="n"/>
      <c r="AC198" s="239" t="n"/>
      <c r="AD198" s="239" t="n"/>
      <c r="AE198" s="239" t="n"/>
    </row>
    <row r="199">
      <c r="A199" s="239" t="n"/>
      <c r="B199" s="239" t="n"/>
      <c r="C199" s="239" t="n"/>
      <c r="D199" s="239" t="n"/>
      <c r="E199" s="239" t="n"/>
      <c r="F199" s="239" t="n"/>
      <c r="G199" s="239" t="n"/>
      <c r="H199" s="239" t="n"/>
      <c r="I199" s="239" t="n"/>
      <c r="J199" s="239" t="n"/>
      <c r="K199" s="239" t="n"/>
      <c r="L199" s="239" t="n"/>
      <c r="M199" s="239" t="n"/>
      <c r="N199" s="239" t="n"/>
      <c r="O199" s="239" t="n"/>
      <c r="P199" s="239" t="n"/>
      <c r="Q199" s="239" t="n"/>
      <c r="R199" s="239" t="n"/>
      <c r="S199" s="239" t="n"/>
      <c r="T199" s="239" t="n"/>
      <c r="U199" s="239" t="n"/>
      <c r="V199" s="239" t="n"/>
      <c r="W199" s="239" t="n"/>
      <c r="X199" s="239" t="n"/>
      <c r="Y199" s="239" t="n"/>
      <c r="Z199" s="239" t="n"/>
      <c r="AA199" s="239" t="n"/>
      <c r="AB199" s="239" t="n"/>
      <c r="AC199" s="239" t="n"/>
      <c r="AD199" s="239" t="n"/>
      <c r="AE199" s="239" t="n"/>
    </row>
    <row r="200">
      <c r="A200" s="239" t="n"/>
      <c r="B200" s="239" t="n"/>
      <c r="C200" s="239" t="n"/>
      <c r="D200" s="239" t="n"/>
      <c r="E200" s="239" t="n"/>
      <c r="F200" s="239" t="n"/>
      <c r="G200" s="239" t="n"/>
      <c r="H200" s="239" t="n"/>
      <c r="I200" s="239" t="n"/>
      <c r="J200" s="239" t="n"/>
      <c r="K200" s="239" t="n"/>
      <c r="L200" s="239" t="n"/>
      <c r="M200" s="239" t="n"/>
      <c r="N200" s="239" t="n"/>
      <c r="O200" s="239" t="n"/>
      <c r="P200" s="239" t="n"/>
      <c r="Q200" s="239" t="n"/>
      <c r="R200" s="239" t="n"/>
      <c r="S200" s="239" t="n"/>
      <c r="T200" s="239" t="n"/>
      <c r="U200" s="239" t="n"/>
      <c r="V200" s="239" t="n"/>
      <c r="W200" s="239" t="n"/>
      <c r="X200" s="239" t="n"/>
      <c r="Y200" s="239" t="n"/>
      <c r="Z200" s="239" t="n"/>
      <c r="AA200" s="239" t="n"/>
      <c r="AB200" s="239" t="n"/>
      <c r="AC200" s="239" t="n"/>
      <c r="AD200" s="239" t="n"/>
      <c r="AE200" s="239" t="n"/>
    </row>
    <row r="201">
      <c r="A201" s="239" t="n"/>
      <c r="B201" s="239" t="n"/>
      <c r="C201" s="239" t="n"/>
      <c r="D201" s="239" t="n"/>
      <c r="E201" s="239" t="n"/>
      <c r="F201" s="239" t="n"/>
      <c r="G201" s="239" t="n"/>
      <c r="H201" s="239" t="n"/>
      <c r="I201" s="239" t="n"/>
      <c r="J201" s="239" t="n"/>
      <c r="K201" s="239" t="n"/>
      <c r="L201" s="239" t="n"/>
      <c r="M201" s="239" t="n"/>
      <c r="N201" s="239" t="n"/>
      <c r="O201" s="239" t="n"/>
      <c r="P201" s="239" t="n"/>
      <c r="Q201" s="239" t="n"/>
      <c r="R201" s="239" t="n"/>
      <c r="S201" s="239" t="n"/>
      <c r="T201" s="239" t="n"/>
      <c r="U201" s="239" t="n"/>
      <c r="V201" s="239" t="n"/>
      <c r="W201" s="239" t="n"/>
      <c r="X201" s="239" t="n"/>
      <c r="Y201" s="239" t="n"/>
      <c r="Z201" s="239" t="n"/>
      <c r="AA201" s="239" t="n"/>
      <c r="AB201" s="239" t="n"/>
      <c r="AC201" s="239" t="n"/>
      <c r="AD201" s="239" t="n"/>
      <c r="AE201" s="239" t="n"/>
    </row>
    <row r="202">
      <c r="A202" s="239" t="n"/>
      <c r="B202" s="239" t="n"/>
      <c r="C202" s="239" t="n"/>
      <c r="D202" s="239" t="n"/>
      <c r="E202" s="239" t="n"/>
      <c r="F202" s="239" t="n"/>
      <c r="G202" s="239" t="n"/>
      <c r="H202" s="239" t="n"/>
      <c r="I202" s="239" t="n"/>
      <c r="J202" s="239" t="n"/>
      <c r="K202" s="239" t="n"/>
      <c r="L202" s="239" t="n"/>
      <c r="M202" s="239" t="n"/>
      <c r="N202" s="239" t="n"/>
      <c r="O202" s="239" t="n"/>
      <c r="P202" s="239" t="n"/>
      <c r="Q202" s="239" t="n"/>
      <c r="R202" s="239" t="n"/>
      <c r="S202" s="239" t="n"/>
      <c r="T202" s="239" t="n"/>
      <c r="U202" s="239" t="n"/>
      <c r="V202" s="239" t="n"/>
      <c r="W202" s="239" t="n"/>
      <c r="X202" s="239" t="n"/>
      <c r="Y202" s="239" t="n"/>
      <c r="Z202" s="239" t="n"/>
      <c r="AA202" s="239" t="n"/>
      <c r="AB202" s="239" t="n"/>
      <c r="AC202" s="239" t="n"/>
      <c r="AD202" s="239" t="n"/>
      <c r="AE202" s="239" t="n"/>
    </row>
    <row r="203">
      <c r="A203" s="239" t="n"/>
      <c r="B203" s="239" t="n"/>
      <c r="C203" s="239" t="n"/>
      <c r="D203" s="239" t="n"/>
      <c r="E203" s="239" t="n"/>
      <c r="F203" s="239" t="n"/>
      <c r="G203" s="239" t="n"/>
      <c r="H203" s="239" t="n"/>
      <c r="I203" s="239" t="n"/>
      <c r="J203" s="239" t="n"/>
      <c r="K203" s="239" t="n"/>
      <c r="L203" s="239" t="n"/>
      <c r="M203" s="239" t="n"/>
      <c r="N203" s="239" t="n"/>
      <c r="O203" s="239" t="n"/>
      <c r="P203" s="239" t="n"/>
      <c r="Q203" s="239" t="n"/>
      <c r="R203" s="239" t="n"/>
      <c r="S203" s="239" t="n"/>
      <c r="T203" s="239" t="n"/>
      <c r="U203" s="239" t="n"/>
      <c r="V203" s="239" t="n"/>
      <c r="W203" s="239" t="n"/>
      <c r="X203" s="239" t="n"/>
      <c r="Y203" s="239" t="n"/>
      <c r="Z203" s="239" t="n"/>
      <c r="AA203" s="239" t="n"/>
      <c r="AB203" s="239" t="n"/>
      <c r="AC203" s="239" t="n"/>
      <c r="AD203" s="239" t="n"/>
      <c r="AE203" s="239" t="n"/>
    </row>
    <row r="204">
      <c r="A204" s="239" t="n"/>
      <c r="B204" s="239" t="n"/>
      <c r="C204" s="239" t="n"/>
      <c r="D204" s="239" t="n"/>
      <c r="E204" s="239" t="n"/>
      <c r="F204" s="239" t="n"/>
      <c r="G204" s="239" t="n"/>
      <c r="H204" s="239" t="n"/>
      <c r="I204" s="239" t="n"/>
      <c r="J204" s="239" t="n"/>
      <c r="K204" s="239" t="n"/>
      <c r="L204" s="239" t="n"/>
      <c r="M204" s="239" t="n"/>
      <c r="N204" s="239" t="n"/>
      <c r="O204" s="239" t="n"/>
      <c r="P204" s="239" t="n"/>
      <c r="Q204" s="239" t="n"/>
      <c r="R204" s="239" t="n"/>
      <c r="S204" s="239" t="n"/>
      <c r="T204" s="239" t="n"/>
      <c r="U204" s="239" t="n"/>
      <c r="V204" s="239" t="n"/>
      <c r="W204" s="239" t="n"/>
      <c r="X204" s="239" t="n"/>
      <c r="Y204" s="239" t="n"/>
      <c r="Z204" s="239" t="n"/>
      <c r="AA204" s="239" t="n"/>
      <c r="AB204" s="239" t="n"/>
      <c r="AC204" s="239" t="n"/>
      <c r="AD204" s="239" t="n"/>
      <c r="AE204" s="239" t="n"/>
    </row>
    <row r="205">
      <c r="A205" s="239" t="n"/>
      <c r="B205" s="239" t="n"/>
      <c r="C205" s="239" t="n"/>
      <c r="D205" s="239" t="n"/>
      <c r="E205" s="239" t="n"/>
      <c r="F205" s="239" t="n"/>
      <c r="G205" s="239" t="n"/>
      <c r="H205" s="239" t="n"/>
      <c r="I205" s="239" t="n"/>
      <c r="J205" s="239" t="n"/>
      <c r="K205" s="239" t="n"/>
      <c r="L205" s="239" t="n"/>
      <c r="M205" s="239" t="n"/>
      <c r="N205" s="239" t="n"/>
      <c r="O205" s="239" t="n"/>
      <c r="P205" s="239" t="n"/>
      <c r="Q205" s="239" t="n"/>
      <c r="R205" s="239" t="n"/>
      <c r="S205" s="239" t="n"/>
      <c r="T205" s="239" t="n"/>
      <c r="U205" s="239" t="n"/>
      <c r="V205" s="239" t="n"/>
      <c r="W205" s="239" t="n"/>
      <c r="X205" s="239" t="n"/>
      <c r="Y205" s="239" t="n"/>
      <c r="Z205" s="239" t="n"/>
      <c r="AA205" s="239" t="n"/>
      <c r="AB205" s="239" t="n"/>
      <c r="AC205" s="239" t="n"/>
      <c r="AD205" s="239" t="n"/>
      <c r="AE205" s="239" t="n"/>
    </row>
    <row r="206">
      <c r="A206" s="239" t="n"/>
      <c r="B206" s="239" t="n"/>
      <c r="C206" s="239" t="n"/>
      <c r="D206" s="239" t="n"/>
      <c r="E206" s="239" t="n"/>
      <c r="F206" s="239" t="n"/>
      <c r="G206" s="239" t="n"/>
      <c r="H206" s="239" t="n"/>
      <c r="I206" s="239" t="n"/>
      <c r="J206" s="239" t="n"/>
      <c r="K206" s="239" t="n"/>
      <c r="L206" s="239" t="n"/>
      <c r="M206" s="239" t="n"/>
      <c r="N206" s="239" t="n"/>
      <c r="O206" s="239" t="n"/>
      <c r="P206" s="239" t="n"/>
      <c r="Q206" s="239" t="n"/>
      <c r="R206" s="239" t="n"/>
      <c r="S206" s="239" t="n"/>
      <c r="T206" s="239" t="n"/>
      <c r="U206" s="239" t="n"/>
      <c r="V206" s="239" t="n"/>
      <c r="W206" s="239" t="n"/>
      <c r="X206" s="239" t="n"/>
      <c r="Y206" s="239" t="n"/>
      <c r="Z206" s="239" t="n"/>
      <c r="AA206" s="239" t="n"/>
      <c r="AB206" s="239" t="n"/>
      <c r="AC206" s="239" t="n"/>
      <c r="AD206" s="239" t="n"/>
      <c r="AE206" s="239" t="n"/>
    </row>
    <row r="207">
      <c r="A207" s="239" t="n"/>
      <c r="B207" s="239" t="n"/>
      <c r="C207" s="239" t="n"/>
      <c r="D207" s="239" t="n"/>
      <c r="E207" s="239" t="n"/>
      <c r="F207" s="239" t="n"/>
      <c r="G207" s="239" t="n"/>
      <c r="H207" s="239" t="n"/>
      <c r="I207" s="239" t="n"/>
      <c r="J207" s="239" t="n"/>
      <c r="K207" s="239" t="n"/>
      <c r="L207" s="239" t="n"/>
      <c r="M207" s="239" t="n"/>
      <c r="N207" s="239" t="n"/>
      <c r="O207" s="239" t="n"/>
      <c r="P207" s="239" t="n"/>
      <c r="Q207" s="239" t="n"/>
      <c r="R207" s="239" t="n"/>
      <c r="S207" s="239" t="n"/>
      <c r="T207" s="239" t="n"/>
      <c r="U207" s="239" t="n"/>
      <c r="V207" s="239" t="n"/>
      <c r="W207" s="239" t="n"/>
      <c r="X207" s="239" t="n"/>
      <c r="Y207" s="239" t="n"/>
      <c r="Z207" s="239" t="n"/>
      <c r="AA207" s="239" t="n"/>
      <c r="AB207" s="239" t="n"/>
      <c r="AC207" s="239" t="n"/>
      <c r="AD207" s="239" t="n"/>
      <c r="AE207" s="239" t="n"/>
    </row>
    <row r="208">
      <c r="A208" s="239" t="n"/>
      <c r="B208" s="239" t="n"/>
      <c r="C208" s="239" t="n"/>
      <c r="D208" s="239" t="n"/>
      <c r="E208" s="239" t="n"/>
      <c r="F208" s="239" t="n"/>
      <c r="G208" s="239" t="n"/>
      <c r="H208" s="239" t="n"/>
      <c r="I208" s="239" t="n"/>
      <c r="J208" s="239" t="n"/>
      <c r="K208" s="239" t="n"/>
      <c r="L208" s="239" t="n"/>
      <c r="M208" s="239" t="n"/>
      <c r="N208" s="239" t="n"/>
      <c r="O208" s="239" t="n"/>
      <c r="P208" s="239" t="n"/>
      <c r="Q208" s="239" t="n"/>
      <c r="R208" s="239" t="n"/>
      <c r="S208" s="239" t="n"/>
      <c r="T208" s="239" t="n"/>
      <c r="U208" s="239" t="n"/>
      <c r="V208" s="239" t="n"/>
      <c r="W208" s="239" t="n"/>
      <c r="X208" s="239" t="n"/>
      <c r="Y208" s="239" t="n"/>
      <c r="Z208" s="239" t="n"/>
      <c r="AA208" s="239" t="n"/>
      <c r="AB208" s="239" t="n"/>
      <c r="AC208" s="239" t="n"/>
      <c r="AD208" s="239" t="n"/>
      <c r="AE208" s="239" t="n"/>
    </row>
    <row r="209">
      <c r="A209" s="239" t="n"/>
      <c r="B209" s="239" t="n"/>
      <c r="C209" s="239" t="n"/>
      <c r="D209" s="239" t="n"/>
      <c r="E209" s="239" t="n"/>
      <c r="F209" s="239" t="n"/>
      <c r="G209" s="239" t="n"/>
      <c r="H209" s="239" t="n"/>
      <c r="I209" s="239" t="n"/>
      <c r="J209" s="239" t="n"/>
      <c r="K209" s="239" t="n"/>
      <c r="L209" s="239" t="n"/>
      <c r="M209" s="239" t="n"/>
      <c r="N209" s="239" t="n"/>
      <c r="O209" s="239" t="n"/>
      <c r="P209" s="239" t="n"/>
      <c r="Q209" s="239" t="n"/>
      <c r="R209" s="239" t="n"/>
      <c r="S209" s="239" t="n"/>
      <c r="T209" s="239" t="n"/>
      <c r="U209" s="239" t="n"/>
      <c r="V209" s="239" t="n"/>
      <c r="W209" s="239" t="n"/>
      <c r="X209" s="239" t="n"/>
      <c r="Y209" s="239" t="n"/>
      <c r="Z209" s="239" t="n"/>
      <c r="AA209" s="239" t="n"/>
      <c r="AB209" s="239" t="n"/>
      <c r="AC209" s="239" t="n"/>
      <c r="AD209" s="239" t="n"/>
      <c r="AE209" s="239" t="n"/>
    </row>
    <row r="210">
      <c r="A210" s="239" t="n"/>
      <c r="B210" s="239" t="n"/>
      <c r="C210" s="239" t="n"/>
      <c r="D210" s="239" t="n"/>
      <c r="E210" s="239" t="n"/>
      <c r="F210" s="239" t="n"/>
      <c r="G210" s="239" t="n"/>
      <c r="H210" s="239" t="n"/>
      <c r="I210" s="239" t="n"/>
      <c r="J210" s="239" t="n"/>
      <c r="K210" s="239" t="n"/>
      <c r="L210" s="239" t="n"/>
      <c r="M210" s="239" t="n"/>
      <c r="N210" s="239" t="n"/>
      <c r="O210" s="239" t="n"/>
      <c r="P210" s="239" t="n"/>
      <c r="Q210" s="239" t="n"/>
      <c r="R210" s="239" t="n"/>
      <c r="S210" s="239" t="n"/>
      <c r="T210" s="239" t="n"/>
      <c r="U210" s="239" t="n"/>
      <c r="V210" s="239" t="n"/>
      <c r="W210" s="239" t="n"/>
      <c r="X210" s="239" t="n"/>
      <c r="Y210" s="239" t="n"/>
      <c r="Z210" s="239" t="n"/>
      <c r="AA210" s="239" t="n"/>
      <c r="AB210" s="239" t="n"/>
      <c r="AC210" s="239" t="n"/>
      <c r="AD210" s="239" t="n"/>
      <c r="AE210" s="239" t="n"/>
    </row>
    <row r="211">
      <c r="A211" s="239" t="n"/>
      <c r="B211" s="239" t="n"/>
      <c r="C211" s="239" t="n"/>
      <c r="D211" s="239" t="n"/>
      <c r="E211" s="239" t="n"/>
      <c r="F211" s="239" t="n"/>
      <c r="G211" s="239" t="n"/>
      <c r="H211" s="239" t="n"/>
      <c r="I211" s="239" t="n"/>
      <c r="J211" s="239" t="n"/>
      <c r="K211" s="239" t="n"/>
      <c r="L211" s="239" t="n"/>
      <c r="M211" s="239" t="n"/>
      <c r="N211" s="239" t="n"/>
      <c r="O211" s="239" t="n"/>
      <c r="P211" s="239" t="n"/>
      <c r="Q211" s="239" t="n"/>
      <c r="R211" s="239" t="n"/>
      <c r="S211" s="239" t="n"/>
      <c r="T211" s="239" t="n"/>
      <c r="U211" s="239" t="n"/>
      <c r="V211" s="239" t="n"/>
      <c r="W211" s="239" t="n"/>
      <c r="X211" s="239" t="n"/>
      <c r="Y211" s="239" t="n"/>
      <c r="Z211" s="239" t="n"/>
      <c r="AA211" s="239" t="n"/>
      <c r="AB211" s="239" t="n"/>
      <c r="AC211" s="239" t="n"/>
      <c r="AD211" s="239" t="n"/>
      <c r="AE211" s="239" t="n"/>
    </row>
    <row r="212">
      <c r="A212" s="239" t="n"/>
      <c r="B212" s="239" t="n"/>
      <c r="C212" s="239" t="n"/>
      <c r="D212" s="239" t="n"/>
      <c r="E212" s="239" t="n"/>
      <c r="F212" s="239" t="n"/>
      <c r="G212" s="239" t="n"/>
      <c r="H212" s="239" t="n"/>
      <c r="I212" s="239" t="n"/>
      <c r="J212" s="239" t="n"/>
      <c r="K212" s="239" t="n"/>
      <c r="L212" s="239" t="n"/>
      <c r="M212" s="239" t="n"/>
      <c r="N212" s="239" t="n"/>
      <c r="O212" s="239" t="n"/>
      <c r="P212" s="239" t="n"/>
      <c r="Q212" s="239" t="n"/>
      <c r="R212" s="239" t="n"/>
      <c r="S212" s="239" t="n"/>
      <c r="T212" s="239" t="n"/>
      <c r="U212" s="239" t="n"/>
      <c r="V212" s="239" t="n"/>
      <c r="W212" s="239" t="n"/>
      <c r="X212" s="239" t="n"/>
      <c r="Y212" s="239" t="n"/>
      <c r="Z212" s="239" t="n"/>
      <c r="AA212" s="239" t="n"/>
      <c r="AB212" s="239" t="n"/>
      <c r="AC212" s="239" t="n"/>
      <c r="AD212" s="239" t="n"/>
      <c r="AE212" s="239" t="n"/>
    </row>
    <row r="213">
      <c r="A213" s="239" t="n"/>
      <c r="B213" s="239" t="n"/>
      <c r="C213" s="239" t="n"/>
      <c r="D213" s="239" t="n"/>
      <c r="E213" s="239" t="n"/>
      <c r="F213" s="239" t="n"/>
      <c r="G213" s="239" t="n"/>
      <c r="H213" s="239" t="n"/>
      <c r="I213" s="239" t="n"/>
      <c r="J213" s="239" t="n"/>
      <c r="K213" s="239" t="n"/>
      <c r="L213" s="239" t="n"/>
      <c r="M213" s="239" t="n"/>
      <c r="N213" s="239" t="n"/>
      <c r="O213" s="239" t="n"/>
      <c r="P213" s="239" t="n"/>
      <c r="Q213" s="239" t="n"/>
      <c r="R213" s="239" t="n"/>
      <c r="S213" s="239" t="n"/>
      <c r="T213" s="239" t="n"/>
      <c r="U213" s="239" t="n"/>
      <c r="V213" s="239" t="n"/>
      <c r="W213" s="239" t="n"/>
      <c r="X213" s="239" t="n"/>
      <c r="Y213" s="239" t="n"/>
      <c r="Z213" s="239" t="n"/>
      <c r="AA213" s="239" t="n"/>
      <c r="AB213" s="239" t="n"/>
      <c r="AC213" s="239" t="n"/>
      <c r="AD213" s="239" t="n"/>
      <c r="AE213" s="239" t="n"/>
    </row>
    <row r="214">
      <c r="A214" s="239" t="n"/>
      <c r="B214" s="239" t="n"/>
      <c r="C214" s="239" t="n"/>
      <c r="D214" s="239" t="n"/>
      <c r="E214" s="239" t="n"/>
      <c r="F214" s="239" t="n"/>
      <c r="G214" s="239" t="n"/>
      <c r="H214" s="239" t="n"/>
      <c r="I214" s="239" t="n"/>
      <c r="J214" s="239" t="n"/>
      <c r="K214" s="239" t="n"/>
      <c r="L214" s="239" t="n"/>
      <c r="M214" s="239" t="n"/>
      <c r="N214" s="239" t="n"/>
      <c r="O214" s="239" t="n"/>
      <c r="P214" s="239" t="n"/>
      <c r="Q214" s="239" t="n"/>
      <c r="R214" s="239" t="n"/>
      <c r="S214" s="239" t="n"/>
      <c r="T214" s="239" t="n"/>
      <c r="U214" s="239" t="n"/>
      <c r="V214" s="239" t="n"/>
      <c r="W214" s="239" t="n"/>
      <c r="X214" s="239" t="n"/>
      <c r="Y214" s="239" t="n"/>
      <c r="Z214" s="239" t="n"/>
      <c r="AA214" s="239" t="n"/>
      <c r="AB214" s="239" t="n"/>
      <c r="AC214" s="239" t="n"/>
      <c r="AD214" s="239" t="n"/>
      <c r="AE214" s="239" t="n"/>
    </row>
    <row r="215">
      <c r="A215" s="239" t="n"/>
      <c r="B215" s="239" t="n"/>
      <c r="C215" s="239" t="n"/>
      <c r="D215" s="239" t="n"/>
      <c r="E215" s="239" t="n"/>
      <c r="F215" s="239" t="n"/>
      <c r="G215" s="239" t="n"/>
      <c r="H215" s="239" t="n"/>
      <c r="I215" s="239" t="n"/>
      <c r="J215" s="239" t="n"/>
      <c r="K215" s="239" t="n"/>
      <c r="L215" s="239" t="n"/>
      <c r="M215" s="239" t="n"/>
      <c r="N215" s="239" t="n"/>
      <c r="O215" s="239" t="n"/>
      <c r="P215" s="239" t="n"/>
      <c r="Q215" s="239" t="n"/>
      <c r="R215" s="239" t="n"/>
      <c r="S215" s="239" t="n"/>
      <c r="T215" s="239" t="n"/>
      <c r="U215" s="239" t="n"/>
      <c r="V215" s="239" t="n"/>
      <c r="W215" s="239" t="n"/>
      <c r="X215" s="239" t="n"/>
      <c r="Y215" s="239" t="n"/>
      <c r="Z215" s="239" t="n"/>
      <c r="AA215" s="239" t="n"/>
      <c r="AB215" s="239" t="n"/>
      <c r="AC215" s="239" t="n"/>
      <c r="AD215" s="239" t="n"/>
      <c r="AE215" s="239" t="n"/>
    </row>
    <row r="216">
      <c r="A216" s="239" t="n"/>
      <c r="B216" s="239" t="n"/>
      <c r="C216" s="239" t="n"/>
      <c r="D216" s="239" t="n"/>
      <c r="E216" s="239" t="n"/>
      <c r="F216" s="239" t="n"/>
      <c r="G216" s="239" t="n"/>
      <c r="H216" s="239" t="n"/>
      <c r="I216" s="239" t="n"/>
      <c r="J216" s="239" t="n"/>
      <c r="K216" s="239" t="n"/>
      <c r="L216" s="239" t="n"/>
      <c r="M216" s="239" t="n"/>
      <c r="N216" s="239" t="n"/>
      <c r="O216" s="239" t="n"/>
      <c r="P216" s="239" t="n"/>
      <c r="Q216" s="239" t="n"/>
      <c r="R216" s="239" t="n"/>
      <c r="S216" s="239" t="n"/>
      <c r="T216" s="239" t="n"/>
      <c r="U216" s="239" t="n"/>
      <c r="V216" s="239" t="n"/>
      <c r="W216" s="239" t="n"/>
      <c r="X216" s="239" t="n"/>
      <c r="Y216" s="239" t="n"/>
      <c r="Z216" s="239" t="n"/>
      <c r="AA216" s="239" t="n"/>
      <c r="AB216" s="239" t="n"/>
      <c r="AC216" s="239" t="n"/>
      <c r="AD216" s="239" t="n"/>
      <c r="AE216" s="239" t="n"/>
    </row>
    <row r="217">
      <c r="A217" s="239" t="n"/>
      <c r="B217" s="239" t="n"/>
      <c r="C217" s="239" t="n"/>
      <c r="D217" s="239" t="n"/>
      <c r="E217" s="239" t="n"/>
      <c r="F217" s="239" t="n"/>
      <c r="G217" s="239" t="n"/>
      <c r="H217" s="239" t="n"/>
      <c r="I217" s="239" t="n"/>
      <c r="J217" s="239" t="n"/>
      <c r="K217" s="239" t="n"/>
      <c r="L217" s="239" t="n"/>
      <c r="M217" s="239" t="n"/>
      <c r="N217" s="239" t="n"/>
      <c r="O217" s="239" t="n"/>
      <c r="P217" s="239" t="n"/>
      <c r="Q217" s="239" t="n"/>
      <c r="R217" s="239" t="n"/>
      <c r="S217" s="239" t="n"/>
      <c r="T217" s="239" t="n"/>
      <c r="U217" s="239" t="n"/>
      <c r="V217" s="239" t="n"/>
      <c r="W217" s="239" t="n"/>
      <c r="X217" s="239" t="n"/>
      <c r="Y217" s="239" t="n"/>
      <c r="Z217" s="239" t="n"/>
      <c r="AA217" s="239" t="n"/>
      <c r="AB217" s="239" t="n"/>
      <c r="AC217" s="239" t="n"/>
      <c r="AD217" s="239" t="n"/>
      <c r="AE217" s="239" t="n"/>
    </row>
    <row r="218">
      <c r="A218" s="239" t="n"/>
      <c r="B218" s="239" t="n"/>
      <c r="C218" s="239" t="n"/>
      <c r="D218" s="239" t="n"/>
      <c r="E218" s="239" t="n"/>
      <c r="F218" s="239" t="n"/>
      <c r="G218" s="239" t="n"/>
      <c r="H218" s="239" t="n"/>
      <c r="I218" s="239" t="n"/>
      <c r="J218" s="239" t="n"/>
      <c r="K218" s="239" t="n"/>
      <c r="L218" s="239" t="n"/>
      <c r="M218" s="239" t="n"/>
      <c r="N218" s="239" t="n"/>
      <c r="O218" s="239" t="n"/>
      <c r="P218" s="239" t="n"/>
      <c r="Q218" s="239" t="n"/>
      <c r="R218" s="239" t="n"/>
      <c r="S218" s="239" t="n"/>
      <c r="T218" s="239" t="n"/>
      <c r="U218" s="239" t="n"/>
      <c r="V218" s="239" t="n"/>
      <c r="W218" s="239" t="n"/>
      <c r="X218" s="239" t="n"/>
      <c r="Y218" s="239" t="n"/>
      <c r="Z218" s="239" t="n"/>
      <c r="AA218" s="239" t="n"/>
      <c r="AB218" s="239" t="n"/>
      <c r="AC218" s="239" t="n"/>
      <c r="AD218" s="239" t="n"/>
      <c r="AE218" s="239" t="n"/>
    </row>
    <row r="219">
      <c r="A219" s="239" t="n"/>
      <c r="B219" s="239" t="n"/>
      <c r="C219" s="239" t="n"/>
      <c r="D219" s="239" t="n"/>
      <c r="E219" s="239" t="n"/>
      <c r="F219" s="239" t="n"/>
      <c r="G219" s="239" t="n"/>
      <c r="H219" s="239" t="n"/>
      <c r="I219" s="239" t="n"/>
      <c r="J219" s="239" t="n"/>
      <c r="K219" s="239" t="n"/>
      <c r="L219" s="239" t="n"/>
      <c r="M219" s="239" t="n"/>
      <c r="N219" s="239" t="n"/>
      <c r="O219" s="239" t="n"/>
      <c r="P219" s="239" t="n"/>
      <c r="Q219" s="239" t="n"/>
      <c r="R219" s="239" t="n"/>
      <c r="S219" s="239" t="n"/>
      <c r="T219" s="239" t="n"/>
      <c r="U219" s="239" t="n"/>
      <c r="V219" s="239" t="n"/>
      <c r="W219" s="239" t="n"/>
      <c r="X219" s="239" t="n"/>
      <c r="Y219" s="239" t="n"/>
      <c r="Z219" s="239" t="n"/>
      <c r="AA219" s="239" t="n"/>
      <c r="AB219" s="239" t="n"/>
      <c r="AC219" s="239" t="n"/>
      <c r="AD219" s="239" t="n"/>
      <c r="AE219" s="239" t="n"/>
    </row>
    <row r="220">
      <c r="A220" s="239" t="n"/>
      <c r="B220" s="239" t="n"/>
      <c r="C220" s="239" t="n"/>
      <c r="D220" s="239" t="n"/>
      <c r="E220" s="239" t="n"/>
      <c r="F220" s="239" t="n"/>
      <c r="G220" s="239" t="n"/>
      <c r="H220" s="239" t="n"/>
      <c r="I220" s="239" t="n"/>
      <c r="J220" s="239" t="n"/>
      <c r="K220" s="239" t="n"/>
      <c r="L220" s="239" t="n"/>
      <c r="M220" s="239" t="n"/>
      <c r="N220" s="239" t="n"/>
      <c r="O220" s="239" t="n"/>
      <c r="P220" s="239" t="n"/>
      <c r="Q220" s="239" t="n"/>
      <c r="R220" s="239" t="n"/>
      <c r="S220" s="239" t="n"/>
      <c r="T220" s="239" t="n"/>
      <c r="U220" s="239" t="n"/>
      <c r="V220" s="239" t="n"/>
      <c r="W220" s="239" t="n"/>
      <c r="X220" s="239" t="n"/>
      <c r="Y220" s="239" t="n"/>
      <c r="Z220" s="239" t="n"/>
      <c r="AA220" s="239" t="n"/>
      <c r="AB220" s="239" t="n"/>
      <c r="AC220" s="239" t="n"/>
      <c r="AD220" s="239" t="n"/>
      <c r="AE220" s="239" t="n"/>
    </row>
    <row r="221">
      <c r="A221" s="239" t="n"/>
      <c r="B221" s="239" t="n"/>
      <c r="C221" s="239" t="n"/>
      <c r="D221" s="239" t="n"/>
      <c r="E221" s="239" t="n"/>
      <c r="F221" s="239" t="n"/>
      <c r="G221" s="239" t="n"/>
      <c r="H221" s="239" t="n"/>
      <c r="I221" s="239" t="n"/>
      <c r="J221" s="239" t="n"/>
      <c r="K221" s="239" t="n"/>
      <c r="L221" s="239" t="n"/>
      <c r="M221" s="239" t="n"/>
      <c r="N221" s="239" t="n"/>
      <c r="O221" s="239" t="n"/>
      <c r="P221" s="239" t="n"/>
      <c r="Q221" s="239" t="n"/>
      <c r="R221" s="239" t="n"/>
      <c r="S221" s="239" t="n"/>
      <c r="T221" s="239" t="n"/>
      <c r="U221" s="239" t="n"/>
      <c r="V221" s="239" t="n"/>
      <c r="W221" s="239" t="n"/>
      <c r="X221" s="239" t="n"/>
      <c r="Y221" s="239" t="n"/>
      <c r="Z221" s="239" t="n"/>
      <c r="AA221" s="239" t="n"/>
      <c r="AB221" s="239" t="n"/>
      <c r="AC221" s="239" t="n"/>
      <c r="AD221" s="239" t="n"/>
      <c r="AE221" s="239" t="n"/>
    </row>
    <row r="222">
      <c r="A222" s="239" t="n"/>
      <c r="B222" s="239" t="n"/>
      <c r="C222" s="239" t="n"/>
      <c r="D222" s="239" t="n"/>
      <c r="E222" s="239" t="n"/>
      <c r="F222" s="239" t="n"/>
      <c r="G222" s="239" t="n"/>
      <c r="H222" s="239" t="n"/>
      <c r="I222" s="239" t="n"/>
      <c r="J222" s="239" t="n"/>
      <c r="K222" s="239" t="n"/>
      <c r="L222" s="239" t="n"/>
      <c r="M222" s="239" t="n"/>
      <c r="N222" s="239" t="n"/>
      <c r="O222" s="239" t="n"/>
      <c r="P222" s="239" t="n"/>
      <c r="Q222" s="239" t="n"/>
      <c r="R222" s="239" t="n"/>
      <c r="S222" s="239" t="n"/>
      <c r="T222" s="239" t="n"/>
      <c r="U222" s="239" t="n"/>
      <c r="V222" s="239" t="n"/>
      <c r="W222" s="239" t="n"/>
      <c r="X222" s="239" t="n"/>
      <c r="Y222" s="239" t="n"/>
      <c r="Z222" s="239" t="n"/>
      <c r="AA222" s="239" t="n"/>
      <c r="AB222" s="239" t="n"/>
      <c r="AC222" s="239" t="n"/>
      <c r="AD222" s="239" t="n"/>
      <c r="AE222" s="239" t="n"/>
    </row>
    <row r="223">
      <c r="A223" s="239" t="n"/>
      <c r="B223" s="239" t="n"/>
      <c r="C223" s="239" t="n"/>
      <c r="D223" s="239" t="n"/>
      <c r="E223" s="239" t="n"/>
      <c r="F223" s="239" t="n"/>
      <c r="G223" s="239" t="n"/>
      <c r="H223" s="239" t="n"/>
      <c r="I223" s="239" t="n"/>
      <c r="J223" s="239" t="n"/>
      <c r="K223" s="239" t="n"/>
      <c r="L223" s="239" t="n"/>
      <c r="M223" s="239" t="n"/>
      <c r="N223" s="239" t="n"/>
      <c r="O223" s="239" t="n"/>
      <c r="P223" s="239" t="n"/>
      <c r="Q223" s="239" t="n"/>
      <c r="R223" s="239" t="n"/>
      <c r="S223" s="239" t="n"/>
      <c r="T223" s="239" t="n"/>
      <c r="U223" s="239" t="n"/>
      <c r="V223" s="239" t="n"/>
      <c r="W223" s="239" t="n"/>
      <c r="X223" s="239" t="n"/>
      <c r="Y223" s="239" t="n"/>
      <c r="Z223" s="239" t="n"/>
      <c r="AA223" s="239" t="n"/>
      <c r="AB223" s="239" t="n"/>
      <c r="AC223" s="239" t="n"/>
      <c r="AD223" s="239" t="n"/>
      <c r="AE223" s="239" t="n"/>
    </row>
    <row r="224">
      <c r="A224" s="239" t="n"/>
      <c r="B224" s="239" t="n"/>
      <c r="C224" s="239" t="n"/>
      <c r="D224" s="239" t="n"/>
      <c r="E224" s="239" t="n"/>
      <c r="F224" s="239" t="n"/>
      <c r="G224" s="239" t="n"/>
      <c r="H224" s="239" t="n"/>
      <c r="I224" s="239" t="n"/>
      <c r="J224" s="239" t="n"/>
      <c r="K224" s="239" t="n"/>
      <c r="L224" s="239" t="n"/>
      <c r="M224" s="239" t="n"/>
      <c r="N224" s="239" t="n"/>
      <c r="O224" s="239" t="n"/>
      <c r="P224" s="239" t="n"/>
      <c r="Q224" s="239" t="n"/>
      <c r="R224" s="239" t="n"/>
      <c r="S224" s="239" t="n"/>
      <c r="T224" s="239" t="n"/>
      <c r="U224" s="239" t="n"/>
      <c r="V224" s="239" t="n"/>
      <c r="W224" s="239" t="n"/>
      <c r="X224" s="239" t="n"/>
      <c r="Y224" s="239" t="n"/>
      <c r="Z224" s="239" t="n"/>
      <c r="AA224" s="239" t="n"/>
      <c r="AB224" s="239" t="n"/>
      <c r="AC224" s="239" t="n"/>
      <c r="AD224" s="239" t="n"/>
      <c r="AE224" s="239" t="n"/>
    </row>
    <row r="225">
      <c r="A225" s="239" t="n"/>
      <c r="B225" s="239" t="n"/>
      <c r="C225" s="239" t="n"/>
      <c r="D225" s="239" t="n"/>
      <c r="E225" s="239" t="n"/>
      <c r="F225" s="239" t="n"/>
      <c r="G225" s="239" t="n"/>
      <c r="H225" s="239" t="n"/>
      <c r="I225" s="239" t="n"/>
      <c r="J225" s="239" t="n"/>
      <c r="K225" s="239" t="n"/>
      <c r="L225" s="239" t="n"/>
      <c r="M225" s="239" t="n"/>
      <c r="N225" s="239" t="n"/>
      <c r="O225" s="239" t="n"/>
      <c r="P225" s="239" t="n"/>
      <c r="Q225" s="239" t="n"/>
      <c r="R225" s="239" t="n"/>
      <c r="S225" s="239" t="n"/>
      <c r="T225" s="239" t="n"/>
      <c r="U225" s="239" t="n"/>
      <c r="V225" s="239" t="n"/>
      <c r="W225" s="239" t="n"/>
      <c r="X225" s="239" t="n"/>
      <c r="Y225" s="239" t="n"/>
      <c r="Z225" s="239" t="n"/>
      <c r="AA225" s="239" t="n"/>
      <c r="AB225" s="239" t="n"/>
      <c r="AC225" s="239" t="n"/>
      <c r="AD225" s="239" t="n"/>
      <c r="AE225" s="239" t="n"/>
    </row>
    <row r="226">
      <c r="A226" s="239" t="n"/>
      <c r="B226" s="239" t="n"/>
      <c r="C226" s="239" t="n"/>
      <c r="D226" s="239" t="n"/>
      <c r="E226" s="239" t="n"/>
      <c r="F226" s="239" t="n"/>
      <c r="G226" s="239" t="n"/>
      <c r="H226" s="239" t="n"/>
      <c r="I226" s="239" t="n"/>
      <c r="J226" s="239" t="n"/>
      <c r="K226" s="239" t="n"/>
      <c r="L226" s="239" t="n"/>
      <c r="M226" s="239" t="n"/>
      <c r="N226" s="239" t="n"/>
      <c r="O226" s="239" t="n"/>
      <c r="P226" s="239" t="n"/>
      <c r="Q226" s="239" t="n"/>
      <c r="R226" s="239" t="n"/>
      <c r="S226" s="239" t="n"/>
      <c r="T226" s="239" t="n"/>
      <c r="U226" s="239" t="n"/>
      <c r="V226" s="239" t="n"/>
      <c r="W226" s="239" t="n"/>
      <c r="X226" s="239" t="n"/>
      <c r="Y226" s="239" t="n"/>
      <c r="Z226" s="239" t="n"/>
      <c r="AA226" s="239" t="n"/>
      <c r="AB226" s="239" t="n"/>
      <c r="AC226" s="239" t="n"/>
      <c r="AD226" s="239" t="n"/>
      <c r="AE226" s="239" t="n"/>
    </row>
    <row r="227">
      <c r="A227" s="239" t="n"/>
      <c r="B227" s="239" t="n"/>
      <c r="C227" s="239" t="n"/>
      <c r="D227" s="239" t="n"/>
      <c r="E227" s="239" t="n"/>
      <c r="F227" s="239" t="n"/>
      <c r="G227" s="239" t="n"/>
      <c r="H227" s="239" t="n"/>
      <c r="I227" s="239" t="n"/>
      <c r="J227" s="239" t="n"/>
      <c r="K227" s="239" t="n"/>
      <c r="L227" s="239" t="n"/>
      <c r="M227" s="239" t="n"/>
      <c r="N227" s="239" t="n"/>
      <c r="O227" s="239" t="n"/>
      <c r="P227" s="239" t="n"/>
      <c r="Q227" s="239" t="n"/>
      <c r="R227" s="239" t="n"/>
      <c r="S227" s="239" t="n"/>
      <c r="T227" s="239" t="n"/>
      <c r="U227" s="239" t="n"/>
      <c r="V227" s="239" t="n"/>
      <c r="W227" s="239" t="n"/>
      <c r="X227" s="239" t="n"/>
      <c r="Y227" s="239" t="n"/>
      <c r="Z227" s="239" t="n"/>
      <c r="AA227" s="239" t="n"/>
      <c r="AB227" s="239" t="n"/>
      <c r="AC227" s="239" t="n"/>
      <c r="AD227" s="239" t="n"/>
      <c r="AE227" s="239" t="n"/>
    </row>
    <row r="228">
      <c r="A228" s="239" t="n"/>
      <c r="B228" s="239" t="n"/>
      <c r="C228" s="239" t="n"/>
      <c r="D228" s="239" t="n"/>
      <c r="E228" s="239" t="n"/>
      <c r="F228" s="239" t="n"/>
      <c r="G228" s="239" t="n"/>
      <c r="H228" s="239" t="n"/>
      <c r="I228" s="239" t="n"/>
      <c r="J228" s="239" t="n"/>
      <c r="K228" s="239" t="n"/>
      <c r="L228" s="239" t="n"/>
      <c r="M228" s="239" t="n"/>
      <c r="N228" s="239" t="n"/>
      <c r="O228" s="239" t="n"/>
      <c r="P228" s="239" t="n"/>
      <c r="Q228" s="239" t="n"/>
      <c r="R228" s="239" t="n"/>
      <c r="S228" s="239" t="n"/>
      <c r="T228" s="239" t="n"/>
      <c r="U228" s="239" t="n"/>
      <c r="V228" s="239" t="n"/>
      <c r="W228" s="239" t="n"/>
      <c r="X228" s="239" t="n"/>
      <c r="Y228" s="239" t="n"/>
      <c r="Z228" s="239" t="n"/>
      <c r="AA228" s="239" t="n"/>
      <c r="AB228" s="239" t="n"/>
      <c r="AC228" s="239" t="n"/>
      <c r="AD228" s="239" t="n"/>
      <c r="AE228" s="239" t="n"/>
    </row>
    <row r="229">
      <c r="A229" s="239" t="n"/>
      <c r="B229" s="239" t="n"/>
      <c r="C229" s="239" t="n"/>
      <c r="D229" s="239" t="n"/>
      <c r="E229" s="239" t="n"/>
      <c r="F229" s="239" t="n"/>
      <c r="G229" s="239" t="n"/>
      <c r="H229" s="239" t="n"/>
      <c r="I229" s="239" t="n"/>
      <c r="J229" s="239" t="n"/>
      <c r="K229" s="239" t="n"/>
      <c r="L229" s="239" t="n"/>
      <c r="M229" s="239" t="n"/>
      <c r="N229" s="239" t="n"/>
      <c r="O229" s="239" t="n"/>
      <c r="P229" s="239" t="n"/>
      <c r="Q229" s="239" t="n"/>
      <c r="R229" s="239" t="n"/>
      <c r="S229" s="239" t="n"/>
      <c r="T229" s="239" t="n"/>
      <c r="U229" s="239" t="n"/>
      <c r="V229" s="239" t="n"/>
      <c r="W229" s="239" t="n"/>
      <c r="X229" s="239" t="n"/>
      <c r="Y229" s="239" t="n"/>
      <c r="Z229" s="239" t="n"/>
      <c r="AA229" s="239" t="n"/>
      <c r="AB229" s="239" t="n"/>
      <c r="AC229" s="239" t="n"/>
      <c r="AD229" s="239" t="n"/>
      <c r="AE229" s="239" t="n"/>
    </row>
    <row r="230">
      <c r="A230" s="239" t="n"/>
      <c r="B230" s="239" t="n"/>
      <c r="C230" s="239" t="n"/>
      <c r="D230" s="239" t="n"/>
      <c r="E230" s="239" t="n"/>
      <c r="F230" s="239" t="n"/>
      <c r="G230" s="239" t="n"/>
      <c r="H230" s="239" t="n"/>
      <c r="I230" s="239" t="n"/>
      <c r="J230" s="239" t="n"/>
      <c r="K230" s="239" t="n"/>
      <c r="L230" s="239" t="n"/>
      <c r="M230" s="239" t="n"/>
      <c r="N230" s="239" t="n"/>
      <c r="O230" s="239" t="n"/>
      <c r="P230" s="239" t="n"/>
      <c r="Q230" s="239" t="n"/>
      <c r="R230" s="239" t="n"/>
      <c r="S230" s="239" t="n"/>
      <c r="T230" s="239" t="n"/>
      <c r="U230" s="239" t="n"/>
      <c r="V230" s="239" t="n"/>
      <c r="W230" s="239" t="n"/>
      <c r="X230" s="239" t="n"/>
      <c r="Y230" s="239" t="n"/>
      <c r="Z230" s="239" t="n"/>
      <c r="AA230" s="239" t="n"/>
      <c r="AB230" s="239" t="n"/>
      <c r="AC230" s="239" t="n"/>
      <c r="AD230" s="239" t="n"/>
      <c r="AE230" s="239" t="n"/>
    </row>
    <row r="231">
      <c r="A231" s="239" t="n"/>
      <c r="B231" s="239" t="n"/>
      <c r="C231" s="239" t="n"/>
      <c r="D231" s="239" t="n"/>
      <c r="E231" s="239" t="n"/>
      <c r="F231" s="239" t="n"/>
      <c r="G231" s="239" t="n"/>
      <c r="H231" s="239" t="n"/>
      <c r="I231" s="239" t="n"/>
      <c r="J231" s="239" t="n"/>
      <c r="K231" s="239" t="n"/>
      <c r="L231" s="239" t="n"/>
      <c r="M231" s="239" t="n"/>
      <c r="N231" s="239" t="n"/>
      <c r="O231" s="239" t="n"/>
      <c r="P231" s="239" t="n"/>
      <c r="Q231" s="239" t="n"/>
      <c r="R231" s="239" t="n"/>
      <c r="S231" s="239" t="n"/>
      <c r="T231" s="239" t="n"/>
      <c r="U231" s="239" t="n"/>
      <c r="V231" s="239" t="n"/>
      <c r="W231" s="239" t="n"/>
      <c r="X231" s="239" t="n"/>
      <c r="Y231" s="239" t="n"/>
      <c r="Z231" s="239" t="n"/>
      <c r="AA231" s="239" t="n"/>
      <c r="AB231" s="239" t="n"/>
      <c r="AC231" s="239" t="n"/>
      <c r="AD231" s="239" t="n"/>
      <c r="AE231" s="239" t="n"/>
    </row>
    <row r="232">
      <c r="A232" s="239" t="n"/>
      <c r="B232" s="239" t="n"/>
      <c r="C232" s="239" t="n"/>
      <c r="D232" s="239" t="n"/>
      <c r="E232" s="239" t="n"/>
      <c r="F232" s="239" t="n"/>
      <c r="G232" s="239" t="n"/>
      <c r="H232" s="239" t="n"/>
      <c r="I232" s="239" t="n"/>
      <c r="J232" s="239" t="n"/>
      <c r="K232" s="239" t="n"/>
      <c r="L232" s="239" t="n"/>
      <c r="M232" s="239" t="n"/>
      <c r="N232" s="239" t="n"/>
      <c r="O232" s="239" t="n"/>
      <c r="P232" s="239" t="n"/>
      <c r="Q232" s="239" t="n"/>
      <c r="R232" s="239" t="n"/>
      <c r="S232" s="239" t="n"/>
      <c r="T232" s="239" t="n"/>
      <c r="U232" s="239" t="n"/>
      <c r="V232" s="239" t="n"/>
      <c r="W232" s="239" t="n"/>
      <c r="X232" s="239" t="n"/>
      <c r="Y232" s="239" t="n"/>
      <c r="Z232" s="239" t="n"/>
      <c r="AA232" s="239" t="n"/>
      <c r="AB232" s="239" t="n"/>
      <c r="AC232" s="239" t="n"/>
      <c r="AD232" s="239" t="n"/>
      <c r="AE232" s="239" t="n"/>
    </row>
    <row r="233">
      <c r="A233" s="239" t="n"/>
      <c r="B233" s="239" t="n"/>
      <c r="C233" s="239" t="n"/>
      <c r="D233" s="239" t="n"/>
      <c r="E233" s="239" t="n"/>
      <c r="F233" s="239" t="n"/>
      <c r="G233" s="239" t="n"/>
      <c r="H233" s="239" t="n"/>
      <c r="I233" s="239" t="n"/>
      <c r="J233" s="239" t="n"/>
      <c r="K233" s="239" t="n"/>
      <c r="L233" s="239" t="n"/>
      <c r="M233" s="239" t="n"/>
      <c r="N233" s="239" t="n"/>
      <c r="O233" s="239" t="n"/>
      <c r="P233" s="239" t="n"/>
      <c r="Q233" s="239" t="n"/>
      <c r="R233" s="239" t="n"/>
      <c r="S233" s="239" t="n"/>
      <c r="T233" s="239" t="n"/>
      <c r="U233" s="239" t="n"/>
      <c r="V233" s="239" t="n"/>
      <c r="W233" s="239" t="n"/>
      <c r="X233" s="239" t="n"/>
      <c r="Y233" s="239" t="n"/>
      <c r="Z233" s="239" t="n"/>
      <c r="AA233" s="239" t="n"/>
      <c r="AB233" s="239" t="n"/>
      <c r="AC233" s="239" t="n"/>
      <c r="AD233" s="239" t="n"/>
      <c r="AE233" s="239" t="n"/>
    </row>
    <row r="234">
      <c r="A234" s="239" t="n"/>
      <c r="B234" s="239" t="n"/>
      <c r="C234" s="239" t="n"/>
      <c r="D234" s="239" t="n"/>
      <c r="E234" s="239" t="n"/>
      <c r="F234" s="239" t="n"/>
      <c r="G234" s="239" t="n"/>
      <c r="H234" s="239" t="n"/>
      <c r="I234" s="239" t="n"/>
      <c r="J234" s="239" t="n"/>
      <c r="K234" s="239" t="n"/>
      <c r="L234" s="239" t="n"/>
      <c r="M234" s="239" t="n"/>
      <c r="N234" s="239" t="n"/>
      <c r="O234" s="239" t="n"/>
      <c r="P234" s="239" t="n"/>
      <c r="Q234" s="239" t="n"/>
      <c r="R234" s="239" t="n"/>
      <c r="S234" s="239" t="n"/>
      <c r="T234" s="239" t="n"/>
      <c r="U234" s="239" t="n"/>
      <c r="V234" s="239" t="n"/>
      <c r="W234" s="239" t="n"/>
      <c r="X234" s="239" t="n"/>
      <c r="Y234" s="239" t="n"/>
      <c r="Z234" s="239" t="n"/>
      <c r="AA234" s="239" t="n"/>
      <c r="AB234" s="239" t="n"/>
      <c r="AC234" s="239" t="n"/>
      <c r="AD234" s="239" t="n"/>
      <c r="AE234" s="239" t="n"/>
    </row>
    <row r="235">
      <c r="A235" s="239" t="n"/>
      <c r="B235" s="239" t="n"/>
      <c r="C235" s="239" t="n"/>
      <c r="D235" s="239" t="n"/>
      <c r="E235" s="239" t="n"/>
      <c r="F235" s="239" t="n"/>
      <c r="G235" s="239" t="n"/>
      <c r="H235" s="239" t="n"/>
      <c r="I235" s="239" t="n"/>
      <c r="J235" s="239" t="n"/>
      <c r="K235" s="239" t="n"/>
      <c r="L235" s="239" t="n"/>
      <c r="M235" s="239" t="n"/>
      <c r="N235" s="239" t="n"/>
      <c r="O235" s="239" t="n"/>
      <c r="P235" s="239" t="n"/>
      <c r="Q235" s="239" t="n"/>
      <c r="R235" s="239" t="n"/>
      <c r="S235" s="239" t="n"/>
      <c r="T235" s="239" t="n"/>
      <c r="U235" s="239" t="n"/>
      <c r="V235" s="239" t="n"/>
      <c r="W235" s="239" t="n"/>
      <c r="X235" s="239" t="n"/>
      <c r="Y235" s="239" t="n"/>
      <c r="Z235" s="239" t="n"/>
      <c r="AA235" s="239" t="n"/>
      <c r="AB235" s="239" t="n"/>
      <c r="AC235" s="239" t="n"/>
      <c r="AD235" s="239" t="n"/>
      <c r="AE235" s="239" t="n"/>
    </row>
    <row r="236">
      <c r="A236" s="239" t="n"/>
      <c r="B236" s="239" t="n"/>
      <c r="C236" s="239" t="n"/>
      <c r="D236" s="239" t="n"/>
      <c r="E236" s="239" t="n"/>
      <c r="F236" s="239" t="n"/>
      <c r="G236" s="239" t="n"/>
      <c r="H236" s="239" t="n"/>
      <c r="I236" s="239" t="n"/>
      <c r="J236" s="239" t="n"/>
      <c r="K236" s="239" t="n"/>
      <c r="L236" s="239" t="n"/>
      <c r="M236" s="239" t="n"/>
      <c r="N236" s="239" t="n"/>
      <c r="O236" s="239" t="n"/>
      <c r="P236" s="239" t="n"/>
      <c r="Q236" s="239" t="n"/>
      <c r="R236" s="239" t="n"/>
      <c r="S236" s="239" t="n"/>
      <c r="T236" s="239" t="n"/>
      <c r="U236" s="239" t="n"/>
      <c r="V236" s="239" t="n"/>
      <c r="W236" s="239" t="n"/>
      <c r="X236" s="239" t="n"/>
      <c r="Y236" s="239" t="n"/>
      <c r="Z236" s="239" t="n"/>
      <c r="AA236" s="239" t="n"/>
      <c r="AB236" s="239" t="n"/>
      <c r="AC236" s="239" t="n"/>
      <c r="AD236" s="239" t="n"/>
      <c r="AE236" s="239" t="n"/>
    </row>
    <row r="237">
      <c r="A237" s="239" t="n"/>
      <c r="B237" s="239" t="n"/>
      <c r="C237" s="239" t="n"/>
      <c r="D237" s="239" t="n"/>
      <c r="E237" s="239" t="n"/>
      <c r="F237" s="239" t="n"/>
      <c r="G237" s="239" t="n"/>
      <c r="H237" s="239" t="n"/>
      <c r="I237" s="239" t="n"/>
      <c r="J237" s="239" t="n"/>
      <c r="K237" s="239" t="n"/>
      <c r="L237" s="239" t="n"/>
      <c r="M237" s="239" t="n"/>
      <c r="N237" s="239" t="n"/>
      <c r="O237" s="239" t="n"/>
      <c r="P237" s="239" t="n"/>
      <c r="Q237" s="239" t="n"/>
      <c r="R237" s="239" t="n"/>
      <c r="S237" s="239" t="n"/>
      <c r="T237" s="239" t="n"/>
      <c r="U237" s="239" t="n"/>
      <c r="V237" s="239" t="n"/>
      <c r="W237" s="239" t="n"/>
      <c r="X237" s="239" t="n"/>
      <c r="Y237" s="239" t="n"/>
      <c r="Z237" s="239" t="n"/>
      <c r="AA237" s="239" t="n"/>
      <c r="AB237" s="239" t="n"/>
      <c r="AC237" s="239" t="n"/>
      <c r="AD237" s="239" t="n"/>
      <c r="AE237" s="239" t="n"/>
    </row>
    <row r="238">
      <c r="A238" s="239" t="n"/>
      <c r="B238" s="239" t="n"/>
      <c r="C238" s="239" t="n"/>
      <c r="D238" s="239" t="n"/>
      <c r="E238" s="239" t="n"/>
      <c r="F238" s="239" t="n"/>
      <c r="G238" s="239" t="n"/>
      <c r="H238" s="239" t="n"/>
      <c r="I238" s="239" t="n"/>
      <c r="J238" s="239" t="n"/>
      <c r="K238" s="239" t="n"/>
      <c r="L238" s="239" t="n"/>
      <c r="M238" s="239" t="n"/>
      <c r="N238" s="239" t="n"/>
      <c r="O238" s="239" t="n"/>
      <c r="P238" s="239" t="n"/>
      <c r="Q238" s="239" t="n"/>
      <c r="R238" s="239" t="n"/>
      <c r="S238" s="239" t="n"/>
      <c r="T238" s="239" t="n"/>
      <c r="U238" s="239" t="n"/>
      <c r="V238" s="239" t="n"/>
      <c r="W238" s="239" t="n"/>
      <c r="X238" s="239" t="n"/>
      <c r="Y238" s="239" t="n"/>
      <c r="Z238" s="239" t="n"/>
      <c r="AA238" s="239" t="n"/>
      <c r="AB238" s="239" t="n"/>
      <c r="AC238" s="239" t="n"/>
      <c r="AD238" s="239" t="n"/>
      <c r="AE238" s="239" t="n"/>
    </row>
    <row r="239">
      <c r="A239" s="239" t="n"/>
      <c r="B239" s="239" t="n"/>
      <c r="C239" s="239" t="n"/>
      <c r="D239" s="239" t="n"/>
      <c r="E239" s="239" t="n"/>
      <c r="F239" s="239" t="n"/>
      <c r="G239" s="239" t="n"/>
      <c r="H239" s="239" t="n"/>
      <c r="I239" s="239" t="n"/>
      <c r="J239" s="239" t="n"/>
      <c r="K239" s="239" t="n"/>
      <c r="L239" s="239" t="n"/>
      <c r="M239" s="239" t="n"/>
      <c r="N239" s="239" t="n"/>
      <c r="O239" s="239" t="n"/>
      <c r="P239" s="239" t="n"/>
      <c r="Q239" s="239" t="n"/>
      <c r="R239" s="239" t="n"/>
      <c r="S239" s="239" t="n"/>
      <c r="T239" s="239" t="n"/>
      <c r="U239" s="239" t="n"/>
      <c r="V239" s="239" t="n"/>
      <c r="W239" s="239" t="n"/>
      <c r="X239" s="239" t="n"/>
      <c r="Y239" s="239" t="n"/>
      <c r="Z239" s="239" t="n"/>
      <c r="AA239" s="239" t="n"/>
      <c r="AB239" s="239" t="n"/>
      <c r="AC239" s="239" t="n"/>
      <c r="AD239" s="239" t="n"/>
      <c r="AE239" s="239" t="n"/>
    </row>
    <row r="240">
      <c r="A240" s="239" t="n"/>
      <c r="B240" s="239" t="n"/>
      <c r="C240" s="239" t="n"/>
      <c r="D240" s="239" t="n"/>
      <c r="E240" s="239" t="n"/>
      <c r="F240" s="239" t="n"/>
      <c r="G240" s="239" t="n"/>
      <c r="H240" s="239" t="n"/>
      <c r="I240" s="239" t="n"/>
      <c r="J240" s="239" t="n"/>
      <c r="K240" s="239" t="n"/>
      <c r="L240" s="239" t="n"/>
      <c r="M240" s="239" t="n"/>
      <c r="N240" s="239" t="n"/>
      <c r="O240" s="239" t="n"/>
      <c r="P240" s="239" t="n"/>
      <c r="Q240" s="239" t="n"/>
      <c r="R240" s="239" t="n"/>
      <c r="S240" s="239" t="n"/>
      <c r="T240" s="239" t="n"/>
      <c r="U240" s="239" t="n"/>
      <c r="V240" s="239" t="n"/>
      <c r="W240" s="239" t="n"/>
      <c r="X240" s="239" t="n"/>
      <c r="Y240" s="239" t="n"/>
      <c r="Z240" s="239" t="n"/>
      <c r="AA240" s="239" t="n"/>
      <c r="AB240" s="239" t="n"/>
      <c r="AC240" s="239" t="n"/>
      <c r="AD240" s="239" t="n"/>
      <c r="AE240" s="239" t="n"/>
    </row>
    <row r="241">
      <c r="A241" s="239" t="n"/>
      <c r="B241" s="239" t="n"/>
      <c r="C241" s="239" t="n"/>
      <c r="D241" s="239" t="n"/>
      <c r="E241" s="239" t="n"/>
      <c r="F241" s="239" t="n"/>
      <c r="G241" s="239" t="n"/>
      <c r="H241" s="239" t="n"/>
      <c r="I241" s="239" t="n"/>
      <c r="J241" s="239" t="n"/>
      <c r="K241" s="239" t="n"/>
      <c r="L241" s="239" t="n"/>
      <c r="M241" s="239" t="n"/>
      <c r="N241" s="239" t="n"/>
      <c r="O241" s="239" t="n"/>
      <c r="P241" s="239" t="n"/>
      <c r="Q241" s="239" t="n"/>
      <c r="R241" s="239" t="n"/>
      <c r="S241" s="239" t="n"/>
      <c r="T241" s="239" t="n"/>
      <c r="U241" s="239" t="n"/>
      <c r="V241" s="239" t="n"/>
      <c r="W241" s="239" t="n"/>
      <c r="X241" s="239" t="n"/>
      <c r="Y241" s="239" t="n"/>
      <c r="Z241" s="239" t="n"/>
      <c r="AA241" s="239" t="n"/>
      <c r="AB241" s="239" t="n"/>
      <c r="AC241" s="239" t="n"/>
      <c r="AD241" s="239" t="n"/>
      <c r="AE241" s="239" t="n"/>
    </row>
    <row r="242">
      <c r="A242" s="239" t="n"/>
      <c r="B242" s="239" t="n"/>
      <c r="C242" s="239" t="n"/>
      <c r="D242" s="239" t="n"/>
      <c r="E242" s="239" t="n"/>
      <c r="F242" s="239" t="n"/>
      <c r="G242" s="239" t="n"/>
      <c r="H242" s="239" t="n"/>
      <c r="I242" s="239" t="n"/>
      <c r="J242" s="239" t="n"/>
      <c r="K242" s="239" t="n"/>
      <c r="L242" s="239" t="n"/>
      <c r="M242" s="239" t="n"/>
      <c r="N242" s="239" t="n"/>
      <c r="O242" s="239" t="n"/>
      <c r="P242" s="239" t="n"/>
      <c r="Q242" s="239" t="n"/>
      <c r="R242" s="239" t="n"/>
      <c r="S242" s="239" t="n"/>
      <c r="T242" s="239" t="n"/>
      <c r="U242" s="239" t="n"/>
      <c r="V242" s="239" t="n"/>
      <c r="W242" s="239" t="n"/>
      <c r="X242" s="239" t="n"/>
      <c r="Y242" s="239" t="n"/>
      <c r="Z242" s="239" t="n"/>
      <c r="AA242" s="239" t="n"/>
      <c r="AB242" s="239" t="n"/>
      <c r="AC242" s="239" t="n"/>
      <c r="AD242" s="239" t="n"/>
      <c r="AE242" s="239" t="n"/>
    </row>
    <row r="243">
      <c r="A243" s="239" t="n"/>
      <c r="B243" s="239" t="n"/>
      <c r="C243" s="239" t="n"/>
      <c r="D243" s="239" t="n"/>
      <c r="E243" s="239" t="n"/>
      <c r="F243" s="239" t="n"/>
      <c r="G243" s="239" t="n"/>
      <c r="H243" s="239" t="n"/>
      <c r="I243" s="239" t="n"/>
      <c r="J243" s="239" t="n"/>
      <c r="K243" s="239" t="n"/>
      <c r="L243" s="239" t="n"/>
      <c r="M243" s="239" t="n"/>
      <c r="N243" s="239" t="n"/>
      <c r="O243" s="239" t="n"/>
      <c r="P243" s="239" t="n"/>
      <c r="Q243" s="239" t="n"/>
      <c r="R243" s="239" t="n"/>
      <c r="S243" s="239" t="n"/>
      <c r="T243" s="239" t="n"/>
      <c r="U243" s="239" t="n"/>
      <c r="V243" s="239" t="n"/>
      <c r="W243" s="239" t="n"/>
      <c r="X243" s="239" t="n"/>
      <c r="Y243" s="239" t="n"/>
      <c r="Z243" s="239" t="n"/>
      <c r="AA243" s="239" t="n"/>
      <c r="AB243" s="239" t="n"/>
      <c r="AC243" s="239" t="n"/>
      <c r="AD243" s="239" t="n"/>
      <c r="AE243" s="239" t="n"/>
    </row>
    <row r="244">
      <c r="A244" s="239" t="n"/>
      <c r="B244" s="239" t="n"/>
      <c r="C244" s="239" t="n"/>
      <c r="D244" s="239" t="n"/>
      <c r="E244" s="239" t="n"/>
      <c r="F244" s="239" t="n"/>
      <c r="G244" s="239" t="n"/>
      <c r="H244" s="239" t="n"/>
      <c r="I244" s="239" t="n"/>
      <c r="J244" s="239" t="n"/>
      <c r="K244" s="239" t="n"/>
      <c r="L244" s="239" t="n"/>
      <c r="M244" s="239" t="n"/>
      <c r="N244" s="239" t="n"/>
      <c r="O244" s="239" t="n"/>
      <c r="P244" s="239" t="n"/>
      <c r="Q244" s="239" t="n"/>
      <c r="R244" s="239" t="n"/>
      <c r="S244" s="239" t="n"/>
      <c r="T244" s="239" t="n"/>
      <c r="U244" s="239" t="n"/>
      <c r="V244" s="239" t="n"/>
      <c r="W244" s="239" t="n"/>
      <c r="X244" s="239" t="n"/>
      <c r="Y244" s="239" t="n"/>
      <c r="Z244" s="239" t="n"/>
      <c r="AA244" s="239" t="n"/>
      <c r="AB244" s="239" t="n"/>
      <c r="AC244" s="239" t="n"/>
      <c r="AD244" s="239" t="n"/>
      <c r="AE244" s="239" t="n"/>
    </row>
    <row r="245">
      <c r="A245" s="239" t="n"/>
      <c r="B245" s="239" t="n"/>
      <c r="C245" s="239" t="n"/>
      <c r="D245" s="239" t="n"/>
      <c r="E245" s="239" t="n"/>
      <c r="F245" s="239" t="n"/>
      <c r="G245" s="239" t="n"/>
      <c r="H245" s="239" t="n"/>
      <c r="I245" s="239" t="n"/>
      <c r="J245" s="239" t="n"/>
      <c r="K245" s="239" t="n"/>
      <c r="L245" s="239" t="n"/>
      <c r="M245" s="239" t="n"/>
      <c r="N245" s="239" t="n"/>
      <c r="O245" s="239" t="n"/>
      <c r="P245" s="239" t="n"/>
      <c r="Q245" s="239" t="n"/>
      <c r="R245" s="239" t="n"/>
      <c r="S245" s="239" t="n"/>
      <c r="T245" s="239" t="n"/>
      <c r="U245" s="239" t="n"/>
      <c r="V245" s="239" t="n"/>
      <c r="W245" s="239" t="n"/>
      <c r="X245" s="239" t="n"/>
      <c r="Y245" s="239" t="n"/>
      <c r="Z245" s="239" t="n"/>
      <c r="AA245" s="239" t="n"/>
      <c r="AB245" s="239" t="n"/>
      <c r="AC245" s="239" t="n"/>
      <c r="AD245" s="239" t="n"/>
      <c r="AE245" s="239" t="n"/>
    </row>
    <row r="246">
      <c r="A246" s="239" t="n"/>
      <c r="B246" s="239" t="n"/>
      <c r="C246" s="239" t="n"/>
      <c r="D246" s="239" t="n"/>
      <c r="E246" s="239" t="n"/>
      <c r="F246" s="239" t="n"/>
      <c r="G246" s="239" t="n"/>
      <c r="H246" s="239" t="n"/>
      <c r="I246" s="239" t="n"/>
      <c r="J246" s="239" t="n"/>
      <c r="K246" s="239" t="n"/>
      <c r="L246" s="239" t="n"/>
      <c r="M246" s="239" t="n"/>
      <c r="N246" s="239" t="n"/>
      <c r="O246" s="239" t="n"/>
      <c r="P246" s="239" t="n"/>
      <c r="Q246" s="239" t="n"/>
      <c r="R246" s="239" t="n"/>
      <c r="S246" s="239" t="n"/>
      <c r="T246" s="239" t="n"/>
      <c r="U246" s="239" t="n"/>
      <c r="V246" s="239" t="n"/>
      <c r="W246" s="239" t="n"/>
      <c r="X246" s="239" t="n"/>
      <c r="Y246" s="239" t="n"/>
      <c r="Z246" s="239" t="n"/>
      <c r="AA246" s="239" t="n"/>
      <c r="AB246" s="239" t="n"/>
      <c r="AC246" s="239" t="n"/>
      <c r="AD246" s="239" t="n"/>
      <c r="AE246" s="239" t="n"/>
    </row>
    <row r="247">
      <c r="A247" s="239" t="n"/>
      <c r="B247" s="239" t="n"/>
      <c r="C247" s="239" t="n"/>
      <c r="D247" s="239" t="n"/>
      <c r="E247" s="239" t="n"/>
      <c r="F247" s="239" t="n"/>
      <c r="G247" s="239" t="n"/>
      <c r="H247" s="239" t="n"/>
      <c r="I247" s="239" t="n"/>
      <c r="J247" s="239" t="n"/>
      <c r="K247" s="239" t="n"/>
      <c r="L247" s="239" t="n"/>
      <c r="M247" s="239" t="n"/>
      <c r="N247" s="239" t="n"/>
      <c r="O247" s="239" t="n"/>
      <c r="P247" s="239" t="n"/>
      <c r="Q247" s="239" t="n"/>
      <c r="R247" s="239" t="n"/>
      <c r="S247" s="239" t="n"/>
      <c r="T247" s="239" t="n"/>
      <c r="U247" s="239" t="n"/>
      <c r="V247" s="239" t="n"/>
      <c r="W247" s="239" t="n"/>
      <c r="X247" s="239" t="n"/>
      <c r="Y247" s="239" t="n"/>
      <c r="Z247" s="239" t="n"/>
      <c r="AA247" s="239" t="n"/>
      <c r="AB247" s="239" t="n"/>
      <c r="AC247" s="239" t="n"/>
      <c r="AD247" s="239" t="n"/>
      <c r="AE247" s="239" t="n"/>
    </row>
    <row r="248">
      <c r="A248" s="239" t="n"/>
      <c r="B248" s="239" t="n"/>
      <c r="C248" s="239" t="n"/>
      <c r="D248" s="239" t="n"/>
      <c r="E248" s="239" t="n"/>
      <c r="F248" s="239" t="n"/>
      <c r="G248" s="239" t="n"/>
      <c r="H248" s="239" t="n"/>
      <c r="I248" s="239" t="n"/>
      <c r="J248" s="239" t="n"/>
      <c r="K248" s="239" t="n"/>
      <c r="L248" s="239" t="n"/>
      <c r="M248" s="239" t="n"/>
      <c r="N248" s="239" t="n"/>
      <c r="O248" s="239" t="n"/>
      <c r="P248" s="239" t="n"/>
      <c r="Q248" s="239" t="n"/>
      <c r="R248" s="239" t="n"/>
      <c r="S248" s="239" t="n"/>
      <c r="T248" s="239" t="n"/>
      <c r="U248" s="239" t="n"/>
      <c r="V248" s="239" t="n"/>
      <c r="W248" s="239" t="n"/>
      <c r="X248" s="239" t="n"/>
      <c r="Y248" s="239" t="n"/>
      <c r="Z248" s="239" t="n"/>
      <c r="AA248" s="239" t="n"/>
      <c r="AB248" s="239" t="n"/>
      <c r="AC248" s="239" t="n"/>
      <c r="AD248" s="239" t="n"/>
      <c r="AE248" s="239" t="n"/>
    </row>
    <row r="249">
      <c r="A249" s="239" t="n"/>
      <c r="B249" s="239" t="n"/>
      <c r="C249" s="239" t="n"/>
      <c r="D249" s="239" t="n"/>
      <c r="E249" s="239" t="n"/>
      <c r="F249" s="239" t="n"/>
      <c r="G249" s="239" t="n"/>
      <c r="H249" s="239" t="n"/>
      <c r="I249" s="239" t="n"/>
      <c r="J249" s="239" t="n"/>
      <c r="K249" s="239" t="n"/>
      <c r="L249" s="239" t="n"/>
      <c r="M249" s="239" t="n"/>
      <c r="N249" s="239" t="n"/>
      <c r="O249" s="239" t="n"/>
      <c r="P249" s="239" t="n"/>
      <c r="Q249" s="239" t="n"/>
      <c r="R249" s="239" t="n"/>
      <c r="S249" s="239" t="n"/>
      <c r="T249" s="239" t="n"/>
      <c r="U249" s="239" t="n"/>
      <c r="V249" s="239" t="n"/>
      <c r="W249" s="239" t="n"/>
      <c r="X249" s="239" t="n"/>
      <c r="Y249" s="239" t="n"/>
      <c r="Z249" s="239" t="n"/>
      <c r="AA249" s="239" t="n"/>
      <c r="AB249" s="239" t="n"/>
      <c r="AC249" s="239" t="n"/>
      <c r="AD249" s="239" t="n"/>
      <c r="AE249" s="239" t="n"/>
    </row>
    <row r="250">
      <c r="A250" s="239" t="n"/>
      <c r="B250" s="239" t="n"/>
      <c r="C250" s="239" t="n"/>
      <c r="D250" s="239" t="n"/>
      <c r="E250" s="239" t="n"/>
      <c r="F250" s="239" t="n"/>
      <c r="G250" s="239" t="n"/>
      <c r="H250" s="239" t="n"/>
      <c r="I250" s="239" t="n"/>
      <c r="J250" s="239" t="n"/>
      <c r="K250" s="239" t="n"/>
      <c r="L250" s="239" t="n"/>
      <c r="M250" s="239" t="n"/>
      <c r="N250" s="239" t="n"/>
      <c r="O250" s="239" t="n"/>
      <c r="P250" s="239" t="n"/>
      <c r="Q250" s="239" t="n"/>
      <c r="R250" s="239" t="n"/>
      <c r="S250" s="239" t="n"/>
      <c r="T250" s="239" t="n"/>
      <c r="U250" s="239" t="n"/>
      <c r="V250" s="239" t="n"/>
      <c r="W250" s="239" t="n"/>
      <c r="X250" s="239" t="n"/>
      <c r="Y250" s="239" t="n"/>
      <c r="Z250" s="239" t="n"/>
      <c r="AA250" s="239" t="n"/>
      <c r="AB250" s="239" t="n"/>
      <c r="AC250" s="239" t="n"/>
      <c r="AD250" s="239" t="n"/>
      <c r="AE250" s="239" t="n"/>
    </row>
    <row r="251">
      <c r="A251" s="239" t="n"/>
      <c r="B251" s="239" t="n"/>
      <c r="C251" s="239" t="n"/>
      <c r="D251" s="239" t="n"/>
      <c r="E251" s="239" t="n"/>
      <c r="F251" s="239" t="n"/>
      <c r="G251" s="239" t="n"/>
      <c r="H251" s="239" t="n"/>
      <c r="I251" s="239" t="n"/>
      <c r="J251" s="239" t="n"/>
      <c r="K251" s="239" t="n"/>
      <c r="L251" s="239" t="n"/>
      <c r="M251" s="239" t="n"/>
      <c r="N251" s="239" t="n"/>
      <c r="O251" s="239" t="n"/>
      <c r="P251" s="239" t="n"/>
      <c r="Q251" s="239" t="n"/>
      <c r="R251" s="239" t="n"/>
      <c r="S251" s="239" t="n"/>
      <c r="T251" s="239" t="n"/>
      <c r="U251" s="239" t="n"/>
      <c r="V251" s="239" t="n"/>
      <c r="W251" s="239" t="n"/>
      <c r="X251" s="239" t="n"/>
      <c r="Y251" s="239" t="n"/>
      <c r="Z251" s="239" t="n"/>
      <c r="AA251" s="239" t="n"/>
      <c r="AB251" s="239" t="n"/>
      <c r="AC251" s="239" t="n"/>
      <c r="AD251" s="239" t="n"/>
      <c r="AE251" s="239" t="n"/>
    </row>
    <row r="252">
      <c r="A252" s="239" t="n"/>
      <c r="B252" s="239" t="n"/>
      <c r="C252" s="239" t="n"/>
      <c r="D252" s="239" t="n"/>
      <c r="E252" s="239" t="n"/>
      <c r="F252" s="239" t="n"/>
      <c r="G252" s="239" t="n"/>
      <c r="H252" s="239" t="n"/>
      <c r="I252" s="239" t="n"/>
      <c r="J252" s="239" t="n"/>
      <c r="K252" s="239" t="n"/>
      <c r="L252" s="239" t="n"/>
      <c r="M252" s="239" t="n"/>
      <c r="N252" s="239" t="n"/>
      <c r="O252" s="239" t="n"/>
      <c r="P252" s="239" t="n"/>
      <c r="Q252" s="239" t="n"/>
      <c r="R252" s="239" t="n"/>
      <c r="S252" s="239" t="n"/>
      <c r="T252" s="239" t="n"/>
      <c r="U252" s="239" t="n"/>
      <c r="V252" s="239" t="n"/>
      <c r="W252" s="239" t="n"/>
      <c r="X252" s="239" t="n"/>
      <c r="Y252" s="239" t="n"/>
      <c r="Z252" s="239" t="n"/>
      <c r="AA252" s="239" t="n"/>
      <c r="AB252" s="239" t="n"/>
      <c r="AC252" s="239" t="n"/>
      <c r="AD252" s="239" t="n"/>
      <c r="AE252" s="239" t="n"/>
    </row>
    <row r="253">
      <c r="A253" s="239" t="n"/>
      <c r="B253" s="239" t="n"/>
      <c r="C253" s="239" t="n"/>
      <c r="D253" s="239" t="n"/>
      <c r="E253" s="239" t="n"/>
      <c r="F253" s="239" t="n"/>
      <c r="G253" s="239" t="n"/>
      <c r="H253" s="239" t="n"/>
      <c r="I253" s="239" t="n"/>
      <c r="J253" s="239" t="n"/>
      <c r="K253" s="239" t="n"/>
      <c r="L253" s="239" t="n"/>
      <c r="M253" s="239" t="n"/>
      <c r="N253" s="239" t="n"/>
      <c r="O253" s="239" t="n"/>
      <c r="P253" s="239" t="n"/>
      <c r="Q253" s="239" t="n"/>
      <c r="R253" s="239" t="n"/>
      <c r="S253" s="239" t="n"/>
      <c r="T253" s="239" t="n"/>
      <c r="U253" s="239" t="n"/>
      <c r="V253" s="239" t="n"/>
      <c r="W253" s="239" t="n"/>
      <c r="X253" s="239" t="n"/>
      <c r="Y253" s="239" t="n"/>
      <c r="Z253" s="239" t="n"/>
      <c r="AA253" s="239" t="n"/>
      <c r="AB253" s="239" t="n"/>
      <c r="AC253" s="239" t="n"/>
      <c r="AD253" s="239" t="n"/>
      <c r="AE253" s="239" t="n"/>
    </row>
    <row r="254">
      <c r="A254" s="239" t="n"/>
      <c r="B254" s="239" t="n"/>
      <c r="C254" s="239" t="n"/>
      <c r="D254" s="239" t="n"/>
      <c r="E254" s="239" t="n"/>
      <c r="F254" s="239" t="n"/>
      <c r="G254" s="239" t="n"/>
      <c r="H254" s="239" t="n"/>
      <c r="I254" s="239" t="n"/>
      <c r="J254" s="239" t="n"/>
      <c r="K254" s="239" t="n"/>
      <c r="L254" s="239" t="n"/>
      <c r="M254" s="239" t="n"/>
      <c r="N254" s="239" t="n"/>
      <c r="O254" s="239" t="n"/>
      <c r="P254" s="239" t="n"/>
      <c r="Q254" s="239" t="n"/>
      <c r="R254" s="239" t="n"/>
      <c r="S254" s="239" t="n"/>
      <c r="T254" s="239" t="n"/>
      <c r="U254" s="239" t="n"/>
      <c r="V254" s="239" t="n"/>
      <c r="W254" s="239" t="n"/>
      <c r="X254" s="239" t="n"/>
      <c r="Y254" s="239" t="n"/>
      <c r="Z254" s="239" t="n"/>
      <c r="AA254" s="239" t="n"/>
      <c r="AB254" s="239" t="n"/>
      <c r="AC254" s="239" t="n"/>
      <c r="AD254" s="239" t="n"/>
      <c r="AE254" s="239" t="n"/>
    </row>
    <row r="255">
      <c r="A255" s="239" t="n"/>
      <c r="B255" s="239" t="n"/>
      <c r="C255" s="239" t="n"/>
      <c r="D255" s="239" t="n"/>
      <c r="E255" s="239" t="n"/>
      <c r="F255" s="239" t="n"/>
      <c r="G255" s="239" t="n"/>
      <c r="H255" s="239" t="n"/>
      <c r="I255" s="239" t="n"/>
      <c r="J255" s="239" t="n"/>
      <c r="K255" s="239" t="n"/>
      <c r="L255" s="239" t="n"/>
      <c r="M255" s="239" t="n"/>
      <c r="N255" s="239" t="n"/>
      <c r="O255" s="239" t="n"/>
      <c r="P255" s="239" t="n"/>
      <c r="Q255" s="239" t="n"/>
      <c r="R255" s="239" t="n"/>
      <c r="S255" s="239" t="n"/>
      <c r="T255" s="239" t="n"/>
      <c r="U255" s="239" t="n"/>
      <c r="V255" s="239" t="n"/>
      <c r="W255" s="239" t="n"/>
      <c r="X255" s="239" t="n"/>
      <c r="Y255" s="239" t="n"/>
      <c r="Z255" s="239" t="n"/>
      <c r="AA255" s="239" t="n"/>
      <c r="AB255" s="239" t="n"/>
      <c r="AC255" s="239" t="n"/>
      <c r="AD255" s="239" t="n"/>
      <c r="AE255" s="239" t="n"/>
    </row>
    <row r="256">
      <c r="A256" s="239" t="n"/>
      <c r="B256" s="239" t="n"/>
      <c r="C256" s="239" t="n"/>
      <c r="D256" s="239" t="n"/>
      <c r="E256" s="239" t="n"/>
      <c r="F256" s="239" t="n"/>
      <c r="G256" s="239" t="n"/>
      <c r="H256" s="239" t="n"/>
      <c r="I256" s="239" t="n"/>
      <c r="J256" s="239" t="n"/>
      <c r="K256" s="239" t="n"/>
      <c r="L256" s="239" t="n"/>
      <c r="M256" s="239" t="n"/>
      <c r="N256" s="239" t="n"/>
      <c r="O256" s="239" t="n"/>
      <c r="P256" s="239" t="n"/>
      <c r="Q256" s="239" t="n"/>
      <c r="R256" s="239" t="n"/>
      <c r="S256" s="239" t="n"/>
      <c r="T256" s="239" t="n"/>
      <c r="U256" s="239" t="n"/>
      <c r="V256" s="239" t="n"/>
      <c r="W256" s="239" t="n"/>
      <c r="X256" s="239" t="n"/>
      <c r="Y256" s="239" t="n"/>
      <c r="Z256" s="239" t="n"/>
      <c r="AA256" s="239" t="n"/>
      <c r="AB256" s="239" t="n"/>
      <c r="AC256" s="239" t="n"/>
      <c r="AD256" s="239" t="n"/>
      <c r="AE256" s="239" t="n"/>
    </row>
    <row r="257">
      <c r="A257" s="239" t="n"/>
      <c r="B257" s="239" t="n"/>
      <c r="C257" s="239" t="n"/>
      <c r="D257" s="239" t="n"/>
      <c r="E257" s="239" t="n"/>
      <c r="F257" s="239" t="n"/>
      <c r="G257" s="239" t="n"/>
      <c r="H257" s="239" t="n"/>
      <c r="I257" s="239" t="n"/>
      <c r="J257" s="239" t="n"/>
      <c r="K257" s="239" t="n"/>
      <c r="L257" s="239" t="n"/>
      <c r="M257" s="239" t="n"/>
      <c r="N257" s="239" t="n"/>
      <c r="O257" s="239" t="n"/>
      <c r="P257" s="239" t="n"/>
      <c r="Q257" s="239" t="n"/>
      <c r="R257" s="239" t="n"/>
      <c r="S257" s="239" t="n"/>
      <c r="T257" s="239" t="n"/>
      <c r="U257" s="239" t="n"/>
      <c r="V257" s="239" t="n"/>
      <c r="W257" s="239" t="n"/>
      <c r="X257" s="239" t="n"/>
      <c r="Y257" s="239" t="n"/>
      <c r="Z257" s="239" t="n"/>
      <c r="AA257" s="239" t="n"/>
      <c r="AB257" s="239" t="n"/>
      <c r="AC257" s="239" t="n"/>
      <c r="AD257" s="239" t="n"/>
      <c r="AE257" s="239" t="n"/>
    </row>
    <row r="258">
      <c r="A258" s="239" t="n"/>
      <c r="B258" s="239" t="n"/>
      <c r="C258" s="239" t="n"/>
      <c r="D258" s="239" t="n"/>
      <c r="E258" s="239" t="n"/>
      <c r="F258" s="239" t="n"/>
      <c r="G258" s="239" t="n"/>
      <c r="H258" s="239" t="n"/>
      <c r="I258" s="239" t="n"/>
      <c r="J258" s="239" t="n"/>
      <c r="K258" s="239" t="n"/>
      <c r="L258" s="239" t="n"/>
      <c r="M258" s="239" t="n"/>
      <c r="N258" s="239" t="n"/>
      <c r="O258" s="239" t="n"/>
      <c r="P258" s="239" t="n"/>
      <c r="Q258" s="239" t="n"/>
      <c r="R258" s="239" t="n"/>
      <c r="S258" s="239" t="n"/>
      <c r="T258" s="239" t="n"/>
      <c r="U258" s="239" t="n"/>
      <c r="V258" s="239" t="n"/>
      <c r="W258" s="239" t="n"/>
      <c r="X258" s="239" t="n"/>
      <c r="Y258" s="239" t="n"/>
      <c r="Z258" s="239" t="n"/>
      <c r="AA258" s="239" t="n"/>
      <c r="AB258" s="239" t="n"/>
      <c r="AC258" s="239" t="n"/>
      <c r="AD258" s="239" t="n"/>
      <c r="AE258" s="239" t="n"/>
    </row>
    <row r="259">
      <c r="A259" s="239" t="n"/>
      <c r="B259" s="239" t="n"/>
      <c r="C259" s="239" t="n"/>
      <c r="D259" s="239" t="n"/>
      <c r="E259" s="239" t="n"/>
      <c r="F259" s="239" t="n"/>
      <c r="G259" s="239" t="n"/>
      <c r="H259" s="239" t="n"/>
      <c r="I259" s="239" t="n"/>
      <c r="J259" s="239" t="n"/>
      <c r="K259" s="239" t="n"/>
      <c r="L259" s="239" t="n"/>
      <c r="M259" s="239" t="n"/>
      <c r="N259" s="239" t="n"/>
      <c r="O259" s="239" t="n"/>
      <c r="P259" s="239" t="n"/>
      <c r="Q259" s="239" t="n"/>
      <c r="R259" s="239" t="n"/>
      <c r="S259" s="239" t="n"/>
      <c r="T259" s="239" t="n"/>
      <c r="U259" s="239" t="n"/>
      <c r="V259" s="239" t="n"/>
      <c r="W259" s="239" t="n"/>
      <c r="X259" s="239" t="n"/>
      <c r="Y259" s="239" t="n"/>
      <c r="Z259" s="239" t="n"/>
      <c r="AA259" s="239" t="n"/>
      <c r="AB259" s="239" t="n"/>
      <c r="AC259" s="239" t="n"/>
      <c r="AD259" s="239" t="n"/>
      <c r="AE259" s="239" t="n"/>
    </row>
    <row r="260">
      <c r="A260" s="239" t="n"/>
      <c r="B260" s="239" t="n"/>
      <c r="C260" s="239" t="n"/>
      <c r="D260" s="239" t="n"/>
      <c r="E260" s="239" t="n"/>
      <c r="F260" s="239" t="n"/>
      <c r="G260" s="239" t="n"/>
      <c r="H260" s="239" t="n"/>
      <c r="I260" s="239" t="n"/>
      <c r="J260" s="239" t="n"/>
      <c r="K260" s="239" t="n"/>
      <c r="L260" s="239" t="n"/>
      <c r="M260" s="239" t="n"/>
      <c r="N260" s="239" t="n"/>
      <c r="O260" s="239" t="n"/>
      <c r="P260" s="239" t="n"/>
      <c r="Q260" s="239" t="n"/>
      <c r="R260" s="239" t="n"/>
      <c r="S260" s="239" t="n"/>
      <c r="T260" s="239" t="n"/>
      <c r="U260" s="239" t="n"/>
      <c r="V260" s="239" t="n"/>
      <c r="W260" s="239" t="n"/>
      <c r="X260" s="239" t="n"/>
      <c r="Y260" s="239" t="n"/>
      <c r="Z260" s="239" t="n"/>
      <c r="AA260" s="239" t="n"/>
      <c r="AB260" s="239" t="n"/>
      <c r="AC260" s="239" t="n"/>
      <c r="AD260" s="239" t="n"/>
      <c r="AE260" s="239" t="n"/>
    </row>
    <row r="261">
      <c r="A261" s="239" t="n"/>
      <c r="B261" s="239" t="n"/>
      <c r="C261" s="239" t="n"/>
      <c r="D261" s="239" t="n"/>
      <c r="E261" s="239" t="n"/>
      <c r="F261" s="239" t="n"/>
      <c r="G261" s="239" t="n"/>
      <c r="H261" s="239" t="n"/>
      <c r="I261" s="239" t="n"/>
      <c r="J261" s="239" t="n"/>
      <c r="K261" s="239" t="n"/>
      <c r="L261" s="239" t="n"/>
      <c r="M261" s="239" t="n"/>
      <c r="N261" s="239" t="n"/>
      <c r="O261" s="239" t="n"/>
      <c r="P261" s="239" t="n"/>
      <c r="Q261" s="239" t="n"/>
      <c r="R261" s="239" t="n"/>
      <c r="S261" s="239" t="n"/>
      <c r="T261" s="239" t="n"/>
      <c r="U261" s="239" t="n"/>
      <c r="V261" s="239" t="n"/>
      <c r="W261" s="239" t="n"/>
      <c r="X261" s="239" t="n"/>
      <c r="Y261" s="239" t="n"/>
      <c r="Z261" s="239" t="n"/>
      <c r="AA261" s="239" t="n"/>
      <c r="AB261" s="239" t="n"/>
      <c r="AC261" s="239" t="n"/>
      <c r="AD261" s="239" t="n"/>
      <c r="AE261" s="239" t="n"/>
    </row>
    <row r="262">
      <c r="A262" s="239" t="n"/>
      <c r="B262" s="239" t="n"/>
      <c r="C262" s="239" t="n"/>
      <c r="D262" s="239" t="n"/>
      <c r="E262" s="239" t="n"/>
      <c r="F262" s="239" t="n"/>
      <c r="G262" s="239" t="n"/>
      <c r="H262" s="239" t="n"/>
      <c r="I262" s="239" t="n"/>
      <c r="J262" s="239" t="n"/>
      <c r="K262" s="239" t="n"/>
      <c r="L262" s="239" t="n"/>
      <c r="M262" s="239" t="n"/>
      <c r="N262" s="239" t="n"/>
      <c r="O262" s="239" t="n"/>
      <c r="P262" s="239" t="n"/>
      <c r="Q262" s="239" t="n"/>
      <c r="R262" s="239" t="n"/>
      <c r="S262" s="239" t="n"/>
      <c r="T262" s="239" t="n"/>
      <c r="U262" s="239" t="n"/>
      <c r="V262" s="239" t="n"/>
      <c r="W262" s="239" t="n"/>
      <c r="X262" s="239" t="n"/>
      <c r="Y262" s="239" t="n"/>
      <c r="Z262" s="239" t="n"/>
      <c r="AA262" s="239" t="n"/>
      <c r="AB262" s="239" t="n"/>
      <c r="AC262" s="239" t="n"/>
      <c r="AD262" s="239" t="n"/>
      <c r="AE262" s="239" t="n"/>
    </row>
    <row r="263">
      <c r="A263" s="239" t="n"/>
      <c r="B263" s="239" t="n"/>
      <c r="C263" s="239" t="n"/>
      <c r="D263" s="239" t="n"/>
      <c r="E263" s="239" t="n"/>
      <c r="F263" s="239" t="n"/>
      <c r="G263" s="239" t="n"/>
      <c r="H263" s="239" t="n"/>
      <c r="I263" s="239" t="n"/>
      <c r="J263" s="239" t="n"/>
      <c r="K263" s="239" t="n"/>
      <c r="L263" s="239" t="n"/>
      <c r="M263" s="239" t="n"/>
      <c r="N263" s="239" t="n"/>
      <c r="O263" s="239" t="n"/>
      <c r="P263" s="239" t="n"/>
      <c r="Q263" s="239" t="n"/>
      <c r="R263" s="239" t="n"/>
      <c r="S263" s="239" t="n"/>
      <c r="T263" s="239" t="n"/>
      <c r="U263" s="239" t="n"/>
      <c r="V263" s="239" t="n"/>
      <c r="W263" s="239" t="n"/>
      <c r="X263" s="239" t="n"/>
      <c r="Y263" s="239" t="n"/>
      <c r="Z263" s="239" t="n"/>
      <c r="AA263" s="239" t="n"/>
      <c r="AB263" s="239" t="n"/>
      <c r="AC263" s="239" t="n"/>
      <c r="AD263" s="239" t="n"/>
      <c r="AE263" s="239" t="n"/>
    </row>
    <row r="264">
      <c r="A264" s="239" t="n"/>
      <c r="B264" s="239" t="n"/>
      <c r="C264" s="239" t="n"/>
      <c r="D264" s="239" t="n"/>
      <c r="E264" s="239" t="n"/>
      <c r="F264" s="239" t="n"/>
      <c r="G264" s="239" t="n"/>
      <c r="H264" s="239" t="n"/>
      <c r="I264" s="239" t="n"/>
      <c r="J264" s="239" t="n"/>
      <c r="K264" s="239" t="n"/>
      <c r="L264" s="239" t="n"/>
      <c r="M264" s="239" t="n"/>
      <c r="N264" s="239" t="n"/>
      <c r="O264" s="239" t="n"/>
      <c r="P264" s="239" t="n"/>
      <c r="Q264" s="239" t="n"/>
      <c r="R264" s="239" t="n"/>
      <c r="S264" s="239" t="n"/>
      <c r="T264" s="239" t="n"/>
      <c r="U264" s="239" t="n"/>
      <c r="V264" s="239" t="n"/>
      <c r="W264" s="239" t="n"/>
      <c r="X264" s="239" t="n"/>
      <c r="Y264" s="239" t="n"/>
      <c r="Z264" s="239" t="n"/>
      <c r="AA264" s="239" t="n"/>
      <c r="AB264" s="239" t="n"/>
      <c r="AC264" s="239" t="n"/>
      <c r="AD264" s="239" t="n"/>
      <c r="AE264" s="239" t="n"/>
    </row>
    <row r="265">
      <c r="A265" s="239" t="n"/>
      <c r="B265" s="239" t="n"/>
      <c r="C265" s="239" t="n"/>
      <c r="D265" s="239" t="n"/>
      <c r="E265" s="239" t="n"/>
      <c r="F265" s="239" t="n"/>
      <c r="G265" s="239" t="n"/>
      <c r="H265" s="239" t="n"/>
      <c r="I265" s="239" t="n"/>
      <c r="J265" s="239" t="n"/>
      <c r="K265" s="239" t="n"/>
      <c r="L265" s="239" t="n"/>
      <c r="M265" s="239" t="n"/>
      <c r="N265" s="239" t="n"/>
      <c r="O265" s="239" t="n"/>
      <c r="P265" s="239" t="n"/>
      <c r="Q265" s="239" t="n"/>
      <c r="R265" s="239" t="n"/>
      <c r="S265" s="239" t="n"/>
      <c r="T265" s="239" t="n"/>
      <c r="U265" s="239" t="n"/>
      <c r="V265" s="239" t="n"/>
      <c r="W265" s="239" t="n"/>
      <c r="X265" s="239" t="n"/>
      <c r="Y265" s="239" t="n"/>
      <c r="Z265" s="239" t="n"/>
      <c r="AA265" s="239" t="n"/>
      <c r="AB265" s="239" t="n"/>
      <c r="AC265" s="239" t="n"/>
      <c r="AD265" s="239" t="n"/>
      <c r="AE265" s="239" t="n"/>
    </row>
    <row r="266">
      <c r="A266" s="239" t="n"/>
      <c r="B266" s="239" t="n"/>
      <c r="C266" s="239" t="n"/>
      <c r="D266" s="239" t="n"/>
      <c r="E266" s="239" t="n"/>
      <c r="F266" s="239" t="n"/>
      <c r="G266" s="239" t="n"/>
      <c r="H266" s="239" t="n"/>
      <c r="I266" s="239" t="n"/>
      <c r="J266" s="239" t="n"/>
      <c r="K266" s="239" t="n"/>
      <c r="L266" s="239" t="n"/>
      <c r="M266" s="239" t="n"/>
      <c r="N266" s="239" t="n"/>
      <c r="O266" s="239" t="n"/>
      <c r="P266" s="239" t="n"/>
      <c r="Q266" s="239" t="n"/>
      <c r="R266" s="239" t="n"/>
      <c r="S266" s="239" t="n"/>
      <c r="T266" s="239" t="n"/>
      <c r="U266" s="239" t="n"/>
      <c r="V266" s="239" t="n"/>
      <c r="W266" s="239" t="n"/>
      <c r="X266" s="239" t="n"/>
      <c r="Y266" s="239" t="n"/>
      <c r="Z266" s="239" t="n"/>
      <c r="AA266" s="239" t="n"/>
      <c r="AB266" s="239" t="n"/>
      <c r="AC266" s="239" t="n"/>
      <c r="AD266" s="239" t="n"/>
      <c r="AE266" s="239" t="n"/>
    </row>
    <row r="267">
      <c r="A267" s="239" t="n"/>
      <c r="B267" s="239" t="n"/>
      <c r="C267" s="239" t="n"/>
      <c r="D267" s="239" t="n"/>
      <c r="E267" s="239" t="n"/>
      <c r="F267" s="239" t="n"/>
      <c r="G267" s="239" t="n"/>
      <c r="H267" s="239" t="n"/>
      <c r="I267" s="239" t="n"/>
      <c r="J267" s="239" t="n"/>
      <c r="K267" s="239" t="n"/>
      <c r="L267" s="239" t="n"/>
      <c r="M267" s="239" t="n"/>
      <c r="N267" s="239" t="n"/>
      <c r="O267" s="239" t="n"/>
      <c r="P267" s="239" t="n"/>
      <c r="Q267" s="239" t="n"/>
      <c r="R267" s="239" t="n"/>
      <c r="S267" s="239" t="n"/>
      <c r="T267" s="239" t="n"/>
      <c r="U267" s="239" t="n"/>
      <c r="V267" s="239" t="n"/>
      <c r="W267" s="239" t="n"/>
      <c r="X267" s="239" t="n"/>
      <c r="Y267" s="239" t="n"/>
      <c r="Z267" s="239" t="n"/>
      <c r="AA267" s="239" t="n"/>
      <c r="AB267" s="239" t="n"/>
      <c r="AC267" s="239" t="n"/>
      <c r="AD267" s="239" t="n"/>
      <c r="AE267" s="239" t="n"/>
    </row>
    <row r="268">
      <c r="A268" s="239" t="n"/>
      <c r="B268" s="239" t="n"/>
      <c r="C268" s="239" t="n"/>
      <c r="D268" s="239" t="n"/>
      <c r="E268" s="239" t="n"/>
      <c r="F268" s="239" t="n"/>
      <c r="G268" s="239" t="n"/>
      <c r="H268" s="239" t="n"/>
      <c r="I268" s="239" t="n"/>
      <c r="J268" s="239" t="n"/>
      <c r="K268" s="239" t="n"/>
      <c r="L268" s="239" t="n"/>
      <c r="M268" s="239" t="n"/>
      <c r="N268" s="239" t="n"/>
      <c r="O268" s="239" t="n"/>
      <c r="P268" s="239" t="n"/>
      <c r="Q268" s="239" t="n"/>
      <c r="R268" s="239" t="n"/>
      <c r="S268" s="239" t="n"/>
      <c r="T268" s="239" t="n"/>
      <c r="U268" s="239" t="n"/>
      <c r="V268" s="239" t="n"/>
      <c r="W268" s="239" t="n"/>
      <c r="X268" s="239" t="n"/>
      <c r="Y268" s="239" t="n"/>
      <c r="Z268" s="239" t="n"/>
      <c r="AA268" s="239" t="n"/>
      <c r="AB268" s="239" t="n"/>
      <c r="AC268" s="239" t="n"/>
      <c r="AD268" s="239" t="n"/>
      <c r="AE268" s="239" t="n"/>
    </row>
    <row r="269">
      <c r="A269" s="239" t="n"/>
      <c r="B269" s="239" t="n"/>
      <c r="C269" s="239" t="n"/>
      <c r="D269" s="239" t="n"/>
      <c r="E269" s="239" t="n"/>
      <c r="F269" s="239" t="n"/>
      <c r="G269" s="239" t="n"/>
      <c r="H269" s="239" t="n"/>
      <c r="I269" s="239" t="n"/>
      <c r="J269" s="239" t="n"/>
      <c r="K269" s="239" t="n"/>
      <c r="L269" s="239" t="n"/>
      <c r="M269" s="239" t="n"/>
      <c r="N269" s="239" t="n"/>
      <c r="O269" s="239" t="n"/>
      <c r="P269" s="239" t="n"/>
      <c r="Q269" s="239" t="n"/>
      <c r="R269" s="239" t="n"/>
      <c r="S269" s="239" t="n"/>
      <c r="T269" s="239" t="n"/>
      <c r="U269" s="239" t="n"/>
      <c r="V269" s="239" t="n"/>
      <c r="W269" s="239" t="n"/>
      <c r="X269" s="239" t="n"/>
      <c r="Y269" s="239" t="n"/>
      <c r="Z269" s="239" t="n"/>
      <c r="AA269" s="239" t="n"/>
      <c r="AB269" s="239" t="n"/>
      <c r="AC269" s="239" t="n"/>
      <c r="AD269" s="239" t="n"/>
      <c r="AE269" s="239" t="n"/>
    </row>
    <row r="270">
      <c r="A270" s="239" t="n"/>
      <c r="B270" s="239" t="n"/>
      <c r="C270" s="239" t="n"/>
      <c r="D270" s="239" t="n"/>
      <c r="E270" s="239" t="n"/>
      <c r="F270" s="239" t="n"/>
      <c r="G270" s="239" t="n"/>
      <c r="H270" s="239" t="n"/>
      <c r="I270" s="239" t="n"/>
      <c r="J270" s="239" t="n"/>
      <c r="K270" s="239" t="n"/>
      <c r="L270" s="239" t="n"/>
      <c r="M270" s="239" t="n"/>
      <c r="N270" s="239" t="n"/>
      <c r="O270" s="239" t="n"/>
      <c r="P270" s="239" t="n"/>
      <c r="Q270" s="239" t="n"/>
      <c r="R270" s="239" t="n"/>
      <c r="S270" s="239" t="n"/>
      <c r="T270" s="239" t="n"/>
      <c r="U270" s="239" t="n"/>
      <c r="V270" s="239" t="n"/>
      <c r="W270" s="239" t="n"/>
      <c r="X270" s="239" t="n"/>
      <c r="Y270" s="239" t="n"/>
      <c r="Z270" s="239" t="n"/>
      <c r="AA270" s="239" t="n"/>
      <c r="AB270" s="239" t="n"/>
      <c r="AC270" s="239" t="n"/>
      <c r="AD270" s="239" t="n"/>
      <c r="AE270" s="239" t="n"/>
    </row>
    <row r="271">
      <c r="A271" s="239" t="n"/>
      <c r="B271" s="239" t="n"/>
      <c r="C271" s="239" t="n"/>
      <c r="D271" s="239" t="n"/>
      <c r="E271" s="239" t="n"/>
      <c r="F271" s="239" t="n"/>
      <c r="G271" s="239" t="n"/>
      <c r="H271" s="239" t="n"/>
      <c r="I271" s="239" t="n"/>
      <c r="J271" s="239" t="n"/>
      <c r="K271" s="239" t="n"/>
      <c r="L271" s="239" t="n"/>
      <c r="M271" s="239" t="n"/>
      <c r="N271" s="239" t="n"/>
      <c r="O271" s="239" t="n"/>
      <c r="P271" s="239" t="n"/>
      <c r="Q271" s="239" t="n"/>
      <c r="R271" s="239" t="n"/>
      <c r="S271" s="239" t="n"/>
      <c r="T271" s="239" t="n"/>
      <c r="U271" s="239" t="n"/>
      <c r="V271" s="239" t="n"/>
      <c r="W271" s="239" t="n"/>
      <c r="X271" s="239" t="n"/>
      <c r="Y271" s="239" t="n"/>
      <c r="Z271" s="239" t="n"/>
      <c r="AA271" s="239" t="n"/>
      <c r="AB271" s="239" t="n"/>
      <c r="AC271" s="239" t="n"/>
      <c r="AD271" s="239" t="n"/>
      <c r="AE271" s="239" t="n"/>
    </row>
    <row r="272">
      <c r="A272" s="239" t="n"/>
      <c r="B272" s="239" t="n"/>
      <c r="C272" s="239" t="n"/>
      <c r="D272" s="239" t="n"/>
      <c r="E272" s="239" t="n"/>
      <c r="F272" s="239" t="n"/>
      <c r="G272" s="239" t="n"/>
      <c r="H272" s="239" t="n"/>
      <c r="I272" s="239" t="n"/>
      <c r="J272" s="239" t="n"/>
      <c r="K272" s="239" t="n"/>
      <c r="L272" s="239" t="n"/>
      <c r="M272" s="239" t="n"/>
      <c r="N272" s="239" t="n"/>
      <c r="O272" s="239" t="n"/>
      <c r="P272" s="239" t="n"/>
      <c r="Q272" s="239" t="n"/>
      <c r="R272" s="239" t="n"/>
      <c r="S272" s="239" t="n"/>
      <c r="T272" s="239" t="n"/>
      <c r="U272" s="239" t="n"/>
      <c r="V272" s="239" t="n"/>
      <c r="W272" s="239" t="n"/>
      <c r="X272" s="239" t="n"/>
      <c r="Y272" s="239" t="n"/>
      <c r="Z272" s="239" t="n"/>
      <c r="AA272" s="239" t="n"/>
      <c r="AB272" s="239" t="n"/>
      <c r="AC272" s="239" t="n"/>
      <c r="AD272" s="239" t="n"/>
      <c r="AE272" s="239" t="n"/>
    </row>
    <row r="273">
      <c r="A273" s="239" t="n"/>
      <c r="B273" s="239" t="n"/>
      <c r="C273" s="239" t="n"/>
      <c r="D273" s="239" t="n"/>
      <c r="E273" s="239" t="n"/>
      <c r="F273" s="239" t="n"/>
      <c r="G273" s="239" t="n"/>
      <c r="H273" s="239" t="n"/>
      <c r="I273" s="239" t="n"/>
      <c r="J273" s="239" t="n"/>
      <c r="K273" s="239" t="n"/>
      <c r="L273" s="239" t="n"/>
      <c r="M273" s="239" t="n"/>
      <c r="N273" s="239" t="n"/>
      <c r="O273" s="239" t="n"/>
      <c r="P273" s="239" t="n"/>
      <c r="Q273" s="239" t="n"/>
      <c r="R273" s="239" t="n"/>
      <c r="S273" s="239" t="n"/>
      <c r="T273" s="239" t="n"/>
      <c r="U273" s="239" t="n"/>
      <c r="V273" s="239" t="n"/>
      <c r="W273" s="239" t="n"/>
      <c r="X273" s="239" t="n"/>
      <c r="Y273" s="239" t="n"/>
      <c r="Z273" s="239" t="n"/>
      <c r="AA273" s="239" t="n"/>
      <c r="AB273" s="239" t="n"/>
      <c r="AC273" s="239" t="n"/>
      <c r="AD273" s="239" t="n"/>
      <c r="AE273" s="239" t="n"/>
    </row>
    <row r="274">
      <c r="A274" s="239" t="n"/>
      <c r="B274" s="239" t="n"/>
      <c r="C274" s="239" t="n"/>
      <c r="D274" s="239" t="n"/>
      <c r="E274" s="239" t="n"/>
      <c r="F274" s="239" t="n"/>
      <c r="G274" s="239" t="n"/>
      <c r="H274" s="239" t="n"/>
      <c r="I274" s="239" t="n"/>
      <c r="J274" s="239" t="n"/>
      <c r="K274" s="239" t="n"/>
      <c r="L274" s="239" t="n"/>
      <c r="M274" s="239" t="n"/>
      <c r="N274" s="239" t="n"/>
      <c r="O274" s="239" t="n"/>
      <c r="P274" s="239" t="n"/>
      <c r="Q274" s="239" t="n"/>
      <c r="R274" s="239" t="n"/>
      <c r="S274" s="239" t="n"/>
      <c r="T274" s="239" t="n"/>
      <c r="U274" s="239" t="n"/>
      <c r="V274" s="239" t="n"/>
      <c r="W274" s="239" t="n"/>
      <c r="X274" s="239" t="n"/>
      <c r="Y274" s="239" t="n"/>
      <c r="Z274" s="239" t="n"/>
      <c r="AA274" s="239" t="n"/>
      <c r="AB274" s="239" t="n"/>
      <c r="AC274" s="239" t="n"/>
      <c r="AD274" s="239" t="n"/>
      <c r="AE274" s="239" t="n"/>
    </row>
    <row r="275">
      <c r="A275" s="239" t="n"/>
      <c r="B275" s="239" t="n"/>
      <c r="C275" s="239" t="n"/>
      <c r="D275" s="239" t="n"/>
      <c r="E275" s="239" t="n"/>
      <c r="F275" s="239" t="n"/>
      <c r="G275" s="239" t="n"/>
      <c r="H275" s="239" t="n"/>
      <c r="I275" s="239" t="n"/>
      <c r="J275" s="239" t="n"/>
      <c r="K275" s="239" t="n"/>
      <c r="L275" s="239" t="n"/>
      <c r="M275" s="239" t="n"/>
      <c r="N275" s="239" t="n"/>
      <c r="O275" s="239" t="n"/>
      <c r="P275" s="239" t="n"/>
      <c r="Q275" s="239" t="n"/>
      <c r="R275" s="239" t="n"/>
      <c r="S275" s="239" t="n"/>
      <c r="T275" s="239" t="n"/>
      <c r="U275" s="239" t="n"/>
      <c r="V275" s="239" t="n"/>
      <c r="W275" s="239" t="n"/>
      <c r="X275" s="239" t="n"/>
      <c r="Y275" s="239" t="n"/>
      <c r="Z275" s="239" t="n"/>
      <c r="AA275" s="239" t="n"/>
      <c r="AB275" s="239" t="n"/>
      <c r="AC275" s="239" t="n"/>
      <c r="AD275" s="239" t="n"/>
      <c r="AE275" s="239" t="n"/>
    </row>
    <row r="276">
      <c r="A276" s="239" t="n"/>
      <c r="B276" s="239" t="n"/>
      <c r="C276" s="239" t="n"/>
      <c r="D276" s="239" t="n"/>
      <c r="E276" s="239" t="n"/>
      <c r="F276" s="239" t="n"/>
      <c r="G276" s="239" t="n"/>
      <c r="H276" s="239" t="n"/>
      <c r="I276" s="239" t="n"/>
      <c r="J276" s="239" t="n"/>
      <c r="K276" s="239" t="n"/>
      <c r="L276" s="239" t="n"/>
      <c r="M276" s="239" t="n"/>
      <c r="N276" s="239" t="n"/>
      <c r="O276" s="239" t="n"/>
      <c r="P276" s="239" t="n"/>
      <c r="Q276" s="239" t="n"/>
      <c r="R276" s="239" t="n"/>
      <c r="S276" s="239" t="n"/>
      <c r="T276" s="239" t="n"/>
      <c r="U276" s="239" t="n"/>
      <c r="V276" s="239" t="n"/>
      <c r="W276" s="239" t="n"/>
      <c r="X276" s="239" t="n"/>
      <c r="Y276" s="239" t="n"/>
      <c r="Z276" s="239" t="n"/>
      <c r="AA276" s="239" t="n"/>
      <c r="AB276" s="239" t="n"/>
      <c r="AC276" s="239" t="n"/>
      <c r="AD276" s="239" t="n"/>
      <c r="AE276" s="239" t="n"/>
    </row>
    <row r="277">
      <c r="A277" s="239" t="n"/>
      <c r="B277" s="239" t="n"/>
      <c r="C277" s="239" t="n"/>
      <c r="D277" s="239" t="n"/>
      <c r="E277" s="239" t="n"/>
      <c r="F277" s="239" t="n"/>
      <c r="G277" s="239" t="n"/>
      <c r="H277" s="239" t="n"/>
      <c r="I277" s="239" t="n"/>
      <c r="J277" s="239" t="n"/>
      <c r="K277" s="239" t="n"/>
      <c r="L277" s="239" t="n"/>
      <c r="M277" s="239" t="n"/>
      <c r="N277" s="239" t="n"/>
      <c r="O277" s="239" t="n"/>
      <c r="P277" s="239" t="n"/>
      <c r="Q277" s="239" t="n"/>
      <c r="R277" s="239" t="n"/>
      <c r="S277" s="239" t="n"/>
      <c r="T277" s="239" t="n"/>
      <c r="U277" s="239" t="n"/>
      <c r="V277" s="239" t="n"/>
      <c r="W277" s="239" t="n"/>
      <c r="X277" s="239" t="n"/>
      <c r="Y277" s="239" t="n"/>
      <c r="Z277" s="239" t="n"/>
      <c r="AA277" s="239" t="n"/>
      <c r="AB277" s="239" t="n"/>
      <c r="AC277" s="239" t="n"/>
      <c r="AD277" s="239" t="n"/>
      <c r="AE277" s="239" t="n"/>
    </row>
    <row r="278">
      <c r="A278" s="239" t="n"/>
      <c r="B278" s="239" t="n"/>
      <c r="C278" s="239" t="n"/>
      <c r="D278" s="239" t="n"/>
      <c r="E278" s="239" t="n"/>
      <c r="F278" s="239" t="n"/>
      <c r="G278" s="239" t="n"/>
      <c r="H278" s="239" t="n"/>
      <c r="I278" s="239" t="n"/>
      <c r="J278" s="239" t="n"/>
      <c r="K278" s="239" t="n"/>
      <c r="L278" s="239" t="n"/>
      <c r="M278" s="239" t="n"/>
      <c r="N278" s="239" t="n"/>
      <c r="O278" s="239" t="n"/>
      <c r="P278" s="239" t="n"/>
      <c r="Q278" s="239" t="n"/>
      <c r="R278" s="239" t="n"/>
      <c r="S278" s="239" t="n"/>
      <c r="T278" s="239" t="n"/>
      <c r="U278" s="239" t="n"/>
      <c r="V278" s="239" t="n"/>
      <c r="W278" s="239" t="n"/>
      <c r="X278" s="239" t="n"/>
      <c r="Y278" s="239" t="n"/>
      <c r="Z278" s="239" t="n"/>
      <c r="AA278" s="239" t="n"/>
      <c r="AB278" s="239" t="n"/>
      <c r="AC278" s="239" t="n"/>
      <c r="AD278" s="239" t="n"/>
      <c r="AE278" s="239" t="n"/>
    </row>
    <row r="279">
      <c r="A279" s="239" t="n"/>
      <c r="B279" s="239" t="n"/>
      <c r="C279" s="239" t="n"/>
      <c r="D279" s="239" t="n"/>
      <c r="E279" s="239" t="n"/>
      <c r="F279" s="239" t="n"/>
      <c r="G279" s="239" t="n"/>
      <c r="H279" s="239" t="n"/>
      <c r="I279" s="239" t="n"/>
      <c r="J279" s="239" t="n"/>
      <c r="K279" s="239" t="n"/>
      <c r="L279" s="239" t="n"/>
      <c r="M279" s="239" t="n"/>
      <c r="N279" s="239" t="n"/>
      <c r="O279" s="239" t="n"/>
      <c r="P279" s="239" t="n"/>
      <c r="Q279" s="239" t="n"/>
      <c r="R279" s="239" t="n"/>
      <c r="S279" s="239" t="n"/>
      <c r="T279" s="239" t="n"/>
      <c r="U279" s="239" t="n"/>
      <c r="V279" s="239" t="n"/>
      <c r="W279" s="239" t="n"/>
      <c r="X279" s="239" t="n"/>
      <c r="Y279" s="239" t="n"/>
      <c r="Z279" s="239" t="n"/>
      <c r="AA279" s="239" t="n"/>
      <c r="AB279" s="239" t="n"/>
      <c r="AC279" s="239" t="n"/>
      <c r="AD279" s="239" t="n"/>
      <c r="AE279" s="239" t="n"/>
    </row>
    <row r="280">
      <c r="A280" s="239" t="n"/>
      <c r="B280" s="239" t="n"/>
      <c r="C280" s="239" t="n"/>
      <c r="D280" s="239" t="n"/>
      <c r="E280" s="239" t="n"/>
      <c r="F280" s="239" t="n"/>
      <c r="G280" s="239" t="n"/>
      <c r="H280" s="239" t="n"/>
      <c r="I280" s="239" t="n"/>
      <c r="J280" s="239" t="n"/>
      <c r="K280" s="239" t="n"/>
      <c r="L280" s="239" t="n"/>
      <c r="M280" s="239" t="n"/>
      <c r="N280" s="239" t="n"/>
      <c r="O280" s="239" t="n"/>
      <c r="P280" s="239" t="n"/>
      <c r="Q280" s="239" t="n"/>
      <c r="R280" s="239" t="n"/>
      <c r="S280" s="239" t="n"/>
      <c r="T280" s="239" t="n"/>
      <c r="U280" s="239" t="n"/>
      <c r="V280" s="239" t="n"/>
      <c r="W280" s="239" t="n"/>
      <c r="X280" s="239" t="n"/>
      <c r="Y280" s="239" t="n"/>
      <c r="Z280" s="239" t="n"/>
      <c r="AA280" s="239" t="n"/>
      <c r="AB280" s="239" t="n"/>
      <c r="AC280" s="239" t="n"/>
      <c r="AD280" s="239" t="n"/>
      <c r="AE280" s="239" t="n"/>
    </row>
    <row r="281">
      <c r="A281" s="239" t="n"/>
      <c r="B281" s="239" t="n"/>
      <c r="C281" s="239" t="n"/>
      <c r="D281" s="239" t="n"/>
      <c r="E281" s="239" t="n"/>
      <c r="F281" s="239" t="n"/>
      <c r="G281" s="239" t="n"/>
      <c r="H281" s="239" t="n"/>
      <c r="I281" s="239" t="n"/>
      <c r="J281" s="239" t="n"/>
      <c r="K281" s="239" t="n"/>
      <c r="L281" s="239" t="n"/>
      <c r="M281" s="239" t="n"/>
      <c r="N281" s="239" t="n"/>
      <c r="O281" s="239" t="n"/>
      <c r="P281" s="239" t="n"/>
      <c r="Q281" s="239" t="n"/>
      <c r="R281" s="239" t="n"/>
      <c r="S281" s="239" t="n"/>
      <c r="T281" s="239" t="n"/>
      <c r="U281" s="239" t="n"/>
      <c r="V281" s="239" t="n"/>
      <c r="W281" s="239" t="n"/>
      <c r="X281" s="239" t="n"/>
      <c r="Y281" s="239" t="n"/>
      <c r="Z281" s="239" t="n"/>
      <c r="AA281" s="239" t="n"/>
      <c r="AB281" s="239" t="n"/>
      <c r="AC281" s="239" t="n"/>
      <c r="AD281" s="239" t="n"/>
      <c r="AE281" s="239" t="n"/>
    </row>
    <row r="282">
      <c r="A282" s="239" t="n"/>
      <c r="B282" s="239" t="n"/>
      <c r="C282" s="239" t="n"/>
      <c r="D282" s="239" t="n"/>
      <c r="E282" s="239" t="n"/>
      <c r="F282" s="239" t="n"/>
      <c r="G282" s="239" t="n"/>
      <c r="H282" s="239" t="n"/>
      <c r="I282" s="239" t="n"/>
      <c r="J282" s="239" t="n"/>
      <c r="K282" s="239" t="n"/>
      <c r="L282" s="239" t="n"/>
      <c r="M282" s="239" t="n"/>
      <c r="N282" s="239" t="n"/>
      <c r="O282" s="239" t="n"/>
      <c r="P282" s="239" t="n"/>
      <c r="Q282" s="239" t="n"/>
      <c r="R282" s="239" t="n"/>
      <c r="S282" s="239" t="n"/>
      <c r="T282" s="239" t="n"/>
      <c r="U282" s="239" t="n"/>
      <c r="V282" s="239" t="n"/>
      <c r="W282" s="239" t="n"/>
      <c r="X282" s="239" t="n"/>
      <c r="Y282" s="239" t="n"/>
      <c r="Z282" s="239" t="n"/>
      <c r="AA282" s="239" t="n"/>
      <c r="AB282" s="239" t="n"/>
      <c r="AC282" s="239" t="n"/>
      <c r="AD282" s="239" t="n"/>
      <c r="AE282" s="239" t="n"/>
    </row>
    <row r="283">
      <c r="A283" s="239" t="n"/>
      <c r="B283" s="239" t="n"/>
      <c r="C283" s="239" t="n"/>
      <c r="D283" s="239" t="n"/>
      <c r="E283" s="239" t="n"/>
      <c r="F283" s="239" t="n"/>
      <c r="G283" s="239" t="n"/>
      <c r="H283" s="239" t="n"/>
      <c r="I283" s="239" t="n"/>
      <c r="J283" s="239" t="n"/>
      <c r="K283" s="239" t="n"/>
      <c r="L283" s="239" t="n"/>
      <c r="M283" s="239" t="n"/>
      <c r="N283" s="239" t="n"/>
      <c r="O283" s="239" t="n"/>
      <c r="P283" s="239" t="n"/>
      <c r="Q283" s="239" t="n"/>
      <c r="R283" s="239" t="n"/>
      <c r="S283" s="239" t="n"/>
      <c r="T283" s="239" t="n"/>
      <c r="U283" s="239" t="n"/>
      <c r="V283" s="239" t="n"/>
      <c r="W283" s="239" t="n"/>
      <c r="X283" s="239" t="n"/>
      <c r="Y283" s="239" t="n"/>
      <c r="Z283" s="239" t="n"/>
      <c r="AA283" s="239" t="n"/>
      <c r="AB283" s="239" t="n"/>
      <c r="AC283" s="239" t="n"/>
      <c r="AD283" s="239" t="n"/>
      <c r="AE283" s="239" t="n"/>
    </row>
    <row r="284">
      <c r="A284" s="239" t="n"/>
      <c r="B284" s="239" t="n"/>
      <c r="C284" s="239" t="n"/>
      <c r="D284" s="239" t="n"/>
      <c r="E284" s="239" t="n"/>
      <c r="F284" s="239" t="n"/>
      <c r="G284" s="239" t="n"/>
      <c r="H284" s="239" t="n"/>
      <c r="I284" s="239" t="n"/>
      <c r="J284" s="239" t="n"/>
      <c r="K284" s="239" t="n"/>
      <c r="L284" s="239" t="n"/>
      <c r="M284" s="239" t="n"/>
      <c r="N284" s="239" t="n"/>
      <c r="O284" s="239" t="n"/>
      <c r="P284" s="239" t="n"/>
      <c r="Q284" s="239" t="n"/>
      <c r="R284" s="239" t="n"/>
      <c r="S284" s="239" t="n"/>
      <c r="T284" s="239" t="n"/>
      <c r="U284" s="239" t="n"/>
      <c r="V284" s="239" t="n"/>
      <c r="W284" s="239" t="n"/>
      <c r="X284" s="239" t="n"/>
      <c r="Y284" s="239" t="n"/>
      <c r="Z284" s="239" t="n"/>
      <c r="AA284" s="239" t="n"/>
      <c r="AB284" s="239" t="n"/>
      <c r="AC284" s="239" t="n"/>
      <c r="AD284" s="239" t="n"/>
      <c r="AE284" s="239" t="n"/>
    </row>
    <row r="285">
      <c r="A285" s="239" t="n"/>
      <c r="B285" s="239" t="n"/>
      <c r="C285" s="239" t="n"/>
      <c r="D285" s="239" t="n"/>
      <c r="E285" s="239" t="n"/>
      <c r="F285" s="239" t="n"/>
      <c r="G285" s="239" t="n"/>
      <c r="H285" s="239" t="n"/>
      <c r="I285" s="239" t="n"/>
      <c r="J285" s="239" t="n"/>
      <c r="K285" s="239" t="n"/>
      <c r="L285" s="239" t="n"/>
      <c r="M285" s="239" t="n"/>
      <c r="N285" s="239" t="n"/>
      <c r="O285" s="239" t="n"/>
      <c r="P285" s="239" t="n"/>
      <c r="Q285" s="239" t="n"/>
      <c r="R285" s="239" t="n"/>
      <c r="S285" s="239" t="n"/>
      <c r="T285" s="239" t="n"/>
      <c r="U285" s="239" t="n"/>
      <c r="V285" s="239" t="n"/>
      <c r="W285" s="239" t="n"/>
      <c r="X285" s="239" t="n"/>
      <c r="Y285" s="239" t="n"/>
      <c r="Z285" s="239" t="n"/>
      <c r="AA285" s="239" t="n"/>
      <c r="AB285" s="239" t="n"/>
      <c r="AC285" s="239" t="n"/>
      <c r="AD285" s="239" t="n"/>
      <c r="AE285" s="239" t="n"/>
    </row>
    <row r="286">
      <c r="A286" s="239" t="n"/>
      <c r="B286" s="239" t="n"/>
      <c r="C286" s="239" t="n"/>
      <c r="D286" s="239" t="n"/>
      <c r="E286" s="239" t="n"/>
      <c r="F286" s="239" t="n"/>
      <c r="G286" s="239" t="n"/>
      <c r="H286" s="239" t="n"/>
      <c r="I286" s="239" t="n"/>
      <c r="J286" s="239" t="n"/>
      <c r="K286" s="239" t="n"/>
      <c r="L286" s="239" t="n"/>
      <c r="M286" s="239" t="n"/>
      <c r="N286" s="239" t="n"/>
      <c r="O286" s="239" t="n"/>
      <c r="P286" s="239" t="n"/>
      <c r="Q286" s="239" t="n"/>
      <c r="R286" s="239" t="n"/>
      <c r="S286" s="239" t="n"/>
      <c r="T286" s="239" t="n"/>
      <c r="U286" s="239" t="n"/>
      <c r="V286" s="239" t="n"/>
      <c r="W286" s="239" t="n"/>
      <c r="X286" s="239" t="n"/>
      <c r="Y286" s="239" t="n"/>
      <c r="Z286" s="239" t="n"/>
      <c r="AA286" s="239" t="n"/>
      <c r="AB286" s="239" t="n"/>
      <c r="AC286" s="239" t="n"/>
      <c r="AD286" s="239" t="n"/>
      <c r="AE286" s="239" t="n"/>
    </row>
    <row r="287">
      <c r="A287" s="239" t="n"/>
      <c r="B287" s="239" t="n"/>
      <c r="C287" s="239" t="n"/>
      <c r="D287" s="239" t="n"/>
      <c r="E287" s="239" t="n"/>
      <c r="F287" s="239" t="n"/>
      <c r="G287" s="239" t="n"/>
      <c r="H287" s="239" t="n"/>
      <c r="I287" s="239" t="n"/>
      <c r="J287" s="239" t="n"/>
      <c r="K287" s="239" t="n"/>
      <c r="L287" s="239" t="n"/>
      <c r="M287" s="239" t="n"/>
      <c r="N287" s="239" t="n"/>
      <c r="O287" s="239" t="n"/>
      <c r="P287" s="239" t="n"/>
      <c r="Q287" s="239" t="n"/>
      <c r="R287" s="239" t="n"/>
      <c r="S287" s="239" t="n"/>
      <c r="T287" s="239" t="n"/>
      <c r="U287" s="239" t="n"/>
      <c r="V287" s="239" t="n"/>
      <c r="W287" s="239" t="n"/>
      <c r="X287" s="239" t="n"/>
      <c r="Y287" s="239" t="n"/>
      <c r="Z287" s="239" t="n"/>
      <c r="AA287" s="239" t="n"/>
      <c r="AB287" s="239" t="n"/>
      <c r="AC287" s="239" t="n"/>
      <c r="AD287" s="239" t="n"/>
      <c r="AE287" s="239" t="n"/>
    </row>
    <row r="288">
      <c r="A288" s="239" t="n"/>
      <c r="B288" s="239" t="n"/>
      <c r="C288" s="239" t="n"/>
      <c r="D288" s="239" t="n"/>
      <c r="E288" s="239" t="n"/>
      <c r="F288" s="239" t="n"/>
      <c r="G288" s="239" t="n"/>
      <c r="H288" s="239" t="n"/>
      <c r="I288" s="239" t="n"/>
      <c r="J288" s="239" t="n"/>
      <c r="K288" s="239" t="n"/>
      <c r="L288" s="239" t="n"/>
      <c r="M288" s="239" t="n"/>
      <c r="N288" s="239" t="n"/>
      <c r="O288" s="239" t="n"/>
      <c r="P288" s="239" t="n"/>
      <c r="Q288" s="239" t="n"/>
      <c r="R288" s="239" t="n"/>
      <c r="S288" s="239" t="n"/>
      <c r="T288" s="239" t="n"/>
      <c r="U288" s="239" t="n"/>
      <c r="V288" s="239" t="n"/>
      <c r="W288" s="239" t="n"/>
      <c r="X288" s="239" t="n"/>
      <c r="Y288" s="239" t="n"/>
      <c r="Z288" s="239" t="n"/>
      <c r="AA288" s="239" t="n"/>
      <c r="AB288" s="239" t="n"/>
      <c r="AC288" s="239" t="n"/>
      <c r="AD288" s="239" t="n"/>
      <c r="AE288" s="239" t="n"/>
    </row>
    <row r="289">
      <c r="A289" s="239" t="n"/>
      <c r="B289" s="239" t="n"/>
      <c r="C289" s="239" t="n"/>
      <c r="D289" s="239" t="n"/>
      <c r="E289" s="239" t="n"/>
      <c r="F289" s="239" t="n"/>
      <c r="G289" s="239" t="n"/>
      <c r="H289" s="239" t="n"/>
      <c r="I289" s="239" t="n"/>
      <c r="J289" s="239" t="n"/>
      <c r="K289" s="239" t="n"/>
      <c r="L289" s="239" t="n"/>
      <c r="M289" s="239" t="n"/>
      <c r="N289" s="239" t="n"/>
      <c r="O289" s="239" t="n"/>
      <c r="P289" s="239" t="n"/>
      <c r="Q289" s="239" t="n"/>
      <c r="R289" s="239" t="n"/>
      <c r="S289" s="239" t="n"/>
      <c r="T289" s="239" t="n"/>
      <c r="U289" s="239" t="n"/>
      <c r="V289" s="239" t="n"/>
      <c r="W289" s="239" t="n"/>
      <c r="X289" s="239" t="n"/>
      <c r="Y289" s="239" t="n"/>
      <c r="Z289" s="239" t="n"/>
      <c r="AA289" s="239" t="n"/>
      <c r="AB289" s="239" t="n"/>
      <c r="AC289" s="239" t="n"/>
      <c r="AD289" s="239" t="n"/>
      <c r="AE289" s="239" t="n"/>
    </row>
    <row r="290">
      <c r="A290" s="239" t="n"/>
      <c r="B290" s="239" t="n"/>
      <c r="C290" s="239" t="n"/>
      <c r="D290" s="239" t="n"/>
      <c r="E290" s="239" t="n"/>
      <c r="F290" s="239" t="n"/>
      <c r="G290" s="239" t="n"/>
      <c r="H290" s="239" t="n"/>
      <c r="I290" s="239" t="n"/>
      <c r="J290" s="239" t="n"/>
      <c r="K290" s="239" t="n"/>
      <c r="L290" s="239" t="n"/>
      <c r="M290" s="239" t="n"/>
      <c r="N290" s="239" t="n"/>
      <c r="O290" s="239" t="n"/>
      <c r="P290" s="239" t="n"/>
      <c r="Q290" s="239" t="n"/>
      <c r="R290" s="239" t="n"/>
      <c r="S290" s="239" t="n"/>
      <c r="T290" s="239" t="n"/>
      <c r="U290" s="239" t="n"/>
      <c r="V290" s="239" t="n"/>
      <c r="W290" s="239" t="n"/>
      <c r="X290" s="239" t="n"/>
      <c r="Y290" s="239" t="n"/>
      <c r="Z290" s="239" t="n"/>
      <c r="AA290" s="239" t="n"/>
      <c r="AB290" s="239" t="n"/>
      <c r="AC290" s="239" t="n"/>
      <c r="AD290" s="239" t="n"/>
      <c r="AE290" s="239" t="n"/>
    </row>
    <row r="291">
      <c r="A291" s="239" t="n"/>
      <c r="B291" s="239" t="n"/>
      <c r="C291" s="239" t="n"/>
      <c r="D291" s="239" t="n"/>
      <c r="E291" s="239" t="n"/>
      <c r="F291" s="239" t="n"/>
      <c r="G291" s="239" t="n"/>
      <c r="H291" s="239" t="n"/>
      <c r="I291" s="239" t="n"/>
      <c r="J291" s="239" t="n"/>
      <c r="K291" s="239" t="n"/>
      <c r="L291" s="239" t="n"/>
      <c r="M291" s="239" t="n"/>
      <c r="N291" s="239" t="n"/>
      <c r="O291" s="239" t="n"/>
      <c r="P291" s="239" t="n"/>
      <c r="Q291" s="239" t="n"/>
      <c r="R291" s="239" t="n"/>
      <c r="S291" s="239" t="n"/>
      <c r="T291" s="239" t="n"/>
      <c r="U291" s="239" t="n"/>
      <c r="V291" s="239" t="n"/>
      <c r="W291" s="239" t="n"/>
      <c r="X291" s="239" t="n"/>
      <c r="Y291" s="239" t="n"/>
      <c r="Z291" s="239" t="n"/>
      <c r="AA291" s="239" t="n"/>
      <c r="AB291" s="239" t="n"/>
      <c r="AC291" s="239" t="n"/>
      <c r="AD291" s="239" t="n"/>
      <c r="AE291" s="239" t="n"/>
    </row>
    <row r="292">
      <c r="A292" s="239" t="n"/>
      <c r="B292" s="239" t="n"/>
      <c r="C292" s="239" t="n"/>
      <c r="D292" s="239" t="n"/>
      <c r="E292" s="239" t="n"/>
      <c r="F292" s="239" t="n"/>
      <c r="G292" s="239" t="n"/>
      <c r="H292" s="239" t="n"/>
      <c r="I292" s="239" t="n"/>
      <c r="J292" s="239" t="n"/>
      <c r="K292" s="239" t="n"/>
      <c r="L292" s="239" t="n"/>
      <c r="M292" s="239" t="n"/>
      <c r="N292" s="239" t="n"/>
      <c r="O292" s="239" t="n"/>
      <c r="P292" s="239" t="n"/>
      <c r="Q292" s="239" t="n"/>
      <c r="R292" s="239" t="n"/>
      <c r="S292" s="239" t="n"/>
      <c r="T292" s="239" t="n"/>
      <c r="U292" s="239" t="n"/>
      <c r="V292" s="239" t="n"/>
      <c r="W292" s="239" t="n"/>
      <c r="X292" s="239" t="n"/>
      <c r="Y292" s="239" t="n"/>
      <c r="Z292" s="239" t="n"/>
      <c r="AA292" s="239" t="n"/>
      <c r="AB292" s="239" t="n"/>
      <c r="AC292" s="239" t="n"/>
      <c r="AD292" s="239" t="n"/>
      <c r="AE292" s="239" t="n"/>
    </row>
    <row r="293">
      <c r="A293" s="239" t="n"/>
      <c r="B293" s="239" t="n"/>
      <c r="C293" s="239" t="n"/>
      <c r="D293" s="239" t="n"/>
      <c r="E293" s="239" t="n"/>
      <c r="F293" s="239" t="n"/>
      <c r="G293" s="239" t="n"/>
      <c r="H293" s="239" t="n"/>
      <c r="I293" s="239" t="n"/>
      <c r="J293" s="239" t="n"/>
      <c r="K293" s="239" t="n"/>
      <c r="L293" s="239" t="n"/>
      <c r="M293" s="239" t="n"/>
      <c r="N293" s="239" t="n"/>
      <c r="O293" s="239" t="n"/>
      <c r="P293" s="239" t="n"/>
      <c r="Q293" s="239" t="n"/>
      <c r="R293" s="239" t="n"/>
      <c r="S293" s="239" t="n"/>
      <c r="T293" s="239" t="n"/>
      <c r="U293" s="239" t="n"/>
      <c r="V293" s="239" t="n"/>
      <c r="W293" s="239" t="n"/>
      <c r="X293" s="239" t="n"/>
      <c r="Y293" s="239" t="n"/>
      <c r="Z293" s="239" t="n"/>
      <c r="AA293" s="239" t="n"/>
      <c r="AB293" s="239" t="n"/>
      <c r="AC293" s="239" t="n"/>
      <c r="AD293" s="239" t="n"/>
      <c r="AE293" s="239" t="n"/>
    </row>
    <row r="294">
      <c r="A294" s="239" t="n"/>
      <c r="B294" s="239" t="n"/>
      <c r="C294" s="239" t="n"/>
      <c r="D294" s="239" t="n"/>
      <c r="E294" s="239" t="n"/>
      <c r="F294" s="239" t="n"/>
      <c r="G294" s="239" t="n"/>
      <c r="H294" s="239" t="n"/>
      <c r="I294" s="239" t="n"/>
      <c r="J294" s="239" t="n"/>
      <c r="K294" s="239" t="n"/>
      <c r="L294" s="239" t="n"/>
      <c r="M294" s="239" t="n"/>
      <c r="N294" s="239" t="n"/>
      <c r="O294" s="239" t="n"/>
      <c r="P294" s="239" t="n"/>
      <c r="Q294" s="239" t="n"/>
      <c r="R294" s="239" t="n"/>
      <c r="S294" s="239" t="n"/>
      <c r="T294" s="239" t="n"/>
      <c r="U294" s="239" t="n"/>
      <c r="V294" s="239" t="n"/>
      <c r="W294" s="239" t="n"/>
      <c r="X294" s="239" t="n"/>
      <c r="Y294" s="239" t="n"/>
      <c r="Z294" s="239" t="n"/>
      <c r="AA294" s="239" t="n"/>
      <c r="AB294" s="239" t="n"/>
      <c r="AC294" s="239" t="n"/>
      <c r="AD294" s="239" t="n"/>
      <c r="AE294" s="239" t="n"/>
    </row>
    <row r="295">
      <c r="A295" s="239" t="n"/>
      <c r="B295" s="239" t="n"/>
      <c r="C295" s="239" t="n"/>
      <c r="D295" s="239" t="n"/>
      <c r="E295" s="239" t="n"/>
      <c r="F295" s="239" t="n"/>
      <c r="G295" s="239" t="n"/>
      <c r="H295" s="239" t="n"/>
      <c r="I295" s="239" t="n"/>
      <c r="J295" s="239" t="n"/>
      <c r="K295" s="239" t="n"/>
      <c r="L295" s="239" t="n"/>
      <c r="M295" s="239" t="n"/>
      <c r="N295" s="239" t="n"/>
      <c r="O295" s="239" t="n"/>
      <c r="P295" s="239" t="n"/>
      <c r="Q295" s="239" t="n"/>
      <c r="R295" s="239" t="n"/>
      <c r="S295" s="239" t="n"/>
      <c r="T295" s="239" t="n"/>
      <c r="U295" s="239" t="n"/>
      <c r="V295" s="239" t="n"/>
      <c r="W295" s="239" t="n"/>
      <c r="X295" s="239" t="n"/>
      <c r="Y295" s="239" t="n"/>
      <c r="Z295" s="239" t="n"/>
      <c r="AA295" s="239" t="n"/>
      <c r="AB295" s="239" t="n"/>
      <c r="AC295" s="239" t="n"/>
      <c r="AD295" s="239" t="n"/>
      <c r="AE295" s="239" t="n"/>
    </row>
    <row r="296">
      <c r="A296" s="239" t="n"/>
      <c r="B296" s="239" t="n"/>
      <c r="C296" s="239" t="n"/>
      <c r="D296" s="239" t="n"/>
      <c r="E296" s="239" t="n"/>
      <c r="F296" s="239" t="n"/>
      <c r="G296" s="239" t="n"/>
      <c r="H296" s="239" t="n"/>
      <c r="I296" s="239" t="n"/>
      <c r="J296" s="239" t="n"/>
      <c r="K296" s="239" t="n"/>
      <c r="L296" s="239" t="n"/>
      <c r="M296" s="239" t="n"/>
      <c r="N296" s="239" t="n"/>
      <c r="O296" s="239" t="n"/>
      <c r="P296" s="239" t="n"/>
      <c r="Q296" s="239" t="n"/>
      <c r="R296" s="239" t="n"/>
      <c r="S296" s="239" t="n"/>
      <c r="T296" s="239" t="n"/>
      <c r="U296" s="239" t="n"/>
      <c r="V296" s="239" t="n"/>
      <c r="W296" s="239" t="n"/>
      <c r="X296" s="239" t="n"/>
      <c r="Y296" s="239" t="n"/>
      <c r="Z296" s="239" t="n"/>
      <c r="AA296" s="239" t="n"/>
      <c r="AB296" s="239" t="n"/>
      <c r="AC296" s="239" t="n"/>
      <c r="AD296" s="239" t="n"/>
      <c r="AE296" s="239" t="n"/>
    </row>
    <row r="297">
      <c r="A297" s="239" t="n"/>
      <c r="B297" s="239" t="n"/>
      <c r="C297" s="239" t="n"/>
      <c r="D297" s="239" t="n"/>
      <c r="E297" s="239" t="n"/>
      <c r="F297" s="239" t="n"/>
      <c r="G297" s="239" t="n"/>
      <c r="H297" s="239" t="n"/>
      <c r="I297" s="239" t="n"/>
      <c r="J297" s="239" t="n"/>
      <c r="K297" s="239" t="n"/>
      <c r="L297" s="239" t="n"/>
      <c r="M297" s="239" t="n"/>
      <c r="N297" s="239" t="n"/>
      <c r="O297" s="239" t="n"/>
      <c r="P297" s="239" t="n"/>
      <c r="Q297" s="239" t="n"/>
      <c r="R297" s="239" t="n"/>
      <c r="S297" s="239" t="n"/>
      <c r="T297" s="239" t="n"/>
      <c r="U297" s="239" t="n"/>
      <c r="V297" s="239" t="n"/>
      <c r="W297" s="239" t="n"/>
      <c r="X297" s="239" t="n"/>
      <c r="Y297" s="239" t="n"/>
      <c r="Z297" s="239" t="n"/>
      <c r="AA297" s="239" t="n"/>
      <c r="AB297" s="239" t="n"/>
      <c r="AC297" s="239" t="n"/>
      <c r="AD297" s="239" t="n"/>
      <c r="AE297" s="239" t="n"/>
    </row>
    <row r="298">
      <c r="A298" s="239" t="n"/>
      <c r="B298" s="239" t="n"/>
      <c r="C298" s="239" t="n"/>
      <c r="D298" s="239" t="n"/>
      <c r="E298" s="239" t="n"/>
      <c r="F298" s="239" t="n"/>
      <c r="G298" s="239" t="n"/>
      <c r="H298" s="239" t="n"/>
      <c r="I298" s="239" t="n"/>
      <c r="J298" s="239" t="n"/>
      <c r="K298" s="239" t="n"/>
      <c r="L298" s="239" t="n"/>
      <c r="M298" s="239" t="n"/>
      <c r="N298" s="239" t="n"/>
      <c r="O298" s="239" t="n"/>
      <c r="P298" s="239" t="n"/>
      <c r="Q298" s="239" t="n"/>
      <c r="R298" s="239" t="n"/>
      <c r="S298" s="239" t="n"/>
      <c r="T298" s="239" t="n"/>
      <c r="U298" s="239" t="n"/>
      <c r="V298" s="239" t="n"/>
      <c r="W298" s="239" t="n"/>
      <c r="X298" s="239" t="n"/>
      <c r="Y298" s="239" t="n"/>
      <c r="Z298" s="239" t="n"/>
      <c r="AA298" s="239" t="n"/>
      <c r="AB298" s="239" t="n"/>
      <c r="AC298" s="239" t="n"/>
      <c r="AD298" s="239" t="n"/>
      <c r="AE298" s="239" t="n"/>
    </row>
    <row r="299">
      <c r="A299" s="239" t="n"/>
      <c r="B299" s="239" t="n"/>
      <c r="C299" s="239" t="n"/>
      <c r="D299" s="239" t="n"/>
      <c r="E299" s="239" t="n"/>
      <c r="F299" s="239" t="n"/>
      <c r="G299" s="239" t="n"/>
      <c r="H299" s="239" t="n"/>
      <c r="I299" s="239" t="n"/>
      <c r="J299" s="239" t="n"/>
      <c r="K299" s="239" t="n"/>
      <c r="L299" s="239" t="n"/>
      <c r="M299" s="239" t="n"/>
      <c r="N299" s="239" t="n"/>
      <c r="O299" s="239" t="n"/>
      <c r="P299" s="239" t="n"/>
      <c r="Q299" s="239" t="n"/>
      <c r="R299" s="239" t="n"/>
      <c r="S299" s="239" t="n"/>
      <c r="T299" s="239" t="n"/>
      <c r="U299" s="239" t="n"/>
      <c r="V299" s="239" t="n"/>
      <c r="W299" s="239" t="n"/>
      <c r="X299" s="239" t="n"/>
      <c r="Y299" s="239" t="n"/>
      <c r="Z299" s="239" t="n"/>
      <c r="AA299" s="239" t="n"/>
      <c r="AB299" s="239" t="n"/>
      <c r="AC299" s="239" t="n"/>
      <c r="AD299" s="239" t="n"/>
      <c r="AE299" s="239" t="n"/>
    </row>
    <row r="300">
      <c r="A300" s="239" t="n"/>
      <c r="B300" s="239" t="n"/>
      <c r="C300" s="239" t="n"/>
      <c r="D300" s="239" t="n"/>
      <c r="E300" s="239" t="n"/>
      <c r="F300" s="239" t="n"/>
      <c r="G300" s="239" t="n"/>
      <c r="H300" s="239" t="n"/>
      <c r="I300" s="239" t="n"/>
      <c r="J300" s="239" t="n"/>
      <c r="K300" s="239" t="n"/>
      <c r="L300" s="239" t="n"/>
      <c r="M300" s="239" t="n"/>
      <c r="N300" s="239" t="n"/>
      <c r="O300" s="239" t="n"/>
      <c r="P300" s="239" t="n"/>
      <c r="Q300" s="239" t="n"/>
      <c r="R300" s="239" t="n"/>
      <c r="S300" s="239" t="n"/>
      <c r="T300" s="239" t="n"/>
      <c r="U300" s="239" t="n"/>
      <c r="V300" s="239" t="n"/>
      <c r="W300" s="239" t="n"/>
      <c r="X300" s="239" t="n"/>
      <c r="Y300" s="239" t="n"/>
      <c r="Z300" s="239" t="n"/>
      <c r="AA300" s="239" t="n"/>
      <c r="AB300" s="239" t="n"/>
      <c r="AC300" s="239" t="n"/>
      <c r="AD300" s="239" t="n"/>
      <c r="AE300" s="239" t="n"/>
    </row>
    <row r="301">
      <c r="A301" s="239" t="n"/>
      <c r="B301" s="239" t="n"/>
      <c r="C301" s="239" t="n"/>
      <c r="D301" s="239" t="n"/>
      <c r="E301" s="239" t="n"/>
      <c r="F301" s="239" t="n"/>
      <c r="G301" s="239" t="n"/>
      <c r="H301" s="239" t="n"/>
      <c r="I301" s="239" t="n"/>
      <c r="J301" s="239" t="n"/>
      <c r="K301" s="239" t="n"/>
      <c r="L301" s="239" t="n"/>
      <c r="M301" s="239" t="n"/>
      <c r="N301" s="239" t="n"/>
      <c r="O301" s="239" t="n"/>
      <c r="P301" s="239" t="n"/>
      <c r="Q301" s="239" t="n"/>
      <c r="R301" s="239" t="n"/>
      <c r="S301" s="239" t="n"/>
      <c r="T301" s="239" t="n"/>
      <c r="U301" s="239" t="n"/>
      <c r="V301" s="239" t="n"/>
      <c r="W301" s="239" t="n"/>
      <c r="X301" s="239" t="n"/>
      <c r="Y301" s="239" t="n"/>
      <c r="Z301" s="239" t="n"/>
      <c r="AA301" s="239" t="n"/>
      <c r="AB301" s="239" t="n"/>
      <c r="AC301" s="239" t="n"/>
      <c r="AD301" s="239" t="n"/>
      <c r="AE301" s="239" t="n"/>
    </row>
    <row r="302">
      <c r="A302" s="239" t="n"/>
      <c r="B302" s="239" t="n"/>
      <c r="C302" s="239" t="n"/>
      <c r="D302" s="239" t="n"/>
      <c r="E302" s="239" t="n"/>
      <c r="F302" s="239" t="n"/>
      <c r="G302" s="239" t="n"/>
      <c r="H302" s="239" t="n"/>
      <c r="I302" s="239" t="n"/>
      <c r="J302" s="239" t="n"/>
      <c r="K302" s="239" t="n"/>
      <c r="L302" s="239" t="n"/>
      <c r="M302" s="239" t="n"/>
      <c r="N302" s="239" t="n"/>
      <c r="O302" s="239" t="n"/>
      <c r="P302" s="239" t="n"/>
      <c r="Q302" s="239" t="n"/>
      <c r="R302" s="239" t="n"/>
      <c r="S302" s="239" t="n"/>
      <c r="T302" s="239" t="n"/>
      <c r="U302" s="239" t="n"/>
      <c r="V302" s="239" t="n"/>
      <c r="W302" s="239" t="n"/>
      <c r="X302" s="239" t="n"/>
      <c r="Y302" s="239" t="n"/>
      <c r="Z302" s="239" t="n"/>
      <c r="AA302" s="239" t="n"/>
      <c r="AB302" s="239" t="n"/>
      <c r="AC302" s="239" t="n"/>
      <c r="AD302" s="239" t="n"/>
      <c r="AE302" s="239" t="n"/>
    </row>
    <row r="303">
      <c r="A303" s="239" t="n"/>
      <c r="B303" s="239" t="n"/>
      <c r="C303" s="239" t="n"/>
      <c r="D303" s="239" t="n"/>
      <c r="E303" s="239" t="n"/>
      <c r="F303" s="239" t="n"/>
      <c r="G303" s="239" t="n"/>
      <c r="H303" s="239" t="n"/>
      <c r="I303" s="239" t="n"/>
      <c r="J303" s="239" t="n"/>
      <c r="K303" s="239" t="n"/>
      <c r="L303" s="239" t="n"/>
      <c r="M303" s="239" t="n"/>
      <c r="N303" s="239" t="n"/>
      <c r="O303" s="239" t="n"/>
      <c r="P303" s="239" t="n"/>
      <c r="Q303" s="239" t="n"/>
      <c r="R303" s="239" t="n"/>
      <c r="S303" s="239" t="n"/>
      <c r="T303" s="239" t="n"/>
      <c r="U303" s="239" t="n"/>
      <c r="V303" s="239" t="n"/>
      <c r="W303" s="239" t="n"/>
      <c r="X303" s="239" t="n"/>
      <c r="Y303" s="239" t="n"/>
      <c r="Z303" s="239" t="n"/>
      <c r="AA303" s="239" t="n"/>
      <c r="AB303" s="239" t="n"/>
      <c r="AC303" s="239" t="n"/>
      <c r="AD303" s="239" t="n"/>
      <c r="AE303" s="239" t="n"/>
    </row>
    <row r="304">
      <c r="A304" s="239" t="n"/>
      <c r="B304" s="239" t="n"/>
      <c r="C304" s="239" t="n"/>
      <c r="D304" s="239" t="n"/>
      <c r="E304" s="239" t="n"/>
      <c r="F304" s="239" t="n"/>
      <c r="G304" s="239" t="n"/>
      <c r="H304" s="239" t="n"/>
      <c r="I304" s="239" t="n"/>
      <c r="J304" s="239" t="n"/>
      <c r="K304" s="239" t="n"/>
      <c r="L304" s="239" t="n"/>
      <c r="M304" s="239" t="n"/>
      <c r="N304" s="239" t="n"/>
      <c r="O304" s="239" t="n"/>
      <c r="P304" s="239" t="n"/>
      <c r="Q304" s="239" t="n"/>
      <c r="R304" s="239" t="n"/>
      <c r="S304" s="239" t="n"/>
      <c r="T304" s="239" t="n"/>
      <c r="U304" s="239" t="n"/>
      <c r="V304" s="239" t="n"/>
      <c r="W304" s="239" t="n"/>
      <c r="X304" s="239" t="n"/>
      <c r="Y304" s="239" t="n"/>
      <c r="Z304" s="239" t="n"/>
      <c r="AA304" s="239" t="n"/>
      <c r="AB304" s="239" t="n"/>
      <c r="AC304" s="239" t="n"/>
      <c r="AD304" s="239" t="n"/>
      <c r="AE304" s="239" t="n"/>
    </row>
    <row r="305">
      <c r="A305" s="239" t="n"/>
      <c r="B305" s="239" t="n"/>
      <c r="C305" s="239" t="n"/>
      <c r="D305" s="239" t="n"/>
      <c r="E305" s="239" t="n"/>
      <c r="F305" s="239" t="n"/>
      <c r="G305" s="239" t="n"/>
      <c r="H305" s="239" t="n"/>
      <c r="I305" s="239" t="n"/>
      <c r="J305" s="239" t="n"/>
      <c r="K305" s="239" t="n"/>
      <c r="L305" s="239" t="n"/>
      <c r="M305" s="239" t="n"/>
      <c r="N305" s="239" t="n"/>
      <c r="O305" s="239" t="n"/>
      <c r="P305" s="239" t="n"/>
      <c r="Q305" s="239" t="n"/>
      <c r="R305" s="239" t="n"/>
      <c r="S305" s="239" t="n"/>
      <c r="T305" s="239" t="n"/>
      <c r="U305" s="239" t="n"/>
      <c r="V305" s="239" t="n"/>
      <c r="W305" s="239" t="n"/>
      <c r="X305" s="239" t="n"/>
      <c r="Y305" s="239" t="n"/>
      <c r="Z305" s="239" t="n"/>
      <c r="AA305" s="239" t="n"/>
      <c r="AB305" s="239" t="n"/>
      <c r="AC305" s="239" t="n"/>
      <c r="AD305" s="239" t="n"/>
      <c r="AE305" s="239" t="n"/>
    </row>
    <row r="306">
      <c r="A306" s="239" t="n"/>
      <c r="B306" s="239" t="n"/>
      <c r="C306" s="239" t="n"/>
      <c r="D306" s="239" t="n"/>
      <c r="E306" s="239" t="n"/>
      <c r="F306" s="239" t="n"/>
      <c r="G306" s="239" t="n"/>
      <c r="H306" s="239" t="n"/>
      <c r="I306" s="239" t="n"/>
      <c r="J306" s="239" t="n"/>
      <c r="K306" s="239" t="n"/>
      <c r="L306" s="239" t="n"/>
      <c r="M306" s="239" t="n"/>
      <c r="N306" s="239" t="n"/>
      <c r="O306" s="239" t="n"/>
      <c r="P306" s="239" t="n"/>
      <c r="Q306" s="239" t="n"/>
      <c r="R306" s="239" t="n"/>
      <c r="S306" s="239" t="n"/>
      <c r="T306" s="239" t="n"/>
      <c r="U306" s="239" t="n"/>
      <c r="V306" s="239" t="n"/>
      <c r="W306" s="239" t="n"/>
      <c r="X306" s="239" t="n"/>
      <c r="Y306" s="239" t="n"/>
      <c r="Z306" s="239" t="n"/>
      <c r="AA306" s="239" t="n"/>
      <c r="AB306" s="239" t="n"/>
      <c r="AC306" s="239" t="n"/>
      <c r="AD306" s="239" t="n"/>
      <c r="AE306" s="239" t="n"/>
    </row>
    <row r="307">
      <c r="A307" s="239" t="n"/>
      <c r="B307" s="239" t="n"/>
      <c r="C307" s="239" t="n"/>
      <c r="D307" s="239" t="n"/>
      <c r="E307" s="239" t="n"/>
      <c r="F307" s="239" t="n"/>
      <c r="G307" s="239" t="n"/>
      <c r="H307" s="239" t="n"/>
      <c r="I307" s="239" t="n"/>
      <c r="J307" s="239" t="n"/>
      <c r="K307" s="239" t="n"/>
      <c r="L307" s="239" t="n"/>
      <c r="M307" s="239" t="n"/>
      <c r="N307" s="239" t="n"/>
      <c r="O307" s="239" t="n"/>
      <c r="P307" s="239" t="n"/>
      <c r="Q307" s="239" t="n"/>
      <c r="R307" s="239" t="n"/>
      <c r="S307" s="239" t="n"/>
      <c r="T307" s="239" t="n"/>
      <c r="U307" s="239" t="n"/>
      <c r="V307" s="239" t="n"/>
      <c r="W307" s="239" t="n"/>
      <c r="X307" s="239" t="n"/>
      <c r="Y307" s="239" t="n"/>
      <c r="Z307" s="239" t="n"/>
      <c r="AA307" s="239" t="n"/>
      <c r="AB307" s="239" t="n"/>
      <c r="AC307" s="239" t="n"/>
      <c r="AD307" s="239" t="n"/>
      <c r="AE307" s="239" t="n"/>
    </row>
    <row r="308">
      <c r="A308" s="239" t="n"/>
      <c r="B308" s="239" t="n"/>
      <c r="C308" s="239" t="n"/>
      <c r="D308" s="239" t="n"/>
      <c r="E308" s="239" t="n"/>
      <c r="F308" s="239" t="n"/>
      <c r="G308" s="239" t="n"/>
      <c r="H308" s="239" t="n"/>
      <c r="I308" s="239" t="n"/>
      <c r="J308" s="239" t="n"/>
      <c r="K308" s="239" t="n"/>
      <c r="L308" s="239" t="n"/>
      <c r="M308" s="239" t="n"/>
      <c r="N308" s="239" t="n"/>
      <c r="O308" s="239" t="n"/>
      <c r="P308" s="239" t="n"/>
      <c r="Q308" s="239" t="n"/>
      <c r="R308" s="239" t="n"/>
      <c r="S308" s="239" t="n"/>
      <c r="T308" s="239" t="n"/>
      <c r="U308" s="239" t="n"/>
      <c r="V308" s="239" t="n"/>
      <c r="W308" s="239" t="n"/>
      <c r="X308" s="239" t="n"/>
      <c r="Y308" s="239" t="n"/>
      <c r="Z308" s="239" t="n"/>
      <c r="AA308" s="239" t="n"/>
      <c r="AB308" s="239" t="n"/>
      <c r="AC308" s="239" t="n"/>
      <c r="AD308" s="239" t="n"/>
      <c r="AE308" s="239" t="n"/>
    </row>
    <row r="309">
      <c r="A309" s="239" t="n"/>
      <c r="B309" s="239" t="n"/>
      <c r="C309" s="239" t="n"/>
      <c r="D309" s="239" t="n"/>
      <c r="E309" s="239" t="n"/>
      <c r="F309" s="239" t="n"/>
      <c r="G309" s="239" t="n"/>
      <c r="H309" s="239" t="n"/>
      <c r="I309" s="239" t="n"/>
      <c r="J309" s="239" t="n"/>
      <c r="K309" s="239" t="n"/>
      <c r="L309" s="239" t="n"/>
      <c r="M309" s="239" t="n"/>
      <c r="N309" s="239" t="n"/>
      <c r="O309" s="239" t="n"/>
      <c r="P309" s="239" t="n"/>
      <c r="Q309" s="239" t="n"/>
      <c r="R309" s="239" t="n"/>
      <c r="S309" s="239" t="n"/>
      <c r="T309" s="239" t="n"/>
      <c r="U309" s="239" t="n"/>
      <c r="V309" s="239" t="n"/>
      <c r="W309" s="239" t="n"/>
      <c r="X309" s="239" t="n"/>
      <c r="Y309" s="239" t="n"/>
      <c r="Z309" s="239" t="n"/>
      <c r="AA309" s="239" t="n"/>
      <c r="AB309" s="239" t="n"/>
      <c r="AC309" s="239" t="n"/>
      <c r="AD309" s="239" t="n"/>
      <c r="AE309" s="239" t="n"/>
    </row>
    <row r="310">
      <c r="A310" s="239" t="n"/>
      <c r="B310" s="239" t="n"/>
      <c r="C310" s="239" t="n"/>
      <c r="D310" s="239" t="n"/>
      <c r="E310" s="239" t="n"/>
      <c r="F310" s="239" t="n"/>
      <c r="G310" s="239" t="n"/>
      <c r="H310" s="239" t="n"/>
      <c r="I310" s="239" t="n"/>
      <c r="J310" s="239" t="n"/>
      <c r="K310" s="239" t="n"/>
      <c r="L310" s="239" t="n"/>
      <c r="M310" s="239" t="n"/>
      <c r="N310" s="239" t="n"/>
      <c r="O310" s="239" t="n"/>
      <c r="P310" s="239" t="n"/>
      <c r="Q310" s="239" t="n"/>
      <c r="R310" s="239" t="n"/>
      <c r="S310" s="239" t="n"/>
      <c r="T310" s="239" t="n"/>
      <c r="U310" s="239" t="n"/>
      <c r="V310" s="239" t="n"/>
      <c r="W310" s="239" t="n"/>
      <c r="X310" s="239" t="n"/>
      <c r="Y310" s="239" t="n"/>
      <c r="Z310" s="239" t="n"/>
      <c r="AA310" s="239" t="n"/>
      <c r="AB310" s="239" t="n"/>
      <c r="AC310" s="239" t="n"/>
      <c r="AD310" s="239" t="n"/>
      <c r="AE310" s="239" t="n"/>
    </row>
    <row r="311">
      <c r="A311" s="239" t="n"/>
      <c r="B311" s="239" t="n"/>
      <c r="C311" s="239" t="n"/>
      <c r="D311" s="239" t="n"/>
      <c r="E311" s="239" t="n"/>
      <c r="F311" s="239" t="n"/>
      <c r="G311" s="239" t="n"/>
      <c r="H311" s="239" t="n"/>
      <c r="I311" s="239" t="n"/>
      <c r="J311" s="239" t="n"/>
      <c r="K311" s="239" t="n"/>
      <c r="L311" s="239" t="n"/>
      <c r="M311" s="239" t="n"/>
      <c r="N311" s="239" t="n"/>
      <c r="O311" s="239" t="n"/>
      <c r="P311" s="239" t="n"/>
      <c r="Q311" s="239" t="n"/>
      <c r="R311" s="239" t="n"/>
      <c r="S311" s="239" t="n"/>
      <c r="T311" s="239" t="n"/>
      <c r="U311" s="239" t="n"/>
      <c r="V311" s="239" t="n"/>
      <c r="W311" s="239" t="n"/>
      <c r="X311" s="239" t="n"/>
      <c r="Y311" s="239" t="n"/>
      <c r="Z311" s="239" t="n"/>
      <c r="AA311" s="239" t="n"/>
      <c r="AB311" s="239" t="n"/>
      <c r="AC311" s="239" t="n"/>
      <c r="AD311" s="239" t="n"/>
      <c r="AE311" s="239" t="n"/>
    </row>
    <row r="312">
      <c r="A312" s="239" t="n"/>
      <c r="B312" s="239" t="n"/>
      <c r="C312" s="239" t="n"/>
      <c r="D312" s="239" t="n"/>
      <c r="E312" s="239" t="n"/>
      <c r="F312" s="239" t="n"/>
      <c r="G312" s="239" t="n"/>
      <c r="H312" s="239" t="n"/>
      <c r="I312" s="239" t="n"/>
      <c r="J312" s="239" t="n"/>
      <c r="K312" s="239" t="n"/>
      <c r="L312" s="239" t="n"/>
      <c r="M312" s="239" t="n"/>
      <c r="N312" s="239" t="n"/>
      <c r="O312" s="239" t="n"/>
      <c r="P312" s="239" t="n"/>
      <c r="Q312" s="239" t="n"/>
      <c r="R312" s="239" t="n"/>
      <c r="S312" s="239" t="n"/>
      <c r="T312" s="239" t="n"/>
      <c r="U312" s="239" t="n"/>
      <c r="V312" s="239" t="n"/>
      <c r="W312" s="239" t="n"/>
      <c r="X312" s="239" t="n"/>
      <c r="Y312" s="239" t="n"/>
      <c r="Z312" s="239" t="n"/>
      <c r="AA312" s="239" t="n"/>
      <c r="AB312" s="239" t="n"/>
      <c r="AC312" s="239" t="n"/>
      <c r="AD312" s="239" t="n"/>
      <c r="AE312" s="239" t="n"/>
    </row>
    <row r="313">
      <c r="A313" s="239" t="n"/>
      <c r="B313" s="239" t="n"/>
      <c r="C313" s="239" t="n"/>
      <c r="D313" s="239" t="n"/>
      <c r="E313" s="239" t="n"/>
      <c r="F313" s="239" t="n"/>
      <c r="G313" s="239" t="n"/>
      <c r="H313" s="239" t="n"/>
      <c r="I313" s="239" t="n"/>
      <c r="J313" s="239" t="n"/>
      <c r="K313" s="239" t="n"/>
      <c r="L313" s="239" t="n"/>
      <c r="M313" s="239" t="n"/>
      <c r="N313" s="239" t="n"/>
      <c r="O313" s="239" t="n"/>
      <c r="P313" s="239" t="n"/>
      <c r="Q313" s="239" t="n"/>
      <c r="R313" s="239" t="n"/>
      <c r="S313" s="239" t="n"/>
      <c r="T313" s="239" t="n"/>
      <c r="U313" s="239" t="n"/>
      <c r="V313" s="239" t="n"/>
      <c r="W313" s="239" t="n"/>
      <c r="X313" s="239" t="n"/>
      <c r="Y313" s="239" t="n"/>
      <c r="Z313" s="239" t="n"/>
      <c r="AA313" s="239" t="n"/>
      <c r="AB313" s="239" t="n"/>
      <c r="AC313" s="239" t="n"/>
      <c r="AD313" s="239" t="n"/>
      <c r="AE313" s="239" t="n"/>
    </row>
    <row r="314">
      <c r="A314" s="239" t="n"/>
      <c r="B314" s="239" t="n"/>
      <c r="C314" s="239" t="n"/>
      <c r="D314" s="239" t="n"/>
      <c r="E314" s="239" t="n"/>
      <c r="F314" s="239" t="n"/>
      <c r="G314" s="239" t="n"/>
      <c r="H314" s="239" t="n"/>
      <c r="I314" s="239" t="n"/>
      <c r="J314" s="239" t="n"/>
      <c r="K314" s="239" t="n"/>
      <c r="L314" s="239" t="n"/>
      <c r="M314" s="239" t="n"/>
      <c r="N314" s="239" t="n"/>
      <c r="O314" s="239" t="n"/>
      <c r="P314" s="239" t="n"/>
      <c r="Q314" s="239" t="n"/>
      <c r="R314" s="239" t="n"/>
      <c r="S314" s="239" t="n"/>
      <c r="T314" s="239" t="n"/>
      <c r="U314" s="239" t="n"/>
      <c r="V314" s="239" t="n"/>
      <c r="W314" s="239" t="n"/>
      <c r="X314" s="239" t="n"/>
      <c r="Y314" s="239" t="n"/>
      <c r="Z314" s="239" t="n"/>
      <c r="AA314" s="239" t="n"/>
      <c r="AB314" s="239" t="n"/>
      <c r="AC314" s="239" t="n"/>
      <c r="AD314" s="239" t="n"/>
      <c r="AE314" s="239" t="n"/>
    </row>
    <row r="315">
      <c r="A315" s="239" t="n"/>
      <c r="B315" s="239" t="n"/>
      <c r="C315" s="239" t="n"/>
      <c r="D315" s="239" t="n"/>
      <c r="E315" s="239" t="n"/>
      <c r="F315" s="239" t="n"/>
      <c r="G315" s="239" t="n"/>
      <c r="H315" s="239" t="n"/>
      <c r="I315" s="239" t="n"/>
      <c r="J315" s="239" t="n"/>
      <c r="K315" s="239" t="n"/>
      <c r="L315" s="239" t="n"/>
      <c r="M315" s="239" t="n"/>
      <c r="N315" s="239" t="n"/>
      <c r="O315" s="239" t="n"/>
      <c r="P315" s="239" t="n"/>
      <c r="Q315" s="239" t="n"/>
      <c r="R315" s="239" t="n"/>
      <c r="S315" s="239" t="n"/>
      <c r="T315" s="239" t="n"/>
      <c r="U315" s="239" t="n"/>
      <c r="V315" s="239" t="n"/>
      <c r="W315" s="239" t="n"/>
      <c r="X315" s="239" t="n"/>
      <c r="Y315" s="239" t="n"/>
      <c r="Z315" s="239" t="n"/>
      <c r="AA315" s="239" t="n"/>
      <c r="AB315" s="239" t="n"/>
      <c r="AC315" s="239" t="n"/>
      <c r="AD315" s="239" t="n"/>
      <c r="AE315" s="239" t="n"/>
    </row>
    <row r="316">
      <c r="A316" s="239" t="n"/>
      <c r="B316" s="239" t="n"/>
      <c r="C316" s="239" t="n"/>
      <c r="D316" s="239" t="n"/>
      <c r="E316" s="239" t="n"/>
      <c r="F316" s="239" t="n"/>
      <c r="G316" s="239" t="n"/>
      <c r="H316" s="239" t="n"/>
      <c r="I316" s="239" t="n"/>
      <c r="J316" s="239" t="n"/>
      <c r="K316" s="239" t="n"/>
      <c r="L316" s="239" t="n"/>
      <c r="M316" s="239" t="n"/>
      <c r="N316" s="239" t="n"/>
      <c r="O316" s="239" t="n"/>
      <c r="P316" s="239" t="n"/>
      <c r="Q316" s="239" t="n"/>
      <c r="R316" s="239" t="n"/>
      <c r="S316" s="239" t="n"/>
      <c r="T316" s="239" t="n"/>
      <c r="U316" s="239" t="n"/>
      <c r="V316" s="239" t="n"/>
      <c r="W316" s="239" t="n"/>
      <c r="X316" s="239" t="n"/>
      <c r="Y316" s="239" t="n"/>
      <c r="Z316" s="239" t="n"/>
      <c r="AA316" s="239" t="n"/>
      <c r="AB316" s="239" t="n"/>
      <c r="AC316" s="239" t="n"/>
      <c r="AD316" s="239" t="n"/>
      <c r="AE316" s="239" t="n"/>
    </row>
    <row r="317">
      <c r="A317" s="239" t="n"/>
      <c r="B317" s="239" t="n"/>
      <c r="C317" s="239" t="n"/>
      <c r="D317" s="239" t="n"/>
      <c r="E317" s="239" t="n"/>
      <c r="F317" s="239" t="n"/>
      <c r="G317" s="239" t="n"/>
      <c r="H317" s="239" t="n"/>
      <c r="I317" s="239" t="n"/>
      <c r="J317" s="239" t="n"/>
      <c r="K317" s="239" t="n"/>
      <c r="L317" s="239" t="n"/>
      <c r="M317" s="239" t="n"/>
      <c r="N317" s="239" t="n"/>
      <c r="O317" s="239" t="n"/>
      <c r="P317" s="239" t="n"/>
      <c r="Q317" s="239" t="n"/>
      <c r="R317" s="239" t="n"/>
      <c r="S317" s="239" t="n"/>
      <c r="T317" s="239" t="n"/>
      <c r="U317" s="239" t="n"/>
      <c r="V317" s="239" t="n"/>
      <c r="W317" s="239" t="n"/>
      <c r="X317" s="239" t="n"/>
      <c r="Y317" s="239" t="n"/>
      <c r="Z317" s="239" t="n"/>
      <c r="AA317" s="239" t="n"/>
      <c r="AB317" s="239" t="n"/>
      <c r="AC317" s="239" t="n"/>
      <c r="AD317" s="239" t="n"/>
      <c r="AE317" s="239" t="n"/>
    </row>
    <row r="318">
      <c r="A318" s="239" t="n"/>
      <c r="B318" s="239" t="n"/>
      <c r="C318" s="239" t="n"/>
      <c r="D318" s="239" t="n"/>
      <c r="E318" s="239" t="n"/>
      <c r="F318" s="239" t="n"/>
      <c r="G318" s="239" t="n"/>
      <c r="H318" s="239" t="n"/>
      <c r="I318" s="239" t="n"/>
      <c r="J318" s="239" t="n"/>
      <c r="K318" s="239" t="n"/>
      <c r="L318" s="239" t="n"/>
      <c r="M318" s="239" t="n"/>
      <c r="N318" s="239" t="n"/>
      <c r="O318" s="239" t="n"/>
      <c r="P318" s="239" t="n"/>
      <c r="Q318" s="239" t="n"/>
      <c r="R318" s="239" t="n"/>
      <c r="S318" s="239" t="n"/>
      <c r="T318" s="239" t="n"/>
      <c r="U318" s="239" t="n"/>
      <c r="V318" s="239" t="n"/>
      <c r="W318" s="239" t="n"/>
      <c r="X318" s="239" t="n"/>
      <c r="Y318" s="239" t="n"/>
      <c r="Z318" s="239" t="n"/>
      <c r="AA318" s="239" t="n"/>
      <c r="AB318" s="239" t="n"/>
      <c r="AC318" s="239" t="n"/>
      <c r="AD318" s="239" t="n"/>
      <c r="AE318" s="239" t="n"/>
    </row>
    <row r="319">
      <c r="A319" s="239" t="n"/>
      <c r="B319" s="239" t="n"/>
      <c r="C319" s="239" t="n"/>
      <c r="D319" s="239" t="n"/>
      <c r="E319" s="239" t="n"/>
      <c r="F319" s="239" t="n"/>
      <c r="G319" s="239" t="n"/>
      <c r="H319" s="239" t="n"/>
      <c r="I319" s="239" t="n"/>
      <c r="J319" s="239" t="n"/>
      <c r="K319" s="239" t="n"/>
      <c r="L319" s="239" t="n"/>
      <c r="M319" s="239" t="n"/>
      <c r="N319" s="239" t="n"/>
      <c r="O319" s="239" t="n"/>
      <c r="P319" s="239" t="n"/>
      <c r="Q319" s="239" t="n"/>
      <c r="R319" s="239" t="n"/>
      <c r="S319" s="239" t="n"/>
      <c r="T319" s="239" t="n"/>
      <c r="U319" s="239" t="n"/>
      <c r="V319" s="239" t="n"/>
      <c r="W319" s="239" t="n"/>
      <c r="X319" s="239" t="n"/>
      <c r="Y319" s="239" t="n"/>
      <c r="Z319" s="239" t="n"/>
      <c r="AA319" s="239" t="n"/>
      <c r="AB319" s="239" t="n"/>
      <c r="AC319" s="239" t="n"/>
      <c r="AD319" s="239" t="n"/>
      <c r="AE319" s="239" t="n"/>
    </row>
    <row r="320">
      <c r="A320" s="239" t="n"/>
      <c r="B320" s="239" t="n"/>
      <c r="C320" s="239" t="n"/>
      <c r="D320" s="239" t="n"/>
      <c r="E320" s="239" t="n"/>
      <c r="F320" s="239" t="n"/>
      <c r="G320" s="239" t="n"/>
      <c r="H320" s="239" t="n"/>
      <c r="I320" s="239" t="n"/>
      <c r="J320" s="239" t="n"/>
      <c r="K320" s="239" t="n"/>
      <c r="L320" s="239" t="n"/>
      <c r="M320" s="239" t="n"/>
      <c r="N320" s="239" t="n"/>
      <c r="O320" s="239" t="n"/>
      <c r="P320" s="239" t="n"/>
      <c r="Q320" s="239" t="n"/>
      <c r="R320" s="239" t="n"/>
      <c r="S320" s="239" t="n"/>
      <c r="T320" s="239" t="n"/>
      <c r="U320" s="239" t="n"/>
      <c r="V320" s="239" t="n"/>
      <c r="W320" s="239" t="n"/>
      <c r="X320" s="239" t="n"/>
      <c r="Y320" s="239" t="n"/>
      <c r="Z320" s="239" t="n"/>
      <c r="AA320" s="239" t="n"/>
      <c r="AB320" s="239" t="n"/>
      <c r="AC320" s="239" t="n"/>
      <c r="AD320" s="239" t="n"/>
      <c r="AE320" s="239" t="n"/>
    </row>
    <row r="321">
      <c r="A321" s="239" t="n"/>
      <c r="B321" s="239" t="n"/>
      <c r="C321" s="239" t="n"/>
      <c r="D321" s="239" t="n"/>
      <c r="E321" s="239" t="n"/>
      <c r="F321" s="239" t="n"/>
      <c r="G321" s="239" t="n"/>
      <c r="H321" s="239" t="n"/>
      <c r="I321" s="239" t="n"/>
      <c r="J321" s="239" t="n"/>
      <c r="K321" s="239" t="n"/>
      <c r="L321" s="239" t="n"/>
      <c r="M321" s="239" t="n"/>
      <c r="N321" s="239" t="n"/>
      <c r="O321" s="239" t="n"/>
      <c r="P321" s="239" t="n"/>
      <c r="Q321" s="239" t="n"/>
      <c r="R321" s="239" t="n"/>
      <c r="S321" s="239" t="n"/>
      <c r="T321" s="239" t="n"/>
      <c r="U321" s="239" t="n"/>
      <c r="V321" s="239" t="n"/>
      <c r="W321" s="239" t="n"/>
      <c r="X321" s="239" t="n"/>
      <c r="Y321" s="239" t="n"/>
      <c r="Z321" s="239" t="n"/>
      <c r="AA321" s="239" t="n"/>
      <c r="AB321" s="239" t="n"/>
      <c r="AC321" s="239" t="n"/>
      <c r="AD321" s="239" t="n"/>
      <c r="AE321" s="239" t="n"/>
    </row>
    <row r="322">
      <c r="A322" s="239" t="n"/>
      <c r="B322" s="239" t="n"/>
      <c r="C322" s="239" t="n"/>
      <c r="D322" s="239" t="n"/>
      <c r="E322" s="239" t="n"/>
      <c r="F322" s="239" t="n"/>
      <c r="G322" s="239" t="n"/>
      <c r="H322" s="239" t="n"/>
      <c r="I322" s="239" t="n"/>
      <c r="J322" s="239" t="n"/>
      <c r="K322" s="239" t="n"/>
      <c r="L322" s="239" t="n"/>
      <c r="M322" s="239" t="n"/>
      <c r="N322" s="239" t="n"/>
      <c r="O322" s="239" t="n"/>
      <c r="P322" s="239" t="n"/>
      <c r="Q322" s="239" t="n"/>
      <c r="R322" s="239" t="n"/>
      <c r="S322" s="239" t="n"/>
      <c r="T322" s="239" t="n"/>
      <c r="U322" s="239" t="n"/>
      <c r="V322" s="239" t="n"/>
      <c r="W322" s="239" t="n"/>
      <c r="X322" s="239" t="n"/>
      <c r="Y322" s="239" t="n"/>
      <c r="Z322" s="239" t="n"/>
      <c r="AA322" s="239" t="n"/>
      <c r="AB322" s="239" t="n"/>
      <c r="AC322" s="239" t="n"/>
      <c r="AD322" s="239" t="n"/>
      <c r="AE322" s="239" t="n"/>
    </row>
    <row r="323">
      <c r="A323" s="239" t="n"/>
      <c r="B323" s="239" t="n"/>
      <c r="C323" s="239" t="n"/>
      <c r="D323" s="239" t="n"/>
      <c r="E323" s="239" t="n"/>
      <c r="F323" s="239" t="n"/>
      <c r="G323" s="239" t="n"/>
      <c r="H323" s="239" t="n"/>
      <c r="I323" s="239" t="n"/>
      <c r="J323" s="239" t="n"/>
      <c r="K323" s="239" t="n"/>
      <c r="L323" s="239" t="n"/>
      <c r="M323" s="239" t="n"/>
      <c r="N323" s="239" t="n"/>
      <c r="O323" s="239" t="n"/>
      <c r="P323" s="239" t="n"/>
      <c r="Q323" s="239" t="n"/>
      <c r="R323" s="239" t="n"/>
      <c r="S323" s="239" t="n"/>
      <c r="T323" s="239" t="n"/>
      <c r="U323" s="239" t="n"/>
      <c r="V323" s="239" t="n"/>
      <c r="W323" s="239" t="n"/>
      <c r="X323" s="239" t="n"/>
      <c r="Y323" s="239" t="n"/>
      <c r="Z323" s="239" t="n"/>
      <c r="AA323" s="239" t="n"/>
      <c r="AB323" s="239" t="n"/>
      <c r="AC323" s="239" t="n"/>
      <c r="AD323" s="239" t="n"/>
      <c r="AE323" s="239" t="n"/>
    </row>
    <row r="324">
      <c r="A324" s="239" t="n"/>
      <c r="B324" s="239" t="n"/>
      <c r="C324" s="239" t="n"/>
      <c r="D324" s="239" t="n"/>
      <c r="E324" s="239" t="n"/>
      <c r="F324" s="239" t="n"/>
      <c r="G324" s="239" t="n"/>
      <c r="H324" s="239" t="n"/>
      <c r="I324" s="239" t="n"/>
      <c r="J324" s="239" t="n"/>
      <c r="K324" s="239" t="n"/>
      <c r="L324" s="239" t="n"/>
      <c r="M324" s="239" t="n"/>
      <c r="N324" s="239" t="n"/>
      <c r="O324" s="239" t="n"/>
      <c r="P324" s="239" t="n"/>
      <c r="Q324" s="239" t="n"/>
      <c r="R324" s="239" t="n"/>
      <c r="S324" s="239" t="n"/>
      <c r="T324" s="239" t="n"/>
      <c r="U324" s="239" t="n"/>
      <c r="V324" s="239" t="n"/>
      <c r="W324" s="239" t="n"/>
      <c r="X324" s="239" t="n"/>
      <c r="Y324" s="239" t="n"/>
      <c r="Z324" s="239" t="n"/>
      <c r="AA324" s="239" t="n"/>
      <c r="AB324" s="239" t="n"/>
      <c r="AC324" s="239" t="n"/>
      <c r="AD324" s="239" t="n"/>
      <c r="AE324" s="239" t="n"/>
    </row>
    <row r="325">
      <c r="A325" s="239" t="n"/>
      <c r="B325" s="239" t="n"/>
      <c r="C325" s="239" t="n"/>
      <c r="D325" s="239" t="n"/>
      <c r="E325" s="239" t="n"/>
      <c r="F325" s="239" t="n"/>
      <c r="G325" s="239" t="n"/>
      <c r="H325" s="239" t="n"/>
      <c r="I325" s="239" t="n"/>
      <c r="J325" s="239" t="n"/>
      <c r="K325" s="239" t="n"/>
      <c r="L325" s="239" t="n"/>
      <c r="M325" s="239" t="n"/>
      <c r="N325" s="239" t="n"/>
      <c r="O325" s="239" t="n"/>
      <c r="P325" s="239" t="n"/>
      <c r="Q325" s="239" t="n"/>
      <c r="R325" s="239" t="n"/>
      <c r="S325" s="239" t="n"/>
      <c r="T325" s="239" t="n"/>
      <c r="U325" s="239" t="n"/>
      <c r="V325" s="239" t="n"/>
      <c r="W325" s="239" t="n"/>
      <c r="X325" s="239" t="n"/>
      <c r="Y325" s="239" t="n"/>
      <c r="Z325" s="239" t="n"/>
      <c r="AA325" s="239" t="n"/>
      <c r="AB325" s="239" t="n"/>
      <c r="AC325" s="239" t="n"/>
      <c r="AD325" s="239" t="n"/>
      <c r="AE325" s="239" t="n"/>
    </row>
    <row r="326">
      <c r="A326" s="239" t="n"/>
      <c r="B326" s="239" t="n"/>
      <c r="C326" s="239" t="n"/>
      <c r="D326" s="239" t="n"/>
      <c r="E326" s="239" t="n"/>
      <c r="F326" s="239" t="n"/>
      <c r="G326" s="239" t="n"/>
      <c r="H326" s="239" t="n"/>
      <c r="I326" s="239" t="n"/>
      <c r="J326" s="239" t="n"/>
      <c r="K326" s="239" t="n"/>
      <c r="L326" s="239" t="n"/>
      <c r="M326" s="239" t="n"/>
      <c r="N326" s="239" t="n"/>
      <c r="O326" s="239" t="n"/>
      <c r="P326" s="239" t="n"/>
      <c r="Q326" s="239" t="n"/>
      <c r="R326" s="239" t="n"/>
      <c r="S326" s="239" t="n"/>
      <c r="T326" s="239" t="n"/>
      <c r="U326" s="239" t="n"/>
      <c r="V326" s="239" t="n"/>
      <c r="W326" s="239" t="n"/>
      <c r="X326" s="239" t="n"/>
      <c r="Y326" s="239" t="n"/>
      <c r="Z326" s="239" t="n"/>
      <c r="AA326" s="239" t="n"/>
      <c r="AB326" s="239" t="n"/>
      <c r="AC326" s="239" t="n"/>
      <c r="AD326" s="239" t="n"/>
      <c r="AE326" s="239" t="n"/>
    </row>
    <row r="327">
      <c r="A327" s="239" t="n"/>
      <c r="B327" s="239" t="n"/>
      <c r="C327" s="239" t="n"/>
      <c r="D327" s="239" t="n"/>
      <c r="E327" s="239" t="n"/>
      <c r="F327" s="239" t="n"/>
      <c r="G327" s="239" t="n"/>
      <c r="H327" s="239" t="n"/>
      <c r="I327" s="239" t="n"/>
      <c r="J327" s="239" t="n"/>
      <c r="K327" s="239" t="n"/>
      <c r="L327" s="239" t="n"/>
      <c r="M327" s="239" t="n"/>
      <c r="N327" s="239" t="n"/>
      <c r="O327" s="239" t="n"/>
      <c r="P327" s="239" t="n"/>
      <c r="Q327" s="239" t="n"/>
      <c r="R327" s="239" t="n"/>
      <c r="S327" s="239" t="n"/>
      <c r="T327" s="239" t="n"/>
      <c r="U327" s="239" t="n"/>
      <c r="V327" s="239" t="n"/>
      <c r="W327" s="239" t="n"/>
      <c r="X327" s="239" t="n"/>
      <c r="Y327" s="239" t="n"/>
      <c r="Z327" s="239" t="n"/>
      <c r="AA327" s="239" t="n"/>
      <c r="AB327" s="239" t="n"/>
      <c r="AC327" s="239" t="n"/>
      <c r="AD327" s="239" t="n"/>
      <c r="AE327" s="239" t="n"/>
    </row>
    <row r="328">
      <c r="A328" s="239" t="n"/>
      <c r="B328" s="239" t="n"/>
      <c r="C328" s="239" t="n"/>
      <c r="D328" s="239" t="n"/>
      <c r="E328" s="239" t="n"/>
      <c r="F328" s="239" t="n"/>
      <c r="G328" s="239" t="n"/>
      <c r="H328" s="239" t="n"/>
      <c r="I328" s="239" t="n"/>
      <c r="J328" s="239" t="n"/>
      <c r="K328" s="239" t="n"/>
      <c r="L328" s="239" t="n"/>
      <c r="M328" s="239" t="n"/>
      <c r="N328" s="239" t="n"/>
      <c r="O328" s="239" t="n"/>
      <c r="P328" s="239" t="n"/>
      <c r="Q328" s="239" t="n"/>
      <c r="R328" s="239" t="n"/>
      <c r="S328" s="239" t="n"/>
      <c r="T328" s="239" t="n"/>
      <c r="U328" s="239" t="n"/>
      <c r="V328" s="239" t="n"/>
      <c r="W328" s="239" t="n"/>
      <c r="X328" s="239" t="n"/>
      <c r="Y328" s="239" t="n"/>
      <c r="Z328" s="239" t="n"/>
      <c r="AA328" s="239" t="n"/>
      <c r="AB328" s="239" t="n"/>
      <c r="AC328" s="239" t="n"/>
      <c r="AD328" s="239" t="n"/>
      <c r="AE328" s="239" t="n"/>
    </row>
    <row r="329">
      <c r="A329" s="239" t="n"/>
      <c r="B329" s="239" t="n"/>
      <c r="C329" s="239" t="n"/>
      <c r="D329" s="239" t="n"/>
      <c r="E329" s="239" t="n"/>
      <c r="F329" s="239" t="n"/>
      <c r="G329" s="239" t="n"/>
      <c r="H329" s="239" t="n"/>
      <c r="I329" s="239" t="n"/>
      <c r="J329" s="239" t="n"/>
      <c r="K329" s="239" t="n"/>
      <c r="L329" s="239" t="n"/>
      <c r="M329" s="239" t="n"/>
      <c r="N329" s="239" t="n"/>
      <c r="O329" s="239" t="n"/>
      <c r="P329" s="239" t="n"/>
      <c r="Q329" s="239" t="n"/>
      <c r="R329" s="239" t="n"/>
      <c r="S329" s="239" t="n"/>
      <c r="T329" s="239" t="n"/>
      <c r="U329" s="239" t="n"/>
      <c r="V329" s="239" t="n"/>
      <c r="W329" s="239" t="n"/>
      <c r="X329" s="239" t="n"/>
      <c r="Y329" s="239" t="n"/>
      <c r="Z329" s="239" t="n"/>
      <c r="AA329" s="239" t="n"/>
      <c r="AB329" s="239" t="n"/>
      <c r="AC329" s="239" t="n"/>
      <c r="AD329" s="239" t="n"/>
      <c r="AE329" s="239" t="n"/>
    </row>
    <row r="330">
      <c r="A330" s="239" t="n"/>
      <c r="B330" s="239" t="n"/>
      <c r="C330" s="239" t="n"/>
      <c r="D330" s="239" t="n"/>
      <c r="E330" s="239" t="n"/>
      <c r="F330" s="239" t="n"/>
      <c r="G330" s="239" t="n"/>
      <c r="H330" s="239" t="n"/>
      <c r="I330" s="239" t="n"/>
      <c r="J330" s="239" t="n"/>
      <c r="K330" s="239" t="n"/>
      <c r="L330" s="239" t="n"/>
      <c r="M330" s="239" t="n"/>
      <c r="N330" s="239" t="n"/>
      <c r="O330" s="239" t="n"/>
      <c r="P330" s="239" t="n"/>
      <c r="Q330" s="239" t="n"/>
      <c r="R330" s="239" t="n"/>
      <c r="S330" s="239" t="n"/>
      <c r="T330" s="239" t="n"/>
      <c r="U330" s="239" t="n"/>
      <c r="V330" s="239" t="n"/>
      <c r="W330" s="239" t="n"/>
      <c r="X330" s="239" t="n"/>
      <c r="Y330" s="239" t="n"/>
      <c r="Z330" s="239" t="n"/>
      <c r="AA330" s="239" t="n"/>
      <c r="AB330" s="239" t="n"/>
      <c r="AC330" s="239" t="n"/>
      <c r="AD330" s="239" t="n"/>
      <c r="AE330" s="239" t="n"/>
    </row>
    <row r="331">
      <c r="A331" s="239" t="n"/>
      <c r="B331" s="239" t="n"/>
      <c r="C331" s="239" t="n"/>
      <c r="D331" s="239" t="n"/>
      <c r="E331" s="239" t="n"/>
      <c r="F331" s="239" t="n"/>
      <c r="G331" s="239" t="n"/>
      <c r="H331" s="239" t="n"/>
      <c r="I331" s="239" t="n"/>
      <c r="J331" s="239" t="n"/>
      <c r="K331" s="239" t="n"/>
      <c r="L331" s="239" t="n"/>
      <c r="M331" s="239" t="n"/>
      <c r="N331" s="239" t="n"/>
      <c r="O331" s="239" t="n"/>
      <c r="P331" s="239" t="n"/>
      <c r="Q331" s="239" t="n"/>
      <c r="R331" s="239" t="n"/>
      <c r="S331" s="239" t="n"/>
      <c r="T331" s="239" t="n"/>
      <c r="U331" s="239" t="n"/>
      <c r="V331" s="239" t="n"/>
      <c r="W331" s="239" t="n"/>
      <c r="X331" s="239" t="n"/>
      <c r="Y331" s="239" t="n"/>
      <c r="Z331" s="239" t="n"/>
      <c r="AA331" s="239" t="n"/>
      <c r="AB331" s="239" t="n"/>
      <c r="AC331" s="239" t="n"/>
      <c r="AD331" s="239" t="n"/>
      <c r="AE331" s="239" t="n"/>
    </row>
    <row r="332">
      <c r="A332" s="239" t="n"/>
      <c r="B332" s="239" t="n"/>
      <c r="C332" s="239" t="n"/>
      <c r="D332" s="239" t="n"/>
      <c r="E332" s="239" t="n"/>
      <c r="F332" s="239" t="n"/>
      <c r="G332" s="239" t="n"/>
      <c r="H332" s="239" t="n"/>
      <c r="I332" s="239" t="n"/>
      <c r="J332" s="239" t="n"/>
      <c r="K332" s="239" t="n"/>
      <c r="L332" s="239" t="n"/>
      <c r="M332" s="239" t="n"/>
      <c r="N332" s="239" t="n"/>
      <c r="O332" s="239" t="n"/>
      <c r="P332" s="239" t="n"/>
      <c r="Q332" s="239" t="n"/>
      <c r="R332" s="239" t="n"/>
      <c r="S332" s="239" t="n"/>
      <c r="T332" s="239" t="n"/>
      <c r="U332" s="239" t="n"/>
      <c r="V332" s="239" t="n"/>
      <c r="W332" s="239" t="n"/>
      <c r="X332" s="239" t="n"/>
      <c r="Y332" s="239" t="n"/>
      <c r="Z332" s="239" t="n"/>
      <c r="AA332" s="239" t="n"/>
      <c r="AB332" s="239" t="n"/>
      <c r="AC332" s="239" t="n"/>
      <c r="AD332" s="239" t="n"/>
      <c r="AE332" s="239" t="n"/>
    </row>
    <row r="333">
      <c r="A333" s="239" t="n"/>
      <c r="B333" s="239" t="n"/>
      <c r="C333" s="239" t="n"/>
      <c r="D333" s="239" t="n"/>
      <c r="E333" s="239" t="n"/>
      <c r="F333" s="239" t="n"/>
      <c r="G333" s="239" t="n"/>
      <c r="H333" s="239" t="n"/>
      <c r="I333" s="239" t="n"/>
      <c r="J333" s="239" t="n"/>
      <c r="K333" s="239" t="n"/>
      <c r="L333" s="239" t="n"/>
      <c r="M333" s="239" t="n"/>
      <c r="N333" s="239" t="n"/>
      <c r="O333" s="239" t="n"/>
      <c r="P333" s="239" t="n"/>
      <c r="Q333" s="239" t="n"/>
      <c r="R333" s="239" t="n"/>
      <c r="S333" s="239" t="n"/>
      <c r="T333" s="239" t="n"/>
      <c r="U333" s="239" t="n"/>
      <c r="V333" s="239" t="n"/>
      <c r="W333" s="239" t="n"/>
      <c r="X333" s="239" t="n"/>
      <c r="Y333" s="239" t="n"/>
      <c r="Z333" s="239" t="n"/>
      <c r="AA333" s="239" t="n"/>
      <c r="AB333" s="239" t="n"/>
      <c r="AC333" s="239" t="n"/>
      <c r="AD333" s="239" t="n"/>
      <c r="AE333" s="239" t="n"/>
    </row>
    <row r="334">
      <c r="A334" s="239" t="n"/>
      <c r="B334" s="239" t="n"/>
      <c r="C334" s="239" t="n"/>
      <c r="D334" s="239" t="n"/>
      <c r="E334" s="239" t="n"/>
      <c r="F334" s="239" t="n"/>
      <c r="G334" s="239" t="n"/>
      <c r="H334" s="239" t="n"/>
      <c r="I334" s="239" t="n"/>
      <c r="J334" s="239" t="n"/>
      <c r="K334" s="239" t="n"/>
      <c r="L334" s="239" t="n"/>
      <c r="M334" s="239" t="n"/>
      <c r="N334" s="239" t="n"/>
      <c r="O334" s="239" t="n"/>
      <c r="P334" s="239" t="n"/>
      <c r="Q334" s="239" t="n"/>
      <c r="R334" s="239" t="n"/>
      <c r="S334" s="239" t="n"/>
      <c r="T334" s="239" t="n"/>
      <c r="U334" s="239" t="n"/>
      <c r="V334" s="239" t="n"/>
      <c r="W334" s="239" t="n"/>
      <c r="X334" s="239" t="n"/>
      <c r="Y334" s="239" t="n"/>
      <c r="Z334" s="239" t="n"/>
      <c r="AA334" s="239" t="n"/>
      <c r="AB334" s="239" t="n"/>
      <c r="AC334" s="239" t="n"/>
      <c r="AD334" s="239" t="n"/>
      <c r="AE334" s="239" t="n"/>
    </row>
    <row r="335">
      <c r="A335" s="239" t="n"/>
      <c r="B335" s="239" t="n"/>
      <c r="C335" s="239" t="n"/>
      <c r="D335" s="239" t="n"/>
      <c r="E335" s="239" t="n"/>
      <c r="F335" s="239" t="n"/>
      <c r="G335" s="239" t="n"/>
      <c r="H335" s="239" t="n"/>
      <c r="I335" s="239" t="n"/>
      <c r="J335" s="239" t="n"/>
      <c r="K335" s="239" t="n"/>
      <c r="L335" s="239" t="n"/>
      <c r="M335" s="239" t="n"/>
      <c r="N335" s="239" t="n"/>
      <c r="O335" s="239" t="n"/>
      <c r="P335" s="239" t="n"/>
      <c r="Q335" s="239" t="n"/>
      <c r="R335" s="239" t="n"/>
      <c r="S335" s="239" t="n"/>
      <c r="T335" s="239" t="n"/>
      <c r="U335" s="239" t="n"/>
      <c r="V335" s="239" t="n"/>
      <c r="W335" s="239" t="n"/>
      <c r="X335" s="239" t="n"/>
      <c r="Y335" s="239" t="n"/>
      <c r="Z335" s="239" t="n"/>
      <c r="AA335" s="239" t="n"/>
      <c r="AB335" s="239" t="n"/>
      <c r="AC335" s="239" t="n"/>
      <c r="AD335" s="239" t="n"/>
      <c r="AE335" s="239" t="n"/>
    </row>
    <row r="336">
      <c r="A336" s="239" t="n"/>
      <c r="B336" s="239" t="n"/>
      <c r="C336" s="239" t="n"/>
      <c r="D336" s="239" t="n"/>
      <c r="E336" s="239" t="n"/>
      <c r="F336" s="239" t="n"/>
      <c r="G336" s="239" t="n"/>
      <c r="H336" s="239" t="n"/>
      <c r="I336" s="239" t="n"/>
      <c r="J336" s="239" t="n"/>
      <c r="K336" s="239" t="n"/>
      <c r="L336" s="239" t="n"/>
      <c r="M336" s="239" t="n"/>
      <c r="N336" s="239" t="n"/>
      <c r="O336" s="239" t="n"/>
      <c r="P336" s="239" t="n"/>
      <c r="Q336" s="239" t="n"/>
      <c r="R336" s="239" t="n"/>
      <c r="S336" s="239" t="n"/>
      <c r="T336" s="239" t="n"/>
      <c r="U336" s="239" t="n"/>
      <c r="V336" s="239" t="n"/>
      <c r="W336" s="239" t="n"/>
      <c r="X336" s="239" t="n"/>
      <c r="Y336" s="239" t="n"/>
      <c r="Z336" s="239" t="n"/>
      <c r="AA336" s="239" t="n"/>
      <c r="AB336" s="239" t="n"/>
      <c r="AC336" s="239" t="n"/>
      <c r="AD336" s="239" t="n"/>
      <c r="AE336" s="239" t="n"/>
    </row>
    <row r="337">
      <c r="A337" s="239" t="n"/>
      <c r="B337" s="239" t="n"/>
      <c r="C337" s="239" t="n"/>
      <c r="D337" s="239" t="n"/>
      <c r="E337" s="239" t="n"/>
      <c r="F337" s="239" t="n"/>
      <c r="G337" s="239" t="n"/>
      <c r="H337" s="239" t="n"/>
      <c r="I337" s="239" t="n"/>
      <c r="J337" s="239" t="n"/>
      <c r="K337" s="239" t="n"/>
      <c r="L337" s="239" t="n"/>
      <c r="M337" s="239" t="n"/>
      <c r="N337" s="239" t="n"/>
      <c r="O337" s="239" t="n"/>
      <c r="P337" s="239" t="n"/>
      <c r="Q337" s="239" t="n"/>
      <c r="R337" s="239" t="n"/>
      <c r="S337" s="239" t="n"/>
      <c r="T337" s="239" t="n"/>
      <c r="U337" s="239" t="n"/>
      <c r="V337" s="239" t="n"/>
      <c r="W337" s="239" t="n"/>
      <c r="X337" s="239" t="n"/>
      <c r="Y337" s="239" t="n"/>
      <c r="Z337" s="239" t="n"/>
      <c r="AA337" s="239" t="n"/>
      <c r="AB337" s="239" t="n"/>
      <c r="AC337" s="239" t="n"/>
      <c r="AD337" s="239" t="n"/>
      <c r="AE337" s="239" t="n"/>
    </row>
    <row r="338">
      <c r="A338" s="239" t="n"/>
      <c r="B338" s="239" t="n"/>
      <c r="C338" s="239" t="n"/>
      <c r="D338" s="239" t="n"/>
      <c r="E338" s="239" t="n"/>
      <c r="F338" s="239" t="n"/>
      <c r="G338" s="239" t="n"/>
      <c r="H338" s="239" t="n"/>
      <c r="I338" s="239" t="n"/>
      <c r="J338" s="239" t="n"/>
      <c r="K338" s="239" t="n"/>
      <c r="L338" s="239" t="n"/>
      <c r="M338" s="239" t="n"/>
      <c r="N338" s="239" t="n"/>
      <c r="O338" s="239" t="n"/>
      <c r="P338" s="239" t="n"/>
      <c r="Q338" s="239" t="n"/>
      <c r="R338" s="239" t="n"/>
      <c r="S338" s="239" t="n"/>
      <c r="T338" s="239" t="n"/>
      <c r="U338" s="239" t="n"/>
      <c r="V338" s="239" t="n"/>
      <c r="W338" s="239" t="n"/>
      <c r="X338" s="239" t="n"/>
      <c r="Y338" s="239" t="n"/>
      <c r="Z338" s="239" t="n"/>
      <c r="AA338" s="239" t="n"/>
      <c r="AB338" s="239" t="n"/>
      <c r="AC338" s="239" t="n"/>
      <c r="AD338" s="239" t="n"/>
      <c r="AE338" s="239" t="n"/>
    </row>
    <row r="339">
      <c r="A339" s="239" t="n"/>
      <c r="B339" s="239" t="n"/>
      <c r="C339" s="239" t="n"/>
      <c r="D339" s="239" t="n"/>
      <c r="E339" s="239" t="n"/>
      <c r="F339" s="239" t="n"/>
      <c r="G339" s="239" t="n"/>
      <c r="H339" s="239" t="n"/>
      <c r="I339" s="239" t="n"/>
      <c r="J339" s="239" t="n"/>
      <c r="K339" s="239" t="n"/>
      <c r="L339" s="239" t="n"/>
      <c r="M339" s="239" t="n"/>
      <c r="N339" s="239" t="n"/>
      <c r="O339" s="239" t="n"/>
      <c r="P339" s="239" t="n"/>
      <c r="Q339" s="239" t="n"/>
      <c r="R339" s="239" t="n"/>
      <c r="S339" s="239" t="n"/>
      <c r="T339" s="239" t="n"/>
      <c r="U339" s="239" t="n"/>
      <c r="V339" s="239" t="n"/>
      <c r="W339" s="239" t="n"/>
      <c r="X339" s="239" t="n"/>
      <c r="Y339" s="239" t="n"/>
      <c r="Z339" s="239" t="n"/>
      <c r="AA339" s="239" t="n"/>
      <c r="AB339" s="239" t="n"/>
      <c r="AC339" s="239" t="n"/>
      <c r="AD339" s="239" t="n"/>
      <c r="AE339" s="239" t="n"/>
    </row>
    <row r="340">
      <c r="A340" s="239" t="n"/>
      <c r="B340" s="239" t="n"/>
      <c r="C340" s="239" t="n"/>
      <c r="D340" s="239" t="n"/>
      <c r="E340" s="239" t="n"/>
      <c r="F340" s="239" t="n"/>
      <c r="G340" s="239" t="n"/>
      <c r="H340" s="239" t="n"/>
      <c r="I340" s="239" t="n"/>
      <c r="J340" s="239" t="n"/>
      <c r="K340" s="239" t="n"/>
      <c r="L340" s="239" t="n"/>
      <c r="M340" s="239" t="n"/>
      <c r="N340" s="239" t="n"/>
      <c r="O340" s="239" t="n"/>
      <c r="P340" s="239" t="n"/>
      <c r="Q340" s="239" t="n"/>
      <c r="R340" s="239" t="n"/>
      <c r="S340" s="239" t="n"/>
      <c r="T340" s="239" t="n"/>
      <c r="U340" s="239" t="n"/>
      <c r="V340" s="239" t="n"/>
      <c r="W340" s="239" t="n"/>
      <c r="X340" s="239" t="n"/>
      <c r="Y340" s="239" t="n"/>
      <c r="Z340" s="239" t="n"/>
      <c r="AA340" s="239" t="n"/>
      <c r="AB340" s="239" t="n"/>
      <c r="AC340" s="239" t="n"/>
      <c r="AD340" s="239" t="n"/>
      <c r="AE340" s="239" t="n"/>
    </row>
    <row r="341">
      <c r="A341" s="239" t="n"/>
      <c r="B341" s="239" t="n"/>
      <c r="C341" s="239" t="n"/>
      <c r="D341" s="239" t="n"/>
      <c r="E341" s="239" t="n"/>
      <c r="F341" s="239" t="n"/>
      <c r="G341" s="239" t="n"/>
      <c r="H341" s="239" t="n"/>
      <c r="I341" s="239" t="n"/>
      <c r="J341" s="239" t="n"/>
      <c r="K341" s="239" t="n"/>
      <c r="L341" s="239" t="n"/>
      <c r="M341" s="239" t="n"/>
      <c r="N341" s="239" t="n"/>
      <c r="O341" s="239" t="n"/>
      <c r="P341" s="239" t="n"/>
      <c r="Q341" s="239" t="n"/>
      <c r="R341" s="239" t="n"/>
      <c r="S341" s="239" t="n"/>
      <c r="T341" s="239" t="n"/>
      <c r="U341" s="239" t="n"/>
      <c r="V341" s="239" t="n"/>
      <c r="W341" s="239" t="n"/>
      <c r="X341" s="239" t="n"/>
      <c r="Y341" s="239" t="n"/>
      <c r="Z341" s="239" t="n"/>
      <c r="AA341" s="239" t="n"/>
      <c r="AB341" s="239" t="n"/>
      <c r="AC341" s="239" t="n"/>
      <c r="AD341" s="239" t="n"/>
      <c r="AE341" s="239" t="n"/>
    </row>
    <row r="342">
      <c r="A342" s="239" t="n"/>
      <c r="B342" s="239" t="n"/>
      <c r="C342" s="239" t="n"/>
      <c r="D342" s="239" t="n"/>
      <c r="E342" s="239" t="n"/>
      <c r="F342" s="239" t="n"/>
      <c r="G342" s="239" t="n"/>
      <c r="H342" s="239" t="n"/>
      <c r="I342" s="239" t="n"/>
      <c r="J342" s="239" t="n"/>
      <c r="K342" s="239" t="n"/>
      <c r="L342" s="239" t="n"/>
      <c r="M342" s="239" t="n"/>
      <c r="N342" s="239" t="n"/>
      <c r="O342" s="239" t="n"/>
      <c r="P342" s="239" t="n"/>
      <c r="Q342" s="239" t="n"/>
      <c r="R342" s="239" t="n"/>
      <c r="S342" s="239" t="n"/>
      <c r="T342" s="239" t="n"/>
      <c r="U342" s="239" t="n"/>
      <c r="V342" s="239" t="n"/>
      <c r="W342" s="239" t="n"/>
      <c r="X342" s="239" t="n"/>
      <c r="Y342" s="239" t="n"/>
      <c r="Z342" s="239" t="n"/>
      <c r="AA342" s="239" t="n"/>
      <c r="AB342" s="239" t="n"/>
      <c r="AC342" s="239" t="n"/>
      <c r="AD342" s="239" t="n"/>
      <c r="AE342" s="239" t="n"/>
    </row>
    <row r="343">
      <c r="A343" s="239" t="n"/>
      <c r="B343" s="239" t="n"/>
      <c r="C343" s="239" t="n"/>
      <c r="D343" s="239" t="n"/>
      <c r="E343" s="239" t="n"/>
      <c r="F343" s="239" t="n"/>
      <c r="G343" s="239" t="n"/>
      <c r="H343" s="239" t="n"/>
      <c r="I343" s="239" t="n"/>
      <c r="J343" s="239" t="n"/>
      <c r="K343" s="239" t="n"/>
      <c r="L343" s="239" t="n"/>
      <c r="M343" s="239" t="n"/>
      <c r="N343" s="239" t="n"/>
      <c r="O343" s="239" t="n"/>
      <c r="P343" s="239" t="n"/>
      <c r="Q343" s="239" t="n"/>
      <c r="R343" s="239" t="n"/>
      <c r="S343" s="239" t="n"/>
      <c r="T343" s="239" t="n"/>
      <c r="U343" s="239" t="n"/>
      <c r="V343" s="239" t="n"/>
      <c r="W343" s="239" t="n"/>
      <c r="X343" s="239" t="n"/>
      <c r="Y343" s="239" t="n"/>
      <c r="Z343" s="239" t="n"/>
      <c r="AA343" s="239" t="n"/>
      <c r="AB343" s="239" t="n"/>
      <c r="AC343" s="239" t="n"/>
      <c r="AD343" s="239" t="n"/>
      <c r="AE343" s="239" t="n"/>
    </row>
    <row r="344">
      <c r="A344" s="239" t="n"/>
      <c r="B344" s="239" t="n"/>
      <c r="C344" s="239" t="n"/>
      <c r="D344" s="239" t="n"/>
      <c r="E344" s="239" t="n"/>
      <c r="F344" s="239" t="n"/>
      <c r="G344" s="239" t="n"/>
      <c r="H344" s="239" t="n"/>
      <c r="I344" s="239" t="n"/>
      <c r="J344" s="239" t="n"/>
      <c r="K344" s="239" t="n"/>
      <c r="L344" s="239" t="n"/>
      <c r="M344" s="239" t="n"/>
      <c r="N344" s="239" t="n"/>
      <c r="O344" s="239" t="n"/>
      <c r="P344" s="239" t="n"/>
      <c r="Q344" s="239" t="n"/>
      <c r="R344" s="239" t="n"/>
      <c r="S344" s="239" t="n"/>
      <c r="T344" s="239" t="n"/>
      <c r="U344" s="239" t="n"/>
      <c r="V344" s="239" t="n"/>
      <c r="W344" s="239" t="n"/>
      <c r="X344" s="239" t="n"/>
      <c r="Y344" s="239" t="n"/>
      <c r="Z344" s="239" t="n"/>
      <c r="AA344" s="239" t="n"/>
      <c r="AB344" s="239" t="n"/>
      <c r="AC344" s="239" t="n"/>
      <c r="AD344" s="239" t="n"/>
      <c r="AE344" s="239" t="n"/>
    </row>
    <row r="345">
      <c r="A345" s="239" t="n"/>
      <c r="B345" s="239" t="n"/>
      <c r="C345" s="239" t="n"/>
      <c r="D345" s="239" t="n"/>
      <c r="E345" s="239" t="n"/>
      <c r="F345" s="239" t="n"/>
      <c r="G345" s="239" t="n"/>
      <c r="H345" s="239" t="n"/>
      <c r="I345" s="239" t="n"/>
      <c r="J345" s="239" t="n"/>
      <c r="K345" s="239" t="n"/>
      <c r="L345" s="239" t="n"/>
      <c r="M345" s="239" t="n"/>
      <c r="N345" s="239" t="n"/>
      <c r="O345" s="239" t="n"/>
      <c r="P345" s="239" t="n"/>
      <c r="Q345" s="239" t="n"/>
      <c r="R345" s="239" t="n"/>
      <c r="S345" s="239" t="n"/>
      <c r="T345" s="239" t="n"/>
      <c r="U345" s="239" t="n"/>
      <c r="V345" s="239" t="n"/>
      <c r="W345" s="239" t="n"/>
      <c r="X345" s="239" t="n"/>
      <c r="Y345" s="239" t="n"/>
      <c r="Z345" s="239" t="n"/>
      <c r="AA345" s="239" t="n"/>
      <c r="AB345" s="239" t="n"/>
      <c r="AC345" s="239" t="n"/>
      <c r="AD345" s="239" t="n"/>
      <c r="AE345" s="239" t="n"/>
    </row>
    <row r="346">
      <c r="A346" s="239" t="n"/>
      <c r="B346" s="239" t="n"/>
      <c r="C346" s="239" t="n"/>
      <c r="D346" s="239" t="n"/>
      <c r="E346" s="239" t="n"/>
      <c r="F346" s="239" t="n"/>
      <c r="G346" s="239" t="n"/>
      <c r="H346" s="239" t="n"/>
      <c r="I346" s="239" t="n"/>
      <c r="J346" s="239" t="n"/>
      <c r="K346" s="239" t="n"/>
      <c r="L346" s="239" t="n"/>
      <c r="M346" s="239" t="n"/>
      <c r="N346" s="239" t="n"/>
      <c r="O346" s="239" t="n"/>
      <c r="P346" s="239" t="n"/>
      <c r="Q346" s="239" t="n"/>
      <c r="R346" s="239" t="n"/>
      <c r="S346" s="239" t="n"/>
      <c r="T346" s="239" t="n"/>
      <c r="U346" s="239" t="n"/>
      <c r="V346" s="239" t="n"/>
      <c r="W346" s="239" t="n"/>
      <c r="X346" s="239" t="n"/>
      <c r="Y346" s="239" t="n"/>
      <c r="Z346" s="239" t="n"/>
      <c r="AA346" s="239" t="n"/>
      <c r="AB346" s="239" t="n"/>
      <c r="AC346" s="239" t="n"/>
      <c r="AD346" s="239" t="n"/>
      <c r="AE346" s="239" t="n"/>
    </row>
    <row r="347">
      <c r="A347" s="239" t="n"/>
      <c r="B347" s="239" t="n"/>
      <c r="C347" s="239" t="n"/>
      <c r="D347" s="239" t="n"/>
      <c r="E347" s="239" t="n"/>
      <c r="F347" s="239" t="n"/>
      <c r="G347" s="239" t="n"/>
      <c r="H347" s="239" t="n"/>
      <c r="I347" s="239" t="n"/>
      <c r="J347" s="239" t="n"/>
      <c r="K347" s="239" t="n"/>
      <c r="L347" s="239" t="n"/>
      <c r="M347" s="239" t="n"/>
      <c r="N347" s="239" t="n"/>
      <c r="O347" s="239" t="n"/>
      <c r="P347" s="239" t="n"/>
      <c r="Q347" s="239" t="n"/>
      <c r="R347" s="239" t="n"/>
      <c r="S347" s="239" t="n"/>
      <c r="T347" s="239" t="n"/>
      <c r="U347" s="239" t="n"/>
      <c r="V347" s="239" t="n"/>
      <c r="W347" s="239" t="n"/>
      <c r="X347" s="239" t="n"/>
      <c r="Y347" s="239" t="n"/>
      <c r="Z347" s="239" t="n"/>
      <c r="AA347" s="239" t="n"/>
      <c r="AB347" s="239" t="n"/>
      <c r="AC347" s="239" t="n"/>
      <c r="AD347" s="239" t="n"/>
      <c r="AE347" s="239" t="n"/>
    </row>
    <row r="348">
      <c r="A348" s="239" t="n"/>
      <c r="B348" s="239" t="n"/>
      <c r="C348" s="239" t="n"/>
      <c r="D348" s="239" t="n"/>
      <c r="E348" s="239" t="n"/>
      <c r="F348" s="239" t="n"/>
      <c r="G348" s="239" t="n"/>
      <c r="H348" s="239" t="n"/>
      <c r="I348" s="239" t="n"/>
      <c r="J348" s="239" t="n"/>
      <c r="K348" s="239" t="n"/>
      <c r="L348" s="239" t="n"/>
      <c r="M348" s="239" t="n"/>
      <c r="N348" s="239" t="n"/>
      <c r="O348" s="239" t="n"/>
      <c r="P348" s="239" t="n"/>
      <c r="Q348" s="239" t="n"/>
      <c r="R348" s="239" t="n"/>
      <c r="S348" s="239" t="n"/>
      <c r="T348" s="239" t="n"/>
      <c r="U348" s="239" t="n"/>
      <c r="V348" s="239" t="n"/>
      <c r="W348" s="239" t="n"/>
      <c r="X348" s="239" t="n"/>
      <c r="Y348" s="239" t="n"/>
      <c r="Z348" s="239" t="n"/>
      <c r="AA348" s="239" t="n"/>
      <c r="AB348" s="239" t="n"/>
      <c r="AC348" s="239" t="n"/>
      <c r="AD348" s="239" t="n"/>
      <c r="AE348" s="239" t="n"/>
    </row>
    <row r="349">
      <c r="A349" s="239" t="n"/>
      <c r="B349" s="239" t="n"/>
      <c r="C349" s="239" t="n"/>
      <c r="D349" s="239" t="n"/>
      <c r="E349" s="239" t="n"/>
      <c r="F349" s="239" t="n"/>
      <c r="G349" s="239" t="n"/>
      <c r="H349" s="239" t="n"/>
      <c r="I349" s="239" t="n"/>
      <c r="J349" s="239" t="n"/>
      <c r="K349" s="239" t="n"/>
      <c r="L349" s="239" t="n"/>
      <c r="M349" s="239" t="n"/>
      <c r="N349" s="239" t="n"/>
      <c r="O349" s="239" t="n"/>
      <c r="P349" s="239" t="n"/>
      <c r="Q349" s="239" t="n"/>
      <c r="R349" s="239" t="n"/>
      <c r="S349" s="239" t="n"/>
      <c r="T349" s="239" t="n"/>
      <c r="U349" s="239" t="n"/>
      <c r="V349" s="239" t="n"/>
      <c r="W349" s="239" t="n"/>
      <c r="X349" s="239" t="n"/>
      <c r="Y349" s="239" t="n"/>
      <c r="Z349" s="239" t="n"/>
      <c r="AA349" s="239" t="n"/>
      <c r="AB349" s="239" t="n"/>
      <c r="AC349" s="239" t="n"/>
      <c r="AD349" s="239" t="n"/>
      <c r="AE349" s="239" t="n"/>
    </row>
    <row r="350">
      <c r="A350" s="239" t="n"/>
      <c r="B350" s="239" t="n"/>
      <c r="C350" s="239" t="n"/>
      <c r="D350" s="239" t="n"/>
      <c r="E350" s="239" t="n"/>
      <c r="F350" s="239" t="n"/>
      <c r="G350" s="239" t="n"/>
      <c r="H350" s="239" t="n"/>
      <c r="I350" s="239" t="n"/>
      <c r="J350" s="239" t="n"/>
      <c r="K350" s="239" t="n"/>
      <c r="L350" s="239" t="n"/>
      <c r="M350" s="239" t="n"/>
      <c r="N350" s="239" t="n"/>
      <c r="O350" s="239" t="n"/>
      <c r="P350" s="239" t="n"/>
      <c r="Q350" s="239" t="n"/>
      <c r="R350" s="239" t="n"/>
      <c r="S350" s="239" t="n"/>
      <c r="T350" s="239" t="n"/>
      <c r="U350" s="239" t="n"/>
      <c r="V350" s="239" t="n"/>
      <c r="W350" s="239" t="n"/>
      <c r="X350" s="239" t="n"/>
      <c r="Y350" s="239" t="n"/>
      <c r="Z350" s="239" t="n"/>
      <c r="AA350" s="239" t="n"/>
      <c r="AB350" s="239" t="n"/>
      <c r="AC350" s="239" t="n"/>
      <c r="AD350" s="239" t="n"/>
      <c r="AE350" s="239" t="n"/>
    </row>
    <row r="351">
      <c r="A351" s="239" t="n"/>
      <c r="B351" s="239" t="n"/>
      <c r="C351" s="239" t="n"/>
      <c r="D351" s="239" t="n"/>
      <c r="E351" s="239" t="n"/>
      <c r="F351" s="239" t="n"/>
      <c r="G351" s="239" t="n"/>
      <c r="H351" s="239" t="n"/>
      <c r="I351" s="239" t="n"/>
      <c r="J351" s="239" t="n"/>
      <c r="K351" s="239" t="n"/>
      <c r="L351" s="239" t="n"/>
      <c r="M351" s="239" t="n"/>
      <c r="N351" s="239" t="n"/>
      <c r="O351" s="239" t="n"/>
      <c r="P351" s="239" t="n"/>
      <c r="Q351" s="239" t="n"/>
      <c r="R351" s="239" t="n"/>
      <c r="S351" s="239" t="n"/>
      <c r="T351" s="239" t="n"/>
      <c r="U351" s="239" t="n"/>
      <c r="V351" s="239" t="n"/>
      <c r="W351" s="239" t="n"/>
      <c r="X351" s="239" t="n"/>
      <c r="Y351" s="239" t="n"/>
      <c r="Z351" s="239" t="n"/>
      <c r="AA351" s="239" t="n"/>
      <c r="AB351" s="239" t="n"/>
      <c r="AC351" s="239" t="n"/>
      <c r="AD351" s="239" t="n"/>
      <c r="AE351" s="239" t="n"/>
    </row>
    <row r="352">
      <c r="A352" s="239" t="n"/>
      <c r="B352" s="239" t="n"/>
      <c r="C352" s="239" t="n"/>
      <c r="D352" s="239" t="n"/>
      <c r="E352" s="239" t="n"/>
      <c r="F352" s="239" t="n"/>
      <c r="G352" s="239" t="n"/>
      <c r="H352" s="239" t="n"/>
      <c r="I352" s="239" t="n"/>
      <c r="J352" s="239" t="n"/>
      <c r="K352" s="239" t="n"/>
      <c r="L352" s="239" t="n"/>
      <c r="M352" s="239" t="n"/>
      <c r="N352" s="239" t="n"/>
      <c r="O352" s="239" t="n"/>
      <c r="P352" s="239" t="n"/>
      <c r="Q352" s="239" t="n"/>
      <c r="R352" s="239" t="n"/>
      <c r="S352" s="239" t="n"/>
      <c r="T352" s="239" t="n"/>
      <c r="U352" s="239" t="n"/>
      <c r="V352" s="239" t="n"/>
      <c r="W352" s="239" t="n"/>
      <c r="X352" s="239" t="n"/>
      <c r="Y352" s="239" t="n"/>
      <c r="Z352" s="239" t="n"/>
      <c r="AA352" s="239" t="n"/>
      <c r="AB352" s="239" t="n"/>
      <c r="AC352" s="239" t="n"/>
      <c r="AD352" s="239" t="n"/>
      <c r="AE352" s="239" t="n"/>
    </row>
    <row r="353">
      <c r="A353" s="239" t="n"/>
      <c r="B353" s="239" t="n"/>
      <c r="C353" s="239" t="n"/>
      <c r="D353" s="239" t="n"/>
      <c r="E353" s="239" t="n"/>
      <c r="F353" s="239" t="n"/>
      <c r="G353" s="239" t="n"/>
      <c r="H353" s="239" t="n"/>
      <c r="I353" s="239" t="n"/>
      <c r="J353" s="239" t="n"/>
      <c r="K353" s="239" t="n"/>
      <c r="L353" s="239" t="n"/>
      <c r="M353" s="239" t="n"/>
      <c r="N353" s="239" t="n"/>
      <c r="O353" s="239" t="n"/>
      <c r="P353" s="239" t="n"/>
      <c r="Q353" s="239" t="n"/>
      <c r="R353" s="239" t="n"/>
      <c r="S353" s="239" t="n"/>
      <c r="T353" s="239" t="n"/>
      <c r="U353" s="239" t="n"/>
      <c r="V353" s="239" t="n"/>
      <c r="W353" s="239" t="n"/>
      <c r="X353" s="239" t="n"/>
      <c r="Y353" s="239" t="n"/>
      <c r="Z353" s="239" t="n"/>
      <c r="AA353" s="239" t="n"/>
      <c r="AB353" s="239" t="n"/>
      <c r="AC353" s="239" t="n"/>
      <c r="AD353" s="239" t="n"/>
      <c r="AE353" s="239" t="n"/>
    </row>
    <row r="354">
      <c r="A354" s="239" t="n"/>
      <c r="B354" s="239" t="n"/>
      <c r="C354" s="239" t="n"/>
      <c r="D354" s="239" t="n"/>
      <c r="E354" s="239" t="n"/>
      <c r="F354" s="239" t="n"/>
      <c r="G354" s="239" t="n"/>
      <c r="H354" s="239" t="n"/>
      <c r="I354" s="239" t="n"/>
      <c r="J354" s="239" t="n"/>
      <c r="K354" s="239" t="n"/>
      <c r="L354" s="239" t="n"/>
      <c r="M354" s="239" t="n"/>
      <c r="N354" s="239" t="n"/>
      <c r="O354" s="239" t="n"/>
      <c r="P354" s="239" t="n"/>
      <c r="Q354" s="239" t="n"/>
      <c r="R354" s="239" t="n"/>
      <c r="S354" s="239" t="n"/>
      <c r="T354" s="239" t="n"/>
      <c r="U354" s="239" t="n"/>
      <c r="V354" s="239" t="n"/>
      <c r="W354" s="239" t="n"/>
      <c r="X354" s="239" t="n"/>
      <c r="Y354" s="239" t="n"/>
      <c r="Z354" s="239" t="n"/>
      <c r="AA354" s="239" t="n"/>
      <c r="AB354" s="239" t="n"/>
      <c r="AC354" s="239" t="n"/>
      <c r="AD354" s="239" t="n"/>
      <c r="AE354" s="239" t="n"/>
    </row>
    <row r="355">
      <c r="A355" s="239" t="n"/>
      <c r="B355" s="239" t="n"/>
      <c r="C355" s="239" t="n"/>
      <c r="D355" s="239" t="n"/>
      <c r="E355" s="239" t="n"/>
      <c r="F355" s="239" t="n"/>
      <c r="G355" s="239" t="n"/>
      <c r="H355" s="239" t="n"/>
      <c r="I355" s="239" t="n"/>
      <c r="J355" s="239" t="n"/>
      <c r="K355" s="239" t="n"/>
      <c r="L355" s="239" t="n"/>
      <c r="M355" s="239" t="n"/>
      <c r="N355" s="239" t="n"/>
      <c r="O355" s="239" t="n"/>
      <c r="P355" s="239" t="n"/>
      <c r="Q355" s="239" t="n"/>
      <c r="R355" s="239" t="n"/>
      <c r="S355" s="239" t="n"/>
      <c r="T355" s="239" t="n"/>
      <c r="U355" s="239" t="n"/>
      <c r="V355" s="239" t="n"/>
      <c r="W355" s="239" t="n"/>
      <c r="X355" s="239" t="n"/>
      <c r="Y355" s="239" t="n"/>
      <c r="Z355" s="239" t="n"/>
      <c r="AA355" s="239" t="n"/>
      <c r="AB355" s="239" t="n"/>
      <c r="AC355" s="239" t="n"/>
      <c r="AD355" s="239" t="n"/>
      <c r="AE355" s="239" t="n"/>
    </row>
    <row r="356">
      <c r="A356" s="239" t="n"/>
      <c r="B356" s="239" t="n"/>
      <c r="C356" s="239" t="n"/>
      <c r="D356" s="239" t="n"/>
      <c r="E356" s="239" t="n"/>
      <c r="F356" s="239" t="n"/>
      <c r="G356" s="239" t="n"/>
      <c r="H356" s="239" t="n"/>
      <c r="I356" s="239" t="n"/>
      <c r="J356" s="239" t="n"/>
      <c r="K356" s="239" t="n"/>
      <c r="L356" s="239" t="n"/>
      <c r="M356" s="239" t="n"/>
      <c r="N356" s="239" t="n"/>
      <c r="O356" s="239" t="n"/>
      <c r="P356" s="239" t="n"/>
      <c r="Q356" s="239" t="n"/>
      <c r="R356" s="239" t="n"/>
      <c r="S356" s="239" t="n"/>
      <c r="T356" s="239" t="n"/>
      <c r="U356" s="239" t="n"/>
      <c r="V356" s="239" t="n"/>
      <c r="W356" s="239" t="n"/>
      <c r="X356" s="239" t="n"/>
      <c r="Y356" s="239" t="n"/>
      <c r="Z356" s="239" t="n"/>
      <c r="AA356" s="239" t="n"/>
      <c r="AB356" s="239" t="n"/>
      <c r="AC356" s="239" t="n"/>
      <c r="AD356" s="239" t="n"/>
      <c r="AE356" s="239" t="n"/>
    </row>
    <row r="357">
      <c r="A357" s="239" t="n"/>
      <c r="B357" s="239" t="n"/>
      <c r="C357" s="239" t="n"/>
      <c r="D357" s="239" t="n"/>
      <c r="E357" s="239" t="n"/>
      <c r="F357" s="239" t="n"/>
      <c r="G357" s="239" t="n"/>
      <c r="H357" s="239" t="n"/>
      <c r="I357" s="239" t="n"/>
      <c r="J357" s="239" t="n"/>
      <c r="K357" s="239" t="n"/>
      <c r="L357" s="239" t="n"/>
      <c r="M357" s="239" t="n"/>
      <c r="N357" s="239" t="n"/>
      <c r="O357" s="239" t="n"/>
      <c r="P357" s="239" t="n"/>
      <c r="Q357" s="239" t="n"/>
      <c r="R357" s="239" t="n"/>
      <c r="S357" s="239" t="n"/>
      <c r="T357" s="239" t="n"/>
      <c r="U357" s="239" t="n"/>
      <c r="V357" s="239" t="n"/>
      <c r="W357" s="239" t="n"/>
      <c r="X357" s="239" t="n"/>
      <c r="Y357" s="239" t="n"/>
      <c r="Z357" s="239" t="n"/>
      <c r="AA357" s="239" t="n"/>
      <c r="AB357" s="239" t="n"/>
      <c r="AC357" s="239" t="n"/>
      <c r="AD357" s="239" t="n"/>
      <c r="AE357" s="239" t="n"/>
    </row>
    <row r="358">
      <c r="A358" s="239" t="n"/>
      <c r="B358" s="239" t="n"/>
      <c r="C358" s="239" t="n"/>
      <c r="D358" s="239" t="n"/>
      <c r="E358" s="239" t="n"/>
      <c r="F358" s="239" t="n"/>
      <c r="G358" s="239" t="n"/>
      <c r="H358" s="239" t="n"/>
      <c r="I358" s="239" t="n"/>
      <c r="J358" s="239" t="n"/>
      <c r="K358" s="239" t="n"/>
      <c r="L358" s="239" t="n"/>
      <c r="M358" s="239" t="n"/>
      <c r="N358" s="239" t="n"/>
      <c r="O358" s="239" t="n"/>
      <c r="P358" s="239" t="n"/>
      <c r="Q358" s="239" t="n"/>
      <c r="R358" s="239" t="n"/>
      <c r="S358" s="239" t="n"/>
      <c r="T358" s="239" t="n"/>
      <c r="U358" s="239" t="n"/>
      <c r="V358" s="239" t="n"/>
      <c r="W358" s="239" t="n"/>
      <c r="X358" s="239" t="n"/>
      <c r="Y358" s="239" t="n"/>
      <c r="Z358" s="239" t="n"/>
      <c r="AA358" s="239" t="n"/>
      <c r="AB358" s="239" t="n"/>
      <c r="AC358" s="239" t="n"/>
      <c r="AD358" s="239" t="n"/>
      <c r="AE358" s="239" t="n"/>
    </row>
    <row r="359">
      <c r="A359" s="239" t="n"/>
      <c r="B359" s="239" t="n"/>
      <c r="C359" s="239" t="n"/>
      <c r="D359" s="239" t="n"/>
      <c r="E359" s="239" t="n"/>
      <c r="F359" s="239" t="n"/>
      <c r="G359" s="239" t="n"/>
      <c r="H359" s="239" t="n"/>
      <c r="I359" s="239" t="n"/>
      <c r="J359" s="239" t="n"/>
      <c r="K359" s="239" t="n"/>
      <c r="L359" s="239" t="n"/>
      <c r="M359" s="239" t="n"/>
      <c r="N359" s="239" t="n"/>
      <c r="O359" s="239" t="n"/>
      <c r="P359" s="239" t="n"/>
      <c r="Q359" s="239" t="n"/>
      <c r="R359" s="239" t="n"/>
      <c r="S359" s="239" t="n"/>
      <c r="T359" s="239" t="n"/>
      <c r="U359" s="239" t="n"/>
      <c r="V359" s="239" t="n"/>
      <c r="W359" s="239" t="n"/>
      <c r="X359" s="239" t="n"/>
      <c r="Y359" s="239" t="n"/>
      <c r="Z359" s="239" t="n"/>
      <c r="AA359" s="239" t="n"/>
      <c r="AB359" s="239" t="n"/>
      <c r="AC359" s="239" t="n"/>
      <c r="AD359" s="239" t="n"/>
      <c r="AE359" s="239" t="n"/>
    </row>
    <row r="360">
      <c r="A360" s="239" t="n"/>
      <c r="B360" s="239" t="n"/>
      <c r="C360" s="239" t="n"/>
      <c r="D360" s="239" t="n"/>
      <c r="E360" s="239" t="n"/>
      <c r="F360" s="239" t="n"/>
      <c r="G360" s="239" t="n"/>
      <c r="H360" s="239" t="n"/>
      <c r="I360" s="239" t="n"/>
      <c r="J360" s="239" t="n"/>
      <c r="K360" s="239" t="n"/>
      <c r="L360" s="239" t="n"/>
      <c r="M360" s="239" t="n"/>
      <c r="N360" s="239" t="n"/>
      <c r="O360" s="239" t="n"/>
      <c r="P360" s="239" t="n"/>
      <c r="Q360" s="239" t="n"/>
      <c r="R360" s="239" t="n"/>
      <c r="S360" s="239" t="n"/>
      <c r="T360" s="239" t="n"/>
      <c r="U360" s="239" t="n"/>
      <c r="V360" s="239" t="n"/>
      <c r="W360" s="239" t="n"/>
      <c r="X360" s="239" t="n"/>
      <c r="Y360" s="239" t="n"/>
      <c r="Z360" s="239" t="n"/>
      <c r="AA360" s="239" t="n"/>
      <c r="AB360" s="239" t="n"/>
      <c r="AC360" s="239" t="n"/>
      <c r="AD360" s="239" t="n"/>
      <c r="AE360" s="239" t="n"/>
    </row>
    <row r="361">
      <c r="A361" s="239" t="n"/>
      <c r="B361" s="239" t="n"/>
      <c r="C361" s="239" t="n"/>
      <c r="D361" s="239" t="n"/>
      <c r="E361" s="239" t="n"/>
      <c r="F361" s="239" t="n"/>
      <c r="G361" s="239" t="n"/>
      <c r="H361" s="239" t="n"/>
      <c r="I361" s="239" t="n"/>
      <c r="J361" s="239" t="n"/>
      <c r="K361" s="239" t="n"/>
      <c r="L361" s="239" t="n"/>
      <c r="M361" s="239" t="n"/>
      <c r="N361" s="239" t="n"/>
      <c r="O361" s="239" t="n"/>
      <c r="P361" s="239" t="n"/>
      <c r="Q361" s="239" t="n"/>
      <c r="R361" s="239" t="n"/>
      <c r="S361" s="239" t="n"/>
      <c r="T361" s="239" t="n"/>
      <c r="U361" s="239" t="n"/>
      <c r="V361" s="239" t="n"/>
      <c r="W361" s="239" t="n"/>
      <c r="X361" s="239" t="n"/>
      <c r="Y361" s="239" t="n"/>
      <c r="Z361" s="239" t="n"/>
      <c r="AA361" s="239" t="n"/>
      <c r="AB361" s="239" t="n"/>
      <c r="AC361" s="239" t="n"/>
      <c r="AD361" s="239" t="n"/>
      <c r="AE361" s="239" t="n"/>
    </row>
    <row r="362">
      <c r="A362" s="239" t="n"/>
      <c r="B362" s="239" t="n"/>
      <c r="C362" s="239" t="n"/>
      <c r="D362" s="239" t="n"/>
      <c r="E362" s="239" t="n"/>
      <c r="F362" s="239" t="n"/>
      <c r="G362" s="239" t="n"/>
      <c r="H362" s="239" t="n"/>
      <c r="I362" s="239" t="n"/>
      <c r="J362" s="239" t="n"/>
      <c r="K362" s="239" t="n"/>
      <c r="L362" s="239" t="n"/>
      <c r="M362" s="239" t="n"/>
      <c r="N362" s="239" t="n"/>
      <c r="O362" s="239" t="n"/>
      <c r="P362" s="239" t="n"/>
      <c r="Q362" s="239" t="n"/>
      <c r="R362" s="239" t="n"/>
      <c r="S362" s="239" t="n"/>
      <c r="T362" s="239" t="n"/>
      <c r="U362" s="239" t="n"/>
      <c r="V362" s="239" t="n"/>
      <c r="W362" s="239" t="n"/>
      <c r="X362" s="239" t="n"/>
      <c r="Y362" s="239" t="n"/>
      <c r="Z362" s="239" t="n"/>
      <c r="AA362" s="239" t="n"/>
      <c r="AB362" s="239" t="n"/>
      <c r="AC362" s="239" t="n"/>
      <c r="AD362" s="239" t="n"/>
      <c r="AE362" s="239" t="n"/>
    </row>
    <row r="363">
      <c r="A363" s="239" t="n"/>
      <c r="B363" s="239" t="n"/>
      <c r="C363" s="239" t="n"/>
      <c r="D363" s="239" t="n"/>
      <c r="E363" s="239" t="n"/>
      <c r="F363" s="239" t="n"/>
      <c r="G363" s="239" t="n"/>
      <c r="H363" s="239" t="n"/>
      <c r="I363" s="239" t="n"/>
      <c r="J363" s="239" t="n"/>
      <c r="K363" s="239" t="n"/>
      <c r="L363" s="239" t="n"/>
      <c r="M363" s="239" t="n"/>
      <c r="N363" s="239" t="n"/>
      <c r="O363" s="239" t="n"/>
      <c r="P363" s="239" t="n"/>
      <c r="Q363" s="239" t="n"/>
      <c r="R363" s="239" t="n"/>
      <c r="S363" s="239" t="n"/>
      <c r="T363" s="239" t="n"/>
      <c r="U363" s="239" t="n"/>
      <c r="V363" s="239" t="n"/>
      <c r="W363" s="239" t="n"/>
      <c r="X363" s="239" t="n"/>
      <c r="Y363" s="239" t="n"/>
      <c r="Z363" s="239" t="n"/>
      <c r="AA363" s="239" t="n"/>
      <c r="AB363" s="239" t="n"/>
      <c r="AC363" s="239" t="n"/>
      <c r="AD363" s="239" t="n"/>
      <c r="AE363" s="239" t="n"/>
    </row>
    <row r="364">
      <c r="A364" s="239" t="n"/>
      <c r="B364" s="239" t="n"/>
      <c r="C364" s="239" t="n"/>
      <c r="D364" s="239" t="n"/>
      <c r="E364" s="239" t="n"/>
      <c r="F364" s="239" t="n"/>
      <c r="G364" s="239" t="n"/>
      <c r="H364" s="239" t="n"/>
      <c r="I364" s="239" t="n"/>
      <c r="J364" s="239" t="n"/>
      <c r="K364" s="239" t="n"/>
      <c r="L364" s="239" t="n"/>
      <c r="M364" s="239" t="n"/>
      <c r="N364" s="239" t="n"/>
      <c r="O364" s="239" t="n"/>
      <c r="P364" s="239" t="n"/>
      <c r="Q364" s="239" t="n"/>
      <c r="R364" s="239" t="n"/>
      <c r="S364" s="239" t="n"/>
      <c r="T364" s="239" t="n"/>
      <c r="U364" s="239" t="n"/>
      <c r="V364" s="239" t="n"/>
      <c r="W364" s="239" t="n"/>
      <c r="X364" s="239" t="n"/>
      <c r="Y364" s="239" t="n"/>
      <c r="Z364" s="239" t="n"/>
      <c r="AA364" s="239" t="n"/>
      <c r="AB364" s="239" t="n"/>
      <c r="AC364" s="239" t="n"/>
      <c r="AD364" s="239" t="n"/>
      <c r="AE364" s="239" t="n"/>
    </row>
    <row r="365">
      <c r="A365" s="239" t="n"/>
      <c r="B365" s="239" t="n"/>
      <c r="C365" s="239" t="n"/>
      <c r="D365" s="239" t="n"/>
      <c r="E365" s="239" t="n"/>
      <c r="F365" s="239" t="n"/>
      <c r="G365" s="239" t="n"/>
      <c r="H365" s="239" t="n"/>
      <c r="I365" s="239" t="n"/>
      <c r="J365" s="239" t="n"/>
      <c r="K365" s="239" t="n"/>
      <c r="L365" s="239" t="n"/>
      <c r="M365" s="239" t="n"/>
      <c r="N365" s="239" t="n"/>
      <c r="O365" s="239" t="n"/>
      <c r="P365" s="239" t="n"/>
      <c r="Q365" s="239" t="n"/>
      <c r="R365" s="239" t="n"/>
      <c r="S365" s="239" t="n"/>
      <c r="T365" s="239" t="n"/>
      <c r="U365" s="239" t="n"/>
      <c r="V365" s="239" t="n"/>
      <c r="W365" s="239" t="n"/>
      <c r="X365" s="239" t="n"/>
      <c r="Y365" s="239" t="n"/>
      <c r="Z365" s="239" t="n"/>
      <c r="AA365" s="239" t="n"/>
      <c r="AB365" s="239" t="n"/>
      <c r="AC365" s="239" t="n"/>
      <c r="AD365" s="239" t="n"/>
      <c r="AE365" s="239" t="n"/>
    </row>
    <row r="366">
      <c r="A366" s="239" t="n"/>
      <c r="B366" s="239" t="n"/>
      <c r="C366" s="239" t="n"/>
      <c r="D366" s="239" t="n"/>
      <c r="E366" s="239" t="n"/>
      <c r="F366" s="239" t="n"/>
      <c r="G366" s="239" t="n"/>
      <c r="H366" s="239" t="n"/>
      <c r="I366" s="239" t="n"/>
      <c r="J366" s="239" t="n"/>
      <c r="K366" s="239" t="n"/>
      <c r="L366" s="239" t="n"/>
      <c r="M366" s="239" t="n"/>
      <c r="N366" s="239" t="n"/>
      <c r="O366" s="239" t="n"/>
      <c r="P366" s="239" t="n"/>
      <c r="Q366" s="239" t="n"/>
      <c r="R366" s="239" t="n"/>
      <c r="S366" s="239" t="n"/>
      <c r="T366" s="239" t="n"/>
      <c r="U366" s="239" t="n"/>
      <c r="V366" s="239" t="n"/>
      <c r="W366" s="239" t="n"/>
      <c r="X366" s="239" t="n"/>
      <c r="Y366" s="239" t="n"/>
      <c r="Z366" s="239" t="n"/>
      <c r="AA366" s="239" t="n"/>
      <c r="AB366" s="239" t="n"/>
      <c r="AC366" s="239" t="n"/>
      <c r="AD366" s="239" t="n"/>
      <c r="AE366" s="239" t="n"/>
    </row>
    <row r="367">
      <c r="A367" s="239" t="n"/>
      <c r="B367" s="239" t="n"/>
      <c r="C367" s="239" t="n"/>
      <c r="D367" s="239" t="n"/>
      <c r="E367" s="239" t="n"/>
      <c r="F367" s="239" t="n"/>
      <c r="G367" s="239" t="n"/>
      <c r="H367" s="239" t="n"/>
      <c r="I367" s="239" t="n"/>
      <c r="J367" s="239" t="n"/>
      <c r="K367" s="239" t="n"/>
      <c r="L367" s="239" t="n"/>
      <c r="M367" s="239" t="n"/>
      <c r="N367" s="239" t="n"/>
      <c r="O367" s="239" t="n"/>
      <c r="P367" s="239" t="n"/>
      <c r="Q367" s="239" t="n"/>
      <c r="R367" s="239" t="n"/>
      <c r="S367" s="239" t="n"/>
      <c r="T367" s="239" t="n"/>
      <c r="U367" s="239" t="n"/>
      <c r="V367" s="239" t="n"/>
      <c r="W367" s="239" t="n"/>
      <c r="X367" s="239" t="n"/>
      <c r="Y367" s="239" t="n"/>
      <c r="Z367" s="239" t="n"/>
      <c r="AA367" s="239" t="n"/>
      <c r="AB367" s="239" t="n"/>
      <c r="AC367" s="239" t="n"/>
      <c r="AD367" s="239" t="n"/>
      <c r="AE367" s="239" t="n"/>
    </row>
    <row r="368">
      <c r="A368" s="239" t="n"/>
      <c r="B368" s="239" t="n"/>
      <c r="C368" s="239" t="n"/>
      <c r="D368" s="239" t="n"/>
      <c r="E368" s="239" t="n"/>
      <c r="F368" s="239" t="n"/>
      <c r="G368" s="239" t="n"/>
      <c r="H368" s="239" t="n"/>
      <c r="I368" s="239" t="n"/>
      <c r="J368" s="239" t="n"/>
      <c r="K368" s="239" t="n"/>
      <c r="L368" s="239" t="n"/>
      <c r="M368" s="239" t="n"/>
      <c r="N368" s="239" t="n"/>
      <c r="O368" s="239" t="n"/>
      <c r="P368" s="239" t="n"/>
      <c r="Q368" s="239" t="n"/>
      <c r="R368" s="239" t="n"/>
      <c r="S368" s="239" t="n"/>
      <c r="T368" s="239" t="n"/>
      <c r="U368" s="239" t="n"/>
      <c r="V368" s="239" t="n"/>
      <c r="W368" s="239" t="n"/>
      <c r="X368" s="239" t="n"/>
      <c r="Y368" s="239" t="n"/>
      <c r="Z368" s="239" t="n"/>
      <c r="AA368" s="239" t="n"/>
      <c r="AB368" s="239" t="n"/>
      <c r="AC368" s="239" t="n"/>
      <c r="AD368" s="239" t="n"/>
      <c r="AE368" s="239" t="n"/>
    </row>
    <row r="369">
      <c r="A369" s="239" t="n"/>
      <c r="B369" s="239" t="n"/>
      <c r="C369" s="239" t="n"/>
      <c r="D369" s="239" t="n"/>
      <c r="E369" s="239" t="n"/>
      <c r="F369" s="239" t="n"/>
      <c r="G369" s="239" t="n"/>
      <c r="H369" s="239" t="n"/>
      <c r="I369" s="239" t="n"/>
      <c r="J369" s="239" t="n"/>
      <c r="K369" s="239" t="n"/>
      <c r="L369" s="239" t="n"/>
      <c r="M369" s="239" t="n"/>
      <c r="N369" s="239" t="n"/>
      <c r="O369" s="239" t="n"/>
      <c r="P369" s="239" t="n"/>
      <c r="Q369" s="239" t="n"/>
      <c r="R369" s="239" t="n"/>
      <c r="S369" s="239" t="n"/>
      <c r="T369" s="239" t="n"/>
      <c r="U369" s="239" t="n"/>
      <c r="V369" s="239" t="n"/>
      <c r="W369" s="239" t="n"/>
      <c r="X369" s="239" t="n"/>
      <c r="Y369" s="239" t="n"/>
      <c r="Z369" s="239" t="n"/>
      <c r="AA369" s="239" t="n"/>
      <c r="AB369" s="239" t="n"/>
      <c r="AC369" s="239" t="n"/>
      <c r="AD369" s="239" t="n"/>
      <c r="AE369" s="239" t="n"/>
    </row>
    <row r="370">
      <c r="A370" s="239" t="n"/>
      <c r="B370" s="239" t="n"/>
      <c r="C370" s="239" t="n"/>
      <c r="D370" s="239" t="n"/>
      <c r="E370" s="239" t="n"/>
      <c r="F370" s="239" t="n"/>
      <c r="G370" s="239" t="n"/>
      <c r="H370" s="239" t="n"/>
      <c r="I370" s="239" t="n"/>
      <c r="J370" s="239" t="n"/>
      <c r="K370" s="239" t="n"/>
      <c r="L370" s="239" t="n"/>
      <c r="M370" s="239" t="n"/>
      <c r="N370" s="239" t="n"/>
      <c r="O370" s="239" t="n"/>
      <c r="P370" s="239" t="n"/>
      <c r="Q370" s="239" t="n"/>
      <c r="R370" s="239" t="n"/>
      <c r="S370" s="239" t="n"/>
      <c r="T370" s="239" t="n"/>
      <c r="U370" s="239" t="n"/>
      <c r="V370" s="239" t="n"/>
      <c r="W370" s="239" t="n"/>
      <c r="X370" s="239" t="n"/>
      <c r="Y370" s="239" t="n"/>
      <c r="Z370" s="239" t="n"/>
      <c r="AA370" s="239" t="n"/>
      <c r="AB370" s="239" t="n"/>
      <c r="AC370" s="239" t="n"/>
      <c r="AD370" s="239" t="n"/>
      <c r="AE370" s="239" t="n"/>
    </row>
    <row r="371">
      <c r="A371" s="239" t="n"/>
      <c r="B371" s="239" t="n"/>
      <c r="C371" s="239" t="n"/>
      <c r="D371" s="239" t="n"/>
      <c r="E371" s="239" t="n"/>
      <c r="F371" s="239" t="n"/>
      <c r="G371" s="239" t="n"/>
      <c r="H371" s="239" t="n"/>
      <c r="I371" s="239" t="n"/>
      <c r="J371" s="239" t="n"/>
      <c r="K371" s="239" t="n"/>
      <c r="L371" s="239" t="n"/>
      <c r="M371" s="239" t="n"/>
      <c r="N371" s="239" t="n"/>
      <c r="O371" s="239" t="n"/>
      <c r="P371" s="239" t="n"/>
      <c r="Q371" s="239" t="n"/>
      <c r="R371" s="239" t="n"/>
      <c r="S371" s="239" t="n"/>
      <c r="T371" s="239" t="n"/>
      <c r="U371" s="239" t="n"/>
      <c r="V371" s="239" t="n"/>
      <c r="W371" s="239" t="n"/>
      <c r="X371" s="239" t="n"/>
      <c r="Y371" s="239" t="n"/>
      <c r="Z371" s="239" t="n"/>
      <c r="AA371" s="239" t="n"/>
      <c r="AB371" s="239" t="n"/>
      <c r="AC371" s="239" t="n"/>
      <c r="AD371" s="239" t="n"/>
      <c r="AE371" s="239" t="n"/>
    </row>
    <row r="372">
      <c r="A372" s="239" t="n"/>
      <c r="B372" s="239" t="n"/>
      <c r="C372" s="239" t="n"/>
      <c r="D372" s="239" t="n"/>
      <c r="E372" s="239" t="n"/>
      <c r="F372" s="239" t="n"/>
      <c r="G372" s="239" t="n"/>
      <c r="H372" s="239" t="n"/>
      <c r="I372" s="239" t="n"/>
      <c r="J372" s="239" t="n"/>
      <c r="K372" s="239" t="n"/>
      <c r="L372" s="239" t="n"/>
      <c r="M372" s="239" t="n"/>
      <c r="N372" s="239" t="n"/>
      <c r="O372" s="239" t="n"/>
      <c r="P372" s="239" t="n"/>
      <c r="Q372" s="239" t="n"/>
      <c r="R372" s="239" t="n"/>
      <c r="S372" s="239" t="n"/>
      <c r="T372" s="239" t="n"/>
      <c r="U372" s="239" t="n"/>
      <c r="V372" s="239" t="n"/>
      <c r="W372" s="239" t="n"/>
      <c r="X372" s="239" t="n"/>
      <c r="Y372" s="239" t="n"/>
      <c r="Z372" s="239" t="n"/>
      <c r="AA372" s="239" t="n"/>
      <c r="AB372" s="239" t="n"/>
      <c r="AC372" s="239" t="n"/>
      <c r="AD372" s="239" t="n"/>
      <c r="AE372" s="239" t="n"/>
    </row>
    <row r="373">
      <c r="A373" s="239" t="n"/>
      <c r="B373" s="239" t="n"/>
      <c r="C373" s="239" t="n"/>
      <c r="D373" s="239" t="n"/>
      <c r="E373" s="239" t="n"/>
      <c r="F373" s="239" t="n"/>
      <c r="G373" s="239" t="n"/>
      <c r="H373" s="239" t="n"/>
      <c r="I373" s="239" t="n"/>
      <c r="J373" s="239" t="n"/>
      <c r="K373" s="239" t="n"/>
      <c r="L373" s="239" t="n"/>
      <c r="M373" s="239" t="n"/>
      <c r="N373" s="239" t="n"/>
      <c r="O373" s="239" t="n"/>
      <c r="P373" s="239" t="n"/>
      <c r="Q373" s="239" t="n"/>
      <c r="R373" s="239" t="n"/>
      <c r="S373" s="239" t="n"/>
      <c r="T373" s="239" t="n"/>
      <c r="U373" s="239" t="n"/>
      <c r="V373" s="239" t="n"/>
      <c r="W373" s="239" t="n"/>
      <c r="X373" s="239" t="n"/>
      <c r="Y373" s="239" t="n"/>
      <c r="Z373" s="239" t="n"/>
      <c r="AA373" s="239" t="n"/>
      <c r="AB373" s="239" t="n"/>
      <c r="AC373" s="239" t="n"/>
      <c r="AD373" s="239" t="n"/>
      <c r="AE373" s="239" t="n"/>
    </row>
    <row r="374">
      <c r="A374" s="239" t="n"/>
      <c r="B374" s="239" t="n"/>
      <c r="C374" s="239" t="n"/>
      <c r="D374" s="239" t="n"/>
      <c r="E374" s="239" t="n"/>
      <c r="F374" s="239" t="n"/>
      <c r="G374" s="239" t="n"/>
      <c r="H374" s="239" t="n"/>
      <c r="I374" s="239" t="n"/>
      <c r="J374" s="239" t="n"/>
      <c r="K374" s="239" t="n"/>
      <c r="L374" s="239" t="n"/>
      <c r="M374" s="239" t="n"/>
      <c r="N374" s="239" t="n"/>
      <c r="O374" s="239" t="n"/>
      <c r="P374" s="239" t="n"/>
      <c r="Q374" s="239" t="n"/>
      <c r="R374" s="239" t="n"/>
      <c r="S374" s="239" t="n"/>
      <c r="T374" s="239" t="n"/>
      <c r="U374" s="239" t="n"/>
      <c r="V374" s="239" t="n"/>
      <c r="W374" s="239" t="n"/>
      <c r="X374" s="239" t="n"/>
      <c r="Y374" s="239" t="n"/>
      <c r="Z374" s="239" t="n"/>
      <c r="AA374" s="239" t="n"/>
      <c r="AB374" s="239" t="n"/>
      <c r="AC374" s="239" t="n"/>
      <c r="AD374" s="239" t="n"/>
      <c r="AE374" s="239" t="n"/>
    </row>
    <row r="375">
      <c r="A375" s="239" t="n"/>
      <c r="B375" s="239" t="n"/>
      <c r="C375" s="239" t="n"/>
      <c r="D375" s="239" t="n"/>
      <c r="E375" s="239" t="n"/>
      <c r="F375" s="239" t="n"/>
      <c r="G375" s="239" t="n"/>
      <c r="H375" s="239" t="n"/>
      <c r="I375" s="239" t="n"/>
      <c r="J375" s="239" t="n"/>
      <c r="K375" s="239" t="n"/>
      <c r="L375" s="239" t="n"/>
      <c r="M375" s="239" t="n"/>
      <c r="N375" s="239" t="n"/>
      <c r="O375" s="239" t="n"/>
      <c r="P375" s="239" t="n"/>
      <c r="Q375" s="239" t="n"/>
      <c r="R375" s="239" t="n"/>
      <c r="S375" s="239" t="n"/>
      <c r="T375" s="239" t="n"/>
      <c r="U375" s="239" t="n"/>
      <c r="V375" s="239" t="n"/>
      <c r="W375" s="239" t="n"/>
      <c r="X375" s="239" t="n"/>
      <c r="Y375" s="239" t="n"/>
      <c r="Z375" s="239" t="n"/>
      <c r="AA375" s="239" t="n"/>
      <c r="AB375" s="239" t="n"/>
      <c r="AC375" s="239" t="n"/>
      <c r="AD375" s="239" t="n"/>
      <c r="AE375" s="239" t="n"/>
    </row>
    <row r="376">
      <c r="A376" s="239" t="n"/>
      <c r="B376" s="239" t="n"/>
      <c r="C376" s="239" t="n"/>
      <c r="D376" s="239" t="n"/>
      <c r="E376" s="239" t="n"/>
      <c r="F376" s="239" t="n"/>
      <c r="G376" s="239" t="n"/>
      <c r="H376" s="239" t="n"/>
      <c r="I376" s="239" t="n"/>
      <c r="J376" s="239" t="n"/>
      <c r="K376" s="239" t="n"/>
      <c r="L376" s="239" t="n"/>
      <c r="M376" s="239" t="n"/>
      <c r="N376" s="239" t="n"/>
      <c r="O376" s="239" t="n"/>
      <c r="P376" s="239" t="n"/>
      <c r="Q376" s="239" t="n"/>
      <c r="R376" s="239" t="n"/>
      <c r="S376" s="239" t="n"/>
      <c r="T376" s="239" t="n"/>
      <c r="U376" s="239" t="n"/>
      <c r="V376" s="239" t="n"/>
      <c r="W376" s="239" t="n"/>
      <c r="X376" s="239" t="n"/>
      <c r="Y376" s="239" t="n"/>
      <c r="Z376" s="239" t="n"/>
      <c r="AA376" s="239" t="n"/>
      <c r="AB376" s="239" t="n"/>
      <c r="AC376" s="239" t="n"/>
      <c r="AD376" s="239" t="n"/>
      <c r="AE376" s="239" t="n"/>
    </row>
    <row r="377">
      <c r="A377" s="239" t="n"/>
      <c r="B377" s="239" t="n"/>
      <c r="C377" s="239" t="n"/>
      <c r="D377" s="239" t="n"/>
      <c r="E377" s="239" t="n"/>
      <c r="F377" s="239" t="n"/>
      <c r="G377" s="239" t="n"/>
      <c r="H377" s="239" t="n"/>
      <c r="I377" s="239" t="n"/>
      <c r="J377" s="239" t="n"/>
      <c r="K377" s="239" t="n"/>
      <c r="L377" s="239" t="n"/>
      <c r="M377" s="239" t="n"/>
      <c r="N377" s="239" t="n"/>
      <c r="O377" s="239" t="n"/>
      <c r="P377" s="239" t="n"/>
      <c r="Q377" s="239" t="n"/>
      <c r="R377" s="239" t="n"/>
      <c r="S377" s="239" t="n"/>
      <c r="T377" s="239" t="n"/>
      <c r="U377" s="239" t="n"/>
      <c r="V377" s="239" t="n"/>
      <c r="W377" s="239" t="n"/>
      <c r="X377" s="239" t="n"/>
      <c r="Y377" s="239" t="n"/>
      <c r="Z377" s="239" t="n"/>
      <c r="AA377" s="239" t="n"/>
      <c r="AB377" s="239" t="n"/>
      <c r="AC377" s="239" t="n"/>
      <c r="AD377" s="239" t="n"/>
      <c r="AE377" s="239" t="n"/>
    </row>
    <row r="378">
      <c r="A378" s="239" t="n"/>
      <c r="B378" s="239" t="n"/>
      <c r="C378" s="239" t="n"/>
      <c r="D378" s="239" t="n"/>
      <c r="E378" s="239" t="n"/>
      <c r="F378" s="239" t="n"/>
      <c r="G378" s="239" t="n"/>
      <c r="H378" s="239" t="n"/>
      <c r="I378" s="239" t="n"/>
      <c r="J378" s="239" t="n"/>
      <c r="K378" s="239" t="n"/>
      <c r="L378" s="239" t="n"/>
      <c r="M378" s="239" t="n"/>
      <c r="N378" s="239" t="n"/>
      <c r="O378" s="239" t="n"/>
      <c r="P378" s="239" t="n"/>
      <c r="Q378" s="239" t="n"/>
      <c r="R378" s="239" t="n"/>
      <c r="S378" s="239" t="n"/>
      <c r="T378" s="239" t="n"/>
      <c r="U378" s="239" t="n"/>
      <c r="V378" s="239" t="n"/>
      <c r="W378" s="239" t="n"/>
      <c r="X378" s="239" t="n"/>
      <c r="Y378" s="239" t="n"/>
      <c r="Z378" s="239" t="n"/>
      <c r="AA378" s="239" t="n"/>
      <c r="AB378" s="239" t="n"/>
      <c r="AC378" s="239" t="n"/>
      <c r="AD378" s="239" t="n"/>
      <c r="AE378" s="239" t="n"/>
    </row>
    <row r="379">
      <c r="A379" s="239" t="n"/>
      <c r="B379" s="239" t="n"/>
      <c r="C379" s="239" t="n"/>
      <c r="D379" s="239" t="n"/>
      <c r="E379" s="239" t="n"/>
      <c r="F379" s="239" t="n"/>
      <c r="G379" s="239" t="n"/>
      <c r="H379" s="239" t="n"/>
      <c r="I379" s="239" t="n"/>
      <c r="J379" s="239" t="n"/>
      <c r="K379" s="239" t="n"/>
      <c r="L379" s="239" t="n"/>
      <c r="M379" s="239" t="n"/>
      <c r="N379" s="239" t="n"/>
      <c r="O379" s="239" t="n"/>
      <c r="P379" s="239" t="n"/>
      <c r="Q379" s="239" t="n"/>
      <c r="R379" s="239" t="n"/>
      <c r="S379" s="239" t="n"/>
      <c r="T379" s="239" t="n"/>
      <c r="U379" s="239" t="n"/>
      <c r="V379" s="239" t="n"/>
      <c r="W379" s="239" t="n"/>
      <c r="X379" s="239" t="n"/>
      <c r="Y379" s="239" t="n"/>
      <c r="Z379" s="239" t="n"/>
      <c r="AA379" s="239" t="n"/>
      <c r="AB379" s="239" t="n"/>
      <c r="AC379" s="239" t="n"/>
      <c r="AD379" s="239" t="n"/>
      <c r="AE379" s="239" t="n"/>
    </row>
    <row r="380">
      <c r="A380" s="239" t="n"/>
      <c r="B380" s="239" t="n"/>
      <c r="C380" s="239" t="n"/>
      <c r="D380" s="239" t="n"/>
      <c r="E380" s="239" t="n"/>
      <c r="F380" s="239" t="n"/>
      <c r="G380" s="239" t="n"/>
      <c r="H380" s="239" t="n"/>
      <c r="I380" s="239" t="n"/>
      <c r="J380" s="239" t="n"/>
      <c r="K380" s="239" t="n"/>
      <c r="L380" s="239" t="n"/>
      <c r="M380" s="239" t="n"/>
      <c r="N380" s="239" t="n"/>
      <c r="O380" s="239" t="n"/>
      <c r="P380" s="239" t="n"/>
      <c r="Q380" s="239" t="n"/>
      <c r="R380" s="239" t="n"/>
      <c r="S380" s="239" t="n"/>
      <c r="T380" s="239" t="n"/>
      <c r="U380" s="239" t="n"/>
      <c r="V380" s="239" t="n"/>
      <c r="W380" s="239" t="n"/>
      <c r="X380" s="239" t="n"/>
      <c r="Y380" s="239" t="n"/>
      <c r="Z380" s="239" t="n"/>
      <c r="AA380" s="239" t="n"/>
      <c r="AB380" s="239" t="n"/>
      <c r="AC380" s="239" t="n"/>
      <c r="AD380" s="239" t="n"/>
      <c r="AE380" s="239" t="n"/>
    </row>
    <row r="381">
      <c r="A381" s="239" t="n"/>
      <c r="B381" s="239" t="n"/>
      <c r="C381" s="239" t="n"/>
      <c r="D381" s="239" t="n"/>
      <c r="E381" s="239" t="n"/>
      <c r="F381" s="239" t="n"/>
      <c r="G381" s="239" t="n"/>
      <c r="H381" s="239" t="n"/>
      <c r="I381" s="239" t="n"/>
      <c r="J381" s="239" t="n"/>
      <c r="K381" s="239" t="n"/>
      <c r="L381" s="239" t="n"/>
      <c r="M381" s="239" t="n"/>
      <c r="N381" s="239" t="n"/>
      <c r="O381" s="239" t="n"/>
      <c r="P381" s="239" t="n"/>
      <c r="Q381" s="239" t="n"/>
      <c r="R381" s="239" t="n"/>
      <c r="S381" s="239" t="n"/>
      <c r="T381" s="239" t="n"/>
      <c r="U381" s="239" t="n"/>
      <c r="V381" s="239" t="n"/>
      <c r="W381" s="239" t="n"/>
      <c r="X381" s="239" t="n"/>
      <c r="Y381" s="239" t="n"/>
      <c r="Z381" s="239" t="n"/>
      <c r="AA381" s="239" t="n"/>
      <c r="AB381" s="239" t="n"/>
      <c r="AC381" s="239" t="n"/>
      <c r="AD381" s="239" t="n"/>
      <c r="AE381" s="239" t="n"/>
    </row>
    <row r="382">
      <c r="A382" s="239" t="n"/>
      <c r="B382" s="239" t="n"/>
      <c r="C382" s="239" t="n"/>
      <c r="D382" s="239" t="n"/>
      <c r="E382" s="239" t="n"/>
      <c r="F382" s="239" t="n"/>
      <c r="G382" s="239" t="n"/>
      <c r="H382" s="239" t="n"/>
      <c r="I382" s="239" t="n"/>
      <c r="J382" s="239" t="n"/>
      <c r="K382" s="239" t="n"/>
      <c r="L382" s="239" t="n"/>
      <c r="M382" s="239" t="n"/>
      <c r="N382" s="239" t="n"/>
      <c r="O382" s="239" t="n"/>
      <c r="P382" s="239" t="n"/>
      <c r="Q382" s="239" t="n"/>
      <c r="R382" s="239" t="n"/>
      <c r="S382" s="239" t="n"/>
      <c r="T382" s="239" t="n"/>
      <c r="U382" s="239" t="n"/>
      <c r="V382" s="239" t="n"/>
      <c r="W382" s="239" t="n"/>
      <c r="X382" s="239" t="n"/>
      <c r="Y382" s="239" t="n"/>
      <c r="Z382" s="239" t="n"/>
      <c r="AA382" s="239" t="n"/>
      <c r="AB382" s="239" t="n"/>
      <c r="AC382" s="239" t="n"/>
      <c r="AD382" s="239" t="n"/>
      <c r="AE382" s="239" t="n"/>
    </row>
    <row r="383">
      <c r="A383" s="239" t="n"/>
      <c r="B383" s="239" t="n"/>
      <c r="C383" s="239" t="n"/>
      <c r="D383" s="239" t="n"/>
      <c r="E383" s="239" t="n"/>
      <c r="F383" s="239" t="n"/>
      <c r="G383" s="239" t="n"/>
      <c r="H383" s="239" t="n"/>
      <c r="I383" s="239" t="n"/>
      <c r="J383" s="239" t="n"/>
      <c r="K383" s="239" t="n"/>
      <c r="L383" s="239" t="n"/>
      <c r="M383" s="239" t="n"/>
      <c r="N383" s="239" t="n"/>
      <c r="O383" s="239" t="n"/>
      <c r="P383" s="239" t="n"/>
      <c r="Q383" s="239" t="n"/>
      <c r="R383" s="239" t="n"/>
      <c r="S383" s="239" t="n"/>
      <c r="T383" s="239" t="n"/>
      <c r="U383" s="239" t="n"/>
      <c r="V383" s="239" t="n"/>
      <c r="W383" s="239" t="n"/>
      <c r="X383" s="239" t="n"/>
      <c r="Y383" s="239" t="n"/>
      <c r="Z383" s="239" t="n"/>
      <c r="AA383" s="239" t="n"/>
      <c r="AB383" s="239" t="n"/>
      <c r="AC383" s="239" t="n"/>
      <c r="AD383" s="239" t="n"/>
      <c r="AE383" s="239" t="n"/>
    </row>
    <row r="384">
      <c r="A384" s="239" t="n"/>
      <c r="B384" s="239" t="n"/>
      <c r="C384" s="239" t="n"/>
      <c r="D384" s="239" t="n"/>
      <c r="E384" s="239" t="n"/>
      <c r="F384" s="239" t="n"/>
      <c r="G384" s="239" t="n"/>
      <c r="H384" s="239" t="n"/>
      <c r="I384" s="239" t="n"/>
      <c r="J384" s="239" t="n"/>
      <c r="K384" s="239" t="n"/>
      <c r="L384" s="239" t="n"/>
      <c r="M384" s="239" t="n"/>
      <c r="N384" s="239" t="n"/>
      <c r="O384" s="239" t="n"/>
      <c r="P384" s="239" t="n"/>
      <c r="Q384" s="239" t="n"/>
      <c r="R384" s="239" t="n"/>
      <c r="S384" s="239" t="n"/>
      <c r="T384" s="239" t="n"/>
      <c r="U384" s="239" t="n"/>
      <c r="V384" s="239" t="n"/>
      <c r="W384" s="239" t="n"/>
      <c r="X384" s="239" t="n"/>
      <c r="Y384" s="239" t="n"/>
      <c r="Z384" s="239" t="n"/>
      <c r="AA384" s="239" t="n"/>
      <c r="AB384" s="239" t="n"/>
      <c r="AC384" s="239" t="n"/>
      <c r="AD384" s="239" t="n"/>
      <c r="AE384" s="239" t="n"/>
    </row>
    <row r="385">
      <c r="A385" s="239" t="n"/>
      <c r="B385" s="239" t="n"/>
      <c r="C385" s="239" t="n"/>
      <c r="D385" s="239" t="n"/>
      <c r="E385" s="239" t="n"/>
      <c r="F385" s="239" t="n"/>
      <c r="G385" s="239" t="n"/>
      <c r="H385" s="239" t="n"/>
      <c r="I385" s="239" t="n"/>
      <c r="J385" s="239" t="n"/>
      <c r="K385" s="239" t="n"/>
      <c r="L385" s="239" t="n"/>
      <c r="M385" s="239" t="n"/>
      <c r="N385" s="239" t="n"/>
      <c r="O385" s="239" t="n"/>
      <c r="P385" s="239" t="n"/>
      <c r="Q385" s="239" t="n"/>
      <c r="R385" s="239" t="n"/>
      <c r="S385" s="239" t="n"/>
      <c r="T385" s="239" t="n"/>
      <c r="U385" s="239" t="n"/>
      <c r="V385" s="239" t="n"/>
      <c r="W385" s="239" t="n"/>
      <c r="X385" s="239" t="n"/>
      <c r="Y385" s="239" t="n"/>
      <c r="Z385" s="239" t="n"/>
      <c r="AA385" s="239" t="n"/>
      <c r="AB385" s="239" t="n"/>
      <c r="AC385" s="239" t="n"/>
      <c r="AD385" s="239" t="n"/>
      <c r="AE385" s="239" t="n"/>
    </row>
    <row r="386">
      <c r="A386" s="239" t="n"/>
      <c r="B386" s="239" t="n"/>
      <c r="C386" s="239" t="n"/>
      <c r="D386" s="239" t="n"/>
      <c r="E386" s="239" t="n"/>
      <c r="F386" s="239" t="n"/>
      <c r="G386" s="239" t="n"/>
      <c r="H386" s="239" t="n"/>
      <c r="I386" s="239" t="n"/>
      <c r="J386" s="239" t="n"/>
      <c r="K386" s="239" t="n"/>
      <c r="L386" s="239" t="n"/>
      <c r="M386" s="239" t="n"/>
      <c r="N386" s="239" t="n"/>
      <c r="O386" s="239" t="n"/>
      <c r="P386" s="239" t="n"/>
      <c r="Q386" s="239" t="n"/>
      <c r="R386" s="239" t="n"/>
      <c r="S386" s="239" t="n"/>
      <c r="T386" s="239" t="n"/>
      <c r="U386" s="239" t="n"/>
      <c r="V386" s="239" t="n"/>
      <c r="W386" s="239" t="n"/>
      <c r="X386" s="239" t="n"/>
      <c r="Y386" s="239" t="n"/>
      <c r="Z386" s="239" t="n"/>
      <c r="AA386" s="239" t="n"/>
      <c r="AB386" s="239" t="n"/>
      <c r="AC386" s="239" t="n"/>
      <c r="AD386" s="239" t="n"/>
      <c r="AE386" s="239" t="n"/>
    </row>
    <row r="387">
      <c r="A387" s="239" t="n"/>
      <c r="B387" s="239" t="n"/>
      <c r="C387" s="239" t="n"/>
      <c r="D387" s="239" t="n"/>
      <c r="E387" s="239" t="n"/>
      <c r="F387" s="239" t="n"/>
      <c r="G387" s="239" t="n"/>
      <c r="H387" s="239" t="n"/>
      <c r="I387" s="239" t="n"/>
      <c r="J387" s="239" t="n"/>
      <c r="K387" s="239" t="n"/>
      <c r="L387" s="239" t="n"/>
      <c r="M387" s="239" t="n"/>
      <c r="N387" s="239" t="n"/>
      <c r="O387" s="239" t="n"/>
      <c r="P387" s="239" t="n"/>
      <c r="Q387" s="239" t="n"/>
      <c r="R387" s="239" t="n"/>
      <c r="S387" s="239" t="n"/>
      <c r="T387" s="239" t="n"/>
      <c r="U387" s="239" t="n"/>
      <c r="V387" s="239" t="n"/>
      <c r="W387" s="239" t="n"/>
      <c r="X387" s="239" t="n"/>
      <c r="Y387" s="239" t="n"/>
      <c r="Z387" s="239" t="n"/>
      <c r="AA387" s="239" t="n"/>
      <c r="AB387" s="239" t="n"/>
      <c r="AC387" s="239" t="n"/>
      <c r="AD387" s="239" t="n"/>
      <c r="AE387" s="239" t="n"/>
    </row>
    <row r="388">
      <c r="A388" s="239" t="n"/>
      <c r="B388" s="239" t="n"/>
      <c r="C388" s="239" t="n"/>
      <c r="D388" s="239" t="n"/>
      <c r="E388" s="239" t="n"/>
      <c r="F388" s="239" t="n"/>
      <c r="G388" s="239" t="n"/>
      <c r="H388" s="239" t="n"/>
      <c r="I388" s="239" t="n"/>
      <c r="J388" s="239" t="n"/>
      <c r="K388" s="239" t="n"/>
      <c r="L388" s="239" t="n"/>
      <c r="M388" s="239" t="n"/>
      <c r="N388" s="239" t="n"/>
      <c r="O388" s="239" t="n"/>
      <c r="P388" s="239" t="n"/>
      <c r="Q388" s="239" t="n"/>
      <c r="R388" s="239" t="n"/>
      <c r="S388" s="239" t="n"/>
      <c r="T388" s="239" t="n"/>
      <c r="U388" s="239" t="n"/>
      <c r="V388" s="239" t="n"/>
      <c r="W388" s="239" t="n"/>
      <c r="X388" s="239" t="n"/>
      <c r="Y388" s="239" t="n"/>
      <c r="Z388" s="239" t="n"/>
      <c r="AA388" s="239" t="n"/>
      <c r="AB388" s="239" t="n"/>
      <c r="AC388" s="239" t="n"/>
      <c r="AD388" s="239" t="n"/>
      <c r="AE388" s="239" t="n"/>
    </row>
    <row r="389">
      <c r="A389" s="239" t="n"/>
      <c r="B389" s="239" t="n"/>
      <c r="C389" s="239" t="n"/>
      <c r="D389" s="239" t="n"/>
      <c r="E389" s="239" t="n"/>
      <c r="F389" s="239" t="n"/>
      <c r="G389" s="239" t="n"/>
      <c r="H389" s="239" t="n"/>
      <c r="I389" s="239" t="n"/>
      <c r="J389" s="239" t="n"/>
      <c r="K389" s="239" t="n"/>
      <c r="L389" s="239" t="n"/>
      <c r="M389" s="239" t="n"/>
      <c r="N389" s="239" t="n"/>
      <c r="O389" s="239" t="n"/>
      <c r="P389" s="239" t="n"/>
      <c r="Q389" s="239" t="n"/>
      <c r="R389" s="239" t="n"/>
      <c r="S389" s="239" t="n"/>
      <c r="T389" s="239" t="n"/>
      <c r="U389" s="239" t="n"/>
      <c r="V389" s="239" t="n"/>
      <c r="W389" s="239" t="n"/>
      <c r="X389" s="239" t="n"/>
      <c r="Y389" s="239" t="n"/>
      <c r="Z389" s="239" t="n"/>
      <c r="AA389" s="239" t="n"/>
      <c r="AB389" s="239" t="n"/>
      <c r="AC389" s="239" t="n"/>
      <c r="AD389" s="239" t="n"/>
      <c r="AE389" s="239" t="n"/>
    </row>
    <row r="390">
      <c r="A390" s="239" t="n"/>
      <c r="B390" s="239" t="n"/>
      <c r="C390" s="239" t="n"/>
      <c r="D390" s="239" t="n"/>
      <c r="E390" s="239" t="n"/>
      <c r="F390" s="239" t="n"/>
      <c r="G390" s="239" t="n"/>
      <c r="H390" s="239" t="n"/>
      <c r="I390" s="239" t="n"/>
      <c r="J390" s="239" t="n"/>
      <c r="K390" s="239" t="n"/>
      <c r="L390" s="239" t="n"/>
      <c r="M390" s="239" t="n"/>
      <c r="N390" s="239" t="n"/>
      <c r="O390" s="239" t="n"/>
      <c r="P390" s="239" t="n"/>
      <c r="Q390" s="239" t="n"/>
      <c r="R390" s="239" t="n"/>
      <c r="S390" s="239" t="n"/>
      <c r="T390" s="239" t="n"/>
      <c r="U390" s="239" t="n"/>
      <c r="V390" s="239" t="n"/>
      <c r="W390" s="239" t="n"/>
      <c r="X390" s="239" t="n"/>
      <c r="Y390" s="239" t="n"/>
      <c r="Z390" s="239" t="n"/>
      <c r="AA390" s="239" t="n"/>
      <c r="AB390" s="239" t="n"/>
      <c r="AC390" s="239" t="n"/>
      <c r="AD390" s="239" t="n"/>
      <c r="AE390" s="239" t="n"/>
    </row>
    <row r="391">
      <c r="A391" s="239" t="n"/>
      <c r="B391" s="239" t="n"/>
      <c r="C391" s="239" t="n"/>
      <c r="D391" s="239" t="n"/>
      <c r="E391" s="239" t="n"/>
      <c r="F391" s="239" t="n"/>
      <c r="G391" s="239" t="n"/>
      <c r="H391" s="239" t="n"/>
      <c r="I391" s="239" t="n"/>
      <c r="J391" s="239" t="n"/>
      <c r="K391" s="239" t="n"/>
      <c r="L391" s="239" t="n"/>
      <c r="M391" s="239" t="n"/>
      <c r="N391" s="239" t="n"/>
      <c r="O391" s="239" t="n"/>
      <c r="P391" s="239" t="n"/>
      <c r="Q391" s="239" t="n"/>
      <c r="R391" s="239" t="n"/>
      <c r="S391" s="239" t="n"/>
      <c r="T391" s="239" t="n"/>
      <c r="U391" s="239" t="n"/>
      <c r="V391" s="239" t="n"/>
      <c r="W391" s="239" t="n"/>
      <c r="X391" s="239" t="n"/>
      <c r="Y391" s="239" t="n"/>
      <c r="Z391" s="239" t="n"/>
      <c r="AA391" s="239" t="n"/>
      <c r="AB391" s="239" t="n"/>
      <c r="AC391" s="239" t="n"/>
      <c r="AD391" s="239" t="n"/>
      <c r="AE391" s="239" t="n"/>
    </row>
    <row r="392">
      <c r="A392" s="239" t="n"/>
      <c r="B392" s="239" t="n"/>
      <c r="C392" s="239" t="n"/>
      <c r="D392" s="239" t="n"/>
      <c r="E392" s="239" t="n"/>
      <c r="F392" s="239" t="n"/>
      <c r="G392" s="239" t="n"/>
      <c r="H392" s="239" t="n"/>
      <c r="I392" s="239" t="n"/>
      <c r="J392" s="239" t="n"/>
      <c r="K392" s="239" t="n"/>
      <c r="L392" s="239" t="n"/>
      <c r="M392" s="239" t="n"/>
      <c r="N392" s="239" t="n"/>
      <c r="O392" s="239" t="n"/>
      <c r="P392" s="239" t="n"/>
      <c r="Q392" s="239" t="n"/>
      <c r="R392" s="239" t="n"/>
      <c r="S392" s="239" t="n"/>
      <c r="T392" s="239" t="n"/>
      <c r="U392" s="239" t="n"/>
      <c r="V392" s="239" t="n"/>
      <c r="W392" s="239" t="n"/>
      <c r="X392" s="239" t="n"/>
      <c r="Y392" s="239" t="n"/>
      <c r="Z392" s="239" t="n"/>
      <c r="AA392" s="239" t="n"/>
      <c r="AB392" s="239" t="n"/>
      <c r="AC392" s="239" t="n"/>
      <c r="AD392" s="239" t="n"/>
      <c r="AE392" s="239" t="n"/>
    </row>
    <row r="393">
      <c r="A393" s="239" t="n"/>
      <c r="B393" s="239" t="n"/>
      <c r="C393" s="239" t="n"/>
      <c r="D393" s="239" t="n"/>
      <c r="E393" s="239" t="n"/>
      <c r="F393" s="239" t="n"/>
      <c r="G393" s="239" t="n"/>
      <c r="H393" s="239" t="n"/>
      <c r="I393" s="239" t="n"/>
      <c r="J393" s="239" t="n"/>
      <c r="K393" s="239" t="n"/>
      <c r="L393" s="239" t="n"/>
      <c r="M393" s="239" t="n"/>
      <c r="N393" s="239" t="n"/>
      <c r="O393" s="239" t="n"/>
      <c r="P393" s="239" t="n"/>
      <c r="Q393" s="239" t="n"/>
      <c r="R393" s="239" t="n"/>
      <c r="S393" s="239" t="n"/>
      <c r="T393" s="239" t="n"/>
      <c r="U393" s="239" t="n"/>
      <c r="V393" s="239" t="n"/>
      <c r="W393" s="239" t="n"/>
      <c r="X393" s="239" t="n"/>
      <c r="Y393" s="239" t="n"/>
      <c r="Z393" s="239" t="n"/>
      <c r="AA393" s="239" t="n"/>
      <c r="AB393" s="239" t="n"/>
      <c r="AC393" s="239" t="n"/>
      <c r="AD393" s="239" t="n"/>
      <c r="AE393" s="239" t="n"/>
    </row>
    <row r="394">
      <c r="A394" s="239" t="n"/>
      <c r="B394" s="239" t="n"/>
      <c r="C394" s="239" t="n"/>
      <c r="D394" s="239" t="n"/>
      <c r="E394" s="239" t="n"/>
      <c r="F394" s="239" t="n"/>
      <c r="G394" s="239" t="n"/>
      <c r="H394" s="239" t="n"/>
      <c r="I394" s="239" t="n"/>
      <c r="J394" s="239" t="n"/>
      <c r="K394" s="239" t="n"/>
      <c r="L394" s="239" t="n"/>
      <c r="M394" s="239" t="n"/>
      <c r="N394" s="239" t="n"/>
      <c r="O394" s="239" t="n"/>
      <c r="P394" s="239" t="n"/>
      <c r="Q394" s="239" t="n"/>
      <c r="R394" s="239" t="n"/>
      <c r="S394" s="239" t="n"/>
      <c r="T394" s="239" t="n"/>
      <c r="U394" s="239" t="n"/>
      <c r="V394" s="239" t="n"/>
      <c r="W394" s="239" t="n"/>
      <c r="X394" s="239" t="n"/>
      <c r="Y394" s="239" t="n"/>
      <c r="Z394" s="239" t="n"/>
      <c r="AA394" s="239" t="n"/>
      <c r="AB394" s="239" t="n"/>
      <c r="AC394" s="239" t="n"/>
      <c r="AD394" s="239" t="n"/>
      <c r="AE394" s="239" t="n"/>
    </row>
    <row r="395">
      <c r="A395" s="239" t="n"/>
      <c r="B395" s="239" t="n"/>
      <c r="C395" s="239" t="n"/>
      <c r="D395" s="239" t="n"/>
      <c r="E395" s="239" t="n"/>
      <c r="F395" s="239" t="n"/>
      <c r="G395" s="239" t="n"/>
      <c r="H395" s="239" t="n"/>
      <c r="I395" s="239" t="n"/>
      <c r="J395" s="239" t="n"/>
      <c r="K395" s="239" t="n"/>
      <c r="L395" s="239" t="n"/>
      <c r="M395" s="239" t="n"/>
      <c r="N395" s="239" t="n"/>
      <c r="O395" s="239" t="n"/>
      <c r="P395" s="239" t="n"/>
      <c r="Q395" s="239" t="n"/>
      <c r="R395" s="239" t="n"/>
      <c r="S395" s="239" t="n"/>
      <c r="T395" s="239" t="n"/>
      <c r="U395" s="239" t="n"/>
      <c r="V395" s="239" t="n"/>
      <c r="W395" s="239" t="n"/>
      <c r="X395" s="239" t="n"/>
      <c r="Y395" s="239" t="n"/>
      <c r="Z395" s="239" t="n"/>
      <c r="AA395" s="239" t="n"/>
      <c r="AB395" s="239" t="n"/>
      <c r="AC395" s="239" t="n"/>
      <c r="AD395" s="239" t="n"/>
      <c r="AE395" s="239" t="n"/>
    </row>
    <row r="396">
      <c r="A396" s="239" t="n"/>
      <c r="B396" s="239" t="n"/>
      <c r="C396" s="239" t="n"/>
      <c r="D396" s="239" t="n"/>
      <c r="E396" s="239" t="n"/>
      <c r="F396" s="239" t="n"/>
      <c r="G396" s="239" t="n"/>
      <c r="H396" s="239" t="n"/>
      <c r="I396" s="239" t="n"/>
      <c r="J396" s="239" t="n"/>
      <c r="K396" s="239" t="n"/>
      <c r="L396" s="239" t="n"/>
      <c r="M396" s="239" t="n"/>
      <c r="N396" s="239" t="n"/>
      <c r="O396" s="239" t="n"/>
      <c r="P396" s="239" t="n"/>
      <c r="Q396" s="239" t="n"/>
      <c r="R396" s="239" t="n"/>
      <c r="S396" s="239" t="n"/>
      <c r="T396" s="239" t="n"/>
      <c r="U396" s="239" t="n"/>
      <c r="V396" s="239" t="n"/>
      <c r="W396" s="239" t="n"/>
      <c r="X396" s="239" t="n"/>
      <c r="Y396" s="239" t="n"/>
      <c r="Z396" s="239" t="n"/>
      <c r="AA396" s="239" t="n"/>
      <c r="AB396" s="239" t="n"/>
      <c r="AC396" s="239" t="n"/>
      <c r="AD396" s="239" t="n"/>
      <c r="AE396" s="239" t="n"/>
    </row>
    <row r="397">
      <c r="A397" s="239" t="n"/>
      <c r="B397" s="239" t="n"/>
      <c r="C397" s="239" t="n"/>
      <c r="D397" s="239" t="n"/>
      <c r="E397" s="239" t="n"/>
      <c r="F397" s="239" t="n"/>
      <c r="G397" s="239" t="n"/>
      <c r="H397" s="239" t="n"/>
      <c r="I397" s="239" t="n"/>
      <c r="J397" s="239" t="n"/>
      <c r="K397" s="239" t="n"/>
      <c r="L397" s="239" t="n"/>
      <c r="M397" s="239" t="n"/>
      <c r="N397" s="239" t="n"/>
      <c r="O397" s="239" t="n"/>
      <c r="P397" s="239" t="n"/>
      <c r="Q397" s="239" t="n"/>
      <c r="R397" s="239" t="n"/>
      <c r="S397" s="239" t="n"/>
      <c r="T397" s="239" t="n"/>
      <c r="U397" s="239" t="n"/>
      <c r="V397" s="239" t="n"/>
      <c r="W397" s="239" t="n"/>
      <c r="X397" s="239" t="n"/>
      <c r="Y397" s="239" t="n"/>
      <c r="Z397" s="239" t="n"/>
      <c r="AA397" s="239" t="n"/>
      <c r="AB397" s="239" t="n"/>
      <c r="AC397" s="239" t="n"/>
      <c r="AD397" s="239" t="n"/>
      <c r="AE397" s="239" t="n"/>
    </row>
    <row r="398">
      <c r="A398" s="239" t="n"/>
      <c r="B398" s="239" t="n"/>
      <c r="C398" s="239" t="n"/>
      <c r="D398" s="239" t="n"/>
      <c r="E398" s="239" t="n"/>
      <c r="F398" s="239" t="n"/>
      <c r="G398" s="239" t="n"/>
      <c r="H398" s="239" t="n"/>
      <c r="I398" s="239" t="n"/>
      <c r="J398" s="239" t="n"/>
      <c r="K398" s="239" t="n"/>
      <c r="L398" s="239" t="n"/>
      <c r="M398" s="239" t="n"/>
      <c r="N398" s="239" t="n"/>
      <c r="O398" s="239" t="n"/>
      <c r="P398" s="239" t="n"/>
      <c r="Q398" s="239" t="n"/>
      <c r="R398" s="239" t="n"/>
      <c r="S398" s="239" t="n"/>
      <c r="T398" s="239" t="n"/>
      <c r="U398" s="239" t="n"/>
      <c r="V398" s="239" t="n"/>
      <c r="W398" s="239" t="n"/>
      <c r="X398" s="239" t="n"/>
      <c r="Y398" s="239" t="n"/>
      <c r="Z398" s="239" t="n"/>
      <c r="AA398" s="239" t="n"/>
      <c r="AB398" s="239" t="n"/>
      <c r="AC398" s="239" t="n"/>
      <c r="AD398" s="239" t="n"/>
      <c r="AE398" s="239" t="n"/>
    </row>
    <row r="399">
      <c r="A399" s="239" t="n"/>
      <c r="B399" s="239" t="n"/>
      <c r="C399" s="239" t="n"/>
      <c r="D399" s="239" t="n"/>
      <c r="E399" s="239" t="n"/>
      <c r="F399" s="239" t="n"/>
      <c r="G399" s="239" t="n"/>
      <c r="H399" s="239" t="n"/>
      <c r="I399" s="239" t="n"/>
      <c r="J399" s="239" t="n"/>
      <c r="K399" s="239" t="n"/>
      <c r="L399" s="239" t="n"/>
      <c r="M399" s="239" t="n"/>
      <c r="N399" s="239" t="n"/>
      <c r="O399" s="239" t="n"/>
      <c r="P399" s="239" t="n"/>
      <c r="Q399" s="239" t="n"/>
      <c r="R399" s="239" t="n"/>
      <c r="S399" s="239" t="n"/>
      <c r="T399" s="239" t="n"/>
      <c r="U399" s="239" t="n"/>
      <c r="V399" s="239" t="n"/>
      <c r="W399" s="239" t="n"/>
      <c r="X399" s="239" t="n"/>
      <c r="Y399" s="239" t="n"/>
      <c r="Z399" s="239" t="n"/>
      <c r="AA399" s="239" t="n"/>
      <c r="AB399" s="239" t="n"/>
      <c r="AC399" s="239" t="n"/>
      <c r="AD399" s="239" t="n"/>
      <c r="AE399" s="239" t="n"/>
    </row>
    <row r="400">
      <c r="A400" s="239" t="n"/>
      <c r="B400" s="239" t="n"/>
      <c r="C400" s="239" t="n"/>
      <c r="D400" s="239" t="n"/>
      <c r="E400" s="239" t="n"/>
      <c r="F400" s="239" t="n"/>
      <c r="G400" s="239" t="n"/>
      <c r="H400" s="239" t="n"/>
      <c r="I400" s="239" t="n"/>
      <c r="J400" s="239" t="n"/>
      <c r="K400" s="239" t="n"/>
      <c r="L400" s="239" t="n"/>
      <c r="M400" s="239" t="n"/>
      <c r="N400" s="239" t="n"/>
      <c r="O400" s="239" t="n"/>
      <c r="P400" s="239" t="n"/>
      <c r="Q400" s="239" t="n"/>
      <c r="R400" s="239" t="n"/>
      <c r="S400" s="239" t="n"/>
      <c r="T400" s="239" t="n"/>
      <c r="U400" s="239" t="n"/>
      <c r="V400" s="239" t="n"/>
      <c r="W400" s="239" t="n"/>
      <c r="X400" s="239" t="n"/>
      <c r="Y400" s="239" t="n"/>
      <c r="Z400" s="239" t="n"/>
      <c r="AA400" s="239" t="n"/>
      <c r="AB400" s="239" t="n"/>
      <c r="AC400" s="239" t="n"/>
      <c r="AD400" s="239" t="n"/>
      <c r="AE400" s="239" t="n"/>
    </row>
    <row r="401">
      <c r="A401" s="239" t="n"/>
      <c r="B401" s="239" t="n"/>
      <c r="C401" s="239" t="n"/>
      <c r="D401" s="239" t="n"/>
      <c r="E401" s="239" t="n"/>
      <c r="F401" s="239" t="n"/>
      <c r="G401" s="239" t="n"/>
      <c r="H401" s="239" t="n"/>
      <c r="I401" s="239" t="n"/>
      <c r="J401" s="239" t="n"/>
      <c r="K401" s="239" t="n"/>
      <c r="L401" s="239" t="n"/>
      <c r="M401" s="239" t="n"/>
      <c r="N401" s="239" t="n"/>
      <c r="O401" s="239" t="n"/>
      <c r="P401" s="239" t="n"/>
      <c r="Q401" s="239" t="n"/>
      <c r="R401" s="239" t="n"/>
      <c r="S401" s="239" t="n"/>
      <c r="T401" s="239" t="n"/>
      <c r="U401" s="239" t="n"/>
      <c r="V401" s="239" t="n"/>
      <c r="W401" s="239" t="n"/>
      <c r="X401" s="239" t="n"/>
      <c r="Y401" s="239" t="n"/>
      <c r="Z401" s="239" t="n"/>
      <c r="AA401" s="239" t="n"/>
      <c r="AB401" s="239" t="n"/>
      <c r="AC401" s="239" t="n"/>
      <c r="AD401" s="239" t="n"/>
      <c r="AE401" s="239" t="n"/>
    </row>
    <row r="402">
      <c r="A402" s="239" t="n"/>
      <c r="B402" s="239" t="n"/>
      <c r="C402" s="239" t="n"/>
      <c r="D402" s="239" t="n"/>
      <c r="E402" s="239" t="n"/>
      <c r="F402" s="239" t="n"/>
      <c r="G402" s="239" t="n"/>
      <c r="H402" s="239" t="n"/>
      <c r="I402" s="239" t="n"/>
      <c r="J402" s="239" t="n"/>
      <c r="K402" s="239" t="n"/>
      <c r="L402" s="239" t="n"/>
      <c r="M402" s="239" t="n"/>
      <c r="N402" s="239" t="n"/>
      <c r="O402" s="239" t="n"/>
      <c r="P402" s="239" t="n"/>
      <c r="Q402" s="239" t="n"/>
      <c r="R402" s="239" t="n"/>
      <c r="S402" s="239" t="n"/>
      <c r="T402" s="239" t="n"/>
      <c r="U402" s="239" t="n"/>
      <c r="V402" s="239" t="n"/>
      <c r="W402" s="239" t="n"/>
      <c r="X402" s="239" t="n"/>
      <c r="Y402" s="239" t="n"/>
      <c r="Z402" s="239" t="n"/>
      <c r="AA402" s="239" t="n"/>
      <c r="AB402" s="239" t="n"/>
      <c r="AC402" s="239" t="n"/>
      <c r="AD402" s="239" t="n"/>
      <c r="AE402" s="239" t="n"/>
    </row>
    <row r="403">
      <c r="A403" s="239" t="n"/>
      <c r="B403" s="239" t="n"/>
      <c r="C403" s="239" t="n"/>
      <c r="D403" s="239" t="n"/>
      <c r="E403" s="239" t="n"/>
      <c r="F403" s="239" t="n"/>
      <c r="G403" s="239" t="n"/>
      <c r="H403" s="239" t="n"/>
      <c r="I403" s="239" t="n"/>
      <c r="J403" s="239" t="n"/>
      <c r="K403" s="239" t="n"/>
      <c r="L403" s="239" t="n"/>
      <c r="M403" s="239" t="n"/>
      <c r="N403" s="239" t="n"/>
      <c r="O403" s="239" t="n"/>
      <c r="P403" s="239" t="n"/>
      <c r="Q403" s="239" t="n"/>
      <c r="R403" s="239" t="n"/>
      <c r="S403" s="239" t="n"/>
      <c r="T403" s="239" t="n"/>
      <c r="U403" s="239" t="n"/>
      <c r="V403" s="239" t="n"/>
      <c r="W403" s="239" t="n"/>
      <c r="X403" s="239" t="n"/>
      <c r="Y403" s="239" t="n"/>
      <c r="Z403" s="239" t="n"/>
      <c r="AA403" s="239" t="n"/>
      <c r="AB403" s="239" t="n"/>
      <c r="AC403" s="239" t="n"/>
      <c r="AD403" s="239" t="n"/>
      <c r="AE403" s="239" t="n"/>
    </row>
    <row r="404">
      <c r="A404" s="239" t="n"/>
      <c r="B404" s="239" t="n"/>
      <c r="C404" s="239" t="n"/>
      <c r="D404" s="239" t="n"/>
      <c r="E404" s="239" t="n"/>
      <c r="F404" s="239" t="n"/>
      <c r="G404" s="239" t="n"/>
      <c r="H404" s="239" t="n"/>
      <c r="I404" s="239" t="n"/>
      <c r="J404" s="239" t="n"/>
      <c r="K404" s="239" t="n"/>
      <c r="L404" s="239" t="n"/>
      <c r="M404" s="239" t="n"/>
      <c r="N404" s="239" t="n"/>
      <c r="O404" s="239" t="n"/>
      <c r="P404" s="239" t="n"/>
      <c r="Q404" s="239" t="n"/>
      <c r="R404" s="239" t="n"/>
      <c r="S404" s="239" t="n"/>
      <c r="T404" s="239" t="n"/>
      <c r="U404" s="239" t="n"/>
      <c r="V404" s="239" t="n"/>
      <c r="W404" s="239" t="n"/>
      <c r="X404" s="239" t="n"/>
      <c r="Y404" s="239" t="n"/>
      <c r="Z404" s="239" t="n"/>
      <c r="AA404" s="239" t="n"/>
      <c r="AB404" s="239" t="n"/>
      <c r="AC404" s="239" t="n"/>
      <c r="AD404" s="239" t="n"/>
      <c r="AE404" s="239" t="n"/>
    </row>
    <row r="405">
      <c r="A405" s="239" t="n"/>
      <c r="B405" s="239" t="n"/>
      <c r="C405" s="239" t="n"/>
      <c r="D405" s="239" t="n"/>
      <c r="E405" s="239" t="n"/>
      <c r="F405" s="239" t="n"/>
      <c r="G405" s="239" t="n"/>
      <c r="H405" s="239" t="n"/>
      <c r="I405" s="239" t="n"/>
      <c r="J405" s="239" t="n"/>
      <c r="K405" s="239" t="n"/>
      <c r="L405" s="239" t="n"/>
      <c r="M405" s="239" t="n"/>
      <c r="N405" s="239" t="n"/>
      <c r="O405" s="239" t="n"/>
      <c r="P405" s="239" t="n"/>
      <c r="Q405" s="239" t="n"/>
      <c r="R405" s="239" t="n"/>
      <c r="S405" s="239" t="n"/>
      <c r="T405" s="239" t="n"/>
      <c r="U405" s="239" t="n"/>
      <c r="V405" s="239" t="n"/>
      <c r="W405" s="239" t="n"/>
      <c r="X405" s="239" t="n"/>
      <c r="Y405" s="239" t="n"/>
      <c r="Z405" s="239" t="n"/>
      <c r="AA405" s="239" t="n"/>
      <c r="AB405" s="239" t="n"/>
      <c r="AC405" s="239" t="n"/>
      <c r="AD405" s="239" t="n"/>
      <c r="AE405" s="239" t="n"/>
    </row>
    <row r="406">
      <c r="A406" s="239" t="n"/>
      <c r="B406" s="239" t="n"/>
      <c r="C406" s="239" t="n"/>
      <c r="D406" s="239" t="n"/>
      <c r="E406" s="239" t="n"/>
      <c r="F406" s="239" t="n"/>
      <c r="G406" s="239" t="n"/>
      <c r="H406" s="239" t="n"/>
      <c r="I406" s="239" t="n"/>
      <c r="J406" s="239" t="n"/>
      <c r="K406" s="239" t="n"/>
      <c r="L406" s="239" t="n"/>
      <c r="M406" s="239" t="n"/>
      <c r="N406" s="239" t="n"/>
      <c r="O406" s="239" t="n"/>
      <c r="P406" s="239" t="n"/>
      <c r="Q406" s="239" t="n"/>
      <c r="R406" s="239" t="n"/>
      <c r="S406" s="239" t="n"/>
      <c r="T406" s="239" t="n"/>
      <c r="U406" s="239" t="n"/>
      <c r="V406" s="239" t="n"/>
      <c r="W406" s="239" t="n"/>
      <c r="X406" s="239" t="n"/>
      <c r="Y406" s="239" t="n"/>
      <c r="Z406" s="239" t="n"/>
      <c r="AA406" s="239" t="n"/>
      <c r="AB406" s="239" t="n"/>
      <c r="AC406" s="239" t="n"/>
      <c r="AD406" s="239" t="n"/>
      <c r="AE406" s="239" t="n"/>
    </row>
    <row r="407">
      <c r="A407" s="239" t="n"/>
      <c r="B407" s="239" t="n"/>
      <c r="C407" s="239" t="n"/>
      <c r="D407" s="239" t="n"/>
      <c r="E407" s="239" t="n"/>
      <c r="F407" s="239" t="n"/>
      <c r="G407" s="239" t="n"/>
      <c r="H407" s="239" t="n"/>
      <c r="I407" s="239" t="n"/>
      <c r="J407" s="239" t="n"/>
      <c r="K407" s="239" t="n"/>
      <c r="L407" s="239" t="n"/>
      <c r="M407" s="239" t="n"/>
      <c r="N407" s="239" t="n"/>
      <c r="O407" s="239" t="n"/>
      <c r="P407" s="239" t="n"/>
      <c r="Q407" s="239" t="n"/>
      <c r="R407" s="239" t="n"/>
      <c r="S407" s="239" t="n"/>
      <c r="T407" s="239" t="n"/>
      <c r="U407" s="239" t="n"/>
      <c r="V407" s="239" t="n"/>
      <c r="W407" s="239" t="n"/>
      <c r="X407" s="239" t="n"/>
      <c r="Y407" s="239" t="n"/>
      <c r="Z407" s="239" t="n"/>
      <c r="AA407" s="239" t="n"/>
      <c r="AB407" s="239" t="n"/>
      <c r="AC407" s="239" t="n"/>
      <c r="AD407" s="239" t="n"/>
      <c r="AE407" s="239" t="n"/>
    </row>
    <row r="408">
      <c r="A408" s="239" t="n"/>
      <c r="B408" s="239" t="n"/>
      <c r="C408" s="239" t="n"/>
      <c r="D408" s="239" t="n"/>
      <c r="E408" s="239" t="n"/>
      <c r="F408" s="239" t="n"/>
      <c r="G408" s="239" t="n"/>
      <c r="H408" s="239" t="n"/>
      <c r="I408" s="239" t="n"/>
      <c r="J408" s="239" t="n"/>
      <c r="K408" s="239" t="n"/>
      <c r="L408" s="239" t="n"/>
      <c r="M408" s="239" t="n"/>
      <c r="N408" s="239" t="n"/>
      <c r="O408" s="239" t="n"/>
      <c r="P408" s="239" t="n"/>
      <c r="Q408" s="239" t="n"/>
      <c r="R408" s="239" t="n"/>
      <c r="S408" s="239" t="n"/>
      <c r="T408" s="239" t="n"/>
      <c r="U408" s="239" t="n"/>
      <c r="V408" s="239" t="n"/>
      <c r="W408" s="239" t="n"/>
      <c r="X408" s="239" t="n"/>
      <c r="Y408" s="239" t="n"/>
      <c r="Z408" s="239" t="n"/>
      <c r="AA408" s="239" t="n"/>
      <c r="AB408" s="239" t="n"/>
      <c r="AC408" s="239" t="n"/>
      <c r="AD408" s="239" t="n"/>
      <c r="AE408" s="239" t="n"/>
    </row>
    <row r="409">
      <c r="A409" s="239" t="n"/>
      <c r="B409" s="239" t="n"/>
      <c r="C409" s="239" t="n"/>
      <c r="D409" s="239" t="n"/>
      <c r="E409" s="239" t="n"/>
      <c r="F409" s="239" t="n"/>
      <c r="G409" s="239" t="n"/>
      <c r="H409" s="239" t="n"/>
      <c r="I409" s="239" t="n"/>
      <c r="J409" s="239" t="n"/>
      <c r="K409" s="239" t="n"/>
      <c r="L409" s="239" t="n"/>
      <c r="M409" s="239" t="n"/>
      <c r="N409" s="239" t="n"/>
      <c r="O409" s="239" t="n"/>
      <c r="P409" s="239" t="n"/>
      <c r="Q409" s="239" t="n"/>
      <c r="R409" s="239" t="n"/>
      <c r="S409" s="239" t="n"/>
      <c r="T409" s="239" t="n"/>
      <c r="U409" s="239" t="n"/>
      <c r="V409" s="239" t="n"/>
      <c r="W409" s="239" t="n"/>
      <c r="X409" s="239" t="n"/>
      <c r="Y409" s="239" t="n"/>
      <c r="Z409" s="239" t="n"/>
      <c r="AA409" s="239" t="n"/>
      <c r="AB409" s="239" t="n"/>
      <c r="AC409" s="239" t="n"/>
      <c r="AD409" s="239" t="n"/>
      <c r="AE409" s="239" t="n"/>
    </row>
    <row r="410">
      <c r="A410" s="239" t="n"/>
      <c r="B410" s="239" t="n"/>
      <c r="C410" s="239" t="n"/>
      <c r="D410" s="239" t="n"/>
      <c r="E410" s="239" t="n"/>
      <c r="F410" s="239" t="n"/>
      <c r="G410" s="239" t="n"/>
      <c r="H410" s="239" t="n"/>
      <c r="I410" s="239" t="n"/>
      <c r="J410" s="239" t="n"/>
      <c r="K410" s="239" t="n"/>
      <c r="L410" s="239" t="n"/>
      <c r="M410" s="239" t="n"/>
      <c r="N410" s="239" t="n"/>
      <c r="O410" s="239" t="n"/>
      <c r="P410" s="239" t="n"/>
      <c r="Q410" s="239" t="n"/>
      <c r="R410" s="239" t="n"/>
      <c r="S410" s="239" t="n"/>
      <c r="T410" s="239" t="n"/>
      <c r="U410" s="239" t="n"/>
      <c r="V410" s="239" t="n"/>
      <c r="W410" s="239" t="n"/>
      <c r="X410" s="239" t="n"/>
      <c r="Y410" s="239" t="n"/>
      <c r="Z410" s="239" t="n"/>
      <c r="AA410" s="239" t="n"/>
      <c r="AB410" s="239" t="n"/>
      <c r="AC410" s="239" t="n"/>
      <c r="AD410" s="239" t="n"/>
      <c r="AE410" s="239" t="n"/>
    </row>
    <row r="411">
      <c r="A411" s="239" t="n"/>
      <c r="B411" s="239" t="n"/>
      <c r="C411" s="239" t="n"/>
      <c r="D411" s="239" t="n"/>
      <c r="E411" s="239" t="n"/>
      <c r="F411" s="239" t="n"/>
      <c r="G411" s="239" t="n"/>
      <c r="H411" s="239" t="n"/>
      <c r="I411" s="239" t="n"/>
      <c r="J411" s="239" t="n"/>
      <c r="K411" s="239" t="n"/>
      <c r="L411" s="239" t="n"/>
      <c r="M411" s="239" t="n"/>
      <c r="N411" s="239" t="n"/>
      <c r="O411" s="239" t="n"/>
      <c r="P411" s="239" t="n"/>
      <c r="Q411" s="239" t="n"/>
      <c r="R411" s="239" t="n"/>
      <c r="S411" s="239" t="n"/>
      <c r="T411" s="239" t="n"/>
      <c r="U411" s="239" t="n"/>
      <c r="V411" s="239" t="n"/>
      <c r="W411" s="239" t="n"/>
      <c r="X411" s="239" t="n"/>
      <c r="Y411" s="239" t="n"/>
      <c r="Z411" s="239" t="n"/>
      <c r="AA411" s="239" t="n"/>
      <c r="AB411" s="239" t="n"/>
      <c r="AC411" s="239" t="n"/>
      <c r="AD411" s="239" t="n"/>
      <c r="AE411" s="239" t="n"/>
    </row>
    <row r="412">
      <c r="A412" s="239" t="n"/>
      <c r="B412" s="239" t="n"/>
      <c r="C412" s="239" t="n"/>
      <c r="D412" s="239" t="n"/>
      <c r="E412" s="239" t="n"/>
      <c r="F412" s="239" t="n"/>
      <c r="G412" s="239" t="n"/>
      <c r="H412" s="239" t="n"/>
      <c r="I412" s="239" t="n"/>
      <c r="J412" s="239" t="n"/>
      <c r="K412" s="239" t="n"/>
      <c r="L412" s="239" t="n"/>
      <c r="M412" s="239" t="n"/>
      <c r="N412" s="239" t="n"/>
      <c r="O412" s="239" t="n"/>
      <c r="P412" s="239" t="n"/>
      <c r="Q412" s="239" t="n"/>
      <c r="R412" s="239" t="n"/>
      <c r="S412" s="239" t="n"/>
      <c r="T412" s="239" t="n"/>
      <c r="U412" s="239" t="n"/>
      <c r="V412" s="239" t="n"/>
      <c r="W412" s="239" t="n"/>
      <c r="X412" s="239" t="n"/>
      <c r="Y412" s="239" t="n"/>
      <c r="Z412" s="239" t="n"/>
      <c r="AA412" s="239" t="n"/>
      <c r="AB412" s="239" t="n"/>
      <c r="AC412" s="239" t="n"/>
      <c r="AD412" s="239" t="n"/>
      <c r="AE412" s="239" t="n"/>
    </row>
    <row r="413">
      <c r="A413" s="239" t="n"/>
      <c r="B413" s="239" t="n"/>
      <c r="C413" s="239" t="n"/>
      <c r="D413" s="239" t="n"/>
      <c r="E413" s="239" t="n"/>
      <c r="F413" s="239" t="n"/>
      <c r="G413" s="239" t="n"/>
      <c r="H413" s="239" t="n"/>
      <c r="I413" s="239" t="n"/>
      <c r="J413" s="239" t="n"/>
      <c r="K413" s="239" t="n"/>
      <c r="L413" s="239" t="n"/>
      <c r="M413" s="239" t="n"/>
      <c r="N413" s="239" t="n"/>
      <c r="O413" s="239" t="n"/>
      <c r="P413" s="239" t="n"/>
      <c r="Q413" s="239" t="n"/>
      <c r="R413" s="239" t="n"/>
      <c r="S413" s="239" t="n"/>
      <c r="T413" s="239" t="n"/>
      <c r="U413" s="239" t="n"/>
      <c r="V413" s="239" t="n"/>
      <c r="W413" s="239" t="n"/>
      <c r="X413" s="239" t="n"/>
      <c r="Y413" s="239" t="n"/>
      <c r="Z413" s="239" t="n"/>
      <c r="AA413" s="239" t="n"/>
      <c r="AB413" s="239" t="n"/>
      <c r="AC413" s="239" t="n"/>
      <c r="AD413" s="239" t="n"/>
      <c r="AE413" s="239" t="n"/>
    </row>
    <row r="414">
      <c r="A414" s="239" t="n"/>
      <c r="B414" s="239" t="n"/>
      <c r="C414" s="239" t="n"/>
      <c r="D414" s="239" t="n"/>
      <c r="E414" s="239" t="n"/>
      <c r="F414" s="239" t="n"/>
      <c r="G414" s="239" t="n"/>
      <c r="H414" s="239" t="n"/>
      <c r="I414" s="239" t="n"/>
      <c r="J414" s="239" t="n"/>
      <c r="K414" s="239" t="n"/>
      <c r="L414" s="239" t="n"/>
      <c r="M414" s="239" t="n"/>
      <c r="N414" s="239" t="n"/>
      <c r="O414" s="239" t="n"/>
      <c r="P414" s="239" t="n"/>
      <c r="Q414" s="239" t="n"/>
      <c r="R414" s="239" t="n"/>
      <c r="S414" s="239" t="n"/>
      <c r="T414" s="239" t="n"/>
      <c r="U414" s="239" t="n"/>
      <c r="V414" s="239" t="n"/>
      <c r="W414" s="239" t="n"/>
      <c r="X414" s="239" t="n"/>
      <c r="Y414" s="239" t="n"/>
      <c r="Z414" s="239" t="n"/>
      <c r="AA414" s="239" t="n"/>
      <c r="AB414" s="239" t="n"/>
      <c r="AC414" s="239" t="n"/>
      <c r="AD414" s="239" t="n"/>
      <c r="AE414" s="239" t="n"/>
    </row>
    <row r="415">
      <c r="A415" s="239" t="n"/>
      <c r="B415" s="239" t="n"/>
      <c r="C415" s="239" t="n"/>
      <c r="D415" s="239" t="n"/>
      <c r="E415" s="239" t="n"/>
      <c r="F415" s="239" t="n"/>
      <c r="G415" s="239" t="n"/>
      <c r="H415" s="239" t="n"/>
      <c r="I415" s="239" t="n"/>
      <c r="J415" s="239" t="n"/>
      <c r="K415" s="239" t="n"/>
      <c r="L415" s="239" t="n"/>
      <c r="M415" s="239" t="n"/>
      <c r="N415" s="239" t="n"/>
      <c r="O415" s="239" t="n"/>
      <c r="P415" s="239" t="n"/>
      <c r="Q415" s="239" t="n"/>
      <c r="R415" s="239" t="n"/>
      <c r="S415" s="239" t="n"/>
      <c r="T415" s="239" t="n"/>
      <c r="U415" s="239" t="n"/>
      <c r="V415" s="239" t="n"/>
      <c r="W415" s="239" t="n"/>
      <c r="X415" s="239" t="n"/>
      <c r="Y415" s="239" t="n"/>
      <c r="Z415" s="239" t="n"/>
      <c r="AA415" s="239" t="n"/>
      <c r="AB415" s="239" t="n"/>
      <c r="AC415" s="239" t="n"/>
      <c r="AD415" s="239" t="n"/>
      <c r="AE415" s="239" t="n"/>
    </row>
    <row r="416">
      <c r="A416" s="239" t="n"/>
      <c r="B416" s="239" t="n"/>
      <c r="C416" s="239" t="n"/>
      <c r="D416" s="239" t="n"/>
      <c r="E416" s="239" t="n"/>
      <c r="F416" s="239" t="n"/>
      <c r="G416" s="239" t="n"/>
      <c r="H416" s="239" t="n"/>
      <c r="I416" s="239" t="n"/>
      <c r="J416" s="239" t="n"/>
      <c r="K416" s="239" t="n"/>
      <c r="L416" s="239" t="n"/>
      <c r="M416" s="239" t="n"/>
      <c r="N416" s="239" t="n"/>
      <c r="O416" s="239" t="n"/>
      <c r="P416" s="239" t="n"/>
      <c r="Q416" s="239" t="n"/>
      <c r="R416" s="239" t="n"/>
      <c r="S416" s="239" t="n"/>
      <c r="T416" s="239" t="n"/>
      <c r="U416" s="239" t="n"/>
      <c r="V416" s="239" t="n"/>
      <c r="W416" s="239" t="n"/>
      <c r="X416" s="239" t="n"/>
      <c r="Y416" s="239" t="n"/>
      <c r="Z416" s="239" t="n"/>
      <c r="AA416" s="239" t="n"/>
      <c r="AB416" s="239" t="n"/>
      <c r="AC416" s="239" t="n"/>
      <c r="AD416" s="239" t="n"/>
      <c r="AE416" s="239" t="n"/>
    </row>
    <row r="417">
      <c r="A417" s="239" t="n"/>
      <c r="B417" s="239" t="n"/>
      <c r="C417" s="239" t="n"/>
      <c r="D417" s="239" t="n"/>
      <c r="E417" s="239" t="n"/>
      <c r="F417" s="239" t="n"/>
      <c r="G417" s="239" t="n"/>
      <c r="H417" s="239" t="n"/>
      <c r="I417" s="239" t="n"/>
      <c r="J417" s="239" t="n"/>
      <c r="K417" s="239" t="n"/>
      <c r="L417" s="239" t="n"/>
      <c r="M417" s="239" t="n"/>
      <c r="N417" s="239" t="n"/>
      <c r="O417" s="239" t="n"/>
      <c r="P417" s="239" t="n"/>
      <c r="Q417" s="239" t="n"/>
      <c r="R417" s="239" t="n"/>
      <c r="S417" s="239" t="n"/>
      <c r="T417" s="239" t="n"/>
      <c r="U417" s="239" t="n"/>
      <c r="V417" s="239" t="n"/>
      <c r="W417" s="239" t="n"/>
      <c r="X417" s="239" t="n"/>
      <c r="Y417" s="239" t="n"/>
      <c r="Z417" s="239" t="n"/>
      <c r="AA417" s="239" t="n"/>
      <c r="AB417" s="239" t="n"/>
      <c r="AC417" s="239" t="n"/>
      <c r="AD417" s="239" t="n"/>
      <c r="AE417" s="239" t="n"/>
    </row>
    <row r="418">
      <c r="A418" s="239" t="n"/>
      <c r="B418" s="239" t="n"/>
      <c r="C418" s="239" t="n"/>
      <c r="D418" s="239" t="n"/>
      <c r="E418" s="239" t="n"/>
      <c r="F418" s="239" t="n"/>
      <c r="G418" s="239" t="n"/>
      <c r="H418" s="239" t="n"/>
      <c r="I418" s="239" t="n"/>
      <c r="J418" s="239" t="n"/>
      <c r="K418" s="239" t="n"/>
      <c r="L418" s="239" t="n"/>
      <c r="M418" s="239" t="n"/>
      <c r="N418" s="239" t="n"/>
      <c r="O418" s="239" t="n"/>
      <c r="P418" s="239" t="n"/>
      <c r="Q418" s="239" t="n"/>
      <c r="R418" s="239" t="n"/>
      <c r="S418" s="239" t="n"/>
      <c r="T418" s="239" t="n"/>
      <c r="U418" s="239" t="n"/>
      <c r="V418" s="239" t="n"/>
      <c r="W418" s="239" t="n"/>
      <c r="X418" s="239" t="n"/>
      <c r="Y418" s="239" t="n"/>
      <c r="Z418" s="239" t="n"/>
      <c r="AA418" s="239" t="n"/>
      <c r="AB418" s="239" t="n"/>
      <c r="AC418" s="239" t="n"/>
      <c r="AD418" s="239" t="n"/>
      <c r="AE418" s="239" t="n"/>
    </row>
    <row r="419">
      <c r="A419" s="239" t="n"/>
      <c r="B419" s="239" t="n"/>
      <c r="C419" s="239" t="n"/>
      <c r="D419" s="239" t="n"/>
      <c r="E419" s="239" t="n"/>
      <c r="F419" s="239" t="n"/>
      <c r="G419" s="239" t="n"/>
      <c r="H419" s="239" t="n"/>
      <c r="I419" s="239" t="n"/>
      <c r="J419" s="239" t="n"/>
      <c r="K419" s="239" t="n"/>
      <c r="L419" s="239" t="n"/>
      <c r="M419" s="239" t="n"/>
      <c r="N419" s="239" t="n"/>
      <c r="O419" s="239" t="n"/>
      <c r="P419" s="239" t="n"/>
      <c r="Q419" s="239" t="n"/>
      <c r="R419" s="239" t="n"/>
      <c r="S419" s="239" t="n"/>
      <c r="T419" s="239" t="n"/>
      <c r="U419" s="239" t="n"/>
      <c r="V419" s="239" t="n"/>
      <c r="W419" s="239" t="n"/>
      <c r="X419" s="239" t="n"/>
      <c r="Y419" s="239" t="n"/>
      <c r="Z419" s="239" t="n"/>
      <c r="AA419" s="239" t="n"/>
      <c r="AB419" s="239" t="n"/>
      <c r="AC419" s="239" t="n"/>
      <c r="AD419" s="239" t="n"/>
      <c r="AE419" s="239" t="n"/>
    </row>
    <row r="420">
      <c r="A420" s="239" t="n"/>
      <c r="B420" s="239" t="n"/>
      <c r="C420" s="239" t="n"/>
      <c r="D420" s="239" t="n"/>
      <c r="E420" s="239" t="n"/>
      <c r="F420" s="239" t="n"/>
      <c r="G420" s="239" t="n"/>
      <c r="H420" s="239" t="n"/>
      <c r="I420" s="239" t="n"/>
      <c r="J420" s="239" t="n"/>
      <c r="K420" s="239" t="n"/>
      <c r="L420" s="239" t="n"/>
      <c r="M420" s="239" t="n"/>
      <c r="N420" s="239" t="n"/>
      <c r="O420" s="239" t="n"/>
      <c r="P420" s="239" t="n"/>
      <c r="Q420" s="239" t="n"/>
      <c r="R420" s="239" t="n"/>
      <c r="S420" s="239" t="n"/>
      <c r="T420" s="239" t="n"/>
      <c r="U420" s="239" t="n"/>
      <c r="V420" s="239" t="n"/>
      <c r="W420" s="239" t="n"/>
      <c r="X420" s="239" t="n"/>
      <c r="Y420" s="239" t="n"/>
      <c r="Z420" s="239" t="n"/>
      <c r="AA420" s="239" t="n"/>
      <c r="AB420" s="239" t="n"/>
      <c r="AC420" s="239" t="n"/>
      <c r="AD420" s="239" t="n"/>
      <c r="AE420" s="239" t="n"/>
    </row>
    <row r="421">
      <c r="A421" s="239" t="n"/>
      <c r="B421" s="239" t="n"/>
      <c r="C421" s="239" t="n"/>
      <c r="D421" s="239" t="n"/>
      <c r="E421" s="239" t="n"/>
      <c r="F421" s="239" t="n"/>
      <c r="G421" s="239" t="n"/>
      <c r="H421" s="239" t="n"/>
      <c r="I421" s="239" t="n"/>
      <c r="J421" s="239" t="n"/>
      <c r="K421" s="239" t="n"/>
      <c r="L421" s="239" t="n"/>
      <c r="M421" s="239" t="n"/>
      <c r="N421" s="239" t="n"/>
      <c r="O421" s="239" t="n"/>
      <c r="P421" s="239" t="n"/>
      <c r="Q421" s="239" t="n"/>
      <c r="R421" s="239" t="n"/>
      <c r="S421" s="239" t="n"/>
      <c r="T421" s="239" t="n"/>
      <c r="U421" s="239" t="n"/>
      <c r="V421" s="239" t="n"/>
      <c r="W421" s="239" t="n"/>
      <c r="X421" s="239" t="n"/>
      <c r="Y421" s="239" t="n"/>
      <c r="Z421" s="239" t="n"/>
      <c r="AA421" s="239" t="n"/>
      <c r="AB421" s="239" t="n"/>
      <c r="AC421" s="239" t="n"/>
      <c r="AD421" s="239" t="n"/>
      <c r="AE421" s="239" t="n"/>
    </row>
    <row r="422">
      <c r="A422" s="239" t="n"/>
      <c r="B422" s="239" t="n"/>
      <c r="C422" s="239" t="n"/>
      <c r="D422" s="239" t="n"/>
      <c r="E422" s="239" t="n"/>
      <c r="F422" s="239" t="n"/>
      <c r="G422" s="239" t="n"/>
      <c r="H422" s="239" t="n"/>
      <c r="I422" s="239" t="n"/>
      <c r="J422" s="239" t="n"/>
      <c r="K422" s="239" t="n"/>
      <c r="L422" s="239" t="n"/>
      <c r="M422" s="239" t="n"/>
      <c r="N422" s="239" t="n"/>
      <c r="O422" s="239" t="n"/>
      <c r="P422" s="239" t="n"/>
      <c r="Q422" s="239" t="n"/>
      <c r="R422" s="239" t="n"/>
      <c r="S422" s="239" t="n"/>
      <c r="T422" s="239" t="n"/>
      <c r="U422" s="239" t="n"/>
      <c r="V422" s="239" t="n"/>
      <c r="W422" s="239" t="n"/>
      <c r="X422" s="239" t="n"/>
      <c r="Y422" s="239" t="n"/>
      <c r="Z422" s="239" t="n"/>
      <c r="AA422" s="239" t="n"/>
      <c r="AB422" s="239" t="n"/>
      <c r="AC422" s="239" t="n"/>
      <c r="AD422" s="239" t="n"/>
      <c r="AE422" s="239" t="n"/>
    </row>
    <row r="423">
      <c r="A423" s="239" t="n"/>
      <c r="B423" s="239" t="n"/>
      <c r="C423" s="239" t="n"/>
      <c r="D423" s="239" t="n"/>
      <c r="E423" s="239" t="n"/>
      <c r="F423" s="239" t="n"/>
      <c r="G423" s="239" t="n"/>
      <c r="H423" s="239" t="n"/>
      <c r="I423" s="239" t="n"/>
      <c r="J423" s="239" t="n"/>
      <c r="K423" s="239" t="n"/>
      <c r="L423" s="239" t="n"/>
      <c r="M423" s="239" t="n"/>
      <c r="N423" s="239" t="n"/>
      <c r="O423" s="239" t="n"/>
      <c r="P423" s="239" t="n"/>
      <c r="Q423" s="239" t="n"/>
      <c r="R423" s="239" t="n"/>
      <c r="S423" s="239" t="n"/>
      <c r="T423" s="239" t="n"/>
      <c r="U423" s="239" t="n"/>
      <c r="V423" s="239" t="n"/>
      <c r="W423" s="239" t="n"/>
      <c r="X423" s="239" t="n"/>
      <c r="Y423" s="239" t="n"/>
      <c r="Z423" s="239" t="n"/>
      <c r="AA423" s="239" t="n"/>
      <c r="AB423" s="239" t="n"/>
      <c r="AC423" s="239" t="n"/>
      <c r="AD423" s="239" t="n"/>
      <c r="AE423" s="239" t="n"/>
    </row>
    <row r="424">
      <c r="A424" s="239" t="n"/>
      <c r="B424" s="239" t="n"/>
      <c r="C424" s="239" t="n"/>
      <c r="D424" s="239" t="n"/>
      <c r="E424" s="239" t="n"/>
      <c r="F424" s="239" t="n"/>
      <c r="G424" s="239" t="n"/>
      <c r="H424" s="239" t="n"/>
      <c r="I424" s="239" t="n"/>
      <c r="J424" s="239" t="n"/>
      <c r="K424" s="239" t="n"/>
      <c r="L424" s="239" t="n"/>
      <c r="M424" s="239" t="n"/>
      <c r="N424" s="239" t="n"/>
      <c r="O424" s="239" t="n"/>
      <c r="P424" s="239" t="n"/>
      <c r="Q424" s="239" t="n"/>
      <c r="R424" s="239" t="n"/>
      <c r="S424" s="239" t="n"/>
      <c r="T424" s="239" t="n"/>
      <c r="U424" s="239" t="n"/>
      <c r="V424" s="239" t="n"/>
      <c r="W424" s="239" t="n"/>
      <c r="X424" s="239" t="n"/>
      <c r="Y424" s="239" t="n"/>
      <c r="Z424" s="239" t="n"/>
      <c r="AA424" s="239" t="n"/>
      <c r="AB424" s="239" t="n"/>
      <c r="AC424" s="239" t="n"/>
      <c r="AD424" s="239" t="n"/>
      <c r="AE424" s="239" t="n"/>
    </row>
    <row r="425">
      <c r="A425" s="239" t="n"/>
      <c r="B425" s="239" t="n"/>
      <c r="C425" s="239" t="n"/>
      <c r="D425" s="239" t="n"/>
      <c r="E425" s="239" t="n"/>
      <c r="F425" s="239" t="n"/>
      <c r="G425" s="239" t="n"/>
      <c r="H425" s="239" t="n"/>
      <c r="I425" s="239" t="n"/>
      <c r="J425" s="239" t="n"/>
      <c r="K425" s="239" t="n"/>
      <c r="L425" s="239" t="n"/>
      <c r="M425" s="239" t="n"/>
      <c r="N425" s="239" t="n"/>
      <c r="O425" s="239" t="n"/>
      <c r="P425" s="239" t="n"/>
      <c r="Q425" s="239" t="n"/>
      <c r="R425" s="239" t="n"/>
      <c r="S425" s="239" t="n"/>
      <c r="T425" s="239" t="n"/>
      <c r="U425" s="239" t="n"/>
      <c r="V425" s="239" t="n"/>
      <c r="W425" s="239" t="n"/>
      <c r="X425" s="239" t="n"/>
      <c r="Y425" s="239" t="n"/>
      <c r="Z425" s="239" t="n"/>
      <c r="AA425" s="239" t="n"/>
      <c r="AB425" s="239" t="n"/>
      <c r="AC425" s="239" t="n"/>
      <c r="AD425" s="239" t="n"/>
      <c r="AE425" s="239" t="n"/>
    </row>
    <row r="426">
      <c r="A426" s="239" t="n"/>
      <c r="B426" s="239" t="n"/>
      <c r="C426" s="239" t="n"/>
      <c r="D426" s="239" t="n"/>
      <c r="E426" s="239" t="n"/>
      <c r="F426" s="239" t="n"/>
      <c r="G426" s="239" t="n"/>
      <c r="H426" s="239" t="n"/>
      <c r="I426" s="239" t="n"/>
      <c r="J426" s="239" t="n"/>
      <c r="K426" s="239" t="n"/>
      <c r="L426" s="239" t="n"/>
      <c r="M426" s="239" t="n"/>
      <c r="N426" s="239" t="n"/>
      <c r="O426" s="239" t="n"/>
      <c r="P426" s="239" t="n"/>
      <c r="Q426" s="239" t="n"/>
      <c r="R426" s="239" t="n"/>
      <c r="S426" s="239" t="n"/>
      <c r="T426" s="239" t="n"/>
      <c r="U426" s="239" t="n"/>
      <c r="V426" s="239" t="n"/>
      <c r="W426" s="239" t="n"/>
      <c r="X426" s="239" t="n"/>
      <c r="Y426" s="239" t="n"/>
      <c r="Z426" s="239" t="n"/>
      <c r="AA426" s="239" t="n"/>
      <c r="AB426" s="239" t="n"/>
      <c r="AC426" s="239" t="n"/>
      <c r="AD426" s="239" t="n"/>
      <c r="AE426" s="239" t="n"/>
    </row>
    <row r="427">
      <c r="A427" s="239" t="n"/>
      <c r="B427" s="239" t="n"/>
      <c r="C427" s="239" t="n"/>
      <c r="D427" s="239" t="n"/>
      <c r="E427" s="239" t="n"/>
      <c r="F427" s="239" t="n"/>
      <c r="G427" s="239" t="n"/>
      <c r="H427" s="239" t="n"/>
      <c r="I427" s="239" t="n"/>
      <c r="J427" s="239" t="n"/>
      <c r="K427" s="239" t="n"/>
      <c r="L427" s="239" t="n"/>
      <c r="M427" s="239" t="n"/>
      <c r="N427" s="239" t="n"/>
      <c r="O427" s="239" t="n"/>
      <c r="P427" s="239" t="n"/>
      <c r="Q427" s="239" t="n"/>
      <c r="R427" s="239" t="n"/>
      <c r="S427" s="239" t="n"/>
      <c r="T427" s="239" t="n"/>
      <c r="U427" s="239" t="n"/>
      <c r="V427" s="239" t="n"/>
      <c r="W427" s="239" t="n"/>
      <c r="X427" s="239" t="n"/>
      <c r="Y427" s="239" t="n"/>
      <c r="Z427" s="239" t="n"/>
      <c r="AA427" s="239" t="n"/>
      <c r="AB427" s="239" t="n"/>
      <c r="AC427" s="239" t="n"/>
      <c r="AD427" s="239" t="n"/>
      <c r="AE427" s="239" t="n"/>
    </row>
    <row r="428">
      <c r="A428" s="239" t="n"/>
      <c r="B428" s="239" t="n"/>
      <c r="C428" s="239" t="n"/>
      <c r="D428" s="239" t="n"/>
      <c r="E428" s="239" t="n"/>
      <c r="F428" s="239" t="n"/>
      <c r="G428" s="239" t="n"/>
      <c r="H428" s="239" t="n"/>
      <c r="I428" s="239" t="n"/>
      <c r="J428" s="239" t="n"/>
      <c r="K428" s="239" t="n"/>
      <c r="L428" s="239" t="n"/>
      <c r="M428" s="239" t="n"/>
      <c r="N428" s="239" t="n"/>
      <c r="O428" s="239" t="n"/>
      <c r="P428" s="239" t="n"/>
      <c r="Q428" s="239" t="n"/>
      <c r="R428" s="239" t="n"/>
      <c r="S428" s="239" t="n"/>
      <c r="T428" s="239" t="n"/>
      <c r="U428" s="239" t="n"/>
      <c r="V428" s="239" t="n"/>
      <c r="W428" s="239" t="n"/>
      <c r="X428" s="239" t="n"/>
      <c r="Y428" s="239" t="n"/>
      <c r="Z428" s="239" t="n"/>
      <c r="AA428" s="239" t="n"/>
      <c r="AB428" s="239" t="n"/>
      <c r="AC428" s="239" t="n"/>
      <c r="AD428" s="239" t="n"/>
      <c r="AE428" s="239" t="n"/>
    </row>
    <row r="429">
      <c r="A429" s="239" t="n"/>
      <c r="B429" s="239" t="n"/>
      <c r="C429" s="239" t="n"/>
      <c r="D429" s="239" t="n"/>
      <c r="E429" s="239" t="n"/>
      <c r="F429" s="239" t="n"/>
      <c r="G429" s="239" t="n"/>
      <c r="H429" s="239" t="n"/>
      <c r="I429" s="239" t="n"/>
      <c r="J429" s="239" t="n"/>
      <c r="K429" s="239" t="n"/>
      <c r="L429" s="239" t="n"/>
      <c r="M429" s="239" t="n"/>
      <c r="N429" s="239" t="n"/>
      <c r="O429" s="239" t="n"/>
      <c r="P429" s="239" t="n"/>
      <c r="Q429" s="239" t="n"/>
      <c r="R429" s="239" t="n"/>
      <c r="S429" s="239" t="n"/>
      <c r="T429" s="239" t="n"/>
      <c r="U429" s="239" t="n"/>
      <c r="V429" s="239" t="n"/>
      <c r="W429" s="239" t="n"/>
      <c r="X429" s="239" t="n"/>
      <c r="Y429" s="239" t="n"/>
      <c r="Z429" s="239" t="n"/>
      <c r="AA429" s="239" t="n"/>
      <c r="AB429" s="239" t="n"/>
      <c r="AC429" s="239" t="n"/>
      <c r="AD429" s="239" t="n"/>
      <c r="AE429" s="239" t="n"/>
    </row>
    <row r="430">
      <c r="A430" s="239" t="n"/>
      <c r="B430" s="239" t="n"/>
      <c r="C430" s="239" t="n"/>
      <c r="D430" s="239" t="n"/>
      <c r="E430" s="239" t="n"/>
      <c r="F430" s="239" t="n"/>
      <c r="G430" s="239" t="n"/>
      <c r="H430" s="239" t="n"/>
      <c r="I430" s="239" t="n"/>
      <c r="J430" s="239" t="n"/>
      <c r="K430" s="239" t="n"/>
      <c r="L430" s="239" t="n"/>
      <c r="M430" s="239" t="n"/>
      <c r="N430" s="239" t="n"/>
      <c r="O430" s="239" t="n"/>
      <c r="P430" s="239" t="n"/>
      <c r="Q430" s="239" t="n"/>
      <c r="R430" s="239" t="n"/>
      <c r="S430" s="239" t="n"/>
      <c r="T430" s="239" t="n"/>
      <c r="U430" s="239" t="n"/>
      <c r="V430" s="239" t="n"/>
      <c r="W430" s="239" t="n"/>
      <c r="X430" s="239" t="n"/>
      <c r="Y430" s="239" t="n"/>
      <c r="Z430" s="239" t="n"/>
      <c r="AA430" s="239" t="n"/>
      <c r="AB430" s="239" t="n"/>
      <c r="AC430" s="239" t="n"/>
      <c r="AD430" s="239" t="n"/>
      <c r="AE430" s="239" t="n"/>
    </row>
    <row r="431">
      <c r="A431" s="239" t="n"/>
      <c r="B431" s="239" t="n"/>
      <c r="C431" s="239" t="n"/>
      <c r="D431" s="239" t="n"/>
      <c r="E431" s="239" t="n"/>
      <c r="F431" s="239" t="n"/>
      <c r="G431" s="239" t="n"/>
      <c r="H431" s="239" t="n"/>
      <c r="I431" s="239" t="n"/>
      <c r="J431" s="239" t="n"/>
      <c r="K431" s="239" t="n"/>
      <c r="L431" s="239" t="n"/>
      <c r="M431" s="239" t="n"/>
      <c r="N431" s="239" t="n"/>
      <c r="O431" s="239" t="n"/>
      <c r="P431" s="239" t="n"/>
      <c r="Q431" s="239" t="n"/>
      <c r="R431" s="239" t="n"/>
      <c r="S431" s="239" t="n"/>
      <c r="T431" s="239" t="n"/>
      <c r="U431" s="239" t="n"/>
      <c r="V431" s="239" t="n"/>
      <c r="W431" s="239" t="n"/>
      <c r="X431" s="239" t="n"/>
      <c r="Y431" s="239" t="n"/>
      <c r="Z431" s="239" t="n"/>
      <c r="AA431" s="239" t="n"/>
      <c r="AB431" s="239" t="n"/>
      <c r="AC431" s="239" t="n"/>
      <c r="AD431" s="239" t="n"/>
      <c r="AE431" s="239" t="n"/>
    </row>
    <row r="432">
      <c r="A432" s="239" t="n"/>
      <c r="B432" s="239" t="n"/>
      <c r="C432" s="239" t="n"/>
      <c r="D432" s="239" t="n"/>
      <c r="E432" s="239" t="n"/>
      <c r="F432" s="239" t="n"/>
      <c r="G432" s="239" t="n"/>
      <c r="H432" s="239" t="n"/>
      <c r="I432" s="239" t="n"/>
      <c r="J432" s="239" t="n"/>
      <c r="K432" s="239" t="n"/>
      <c r="L432" s="239" t="n"/>
      <c r="M432" s="239" t="n"/>
      <c r="N432" s="239" t="n"/>
      <c r="O432" s="239" t="n"/>
      <c r="P432" s="239" t="n"/>
      <c r="Q432" s="239" t="n"/>
      <c r="R432" s="239" t="n"/>
      <c r="S432" s="239" t="n"/>
      <c r="T432" s="239" t="n"/>
      <c r="U432" s="239" t="n"/>
      <c r="V432" s="239" t="n"/>
      <c r="W432" s="239" t="n"/>
      <c r="X432" s="239" t="n"/>
      <c r="Y432" s="239" t="n"/>
      <c r="Z432" s="239" t="n"/>
      <c r="AA432" s="239" t="n"/>
      <c r="AB432" s="239" t="n"/>
      <c r="AC432" s="239" t="n"/>
      <c r="AD432" s="239" t="n"/>
      <c r="AE432" s="239" t="n"/>
    </row>
    <row r="433">
      <c r="A433" s="239" t="n"/>
      <c r="B433" s="239" t="n"/>
      <c r="C433" s="239" t="n"/>
      <c r="D433" s="239" t="n"/>
      <c r="E433" s="239" t="n"/>
      <c r="F433" s="239" t="n"/>
      <c r="G433" s="239" t="n"/>
      <c r="H433" s="239" t="n"/>
      <c r="I433" s="239" t="n"/>
      <c r="J433" s="239" t="n"/>
      <c r="K433" s="239" t="n"/>
      <c r="L433" s="239" t="n"/>
      <c r="M433" s="239" t="n"/>
      <c r="N433" s="239" t="n"/>
      <c r="O433" s="239" t="n"/>
      <c r="P433" s="239" t="n"/>
      <c r="Q433" s="239" t="n"/>
      <c r="R433" s="239" t="n"/>
      <c r="S433" s="239" t="n"/>
      <c r="T433" s="239" t="n"/>
      <c r="U433" s="239" t="n"/>
      <c r="V433" s="239" t="n"/>
      <c r="W433" s="239" t="n"/>
      <c r="X433" s="239" t="n"/>
      <c r="Y433" s="239" t="n"/>
      <c r="Z433" s="239" t="n"/>
      <c r="AA433" s="239" t="n"/>
      <c r="AB433" s="239" t="n"/>
      <c r="AC433" s="239" t="n"/>
      <c r="AD433" s="239" t="n"/>
      <c r="AE433" s="239" t="n"/>
    </row>
    <row r="434">
      <c r="A434" s="239" t="n"/>
      <c r="B434" s="239" t="n"/>
      <c r="C434" s="239" t="n"/>
      <c r="D434" s="239" t="n"/>
      <c r="E434" s="239" t="n"/>
      <c r="F434" s="239" t="n"/>
      <c r="G434" s="239" t="n"/>
      <c r="H434" s="239" t="n"/>
      <c r="I434" s="239" t="n"/>
      <c r="J434" s="239" t="n"/>
      <c r="K434" s="239" t="n"/>
      <c r="L434" s="239" t="n"/>
      <c r="M434" s="239" t="n"/>
      <c r="N434" s="239" t="n"/>
      <c r="O434" s="239" t="n"/>
      <c r="P434" s="239" t="n"/>
      <c r="Q434" s="239" t="n"/>
      <c r="R434" s="239" t="n"/>
      <c r="S434" s="239" t="n"/>
      <c r="T434" s="239" t="n"/>
      <c r="U434" s="239" t="n"/>
      <c r="V434" s="239" t="n"/>
      <c r="W434" s="239" t="n"/>
      <c r="X434" s="239" t="n"/>
      <c r="Y434" s="239" t="n"/>
      <c r="Z434" s="239" t="n"/>
      <c r="AA434" s="239" t="n"/>
      <c r="AB434" s="239" t="n"/>
      <c r="AC434" s="239" t="n"/>
      <c r="AD434" s="239" t="n"/>
      <c r="AE434" s="239" t="n"/>
    </row>
    <row r="435">
      <c r="A435" s="239" t="n"/>
      <c r="B435" s="239" t="n"/>
      <c r="C435" s="239" t="n"/>
      <c r="D435" s="239" t="n"/>
      <c r="E435" s="239" t="n"/>
      <c r="F435" s="239" t="n"/>
      <c r="G435" s="239" t="n"/>
      <c r="H435" s="239" t="n"/>
      <c r="I435" s="239" t="n"/>
      <c r="J435" s="239" t="n"/>
      <c r="K435" s="239" t="n"/>
      <c r="L435" s="239" t="n"/>
      <c r="M435" s="239" t="n"/>
      <c r="N435" s="239" t="n"/>
      <c r="O435" s="239" t="n"/>
      <c r="P435" s="239" t="n"/>
      <c r="Q435" s="239" t="n"/>
      <c r="R435" s="239" t="n"/>
      <c r="S435" s="239" t="n"/>
      <c r="T435" s="239" t="n"/>
      <c r="U435" s="239" t="n"/>
      <c r="V435" s="239" t="n"/>
      <c r="W435" s="239" t="n"/>
      <c r="X435" s="239" t="n"/>
      <c r="Y435" s="239" t="n"/>
      <c r="Z435" s="239" t="n"/>
      <c r="AA435" s="239" t="n"/>
      <c r="AB435" s="239" t="n"/>
      <c r="AC435" s="239" t="n"/>
      <c r="AD435" s="239" t="n"/>
      <c r="AE435" s="239" t="n"/>
    </row>
    <row r="436">
      <c r="A436" s="239" t="n"/>
      <c r="B436" s="239" t="n"/>
      <c r="C436" s="239" t="n"/>
      <c r="D436" s="239" t="n"/>
      <c r="E436" s="239" t="n"/>
      <c r="F436" s="239" t="n"/>
      <c r="G436" s="239" t="n"/>
      <c r="H436" s="239" t="n"/>
      <c r="I436" s="239" t="n"/>
      <c r="J436" s="239" t="n"/>
      <c r="K436" s="239" t="n"/>
      <c r="L436" s="239" t="n"/>
      <c r="M436" s="239" t="n"/>
      <c r="N436" s="239" t="n"/>
      <c r="O436" s="239" t="n"/>
      <c r="P436" s="239" t="n"/>
      <c r="Q436" s="239" t="n"/>
      <c r="R436" s="239" t="n"/>
      <c r="S436" s="239" t="n"/>
      <c r="T436" s="239" t="n"/>
      <c r="U436" s="239" t="n"/>
      <c r="V436" s="239" t="n"/>
      <c r="W436" s="239" t="n"/>
      <c r="X436" s="239" t="n"/>
      <c r="Y436" s="239" t="n"/>
      <c r="Z436" s="239" t="n"/>
      <c r="AA436" s="239" t="n"/>
      <c r="AB436" s="239" t="n"/>
      <c r="AC436" s="239" t="n"/>
      <c r="AD436" s="239" t="n"/>
      <c r="AE436" s="239" t="n"/>
    </row>
    <row r="437">
      <c r="A437" s="239" t="n"/>
      <c r="B437" s="239" t="n"/>
      <c r="C437" s="239" t="n"/>
      <c r="D437" s="239" t="n"/>
      <c r="E437" s="239" t="n"/>
      <c r="F437" s="239" t="n"/>
      <c r="G437" s="239" t="n"/>
      <c r="H437" s="239" t="n"/>
      <c r="I437" s="239" t="n"/>
      <c r="J437" s="239" t="n"/>
      <c r="K437" s="239" t="n"/>
      <c r="L437" s="239" t="n"/>
      <c r="M437" s="239" t="n"/>
      <c r="N437" s="239" t="n"/>
      <c r="O437" s="239" t="n"/>
      <c r="P437" s="239" t="n"/>
      <c r="Q437" s="239" t="n"/>
      <c r="R437" s="239" t="n"/>
      <c r="S437" s="239" t="n"/>
      <c r="T437" s="239" t="n"/>
      <c r="U437" s="239" t="n"/>
      <c r="V437" s="239" t="n"/>
      <c r="W437" s="239" t="n"/>
      <c r="X437" s="239" t="n"/>
      <c r="Y437" s="239" t="n"/>
      <c r="Z437" s="239" t="n"/>
      <c r="AA437" s="239" t="n"/>
      <c r="AB437" s="239" t="n"/>
      <c r="AC437" s="239" t="n"/>
      <c r="AD437" s="239" t="n"/>
      <c r="AE437" s="239" t="n"/>
    </row>
    <row r="438">
      <c r="A438" s="239" t="n"/>
      <c r="B438" s="239" t="n"/>
      <c r="C438" s="239" t="n"/>
      <c r="D438" s="239" t="n"/>
      <c r="E438" s="239" t="n"/>
      <c r="F438" s="239" t="n"/>
      <c r="G438" s="239" t="n"/>
      <c r="H438" s="239" t="n"/>
      <c r="I438" s="239" t="n"/>
      <c r="J438" s="239" t="n"/>
      <c r="K438" s="239" t="n"/>
      <c r="L438" s="239" t="n"/>
      <c r="M438" s="239" t="n"/>
      <c r="N438" s="239" t="n"/>
      <c r="O438" s="239" t="n"/>
      <c r="P438" s="239" t="n"/>
      <c r="Q438" s="239" t="n"/>
      <c r="R438" s="239" t="n"/>
      <c r="S438" s="239" t="n"/>
      <c r="T438" s="239" t="n"/>
      <c r="U438" s="239" t="n"/>
      <c r="V438" s="239" t="n"/>
      <c r="W438" s="239" t="n"/>
      <c r="X438" s="239" t="n"/>
      <c r="Y438" s="239" t="n"/>
      <c r="Z438" s="239" t="n"/>
      <c r="AA438" s="239" t="n"/>
      <c r="AB438" s="239" t="n"/>
      <c r="AC438" s="239" t="n"/>
      <c r="AD438" s="239" t="n"/>
      <c r="AE438" s="239" t="n"/>
    </row>
  </sheetData>
  <mergeCells count="1114">
    <mergeCell ref="MTW5:MUZ5"/>
    <mergeCell ref="LXY5:LZB5"/>
    <mergeCell ref="UDK5:UEN5"/>
    <mergeCell ref="NSC6:NTF6"/>
    <mergeCell ref="VXO6:VYR6"/>
    <mergeCell ref="SUU6:SVX6"/>
    <mergeCell ref="VBQ6:VCT6"/>
    <mergeCell ref="KGC5:KHF5"/>
    <mergeCell ref="BUW5:BVZ5"/>
    <mergeCell ref="PIU5:PJX5"/>
    <mergeCell ref="RPQ5:RQT5"/>
    <mergeCell ref="OMW6:ONZ6"/>
    <mergeCell ref="B16:X16"/>
    <mergeCell ref="LAW5:LBZ5"/>
    <mergeCell ref="JSG6:JTJ6"/>
    <mergeCell ref="UEO6:UFR6"/>
    <mergeCell ref="DNW6:DOZ6"/>
    <mergeCell ref="LZC6:MAF6"/>
    <mergeCell ref="GGG5:GHJ5"/>
    <mergeCell ref="ABW5:ACZ5"/>
    <mergeCell ref="INC5:IOF5"/>
    <mergeCell ref="QSO5:QTR5"/>
    <mergeCell ref="GYS6:GZV6"/>
    <mergeCell ref="DMS5:DNV5"/>
    <mergeCell ref="HZG6:IAJ6"/>
    <mergeCell ref="OA6:PD6"/>
    <mergeCell ref="BUW6:BVZ6"/>
    <mergeCell ref="KGC6:KHF6"/>
    <mergeCell ref="KAI6:KBL6"/>
    <mergeCell ref="ENG5:EOJ5"/>
    <mergeCell ref="GUC5:GVF5"/>
    <mergeCell ref="GOI5:GPL5"/>
    <mergeCell ref="OZO5:PAR5"/>
    <mergeCell ref="SLO6:SMR6"/>
    <mergeCell ref="FFS6:FGV6"/>
    <mergeCell ref="VHK6:VIN6"/>
    <mergeCell ref="CUG5:CVJ5"/>
    <mergeCell ref="FBC5:FCF5"/>
    <mergeCell ref="NGO5:NHR5"/>
    <mergeCell ref="RVK5:RWN5"/>
    <mergeCell ref="D7:E7"/>
    <mergeCell ref="KIK6:KJN6"/>
    <mergeCell ref="SNW6:SOZ6"/>
    <mergeCell ref="GWK5:GXN5"/>
    <mergeCell ref="PBW5:PCZ5"/>
    <mergeCell ref="TOK6:TPN6"/>
    <mergeCell ref="LDE6:LEH6"/>
    <mergeCell ref="QCK5:QDN5"/>
    <mergeCell ref="HRE5:HSH5"/>
    <mergeCell ref="OTU6:OUX6"/>
    <mergeCell ref="GIO6:GJR6"/>
    <mergeCell ref="IPK6:IQN6"/>
    <mergeCell ref="RAQ6:RBT6"/>
    <mergeCell ref="QUW6:QVZ6"/>
    <mergeCell ref="LHU5:LIX5"/>
    <mergeCell ref="CWO5:CXR5"/>
    <mergeCell ref="FDK5:FEN5"/>
    <mergeCell ref="NIW5:NJZ5"/>
    <mergeCell ref="NOQ5:NPT5"/>
    <mergeCell ref="VUC5:VVF5"/>
    <mergeCell ref="RVK6:RWN6"/>
    <mergeCell ref="OJK5:OKN5"/>
    <mergeCell ref="WOW5:WPZ5"/>
    <mergeCell ref="EPO6:EQR6"/>
    <mergeCell ref="GWK6:GXN6"/>
    <mergeCell ref="PBW6:PCZ6"/>
    <mergeCell ref="BDO5:BER5"/>
    <mergeCell ref="DKK5:DLN5"/>
    <mergeCell ref="LPW5:LQZ5"/>
    <mergeCell ref="UBC5:UCF5"/>
    <mergeCell ref="KHG6:KIJ6"/>
    <mergeCell ref="FZI6:GAL6"/>
    <mergeCell ref="NIW6:NJZ6"/>
    <mergeCell ref="CNI5:COL5"/>
    <mergeCell ref="RXS6:RYV6"/>
    <mergeCell ref="BES6:BFV6"/>
    <mergeCell ref="WWY5:WYB5"/>
    <mergeCell ref="OLS5:OMV5"/>
    <mergeCell ref="WRE5:WSH5"/>
    <mergeCell ref="DLO6:DMR6"/>
    <mergeCell ref="ZO5:AAR5"/>
    <mergeCell ref="QES6:QFV6"/>
    <mergeCell ref="HTM6:HUP6"/>
    <mergeCell ref="LS6:MV6"/>
    <mergeCell ref="VDY5:VFB5"/>
    <mergeCell ref="MSS5:MTV5"/>
    <mergeCell ref="EHM5:EIP5"/>
    <mergeCell ref="UYE5:UZH5"/>
    <mergeCell ref="NQY6:NSB6"/>
    <mergeCell ref="VWK6:VXN6"/>
    <mergeCell ref="HYC5:HZF5"/>
    <mergeCell ref="BTS5:BUV5"/>
    <mergeCell ref="KEY5:KGB5"/>
    <mergeCell ref="SKK5:SLN5"/>
    <mergeCell ref="S17:X17"/>
    <mergeCell ref="OLS6:OMV6"/>
    <mergeCell ref="WRE6:WSH6"/>
    <mergeCell ref="KZS5:LAV5"/>
    <mergeCell ref="TFE5:TGH5"/>
    <mergeCell ref="VMA5:VND5"/>
    <mergeCell ref="EIQ6:EJT6"/>
    <mergeCell ref="BFW6:BGZ6"/>
    <mergeCell ref="DMS6:DNV6"/>
    <mergeCell ref="MTW6:MUZ6"/>
    <mergeCell ref="JHW5:JIZ5"/>
    <mergeCell ref="UDK6:UEN6"/>
    <mergeCell ref="AAS5:ABV5"/>
    <mergeCell ref="B17:F17"/>
    <mergeCell ref="QRK5:QSN5"/>
    <mergeCell ref="A4:C4"/>
    <mergeCell ref="CM6:DP6"/>
    <mergeCell ref="LAW6:LBZ6"/>
    <mergeCell ref="CPQ6:CQT6"/>
    <mergeCell ref="TGI6:THL6"/>
    <mergeCell ref="HOW5:HPZ5"/>
    <mergeCell ref="DQ5:ET5"/>
    <mergeCell ref="OOA6:OPD6"/>
    <mergeCell ref="WZG6:XAJ6"/>
    <mergeCell ref="ABW6:ACZ6"/>
    <mergeCell ref="TNG5:TOJ5"/>
    <mergeCell ref="IHI6:IIL6"/>
    <mergeCell ref="HBA6:HCD6"/>
    <mergeCell ref="JHW6:JIZ6"/>
    <mergeCell ref="RNI6:ROL6"/>
    <mergeCell ref="XFA6:XFD6"/>
    <mergeCell ref="FVW5:FWZ5"/>
    <mergeCell ref="MVA6:MWD6"/>
    <mergeCell ref="VGG6:VHJ6"/>
    <mergeCell ref="ENG6:EOJ6"/>
    <mergeCell ref="RUG5:RVJ5"/>
    <mergeCell ref="JJA5:JKD5"/>
    <mergeCell ref="BBG5:BCJ5"/>
    <mergeCell ref="EOK5:EPN5"/>
    <mergeCell ref="GVG5:GWJ5"/>
    <mergeCell ref="LCA6:LDD6"/>
    <mergeCell ref="TEA5:TFD5"/>
    <mergeCell ref="IG5:JJ5"/>
    <mergeCell ref="AYY6:BAB6"/>
    <mergeCell ref="JKE6:JLH6"/>
    <mergeCell ref="FYE5:FZH5"/>
    <mergeCell ref="VSY5:VUB5"/>
    <mergeCell ref="SQE6:SRH6"/>
    <mergeCell ref="UXA6:UYD6"/>
    <mergeCell ref="PEE5:PFH5"/>
    <mergeCell ref="RLA5:RMD5"/>
    <mergeCell ref="QCK6:QDN6"/>
    <mergeCell ref="HRE6:HSH6"/>
    <mergeCell ref="PWQ6:PXT6"/>
    <mergeCell ref="MQK5:MRN5"/>
    <mergeCell ref="EFE5:EGH5"/>
    <mergeCell ref="UVW5:UWZ5"/>
    <mergeCell ref="TPO6:TQR6"/>
    <mergeCell ref="CWO6:CXR6"/>
    <mergeCell ref="FDK6:FEN6"/>
    <mergeCell ref="QDO5:QER5"/>
    <mergeCell ref="KO5:LR5"/>
    <mergeCell ref="BRK5:BSN5"/>
    <mergeCell ref="JWW5:JXZ5"/>
    <mergeCell ref="MCO6:MDR6"/>
    <mergeCell ref="DRI6:DSL6"/>
    <mergeCell ref="FYE6:FZH6"/>
    <mergeCell ref="OJK6:OKN6"/>
    <mergeCell ref="ODQ6:OET6"/>
    <mergeCell ref="KXK5:KYN5"/>
    <mergeCell ref="AFI5:AGL5"/>
    <mergeCell ref="CME5:CNH5"/>
    <mergeCell ref="KRQ5:KST5"/>
    <mergeCell ref="BDO6:BER6"/>
    <mergeCell ref="BZM6:CAP6"/>
    <mergeCell ref="OKO5:OLR5"/>
    <mergeCell ref="EGI6:EHL6"/>
    <mergeCell ref="RWO6:RXR6"/>
    <mergeCell ref="WOW6:WPZ6"/>
    <mergeCell ref="JEK5:JFN5"/>
    <mergeCell ref="CNI6:COL6"/>
    <mergeCell ref="XDW5:XEZ5"/>
    <mergeCell ref="BI5:CL5"/>
    <mergeCell ref="GAM6:GBP6"/>
    <mergeCell ref="AB16:AD17"/>
    <mergeCell ref="COM5:CPP5"/>
    <mergeCell ref="Z17:AA17"/>
    <mergeCell ref="PGM6:PHP6"/>
    <mergeCell ref="G17:M17"/>
    <mergeCell ref="AUI6:AVL6"/>
    <mergeCell ref="DPA5:DQD5"/>
    <mergeCell ref="LUM5:LVP5"/>
    <mergeCell ref="OBI5:OCL5"/>
    <mergeCell ref="UFS5:UGV5"/>
    <mergeCell ref="WMO5:WNR5"/>
    <mergeCell ref="EHM6:EIP6"/>
    <mergeCell ref="MSS6:MTV6"/>
    <mergeCell ref="VDY6:VFB6"/>
    <mergeCell ref="RRY5:RTB5"/>
    <mergeCell ref="JGS5:JHV5"/>
    <mergeCell ref="AVM5:AWP5"/>
    <mergeCell ref="RME5:RNH5"/>
    <mergeCell ref="UYE6:UZH6"/>
    <mergeCell ref="BTS6:BUV6"/>
    <mergeCell ref="VYS6:VZV6"/>
    <mergeCell ref="ALC5:AMF5"/>
    <mergeCell ref="SMS5:SNV5"/>
    <mergeCell ref="UTO5:UUR5"/>
    <mergeCell ref="LVQ6:LWT6"/>
    <mergeCell ref="ISW6:ITZ6"/>
    <mergeCell ref="AHQ6:AIT6"/>
    <mergeCell ref="COM6:CPP6"/>
    <mergeCell ref="KZS6:LAV6"/>
    <mergeCell ref="TFE6:TGH6"/>
    <mergeCell ref="FGW5:FHZ5"/>
    <mergeCell ref="CM5:DP5"/>
    <mergeCell ref="HNS5:HOV5"/>
    <mergeCell ref="PTE5:PUH5"/>
    <mergeCell ref="AWQ6:AXT6"/>
    <mergeCell ref="D5:E5"/>
    <mergeCell ref="KCQ6:KDT6"/>
    <mergeCell ref="RME6:RNH6"/>
    <mergeCell ref="GQQ5:GRT5"/>
    <mergeCell ref="FUS5:FVV5"/>
    <mergeCell ref="OAE5:OBH5"/>
    <mergeCell ref="JK6:KN6"/>
    <mergeCell ref="DQ6:ET6"/>
    <mergeCell ref="HOW6:HPZ6"/>
    <mergeCell ref="PUI6:PVL6"/>
    <mergeCell ref="ECW5:EDZ5"/>
    <mergeCell ref="HQA5:HRD5"/>
    <mergeCell ref="IJQ6:IKT6"/>
    <mergeCell ref="EXQ5:EYT5"/>
    <mergeCell ref="LWU6:LXX6"/>
    <mergeCell ref="UIA6:UJD6"/>
    <mergeCell ref="QWA5:QXD5"/>
    <mergeCell ref="IKU5:ILX5"/>
    <mergeCell ref="TCW5:TDZ5"/>
    <mergeCell ref="JJA6:JKD6"/>
    <mergeCell ref="OIG5:OJJ5"/>
    <mergeCell ref="FXA5:FYD5"/>
    <mergeCell ref="WNS5:WOV5"/>
    <mergeCell ref="SPA6:SQD6"/>
    <mergeCell ref="UVW6:UWZ6"/>
    <mergeCell ref="PDA5:PED5"/>
    <mergeCell ref="RJW5:RKZ5"/>
    <mergeCell ref="AGM6:AHP6"/>
    <mergeCell ref="ILY6:INB6"/>
    <mergeCell ref="FJE6:FKH6"/>
    <mergeCell ref="HQA6:HRD6"/>
    <mergeCell ref="QXE6:QYH6"/>
    <mergeCell ref="NLE5:NMH5"/>
    <mergeCell ref="PSA5:PTD5"/>
    <mergeCell ref="BXE5:BYH5"/>
    <mergeCell ref="EEA5:EFD5"/>
    <mergeCell ref="UUS5:UVV5"/>
    <mergeCell ref="TYU6:TZX6"/>
    <mergeCell ref="QMU5:QNX5"/>
    <mergeCell ref="PEE6:PFH6"/>
    <mergeCell ref="GSY6:GUB6"/>
    <mergeCell ref="IZU6:JAX6"/>
    <mergeCell ref="TZY5:UBB5"/>
    <mergeCell ref="WNS6:WOV6"/>
    <mergeCell ref="LSE5:LTH5"/>
    <mergeCell ref="DGY5:DIB5"/>
    <mergeCell ref="CLA5:CMD5"/>
    <mergeCell ref="FNU5:FOX5"/>
    <mergeCell ref="BYI6:BZL6"/>
    <mergeCell ref="EFE6:EGH6"/>
    <mergeCell ref="MKQ6:MLT6"/>
    <mergeCell ref="ATE5:AUH5"/>
    <mergeCell ref="NLE6:NMH6"/>
    <mergeCell ref="EZY6:FBB6"/>
    <mergeCell ref="JZE5:KAH5"/>
    <mergeCell ref="BNY5:BPB5"/>
    <mergeCell ref="QYI6:QZL6"/>
    <mergeCell ref="AFI6:AGL6"/>
    <mergeCell ref="VXO5:VYR5"/>
    <mergeCell ref="NMI5:NNL5"/>
    <mergeCell ref="AE5:BH5"/>
    <mergeCell ref="KYO5:KZR5"/>
    <mergeCell ref="SIC6:SJF6"/>
    <mergeCell ref="PFI6:PGL6"/>
    <mergeCell ref="LTI5:LUL5"/>
    <mergeCell ref="FIA6:FJD6"/>
    <mergeCell ref="NNM6:NOP6"/>
    <mergeCell ref="FCG6:FDJ6"/>
    <mergeCell ref="BWA5:BXD5"/>
    <mergeCell ref="KBM5:KCP5"/>
    <mergeCell ref="BQG5:BRJ5"/>
    <mergeCell ref="MII5:MJL5"/>
    <mergeCell ref="WTM6:WUP6"/>
    <mergeCell ref="QPC6:QQF6"/>
    <mergeCell ref="WC6:XF6"/>
    <mergeCell ref="VOI5:VPL5"/>
    <mergeCell ref="NDC5:NEF5"/>
    <mergeCell ref="DPA6:DQD6"/>
    <mergeCell ref="UFS6:UGV6"/>
    <mergeCell ref="DJG6:DKJ6"/>
    <mergeCell ref="LUM6:LVP6"/>
    <mergeCell ref="ADA5:AED5"/>
    <mergeCell ref="IIM5:IJP5"/>
    <mergeCell ref="XG5:YJ5"/>
    <mergeCell ref="CEC5:CFF5"/>
    <mergeCell ref="QTS5:QUV5"/>
    <mergeCell ref="AVM6:AWP6"/>
    <mergeCell ref="SMS6:SNV6"/>
    <mergeCell ref="KBM6:KCP6"/>
    <mergeCell ref="BQG6:BRJ6"/>
    <mergeCell ref="PAS5:PBV5"/>
    <mergeCell ref="GPM5:GQP5"/>
    <mergeCell ref="FGW6:FHZ6"/>
    <mergeCell ref="VQQ5:VRT5"/>
    <mergeCell ref="SNW5:SOZ5"/>
    <mergeCell ref="D6:E6"/>
    <mergeCell ref="A7:B7"/>
    <mergeCell ref="NHS5:NIV5"/>
    <mergeCell ref="OYK6:OZN6"/>
    <mergeCell ref="GQQ6:GRT6"/>
    <mergeCell ref="TXQ5:TYT5"/>
    <mergeCell ref="DEQ5:DFT5"/>
    <mergeCell ref="KDU6:KEX6"/>
    <mergeCell ref="GRU5:GSX5"/>
    <mergeCell ref="VQQ6:VRT6"/>
    <mergeCell ref="NFK6:NGN6"/>
    <mergeCell ref="EXQ6:EYT6"/>
    <mergeCell ref="SEQ5:SFT5"/>
    <mergeCell ref="JTK5:JUN5"/>
    <mergeCell ref="BLQ5:BMT5"/>
    <mergeCell ref="IKU6:ILX6"/>
    <mergeCell ref="QWA6:QXD6"/>
    <mergeCell ref="VVG5:VWJ5"/>
    <mergeCell ref="NKA5:NLD5"/>
    <mergeCell ref="EYU5:EZX5"/>
    <mergeCell ref="HFQ5:HGT5"/>
    <mergeCell ref="WQA5:WRD5"/>
    <mergeCell ref="IG6:JJ6"/>
    <mergeCell ref="PDA6:PED6"/>
    <mergeCell ref="GRU6:GSX6"/>
    <mergeCell ref="PYY6:QAB6"/>
    <mergeCell ref="SFU6:SGX6"/>
    <mergeCell ref="MMY5:MOB5"/>
    <mergeCell ref="LRA5:LSD5"/>
    <mergeCell ref="DFU5:DGX5"/>
    <mergeCell ref="VSY6:VUB6"/>
    <mergeCell ref="SGY5:SIB5"/>
    <mergeCell ref="OFY6:OHB6"/>
    <mergeCell ref="QMU6:QNX6"/>
    <mergeCell ref="KTY5:KVB5"/>
    <mergeCell ref="NAU5:NBX5"/>
    <mergeCell ref="TZY6:UBB6"/>
    <mergeCell ref="LSE6:LTH6"/>
    <mergeCell ref="DGY6:DIB6"/>
    <mergeCell ref="QNY5:QPB5"/>
    <mergeCell ref="IGE5:IHH5"/>
    <mergeCell ref="UY5:WB5"/>
    <mergeCell ref="MMY6:MOB6"/>
    <mergeCell ref="SGY6:SIB6"/>
    <mergeCell ref="JZE6:KAH6"/>
    <mergeCell ref="BNY6:BPB6"/>
    <mergeCell ref="UZI5:VAL5"/>
    <mergeCell ref="OUY5:OWB5"/>
    <mergeCell ref="GNE5:GOH5"/>
    <mergeCell ref="NMI6:NNL6"/>
    <mergeCell ref="SLO5:SMR5"/>
    <mergeCell ref="KAI5:KBL5"/>
    <mergeCell ref="WSI6:WTL6"/>
    <mergeCell ref="TGI5:THL5"/>
    <mergeCell ref="VNE5:VOH5"/>
    <mergeCell ref="EJU6:EKX6"/>
    <mergeCell ref="MPG6:MQJ6"/>
    <mergeCell ref="LTI6:LUL6"/>
    <mergeCell ref="OWC6:OXF6"/>
    <mergeCell ref="VAM6:VBP6"/>
    <mergeCell ref="AXU5:AYX5"/>
    <mergeCell ref="JDG5:JEJ5"/>
    <mergeCell ref="IHI5:IIL5"/>
    <mergeCell ref="ROM5:RPP5"/>
    <mergeCell ref="TVI5:TWL5"/>
    <mergeCell ref="A5:C5"/>
    <mergeCell ref="UQC5:URF5"/>
    <mergeCell ref="VOI6:VPL6"/>
    <mergeCell ref="CQU6:CRX6"/>
    <mergeCell ref="KWG6:KXJ6"/>
    <mergeCell ref="CLA6:CMD6"/>
    <mergeCell ref="NDC6:NEF6"/>
    <mergeCell ref="THM6:TIP6"/>
    <mergeCell ref="EU5:FX5"/>
    <mergeCell ref="HKG5:HLJ5"/>
    <mergeCell ref="JRC5:JSF5"/>
    <mergeCell ref="ADA6:AED6"/>
    <mergeCell ref="PVM5:PWP5"/>
    <mergeCell ref="SCI5:SDL5"/>
    <mergeCell ref="VPM5:VQP5"/>
    <mergeCell ref="IIM6:IJP6"/>
    <mergeCell ref="EWM5:EXP5"/>
    <mergeCell ref="AXU6:AYX6"/>
    <mergeCell ref="JDG6:JEJ6"/>
    <mergeCell ref="ROM6:RPP6"/>
    <mergeCell ref="FRG5:FSJ5"/>
    <mergeCell ref="FY6:HB6"/>
    <mergeCell ref="PAS6:PBV6"/>
    <mergeCell ref="GPM6:GQP6"/>
    <mergeCell ref="TWM5:TXP5"/>
    <mergeCell ref="LOS5:LPV5"/>
    <mergeCell ref="DDM5:DEP5"/>
    <mergeCell ref="A8:B8"/>
    <mergeCell ref="WLK6:WMN6"/>
    <mergeCell ref="TIQ6:TJT6"/>
    <mergeCell ref="VPM6:VQP6"/>
    <mergeCell ref="FSK6:FTN6"/>
    <mergeCell ref="PWQ5:PXT5"/>
    <mergeCell ref="SDM5:SEP5"/>
    <mergeCell ref="TXQ6:TYT6"/>
    <mergeCell ref="BAC6:BBF6"/>
    <mergeCell ref="JLI6:JML6"/>
    <mergeCell ref="JFO6:JGR6"/>
    <mergeCell ref="LMK6:LNN6"/>
    <mergeCell ref="FZI5:GAL5"/>
    <mergeCell ref="OEU5:OFX5"/>
    <mergeCell ref="FTO5:FUR5"/>
    <mergeCell ref="IAK5:IBN5"/>
    <mergeCell ref="QLQ5:QMT5"/>
    <mergeCell ref="USK6:UTN6"/>
    <mergeCell ref="JAY5:JCB5"/>
    <mergeCell ref="RGK5:RHN5"/>
    <mergeCell ref="HSI6:HTL6"/>
    <mergeCell ref="HC6:IF6"/>
    <mergeCell ref="HMO6:HNR6"/>
    <mergeCell ref="JTK6:JUN6"/>
    <mergeCell ref="PXU6:PYX6"/>
    <mergeCell ref="EGI5:EHL5"/>
    <mergeCell ref="MLU5:MMX5"/>
    <mergeCell ref="EAO5:EBR5"/>
    <mergeCell ref="GHK5:GIN5"/>
    <mergeCell ref="OSQ5:OTT5"/>
    <mergeCell ref="UXA5:UYD5"/>
    <mergeCell ref="WYC5:WZF5"/>
    <mergeCell ref="EYU6:EZX6"/>
    <mergeCell ref="BMU5:BNX5"/>
    <mergeCell ref="WQA6:WRD6"/>
    <mergeCell ref="OEU6:OFX6"/>
    <mergeCell ref="FTO6:FUR6"/>
    <mergeCell ref="KSU5:KTX5"/>
    <mergeCell ref="CHO5:CIR5"/>
    <mergeCell ref="LRA6:LSD6"/>
    <mergeCell ref="DFU6:DGX6"/>
    <mergeCell ref="IFA5:IGD5"/>
    <mergeCell ref="TU5:UX5"/>
    <mergeCell ref="TBS6:TCV6"/>
    <mergeCell ref="CIS6:CJV6"/>
    <mergeCell ref="PPS5:PQV5"/>
    <mergeCell ref="GBQ6:GCT6"/>
    <mergeCell ref="OHC6:OIF6"/>
    <mergeCell ref="QNY6:QPB6"/>
    <mergeCell ref="CPQ5:CQT5"/>
    <mergeCell ref="KVC5:KWF5"/>
    <mergeCell ref="NBY5:NDB5"/>
    <mergeCell ref="RIS6:RJV6"/>
    <mergeCell ref="OCM5:ODP5"/>
    <mergeCell ref="WHY5:WJB5"/>
    <mergeCell ref="NWS5:NXV5"/>
    <mergeCell ref="APS6:AQV6"/>
    <mergeCell ref="UZI6:VAL6"/>
    <mergeCell ref="MOC6:MPF6"/>
    <mergeCell ref="OUY6:OWB6"/>
    <mergeCell ref="AWQ5:AXT5"/>
    <mergeCell ref="JCC5:JDF5"/>
    <mergeCell ref="LIY5:LKB5"/>
    <mergeCell ref="RNI5:ROL5"/>
    <mergeCell ref="TUE5:TVH5"/>
    <mergeCell ref="WJC6:WKF6"/>
    <mergeCell ref="KVC6:KWF6"/>
    <mergeCell ref="CGK5:CHN5"/>
    <mergeCell ref="PUI5:PVL5"/>
    <mergeCell ref="HJC5:HKF5"/>
    <mergeCell ref="SXC5:SYF5"/>
    <mergeCell ref="WKG5:WLJ5"/>
    <mergeCell ref="EVI5:EWL5"/>
    <mergeCell ref="BSO6:BTR6"/>
    <mergeCell ref="DZK6:EAN6"/>
    <mergeCell ref="UQC6:URF6"/>
    <mergeCell ref="ANK5:AON5"/>
    <mergeCell ref="REC5:RFF5"/>
    <mergeCell ref="EU6:FX6"/>
    <mergeCell ref="HKG6:HLJ6"/>
    <mergeCell ref="URG5:USJ5"/>
    <mergeCell ref="DYG5:DZJ5"/>
    <mergeCell ref="CRY6:CTB6"/>
    <mergeCell ref="FY5:HB5"/>
    <mergeCell ref="VRU5:VSX5"/>
    <mergeCell ref="SXC6:SYF6"/>
    <mergeCell ref="PLC5:PMF5"/>
    <mergeCell ref="WKG6:WLJ6"/>
    <mergeCell ref="FRG6:FSJ6"/>
    <mergeCell ref="SYG5:SZJ5"/>
    <mergeCell ref="RPQ6:RQT6"/>
    <mergeCell ref="TWM6:TXP6"/>
    <mergeCell ref="ODQ5:OET5"/>
    <mergeCell ref="QKM5:QLP5"/>
    <mergeCell ref="NHS6:NIV6"/>
    <mergeCell ref="JVS5:JWV5"/>
    <mergeCell ref="INC6:IOF6"/>
    <mergeCell ref="KTY6:KVB6"/>
    <mergeCell ref="SZK6:TAN6"/>
    <mergeCell ref="HHY5:HJB5"/>
    <mergeCell ref="PNK5:PON5"/>
    <mergeCell ref="MKQ5:MLT5"/>
    <mergeCell ref="GUC6:GVF6"/>
    <mergeCell ref="JAY6:JCB6"/>
    <mergeCell ref="GOI6:GPL6"/>
    <mergeCell ref="IVE6:IWH6"/>
    <mergeCell ref="RGK6:RHN6"/>
    <mergeCell ref="DIC5:DJF5"/>
    <mergeCell ref="FOY5:FQB5"/>
    <mergeCell ref="NUK5:NVN5"/>
    <mergeCell ref="WFQ5:WGT5"/>
    <mergeCell ref="MLU6:MMX6"/>
    <mergeCell ref="EAO6:EBR6"/>
    <mergeCell ref="AUI5:AVL5"/>
    <mergeCell ref="IZU5:JAX5"/>
    <mergeCell ref="AOO5:APR5"/>
    <mergeCell ref="FBC6:FCF6"/>
    <mergeCell ref="HHY6:HJB6"/>
    <mergeCell ref="PNK6:PON6"/>
    <mergeCell ref="UCG6:UDJ6"/>
    <mergeCell ref="BPC5:BQF5"/>
    <mergeCell ref="DVY5:DXB5"/>
    <mergeCell ref="MBK5:MCN5"/>
    <mergeCell ref="QQG5:QRJ5"/>
    <mergeCell ref="CHO6:CIR6"/>
    <mergeCell ref="KSU6:KTX6"/>
    <mergeCell ref="SJG6:SKJ6"/>
    <mergeCell ref="JYA6:JZD6"/>
    <mergeCell ref="OXG5:OYJ5"/>
    <mergeCell ref="GMA5:GND5"/>
    <mergeCell ref="WGU5:WHX5"/>
    <mergeCell ref="XCS5:XDV5"/>
    <mergeCell ref="AOO6:APR6"/>
    <mergeCell ref="NOQ6:NPT6"/>
    <mergeCell ref="PVM6:PWP6"/>
    <mergeCell ref="PPS6:PQV6"/>
    <mergeCell ref="KCQ5:KDT5"/>
    <mergeCell ref="MJM5:MKP5"/>
    <mergeCell ref="MDS5:MEV5"/>
    <mergeCell ref="UOY5:UQB5"/>
    <mergeCell ref="QQG6:QRJ6"/>
    <mergeCell ref="XG6:YJ6"/>
    <mergeCell ref="NEG5:NFJ5"/>
    <mergeCell ref="VJS5:VKV5"/>
    <mergeCell ref="OCM6:ODP6"/>
    <mergeCell ref="DKK6:DLN6"/>
    <mergeCell ref="LPW6:LQZ6"/>
    <mergeCell ref="NWS6:NXV6"/>
    <mergeCell ref="WHY6:WJB6"/>
    <mergeCell ref="IJQ5:IKT5"/>
    <mergeCell ref="YK5:ZN5"/>
    <mergeCell ref="CFG5:CGJ5"/>
    <mergeCell ref="KQM5:KRP5"/>
    <mergeCell ref="KKS5:KLV5"/>
    <mergeCell ref="SVY5:SXB5"/>
    <mergeCell ref="JCC6:JDF6"/>
    <mergeCell ref="FQC5:FRF5"/>
    <mergeCell ref="EUE6:EVH6"/>
    <mergeCell ref="BRK6:BSN6"/>
    <mergeCell ref="DYG6:DZJ6"/>
    <mergeCell ref="MDS6:MEV6"/>
    <mergeCell ref="QSO6:QTR6"/>
    <mergeCell ref="AMG5:ANJ5"/>
    <mergeCell ref="IRS5:ISV5"/>
    <mergeCell ref="ZO6:AAR6"/>
    <mergeCell ref="RCY5:REB5"/>
    <mergeCell ref="CGK6:CHN6"/>
    <mergeCell ref="HJC6:HKF6"/>
    <mergeCell ref="DXC5:DYF5"/>
    <mergeCell ref="DBE6:DCH6"/>
    <mergeCell ref="TRW6:TSZ6"/>
    <mergeCell ref="PE5:QH5"/>
    <mergeCell ref="OZO6:PAR6"/>
    <mergeCell ref="TYU5:TZX5"/>
    <mergeCell ref="LNO5:LOR5"/>
    <mergeCell ref="DCI5:DDL5"/>
    <mergeCell ref="TTA5:TUD5"/>
    <mergeCell ref="VZW5:WAZ5"/>
    <mergeCell ref="FQC6:FRF6"/>
    <mergeCell ref="KEY6:KGB6"/>
    <mergeCell ref="SKK6:SLN6"/>
    <mergeCell ref="URG6:USJ6"/>
    <mergeCell ref="GSY5:GUB5"/>
    <mergeCell ref="OYK5:OZN5"/>
    <mergeCell ref="RFG5:RGJ5"/>
    <mergeCell ref="RYW6:RZZ6"/>
    <mergeCell ref="VRU6:VSX6"/>
    <mergeCell ref="OMW5:ONZ5"/>
    <mergeCell ref="NGO6:NHR6"/>
    <mergeCell ref="VMA6:VND6"/>
    <mergeCell ref="SFU5:SGX5"/>
    <mergeCell ref="JUO5:JVR5"/>
    <mergeCell ref="SAA5:SBD5"/>
    <mergeCell ref="UGW5:UHZ5"/>
    <mergeCell ref="LOS6:LPV6"/>
    <mergeCell ref="AAS6:ABV6"/>
    <mergeCell ref="QRK6:QSN6"/>
    <mergeCell ref="SYG6:SZJ6"/>
    <mergeCell ref="ICS5:IDV5"/>
    <mergeCell ref="EZY5:FBB5"/>
    <mergeCell ref="HGU5:HHX5"/>
    <mergeCell ref="PMG5:PNJ5"/>
    <mergeCell ref="MJM6:MKP6"/>
    <mergeCell ref="JVS6:JWV6"/>
    <mergeCell ref="BKM6:BLP6"/>
    <mergeCell ref="RFG6:RGJ6"/>
    <mergeCell ref="GJS5:GKV5"/>
    <mergeCell ref="VUC6:VVF6"/>
    <mergeCell ref="NTG5:NUJ5"/>
    <mergeCell ref="SIC5:SJF5"/>
    <mergeCell ref="IYQ5:IZT5"/>
    <mergeCell ref="FVW6:FWZ6"/>
    <mergeCell ref="RM6:SP6"/>
    <mergeCell ref="ICS6:IDV6"/>
    <mergeCell ref="QIE6:QJH6"/>
    <mergeCell ref="A1:E2"/>
    <mergeCell ref="CJW5:CKZ5"/>
    <mergeCell ref="EQS5:ERV5"/>
    <mergeCell ref="VHK5:VIN5"/>
    <mergeCell ref="DIC6:DJF6"/>
    <mergeCell ref="UBC6:UCF6"/>
    <mergeCell ref="QPC5:QQF5"/>
    <mergeCell ref="IDW5:IEZ5"/>
    <mergeCell ref="WC5:XF5"/>
    <mergeCell ref="XAK6:XBN6"/>
    <mergeCell ref="JWW6:JXZ6"/>
    <mergeCell ref="BPC6:BQF6"/>
    <mergeCell ref="OWC5:OXF5"/>
    <mergeCell ref="GKW5:GLZ5"/>
    <mergeCell ref="XBO5:XCR5"/>
    <mergeCell ref="IFA6:IGD6"/>
    <mergeCell ref="ETA5:EUD5"/>
    <mergeCell ref="UNU5:UOX5"/>
    <mergeCell ref="RLA6:RMD6"/>
    <mergeCell ref="NZA5:OAD5"/>
    <mergeCell ref="VIO5:VJR5"/>
    <mergeCell ref="OXG6:OYJ6"/>
    <mergeCell ref="GMA6:GND6"/>
    <mergeCell ref="XCS6:XDV6"/>
    <mergeCell ref="LLG5:LMJ5"/>
    <mergeCell ref="DAA5:DBD5"/>
    <mergeCell ref="TQS5:TRV5"/>
    <mergeCell ref="PSA6:PTD6"/>
    <mergeCell ref="MGA5:MHD5"/>
    <mergeCell ref="KXK6:KYN6"/>
    <mergeCell ref="VJS6:VKV6"/>
    <mergeCell ref="CME6:CNH6"/>
    <mergeCell ref="AD10:AD13"/>
    <mergeCell ref="ETA6:EUD6"/>
    <mergeCell ref="NEG6:NFJ6"/>
    <mergeCell ref="HLK5:HMN5"/>
    <mergeCell ref="BHA5:BID5"/>
    <mergeCell ref="JSG5:JTJ5"/>
    <mergeCell ref="RXS5:RYV5"/>
    <mergeCell ref="YK6:ZN6"/>
    <mergeCell ref="MYM6:MZP6"/>
    <mergeCell ref="NFK5:NGN5"/>
    <mergeCell ref="JEK6:JFN6"/>
    <mergeCell ref="LLG6:LMJ6"/>
    <mergeCell ref="TQS6:TRV6"/>
    <mergeCell ref="FSK5:FTN5"/>
    <mergeCell ref="HZG5:IAJ5"/>
    <mergeCell ref="QES5:QFV5"/>
    <mergeCell ref="BI6:CL6"/>
    <mergeCell ref="BIE6:BJH6"/>
    <mergeCell ref="LMK5:LNN5"/>
    <mergeCell ref="EVI6:EWL6"/>
    <mergeCell ref="BJI5:BKL5"/>
    <mergeCell ref="WMO6:WNR6"/>
    <mergeCell ref="OBI6:OCL6"/>
    <mergeCell ref="PE6:QH6"/>
    <mergeCell ref="TAO5:TBR5"/>
    <mergeCell ref="KPI5:KQL5"/>
    <mergeCell ref="LNO6:LOR6"/>
    <mergeCell ref="DCI6:DDL6"/>
    <mergeCell ref="TTA6:TUD6"/>
    <mergeCell ref="IBO5:ICR5"/>
    <mergeCell ref="QI5:RL5"/>
    <mergeCell ref="QHA5:QID5"/>
    <mergeCell ref="UTO6:UUR6"/>
    <mergeCell ref="UNU6:UOX6"/>
    <mergeCell ref="WUQ6:WVT6"/>
    <mergeCell ref="RHO5:RIR5"/>
    <mergeCell ref="TOK5:TPN5"/>
    <mergeCell ref="HNS6:HOV6"/>
    <mergeCell ref="BJI6:BKL6"/>
    <mergeCell ref="JUO6:JVR6"/>
    <mergeCell ref="SAA6:SBD6"/>
    <mergeCell ref="OTU5:OUX5"/>
    <mergeCell ref="EBS5:ECV5"/>
    <mergeCell ref="GIO5:GJR5"/>
    <mergeCell ref="OOA5:OPD5"/>
    <mergeCell ref="WZG5:XAJ5"/>
    <mergeCell ref="IXM6:IYP6"/>
    <mergeCell ref="FUS6:FVV6"/>
    <mergeCell ref="IBO6:ICR6"/>
    <mergeCell ref="QHA6:QID6"/>
    <mergeCell ref="FLM5:FMP5"/>
    <mergeCell ref="CIS5:CJV5"/>
    <mergeCell ref="EPO5:EQR5"/>
    <mergeCell ref="MVA5:MWD5"/>
    <mergeCell ref="VGG5:VHJ5"/>
    <mergeCell ref="ECW6:EDZ6"/>
    <mergeCell ref="GJS6:GKV6"/>
    <mergeCell ref="AQW5:ARZ5"/>
    <mergeCell ref="CXS5:CYV5"/>
    <mergeCell ref="HEM6:HFP6"/>
    <mergeCell ref="ULM5:UMP5"/>
    <mergeCell ref="DSM5:DTP5"/>
    <mergeCell ref="KRQ6:KST6"/>
    <mergeCell ref="TCW6:TDZ6"/>
    <mergeCell ref="CJW6:CKZ6"/>
    <mergeCell ref="MWE6:MXH6"/>
    <mergeCell ref="PQW5:PRZ5"/>
    <mergeCell ref="XAK5:XBN5"/>
    <mergeCell ref="BES5:BFV5"/>
    <mergeCell ref="JKE5:JLH5"/>
    <mergeCell ref="IDW6:IEZ6"/>
    <mergeCell ref="ERW5:ESZ5"/>
    <mergeCell ref="RJW6:RKZ6"/>
    <mergeCell ref="AQW6:ARZ6"/>
    <mergeCell ref="WJC5:WKF5"/>
    <mergeCell ref="NXW5:NYZ5"/>
    <mergeCell ref="WDI5:WEL5"/>
    <mergeCell ref="EEA6:EFD6"/>
    <mergeCell ref="GKW6:GLZ6"/>
    <mergeCell ref="XBO6:XCR6"/>
    <mergeCell ref="LKC5:LLF5"/>
    <mergeCell ref="ASA5:ATD5"/>
    <mergeCell ref="CYW5:CZZ5"/>
    <mergeCell ref="TPO5:TQR5"/>
    <mergeCell ref="STQ6:SUT6"/>
    <mergeCell ref="NZA6:OAD6"/>
    <mergeCell ref="FNU6:FOX6"/>
    <mergeCell ref="ERW6:ESZ6"/>
    <mergeCell ref="VIO6:VJR6"/>
    <mergeCell ref="KNA5:KOD5"/>
    <mergeCell ref="CBU5:CCX5"/>
    <mergeCell ref="BFW5:BGZ5"/>
    <mergeCell ref="RWO5:RXR5"/>
    <mergeCell ref="ATE6:AUH6"/>
    <mergeCell ref="DAA6:DBD6"/>
    <mergeCell ref="OA5:PD5"/>
    <mergeCell ref="MGA6:MHD6"/>
    <mergeCell ref="DUU6:DVX6"/>
    <mergeCell ref="IUA5:IVD5"/>
    <mergeCell ref="AIU5:AJX5"/>
    <mergeCell ref="PTE6:PUH6"/>
    <mergeCell ref="HLK6:HMN6"/>
    <mergeCell ref="TIQ5:TJT5"/>
    <mergeCell ref="USK5:UTN5"/>
    <mergeCell ref="MHE5:MIH5"/>
    <mergeCell ref="AE6:BH6"/>
    <mergeCell ref="DZK5:EAN5"/>
    <mergeCell ref="BHA6:BID6"/>
    <mergeCell ref="GAM5:GBP5"/>
    <mergeCell ref="JMM6:JNP6"/>
    <mergeCell ref="KNA6:KOD6"/>
    <mergeCell ref="HBA5:HCD5"/>
    <mergeCell ref="XFA5:XFD5"/>
    <mergeCell ref="OAE6:OBH6"/>
    <mergeCell ref="WCE5:WDH5"/>
    <mergeCell ref="SZK5:TAN5"/>
    <mergeCell ref="KOE5:KPH5"/>
    <mergeCell ref="MII6:MJL6"/>
    <mergeCell ref="IWI5:IXL5"/>
    <mergeCell ref="PJY6:PLB6"/>
    <mergeCell ref="UJE5:UKH5"/>
    <mergeCell ref="TAO6:TBR6"/>
    <mergeCell ref="KPI6:KQL6"/>
    <mergeCell ref="CEC6:CFF6"/>
    <mergeCell ref="POO5:PPR5"/>
    <mergeCell ref="HDI5:HEL5"/>
    <mergeCell ref="RQU6:RRX6"/>
    <mergeCell ref="TVI6:TWL6"/>
    <mergeCell ref="WCE6:WDH6"/>
    <mergeCell ref="QJI5:QKL5"/>
    <mergeCell ref="SQE5:SRH5"/>
    <mergeCell ref="RHO6:RIR6"/>
    <mergeCell ref="IWI6:IXL6"/>
    <mergeCell ref="ALC6:AMF6"/>
    <mergeCell ref="RBU6:RCX6"/>
    <mergeCell ref="NVO5:NWR5"/>
    <mergeCell ref="FKI5:FLL5"/>
    <mergeCell ref="TEA6:TFD6"/>
    <mergeCell ref="UUS6:UVV6"/>
    <mergeCell ref="EBS6:ECV6"/>
    <mergeCell ref="RIS5:RJV5"/>
    <mergeCell ref="A6:B6"/>
    <mergeCell ref="APS5:AQV5"/>
    <mergeCell ref="LCA5:LDD5"/>
    <mergeCell ref="TU6:UX6"/>
    <mergeCell ref="POO6:PPR6"/>
    <mergeCell ref="HDI6:HEL6"/>
    <mergeCell ref="MCO5:MDR5"/>
    <mergeCell ref="DRI5:DSL5"/>
    <mergeCell ref="FLM6:FMP6"/>
    <mergeCell ref="SSM5:STP5"/>
    <mergeCell ref="BZM5:CAP5"/>
    <mergeCell ref="IYQ6:IZT6"/>
    <mergeCell ref="FMQ5:FNT5"/>
    <mergeCell ref="GGG6:GHJ6"/>
    <mergeCell ref="ULM6:UMP6"/>
    <mergeCell ref="DSM6:DTP6"/>
    <mergeCell ref="QZM5:RAP5"/>
    <mergeCell ref="IOG5:IPJ5"/>
    <mergeCell ref="AGM5:AHP5"/>
    <mergeCell ref="HFQ6:HGT6"/>
    <mergeCell ref="PQW6:PRZ6"/>
    <mergeCell ref="MEW5:MFZ5"/>
    <mergeCell ref="DTQ5:DUT5"/>
    <mergeCell ref="UKI5:ULL5"/>
    <mergeCell ref="IGE6:IHH6"/>
    <mergeCell ref="QLQ6:QMT6"/>
    <mergeCell ref="SSM6:STP6"/>
    <mergeCell ref="EUE5:EVH5"/>
    <mergeCell ref="MZQ5:NAT5"/>
    <mergeCell ref="PGM5:PHP5"/>
    <mergeCell ref="VKW5:VLZ5"/>
    <mergeCell ref="NXW6:NYZ6"/>
    <mergeCell ref="FMQ6:FNT6"/>
    <mergeCell ref="WDI6:WEL6"/>
    <mergeCell ref="KLW5:KMZ5"/>
    <mergeCell ref="CAQ5:CBT5"/>
    <mergeCell ref="ASA6:ATD6"/>
    <mergeCell ref="CYW6:CZZ6"/>
    <mergeCell ref="MW5:NZ5"/>
    <mergeCell ref="NAU6:NBX6"/>
    <mergeCell ref="MEW6:MFZ6"/>
    <mergeCell ref="BMU6:BNX6"/>
    <mergeCell ref="DTQ6:DUT6"/>
    <mergeCell ref="PHQ6:PIT6"/>
    <mergeCell ref="JOU5:JPX5"/>
    <mergeCell ref="ISW5:ITZ5"/>
    <mergeCell ref="AHQ5:AIT5"/>
    <mergeCell ref="LVQ5:LWT5"/>
    <mergeCell ref="CBU6:CCX6"/>
    <mergeCell ref="LHU6:LIX6"/>
    <mergeCell ref="HVU5:HWX5"/>
    <mergeCell ref="IUA6:IVD6"/>
    <mergeCell ref="AIU6:AJX6"/>
    <mergeCell ref="WBA5:WCD5"/>
    <mergeCell ref="NPU5:NQX5"/>
    <mergeCell ref="FIA5:FJD5"/>
    <mergeCell ref="MHE6:MIH6"/>
    <mergeCell ref="IVE5:IWH5"/>
    <mergeCell ref="EWM6:EXP6"/>
    <mergeCell ref="NBY6:NDB6"/>
    <mergeCell ref="PIU6:PJX6"/>
    <mergeCell ref="VNE6:VOH6"/>
    <mergeCell ref="BKM5:BLP5"/>
    <mergeCell ref="JPY5:JRB5"/>
    <mergeCell ref="LWU5:LXX5"/>
    <mergeCell ref="SBE5:SCH5"/>
    <mergeCell ref="UIA5:UJD5"/>
    <mergeCell ref="DEQ6:DFT6"/>
    <mergeCell ref="KOE6:KPH6"/>
    <mergeCell ref="SQ5:TT5"/>
    <mergeCell ref="LKC6:LLF6"/>
    <mergeCell ref="HCE5:HDH5"/>
    <mergeCell ref="WWY6:WYB6"/>
    <mergeCell ref="SEQ6:SFT6"/>
    <mergeCell ref="TKY5:TMB5"/>
    <mergeCell ref="BLQ6:BMT6"/>
    <mergeCell ref="JRC6:JSF6"/>
    <mergeCell ref="LXY6:LZB6"/>
    <mergeCell ref="SCI6:SDL6"/>
    <mergeCell ref="UJE6:UKH6"/>
    <mergeCell ref="OQI5:ORL5"/>
    <mergeCell ref="GFC5:GGF5"/>
    <mergeCell ref="FJE5:FKH5"/>
    <mergeCell ref="ILY5:INB5"/>
    <mergeCell ref="QXE5:QYH5"/>
    <mergeCell ref="SQ6:TT6"/>
    <mergeCell ref="HYC6:HZF6"/>
    <mergeCell ref="QJI6:QKL6"/>
    <mergeCell ref="VFC5:VGF5"/>
    <mergeCell ref="MXI5:MYL5"/>
    <mergeCell ref="EMC5:ENF5"/>
    <mergeCell ref="NVO6:NWR6"/>
    <mergeCell ref="FKI6:FLL6"/>
    <mergeCell ref="SRI5:SSL5"/>
    <mergeCell ref="KJO5:KKR5"/>
    <mergeCell ref="BYI5:BZL5"/>
    <mergeCell ref="OQI6:ORL6"/>
    <mergeCell ref="D4:E4"/>
    <mergeCell ref="LEI5:LFL5"/>
    <mergeCell ref="SDM6:SEP6"/>
    <mergeCell ref="UKI6:ULL6"/>
    <mergeCell ref="ORM5:OSP5"/>
    <mergeCell ref="QYI5:QZL5"/>
    <mergeCell ref="UY6:WB6"/>
    <mergeCell ref="IAK6:IBN6"/>
    <mergeCell ref="TNG6:TOJ6"/>
    <mergeCell ref="CUG6:CVJ6"/>
    <mergeCell ref="QBG5:QCJ5"/>
    <mergeCell ref="GNE6:GOH6"/>
    <mergeCell ref="OSQ6:OTT6"/>
    <mergeCell ref="GHK6:GIN6"/>
    <mergeCell ref="IOG6:IPJ6"/>
    <mergeCell ref="QZM6:RAP6"/>
    <mergeCell ref="DBE5:DCH5"/>
    <mergeCell ref="LGQ5:LHT5"/>
    <mergeCell ref="CVK5:CWN5"/>
    <mergeCell ref="FCG5:FDJ5"/>
    <mergeCell ref="NNM5:NOP5"/>
    <mergeCell ref="TRW5:TSZ5"/>
    <mergeCell ref="VYS5:VZV5"/>
    <mergeCell ref="A9:B9"/>
    <mergeCell ref="BBG6:BCJ6"/>
    <mergeCell ref="WTM5:WUP5"/>
    <mergeCell ref="VKW6:VLZ6"/>
    <mergeCell ref="MZQ6:NAT6"/>
    <mergeCell ref="EOK6:EPN6"/>
    <mergeCell ref="GVG6:GWJ6"/>
    <mergeCell ref="BIE5:BJH5"/>
    <mergeCell ref="JNQ5:JOT5"/>
    <mergeCell ref="BCK5:BDN5"/>
    <mergeCell ref="DJG5:DKJ5"/>
    <mergeCell ref="RYW5:RZZ5"/>
    <mergeCell ref="CAQ6:CBT6"/>
    <mergeCell ref="KLW6:KMZ6"/>
    <mergeCell ref="GZW5:HAZ5"/>
    <mergeCell ref="LGQ6:LHT6"/>
    <mergeCell ref="QFW5:QGZ5"/>
    <mergeCell ref="HUQ5:HVT5"/>
    <mergeCell ref="JOU6:JPX6"/>
    <mergeCell ref="WVU5:WWX5"/>
    <mergeCell ref="GCU5:GDX5"/>
    <mergeCell ref="MQK6:MRN6"/>
    <mergeCell ref="QDO6:QER6"/>
    <mergeCell ref="QI6:RL6"/>
    <mergeCell ref="HVU6:HWX6"/>
    <mergeCell ref="KO6:LR6"/>
    <mergeCell ref="VCU5:VDX5"/>
    <mergeCell ref="MRO5:MSR5"/>
    <mergeCell ref="WBA6:WCD6"/>
    <mergeCell ref="EJU5:EKX5"/>
    <mergeCell ref="DDM6:DEP6"/>
    <mergeCell ref="LIY6:LKB6"/>
    <mergeCell ref="NPU6:NQX6"/>
    <mergeCell ref="TUE6:TVH6"/>
    <mergeCell ref="RM5:SP5"/>
    <mergeCell ref="HWY5:HYB5"/>
    <mergeCell ref="KDU5:KEX5"/>
    <mergeCell ref="QIE5:QJH5"/>
    <mergeCell ref="SPA5:SQD5"/>
    <mergeCell ref="A3:E3"/>
    <mergeCell ref="UOY6:UQB6"/>
    <mergeCell ref="WVU6:WWX6"/>
    <mergeCell ref="N17:R17"/>
    <mergeCell ref="GCU6:GDX6"/>
    <mergeCell ref="IXM5:IYP5"/>
    <mergeCell ref="TJU5:TKX5"/>
    <mergeCell ref="SBE6:SCH6"/>
    <mergeCell ref="JPY6:JRB6"/>
    <mergeCell ref="OPE5:OQH5"/>
    <mergeCell ref="GDY5:GFB5"/>
    <mergeCell ref="HCE6:HDH6"/>
    <mergeCell ref="DQE5:DRH5"/>
    <mergeCell ref="ANK6:AON6"/>
    <mergeCell ref="REC6:RFF6"/>
    <mergeCell ref="HWY6:HYB6"/>
    <mergeCell ref="TKY6:TMB6"/>
    <mergeCell ref="PYY5:QAB5"/>
    <mergeCell ref="MWE5:MXH5"/>
    <mergeCell ref="EKY5:EMB5"/>
    <mergeCell ref="WYC6:WZF6"/>
    <mergeCell ref="GFC6:GGF6"/>
    <mergeCell ref="TMC5:TNF5"/>
    <mergeCell ref="CTC5:CUF5"/>
    <mergeCell ref="RRY6:RTB6"/>
    <mergeCell ref="UMQ5:UNT5"/>
    <mergeCell ref="GZW6:HAZ6"/>
    <mergeCell ref="JGS6:JHV6"/>
    <mergeCell ref="OFY5:OHB5"/>
    <mergeCell ref="VFC6:VGF6"/>
    <mergeCell ref="MXI6:MYL6"/>
    <mergeCell ref="EMC6:ENF6"/>
    <mergeCell ref="RTC5:RUF5"/>
    <mergeCell ref="JLI5:JML5"/>
    <mergeCell ref="BAC5:BBF5"/>
    <mergeCell ref="QKM6:QLP6"/>
    <mergeCell ref="SRI6:SSL6"/>
    <mergeCell ref="MYM5:MZP5"/>
    <mergeCell ref="PFI5:PGL5"/>
    <mergeCell ref="TMC6:TNF6"/>
    <mergeCell ref="LEI6:LFL6"/>
    <mergeCell ref="IQO5:IRR5"/>
    <mergeCell ref="WEM5:WFP5"/>
    <mergeCell ref="QAC5:QBF5"/>
    <mergeCell ref="CTC6:CUF6"/>
    <mergeCell ref="RUG6:RVJ6"/>
    <mergeCell ref="HC5:IF5"/>
    <mergeCell ref="ORM6:OSP6"/>
    <mergeCell ref="LFM5:LGP5"/>
    <mergeCell ref="KJO6:KKR6"/>
    <mergeCell ref="GXO5:GYR5"/>
    <mergeCell ref="WSI5:WTL5"/>
    <mergeCell ref="FOY6:FQB6"/>
    <mergeCell ref="NUK6:NVN6"/>
    <mergeCell ref="QBG6:QCJ6"/>
    <mergeCell ref="CCY5:CEB5"/>
    <mergeCell ref="KIK5:KJN5"/>
    <mergeCell ref="JMM5:JNP5"/>
    <mergeCell ref="MPG5:MQJ5"/>
    <mergeCell ref="VAM5:VBP5"/>
    <mergeCell ref="CVK6:CWN6"/>
    <mergeCell ref="JK5:KN5"/>
    <mergeCell ref="DVY6:DXB6"/>
    <mergeCell ref="MBK6:MCN6"/>
    <mergeCell ref="DQE6:DRH6"/>
    <mergeCell ref="FXA6:FYD6"/>
    <mergeCell ref="OIG6:OJJ6"/>
    <mergeCell ref="AJY5:ALB5"/>
    <mergeCell ref="CQU5:CRX5"/>
    <mergeCell ref="AEE5:AFH5"/>
    <mergeCell ref="KWG5:KXJ5"/>
    <mergeCell ref="THM5:TIP5"/>
    <mergeCell ref="BCK6:BDN6"/>
    <mergeCell ref="WUQ5:WVT5"/>
    <mergeCell ref="JNQ6:JOT6"/>
    <mergeCell ref="GBQ5:GCT5"/>
    <mergeCell ref="WGU6:WHX6"/>
    <mergeCell ref="NSC5:NTF5"/>
    <mergeCell ref="HUQ6:HVT6"/>
    <mergeCell ref="SUU5:SVX5"/>
    <mergeCell ref="VBQ5:VCT5"/>
    <mergeCell ref="EIQ5:EJT5"/>
    <mergeCell ref="OKO6:OLR6"/>
    <mergeCell ref="PLC6:PMF6"/>
    <mergeCell ref="LZC5:MAF5"/>
    <mergeCell ref="DNW5:DOZ5"/>
    <mergeCell ref="UEO5:UFR5"/>
    <mergeCell ref="WLK5:WMN5"/>
    <mergeCell ref="SVY6:SXB6"/>
    <mergeCell ref="VCU6:VDX6"/>
    <mergeCell ref="CFG6:CGJ6"/>
    <mergeCell ref="KQM6:KRP6"/>
    <mergeCell ref="KKS6:KLV6"/>
    <mergeCell ref="MRO6:MSR6"/>
    <mergeCell ref="HEM5:HFP5"/>
    <mergeCell ref="PJY5:PLB5"/>
    <mergeCell ref="GYS5:GZV5"/>
    <mergeCell ref="JFO5:JGR5"/>
    <mergeCell ref="RQU5:RRX5"/>
    <mergeCell ref="TJU6:TKX6"/>
    <mergeCell ref="AMG6:ANJ6"/>
    <mergeCell ref="IRS6:ISV6"/>
    <mergeCell ref="KYO6:KZR6"/>
    <mergeCell ref="RCY6:REB6"/>
    <mergeCell ref="HSI5:HTL5"/>
    <mergeCell ref="PXU5:PYX5"/>
    <mergeCell ref="FFS5:FGV5"/>
    <mergeCell ref="HMO5:HNR5"/>
    <mergeCell ref="OPE6:OQH6"/>
    <mergeCell ref="GDY6:GFB6"/>
    <mergeCell ref="LDE5:LEH5"/>
    <mergeCell ref="CRY5:CTB5"/>
    <mergeCell ref="BWA6:BXD6"/>
    <mergeCell ref="WFQ6:WGT6"/>
    <mergeCell ref="VZW6:WAZ6"/>
    <mergeCell ref="STQ5:SUT5"/>
    <mergeCell ref="EKY6:EMB6"/>
    <mergeCell ref="A16:A19"/>
    <mergeCell ref="AYY5:BAB5"/>
    <mergeCell ref="QTS6:QUV6"/>
    <mergeCell ref="Y16:AA16"/>
    <mergeCell ref="UMQ6:UNT6"/>
    <mergeCell ref="UGW6:UHZ6"/>
    <mergeCell ref="RAQ5:RBT5"/>
    <mergeCell ref="IPK5:IQN5"/>
    <mergeCell ref="QUW5:QVZ5"/>
    <mergeCell ref="TBS5:TCV5"/>
    <mergeCell ref="HGU6:HHX6"/>
    <mergeCell ref="PMG6:PNJ6"/>
    <mergeCell ref="RTC6:RUF6"/>
    <mergeCell ref="XDW6:XEZ6"/>
    <mergeCell ref="DUU5:DVX5"/>
    <mergeCell ref="MAG5:MBJ5"/>
    <mergeCell ref="OHC5:OIF5"/>
    <mergeCell ref="PHQ5:PIT5"/>
    <mergeCell ref="IQO6:IRR6"/>
    <mergeCell ref="WEM6:WFP6"/>
    <mergeCell ref="NTG6:NUJ6"/>
    <mergeCell ref="QAC6:QBF6"/>
    <mergeCell ref="FEO5:FFR5"/>
    <mergeCell ref="KHG5:KIJ5"/>
    <mergeCell ref="MOC5:MPF5"/>
    <mergeCell ref="LFM6:LGP6"/>
    <mergeCell ref="HTM5:HUP5"/>
    <mergeCell ref="EQS6:ERV6"/>
    <mergeCell ref="GXO6:GYR6"/>
    <mergeCell ref="MAG6:MBJ6"/>
    <mergeCell ref="DLO5:DMR5"/>
    <mergeCell ref="UCG5:UDJ5"/>
    <mergeCell ref="CCY6:CEB6"/>
    <mergeCell ref="BXE6:BYH6"/>
    <mergeCell ref="CXS6:CYV6"/>
    <mergeCell ref="FEO6:FFR6"/>
    <mergeCell ref="NKA6:NLD6"/>
    <mergeCell ref="VVG6:VWJ6"/>
    <mergeCell ref="LS5:MV5"/>
    <mergeCell ref="BSO5:BTR5"/>
    <mergeCell ref="JYA5:JZD5"/>
    <mergeCell ref="SJG5:SKJ5"/>
    <mergeCell ref="AJY6:ALB6"/>
    <mergeCell ref="AEE6:AFH6"/>
    <mergeCell ref="NQY5:NSB5"/>
    <mergeCell ref="VWK5:VXN5"/>
    <mergeCell ref="DXC6:DYF6"/>
    <mergeCell ref="RBU5:RCX5"/>
    <mergeCell ref="QFW6:QGZ6"/>
    <mergeCell ref="MW6:NZ6"/>
  </mergeCells>
  <pageMargins left="0.7" right="0.7" top="0.75" bottom="0.75" header="0.3" footer="0.3"/>
  <pageSetup orientation="portrait" scale="23"/>
  <colBreaks count="1" manualBreakCount="1">
    <brk id="32" min="0" max="1048575" man="1"/>
  </colBreaks>
</worksheet>
</file>

<file path=xl/worksheets/sheet8.xml><?xml version="1.0" encoding="utf-8"?>
<worksheet xmlns="http://schemas.openxmlformats.org/spreadsheetml/2006/main">
  <sheetPr>
    <outlinePr summaryBelow="1" summaryRight="1"/>
    <pageSetUpPr/>
  </sheetPr>
  <dimension ref="A1:JK77"/>
  <sheetViews>
    <sheetView showGridLines="0" topLeftCell="A8" zoomScale="90" zoomScaleNormal="90" workbookViewId="0">
      <selection activeCell="A30" sqref="A30"/>
    </sheetView>
  </sheetViews>
  <sheetFormatPr baseColWidth="10" defaultColWidth="0" defaultRowHeight="12.75"/>
  <cols>
    <col width="22.85546875" customWidth="1" style="15" min="1" max="1"/>
    <col width="20.140625" customWidth="1" style="15" min="2" max="2"/>
    <col width="12.7109375" customWidth="1" style="15" min="3" max="3"/>
    <col width="9.5703125" customWidth="1" style="15" min="4" max="4"/>
    <col width="11.5703125" customWidth="1" style="15" min="5" max="5"/>
    <col width="12.5703125" customWidth="1" style="15" min="6" max="6"/>
    <col width="10.7109375" customWidth="1" style="15" min="7" max="7"/>
    <col width="11" bestFit="1" customWidth="1" style="15" min="8" max="8"/>
    <col width="9.5703125" customWidth="1" style="15" min="9" max="9"/>
    <col width="11" bestFit="1" customWidth="1" style="15" min="10" max="10"/>
    <col width="13.28515625" customWidth="1" style="15" min="11" max="11"/>
    <col width="11.28515625" bestFit="1" customWidth="1" style="15" min="12" max="12"/>
    <col width="14.28515625" customWidth="1" style="15" min="13" max="13"/>
    <col width="14.42578125" customWidth="1" style="15" min="14" max="14"/>
    <col width="12" customWidth="1" style="15" min="15" max="15"/>
    <col width="10.42578125" bestFit="1" customWidth="1" style="15" min="16" max="16"/>
    <col width="13" customWidth="1" style="15" min="17" max="17"/>
    <col width="11.42578125" bestFit="1" customWidth="1" style="15" min="18" max="18"/>
    <col width="11.140625" bestFit="1" customWidth="1" style="15" min="19" max="19"/>
    <col width="14" customWidth="1" style="15" min="20" max="20"/>
    <col width="10.140625" customWidth="1" style="15" min="21" max="21"/>
    <col width="11.42578125" bestFit="1" customWidth="1" style="15" min="22" max="22"/>
    <col width="9.7109375" customWidth="1" style="15" min="23" max="26"/>
    <col hidden="1" width="13" customWidth="1" style="15" min="27" max="29"/>
    <col hidden="1" width="11.42578125" customWidth="1" style="15" min="30" max="259"/>
    <col width="10.28515625" customWidth="1" style="15" min="260" max="260"/>
    <col width="9.5703125" customWidth="1" style="15" min="261" max="265"/>
    <col width="10.7109375" customWidth="1" style="15" min="266" max="266"/>
    <col width="9.5703125" customWidth="1" style="15" min="267" max="272"/>
    <col width="10" customWidth="1" style="15" min="273" max="274"/>
    <col width="10.140625" customWidth="1" style="15" min="275" max="278"/>
    <col width="9.7109375" customWidth="1" style="15" min="279" max="282"/>
    <col hidden="1" width="11.42578125" customWidth="1" style="15" min="283" max="515"/>
    <col width="10.28515625" customWidth="1" style="15" min="516" max="516"/>
    <col width="9.5703125" customWidth="1" style="15" min="517" max="521"/>
    <col width="10.7109375" customWidth="1" style="15" min="522" max="522"/>
    <col width="9.5703125" customWidth="1" style="15" min="523" max="528"/>
    <col width="10" customWidth="1" style="15" min="529" max="530"/>
    <col width="10.140625" customWidth="1" style="15" min="531" max="534"/>
    <col width="9.7109375" customWidth="1" style="15" min="535" max="538"/>
    <col hidden="1" width="11.42578125" customWidth="1" style="15" min="539" max="771"/>
    <col width="10.28515625" customWidth="1" style="15" min="772" max="772"/>
    <col width="9.5703125" customWidth="1" style="15" min="773" max="777"/>
    <col width="10.7109375" customWidth="1" style="15" min="778" max="778"/>
    <col width="9.5703125" customWidth="1" style="15" min="779" max="784"/>
    <col width="10" customWidth="1" style="15" min="785" max="786"/>
    <col width="10.140625" customWidth="1" style="15" min="787" max="790"/>
    <col width="9.7109375" customWidth="1" style="15" min="791" max="794"/>
    <col hidden="1" width="11.42578125" customWidth="1" style="15" min="795" max="1027"/>
    <col width="10.28515625" customWidth="1" style="15" min="1028" max="1028"/>
    <col width="9.5703125" customWidth="1" style="15" min="1029" max="1033"/>
    <col width="10.7109375" customWidth="1" style="15" min="1034" max="1034"/>
    <col width="9.5703125" customWidth="1" style="15" min="1035" max="1040"/>
    <col width="10" customWidth="1" style="15" min="1041" max="1042"/>
    <col width="10.140625" customWidth="1" style="15" min="1043" max="1046"/>
    <col width="9.7109375" customWidth="1" style="15" min="1047" max="1050"/>
    <col hidden="1" width="11.42578125" customWidth="1" style="15" min="1051" max="1283"/>
    <col width="10.28515625" customWidth="1" style="15" min="1284" max="1284"/>
    <col width="9.5703125" customWidth="1" style="15" min="1285" max="1289"/>
    <col width="10.7109375" customWidth="1" style="15" min="1290" max="1290"/>
    <col width="9.5703125" customWidth="1" style="15" min="1291" max="1296"/>
    <col width="10" customWidth="1" style="15" min="1297" max="1298"/>
    <col width="10.140625" customWidth="1" style="15" min="1299" max="1302"/>
    <col width="9.7109375" customWidth="1" style="15" min="1303" max="1306"/>
    <col hidden="1" width="11.42578125" customWidth="1" style="15" min="1307" max="1539"/>
    <col width="10.28515625" customWidth="1" style="15" min="1540" max="1540"/>
    <col width="9.5703125" customWidth="1" style="15" min="1541" max="1545"/>
    <col width="10.7109375" customWidth="1" style="15" min="1546" max="1546"/>
    <col width="9.5703125" customWidth="1" style="15" min="1547" max="1552"/>
    <col width="10" customWidth="1" style="15" min="1553" max="1554"/>
    <col width="10.140625" customWidth="1" style="15" min="1555" max="1558"/>
    <col width="9.7109375" customWidth="1" style="15" min="1559" max="1562"/>
    <col hidden="1" width="11.42578125" customWidth="1" style="15" min="1563" max="1795"/>
    <col width="10.28515625" customWidth="1" style="15" min="1796" max="1796"/>
    <col width="9.5703125" customWidth="1" style="15" min="1797" max="1801"/>
    <col width="10.7109375" customWidth="1" style="15" min="1802" max="1802"/>
    <col width="9.5703125" customWidth="1" style="15" min="1803" max="1808"/>
    <col width="10" customWidth="1" style="15" min="1809" max="1810"/>
    <col width="10.140625" customWidth="1" style="15" min="1811" max="1814"/>
    <col width="9.7109375" customWidth="1" style="15" min="1815" max="1818"/>
    <col hidden="1" width="11.42578125" customWidth="1" style="15" min="1819" max="2051"/>
    <col width="10.28515625" customWidth="1" style="15" min="2052" max="2052"/>
    <col width="9.5703125" customWidth="1" style="15" min="2053" max="2057"/>
    <col width="10.7109375" customWidth="1" style="15" min="2058" max="2058"/>
    <col width="9.5703125" customWidth="1" style="15" min="2059" max="2064"/>
    <col width="10" customWidth="1" style="15" min="2065" max="2066"/>
    <col width="10.140625" customWidth="1" style="15" min="2067" max="2070"/>
    <col width="9.7109375" customWidth="1" style="15" min="2071" max="2074"/>
    <col hidden="1" width="11.42578125" customWidth="1" style="15" min="2075" max="2307"/>
    <col width="10.28515625" customWidth="1" style="15" min="2308" max="2308"/>
    <col width="9.5703125" customWidth="1" style="15" min="2309" max="2313"/>
    <col width="10.7109375" customWidth="1" style="15" min="2314" max="2314"/>
    <col width="9.5703125" customWidth="1" style="15" min="2315" max="2320"/>
    <col width="10" customWidth="1" style="15" min="2321" max="2322"/>
    <col width="10.140625" customWidth="1" style="15" min="2323" max="2326"/>
    <col width="9.7109375" customWidth="1" style="15" min="2327" max="2330"/>
    <col hidden="1" width="11.42578125" customWidth="1" style="15" min="2331" max="2563"/>
    <col width="10.28515625" customWidth="1" style="15" min="2564" max="2564"/>
    <col width="9.5703125" customWidth="1" style="15" min="2565" max="2569"/>
    <col width="10.7109375" customWidth="1" style="15" min="2570" max="2570"/>
    <col width="9.5703125" customWidth="1" style="15" min="2571" max="2576"/>
    <col width="10" customWidth="1" style="15" min="2577" max="2578"/>
    <col width="10.140625" customWidth="1" style="15" min="2579" max="2582"/>
    <col width="9.7109375" customWidth="1" style="15" min="2583" max="2586"/>
    <col hidden="1" width="11.42578125" customWidth="1" style="15" min="2587" max="2819"/>
    <col width="10.28515625" customWidth="1" style="15" min="2820" max="2820"/>
    <col width="9.5703125" customWidth="1" style="15" min="2821" max="2825"/>
    <col width="10.7109375" customWidth="1" style="15" min="2826" max="2826"/>
    <col width="9.5703125" customWidth="1" style="15" min="2827" max="2832"/>
    <col width="10" customWidth="1" style="15" min="2833" max="2834"/>
    <col width="10.140625" customWidth="1" style="15" min="2835" max="2838"/>
    <col width="9.7109375" customWidth="1" style="15" min="2839" max="2842"/>
    <col hidden="1" width="11.42578125" customWidth="1" style="15" min="2843" max="3075"/>
    <col width="10.28515625" customWidth="1" style="15" min="3076" max="3076"/>
    <col width="9.5703125" customWidth="1" style="15" min="3077" max="3081"/>
    <col width="10.7109375" customWidth="1" style="15" min="3082" max="3082"/>
    <col width="9.5703125" customWidth="1" style="15" min="3083" max="3088"/>
    <col width="10" customWidth="1" style="15" min="3089" max="3090"/>
    <col width="10.140625" customWidth="1" style="15" min="3091" max="3094"/>
    <col width="9.7109375" customWidth="1" style="15" min="3095" max="3098"/>
    <col hidden="1" width="11.42578125" customWidth="1" style="15" min="3099" max="3331"/>
    <col width="10.28515625" customWidth="1" style="15" min="3332" max="3332"/>
    <col width="9.5703125" customWidth="1" style="15" min="3333" max="3337"/>
    <col width="10.7109375" customWidth="1" style="15" min="3338" max="3338"/>
    <col width="9.5703125" customWidth="1" style="15" min="3339" max="3344"/>
    <col width="10" customWidth="1" style="15" min="3345" max="3346"/>
    <col width="10.140625" customWidth="1" style="15" min="3347" max="3350"/>
    <col width="9.7109375" customWidth="1" style="15" min="3351" max="3354"/>
    <col hidden="1" width="11.42578125" customWidth="1" style="15" min="3355" max="3587"/>
    <col width="10.28515625" customWidth="1" style="15" min="3588" max="3588"/>
    <col width="9.5703125" customWidth="1" style="15" min="3589" max="3593"/>
    <col width="10.7109375" customWidth="1" style="15" min="3594" max="3594"/>
    <col width="9.5703125" customWidth="1" style="15" min="3595" max="3600"/>
    <col width="10" customWidth="1" style="15" min="3601" max="3602"/>
    <col width="10.140625" customWidth="1" style="15" min="3603" max="3606"/>
    <col width="9.7109375" customWidth="1" style="15" min="3607" max="3610"/>
    <col hidden="1" width="11.42578125" customWidth="1" style="15" min="3611" max="3843"/>
    <col width="10.28515625" customWidth="1" style="15" min="3844" max="3844"/>
    <col width="9.5703125" customWidth="1" style="15" min="3845" max="3849"/>
    <col width="10.7109375" customWidth="1" style="15" min="3850" max="3850"/>
    <col width="9.5703125" customWidth="1" style="15" min="3851" max="3856"/>
    <col width="10" customWidth="1" style="15" min="3857" max="3858"/>
    <col width="10.140625" customWidth="1" style="15" min="3859" max="3862"/>
    <col width="9.7109375" customWidth="1" style="15" min="3863" max="3866"/>
    <col hidden="1" width="11.42578125" customWidth="1" style="15" min="3867" max="4099"/>
    <col width="10.28515625" customWidth="1" style="15" min="4100" max="4100"/>
    <col width="9.5703125" customWidth="1" style="15" min="4101" max="4105"/>
    <col width="10.7109375" customWidth="1" style="15" min="4106" max="4106"/>
    <col width="9.5703125" customWidth="1" style="15" min="4107" max="4112"/>
    <col width="10" customWidth="1" style="15" min="4113" max="4114"/>
    <col width="10.140625" customWidth="1" style="15" min="4115" max="4118"/>
    <col width="9.7109375" customWidth="1" style="15" min="4119" max="4122"/>
    <col hidden="1" width="11.42578125" customWidth="1" style="15" min="4123" max="4355"/>
    <col width="10.28515625" customWidth="1" style="15" min="4356" max="4356"/>
    <col width="9.5703125" customWidth="1" style="15" min="4357" max="4361"/>
    <col width="10.7109375" customWidth="1" style="15" min="4362" max="4362"/>
    <col width="9.5703125" customWidth="1" style="15" min="4363" max="4368"/>
    <col width="10" customWidth="1" style="15" min="4369" max="4370"/>
    <col width="10.140625" customWidth="1" style="15" min="4371" max="4374"/>
    <col width="9.7109375" customWidth="1" style="15" min="4375" max="4378"/>
    <col hidden="1" width="11.42578125" customWidth="1" style="15" min="4379" max="4611"/>
    <col width="10.28515625" customWidth="1" style="15" min="4612" max="4612"/>
    <col width="9.5703125" customWidth="1" style="15" min="4613" max="4617"/>
    <col width="10.7109375" customWidth="1" style="15" min="4618" max="4618"/>
    <col width="9.5703125" customWidth="1" style="15" min="4619" max="4624"/>
    <col width="10" customWidth="1" style="15" min="4625" max="4626"/>
    <col width="10.140625" customWidth="1" style="15" min="4627" max="4630"/>
    <col width="9.7109375" customWidth="1" style="15" min="4631" max="4634"/>
    <col hidden="1" width="11.42578125" customWidth="1" style="15" min="4635" max="4867"/>
    <col width="10.28515625" customWidth="1" style="15" min="4868" max="4868"/>
    <col width="9.5703125" customWidth="1" style="15" min="4869" max="4873"/>
    <col width="10.7109375" customWidth="1" style="15" min="4874" max="4874"/>
    <col width="9.5703125" customWidth="1" style="15" min="4875" max="4880"/>
    <col width="10" customWidth="1" style="15" min="4881" max="4882"/>
    <col width="10.140625" customWidth="1" style="15" min="4883" max="4886"/>
    <col width="9.7109375" customWidth="1" style="15" min="4887" max="4890"/>
    <col hidden="1" width="11.42578125" customWidth="1" style="15" min="4891" max="5123"/>
    <col width="10.28515625" customWidth="1" style="15" min="5124" max="5124"/>
    <col width="9.5703125" customWidth="1" style="15" min="5125" max="5129"/>
    <col width="10.7109375" customWidth="1" style="15" min="5130" max="5130"/>
    <col width="9.5703125" customWidth="1" style="15" min="5131" max="5136"/>
    <col width="10" customWidth="1" style="15" min="5137" max="5138"/>
    <col width="10.140625" customWidth="1" style="15" min="5139" max="5142"/>
    <col width="9.7109375" customWidth="1" style="15" min="5143" max="5146"/>
    <col hidden="1" width="11.42578125" customWidth="1" style="15" min="5147" max="5379"/>
    <col width="10.28515625" customWidth="1" style="15" min="5380" max="5380"/>
    <col width="9.5703125" customWidth="1" style="15" min="5381" max="5385"/>
    <col width="10.7109375" customWidth="1" style="15" min="5386" max="5386"/>
    <col width="9.5703125" customWidth="1" style="15" min="5387" max="5392"/>
    <col width="10" customWidth="1" style="15" min="5393" max="5394"/>
    <col width="10.140625" customWidth="1" style="15" min="5395" max="5398"/>
    <col width="9.7109375" customWidth="1" style="15" min="5399" max="5402"/>
    <col hidden="1" width="11.42578125" customWidth="1" style="15" min="5403" max="5635"/>
    <col width="10.28515625" customWidth="1" style="15" min="5636" max="5636"/>
    <col width="9.5703125" customWidth="1" style="15" min="5637" max="5641"/>
    <col width="10.7109375" customWidth="1" style="15" min="5642" max="5642"/>
    <col width="9.5703125" customWidth="1" style="15" min="5643" max="5648"/>
    <col width="10" customWidth="1" style="15" min="5649" max="5650"/>
    <col width="10.140625" customWidth="1" style="15" min="5651" max="5654"/>
    <col width="9.7109375" customWidth="1" style="15" min="5655" max="5658"/>
    <col hidden="1" width="11.42578125" customWidth="1" style="15" min="5659" max="5891"/>
    <col width="10.28515625" customWidth="1" style="15" min="5892" max="5892"/>
    <col width="9.5703125" customWidth="1" style="15" min="5893" max="5897"/>
    <col width="10.7109375" customWidth="1" style="15" min="5898" max="5898"/>
    <col width="9.5703125" customWidth="1" style="15" min="5899" max="5904"/>
    <col width="10" customWidth="1" style="15" min="5905" max="5906"/>
    <col width="10.140625" customWidth="1" style="15" min="5907" max="5910"/>
    <col width="9.7109375" customWidth="1" style="15" min="5911" max="5914"/>
    <col hidden="1" width="11.42578125" customWidth="1" style="15" min="5915" max="6147"/>
    <col width="10.28515625" customWidth="1" style="15" min="6148" max="6148"/>
    <col width="9.5703125" customWidth="1" style="15" min="6149" max="6153"/>
    <col width="10.7109375" customWidth="1" style="15" min="6154" max="6154"/>
    <col width="9.5703125" customWidth="1" style="15" min="6155" max="6160"/>
    <col width="10" customWidth="1" style="15" min="6161" max="6162"/>
    <col width="10.140625" customWidth="1" style="15" min="6163" max="6166"/>
    <col width="9.7109375" customWidth="1" style="15" min="6167" max="6170"/>
    <col hidden="1" width="11.42578125" customWidth="1" style="15" min="6171" max="6403"/>
    <col width="10.28515625" customWidth="1" style="15" min="6404" max="6404"/>
    <col width="9.5703125" customWidth="1" style="15" min="6405" max="6409"/>
    <col width="10.7109375" customWidth="1" style="15" min="6410" max="6410"/>
    <col width="9.5703125" customWidth="1" style="15" min="6411" max="6416"/>
    <col width="10" customWidth="1" style="15" min="6417" max="6418"/>
    <col width="10.140625" customWidth="1" style="15" min="6419" max="6422"/>
    <col width="9.7109375" customWidth="1" style="15" min="6423" max="6426"/>
    <col hidden="1" width="11.42578125" customWidth="1" style="15" min="6427" max="6659"/>
    <col width="10.28515625" customWidth="1" style="15" min="6660" max="6660"/>
    <col width="9.5703125" customWidth="1" style="15" min="6661" max="6665"/>
    <col width="10.7109375" customWidth="1" style="15" min="6666" max="6666"/>
    <col width="9.5703125" customWidth="1" style="15" min="6667" max="6672"/>
    <col width="10" customWidth="1" style="15" min="6673" max="6674"/>
    <col width="10.140625" customWidth="1" style="15" min="6675" max="6678"/>
    <col width="9.7109375" customWidth="1" style="15" min="6679" max="6682"/>
    <col hidden="1" width="11.42578125" customWidth="1" style="15" min="6683" max="6915"/>
    <col width="10.28515625" customWidth="1" style="15" min="6916" max="6916"/>
    <col width="9.5703125" customWidth="1" style="15" min="6917" max="6921"/>
    <col width="10.7109375" customWidth="1" style="15" min="6922" max="6922"/>
    <col width="9.5703125" customWidth="1" style="15" min="6923" max="6928"/>
    <col width="10" customWidth="1" style="15" min="6929" max="6930"/>
    <col width="10.140625" customWidth="1" style="15" min="6931" max="6934"/>
    <col width="9.7109375" customWidth="1" style="15" min="6935" max="6938"/>
    <col hidden="1" width="11.42578125" customWidth="1" style="15" min="6939" max="7171"/>
    <col width="10.28515625" customWidth="1" style="15" min="7172" max="7172"/>
    <col width="9.5703125" customWidth="1" style="15" min="7173" max="7177"/>
    <col width="10.7109375" customWidth="1" style="15" min="7178" max="7178"/>
    <col width="9.5703125" customWidth="1" style="15" min="7179" max="7184"/>
    <col width="10" customWidth="1" style="15" min="7185" max="7186"/>
    <col width="10.140625" customWidth="1" style="15" min="7187" max="7190"/>
    <col width="9.7109375" customWidth="1" style="15" min="7191" max="7194"/>
    <col hidden="1" width="11.42578125" customWidth="1" style="15" min="7195" max="7427"/>
    <col width="10.28515625" customWidth="1" style="15" min="7428" max="7428"/>
    <col width="9.5703125" customWidth="1" style="15" min="7429" max="7433"/>
    <col width="10.7109375" customWidth="1" style="15" min="7434" max="7434"/>
    <col width="9.5703125" customWidth="1" style="15" min="7435" max="7440"/>
    <col width="10" customWidth="1" style="15" min="7441" max="7442"/>
    <col width="10.140625" customWidth="1" style="15" min="7443" max="7446"/>
    <col width="9.7109375" customWidth="1" style="15" min="7447" max="7450"/>
    <col hidden="1" width="11.42578125" customWidth="1" style="15" min="7451" max="7683"/>
    <col width="10.28515625" customWidth="1" style="15" min="7684" max="7684"/>
    <col width="9.5703125" customWidth="1" style="15" min="7685" max="7689"/>
    <col width="10.7109375" customWidth="1" style="15" min="7690" max="7690"/>
    <col width="9.5703125" customWidth="1" style="15" min="7691" max="7696"/>
    <col width="10" customWidth="1" style="15" min="7697" max="7698"/>
    <col width="10.140625" customWidth="1" style="15" min="7699" max="7702"/>
    <col width="9.7109375" customWidth="1" style="15" min="7703" max="7706"/>
    <col hidden="1" width="11.42578125" customWidth="1" style="15" min="7707" max="7939"/>
    <col width="10.28515625" customWidth="1" style="15" min="7940" max="7940"/>
    <col width="9.5703125" customWidth="1" style="15" min="7941" max="7945"/>
    <col width="10.7109375" customWidth="1" style="15" min="7946" max="7946"/>
    <col width="9.5703125" customWidth="1" style="15" min="7947" max="7952"/>
    <col width="10" customWidth="1" style="15" min="7953" max="7954"/>
    <col width="10.140625" customWidth="1" style="15" min="7955" max="7958"/>
    <col width="9.7109375" customWidth="1" style="15" min="7959" max="7962"/>
    <col hidden="1" width="11.42578125" customWidth="1" style="15" min="7963" max="8195"/>
    <col width="10.28515625" customWidth="1" style="15" min="8196" max="8196"/>
    <col width="9.5703125" customWidth="1" style="15" min="8197" max="8201"/>
    <col width="10.7109375" customWidth="1" style="15" min="8202" max="8202"/>
    <col width="9.5703125" customWidth="1" style="15" min="8203" max="8208"/>
    <col width="10" customWidth="1" style="15" min="8209" max="8210"/>
    <col width="10.140625" customWidth="1" style="15" min="8211" max="8214"/>
    <col width="9.7109375" customWidth="1" style="15" min="8215" max="8218"/>
    <col hidden="1" width="11.42578125" customWidth="1" style="15" min="8219" max="8451"/>
    <col width="10.28515625" customWidth="1" style="15" min="8452" max="8452"/>
    <col width="9.5703125" customWidth="1" style="15" min="8453" max="8457"/>
    <col width="10.7109375" customWidth="1" style="15" min="8458" max="8458"/>
    <col width="9.5703125" customWidth="1" style="15" min="8459" max="8464"/>
    <col width="10" customWidth="1" style="15" min="8465" max="8466"/>
    <col width="10.140625" customWidth="1" style="15" min="8467" max="8470"/>
    <col width="9.7109375" customWidth="1" style="15" min="8471" max="8474"/>
    <col hidden="1" width="11.42578125" customWidth="1" style="15" min="8475" max="8707"/>
    <col width="10.28515625" customWidth="1" style="15" min="8708" max="8708"/>
    <col width="9.5703125" customWidth="1" style="15" min="8709" max="8713"/>
    <col width="10.7109375" customWidth="1" style="15" min="8714" max="8714"/>
    <col width="9.5703125" customWidth="1" style="15" min="8715" max="8720"/>
    <col width="10" customWidth="1" style="15" min="8721" max="8722"/>
    <col width="10.140625" customWidth="1" style="15" min="8723" max="8726"/>
    <col width="9.7109375" customWidth="1" style="15" min="8727" max="8730"/>
    <col hidden="1" width="11.42578125" customWidth="1" style="15" min="8731" max="8963"/>
    <col width="10.28515625" customWidth="1" style="15" min="8964" max="8964"/>
    <col width="9.5703125" customWidth="1" style="15" min="8965" max="8969"/>
    <col width="10.7109375" customWidth="1" style="15" min="8970" max="8970"/>
    <col width="9.5703125" customWidth="1" style="15" min="8971" max="8976"/>
    <col width="10" customWidth="1" style="15" min="8977" max="8978"/>
    <col width="10.140625" customWidth="1" style="15" min="8979" max="8982"/>
    <col width="9.7109375" customWidth="1" style="15" min="8983" max="8986"/>
    <col hidden="1" width="11.42578125" customWidth="1" style="15" min="8987" max="9219"/>
    <col width="10.28515625" customWidth="1" style="15" min="9220" max="9220"/>
    <col width="9.5703125" customWidth="1" style="15" min="9221" max="9225"/>
    <col width="10.7109375" customWidth="1" style="15" min="9226" max="9226"/>
    <col width="9.5703125" customWidth="1" style="15" min="9227" max="9232"/>
    <col width="10" customWidth="1" style="15" min="9233" max="9234"/>
    <col width="10.140625" customWidth="1" style="15" min="9235" max="9238"/>
    <col width="9.7109375" customWidth="1" style="15" min="9239" max="9242"/>
    <col hidden="1" width="11.42578125" customWidth="1" style="15" min="9243" max="9475"/>
    <col width="10.28515625" customWidth="1" style="15" min="9476" max="9476"/>
    <col width="9.5703125" customWidth="1" style="15" min="9477" max="9481"/>
    <col width="10.7109375" customWidth="1" style="15" min="9482" max="9482"/>
    <col width="9.5703125" customWidth="1" style="15" min="9483" max="9488"/>
    <col width="10" customWidth="1" style="15" min="9489" max="9490"/>
    <col width="10.140625" customWidth="1" style="15" min="9491" max="9494"/>
    <col width="9.7109375" customWidth="1" style="15" min="9495" max="9498"/>
    <col hidden="1" width="11.42578125" customWidth="1" style="15" min="9499" max="9731"/>
    <col width="10.28515625" customWidth="1" style="15" min="9732" max="9732"/>
    <col width="9.5703125" customWidth="1" style="15" min="9733" max="9737"/>
    <col width="10.7109375" customWidth="1" style="15" min="9738" max="9738"/>
    <col width="9.5703125" customWidth="1" style="15" min="9739" max="9744"/>
    <col width="10" customWidth="1" style="15" min="9745" max="9746"/>
    <col width="10.140625" customWidth="1" style="15" min="9747" max="9750"/>
    <col width="9.7109375" customWidth="1" style="15" min="9751" max="9754"/>
    <col hidden="1" width="11.42578125" customWidth="1" style="15" min="9755" max="9987"/>
    <col width="10.28515625" customWidth="1" style="15" min="9988" max="9988"/>
    <col width="9.5703125" customWidth="1" style="15" min="9989" max="9993"/>
    <col width="10.7109375" customWidth="1" style="15" min="9994" max="9994"/>
    <col width="9.5703125" customWidth="1" style="15" min="9995" max="10000"/>
    <col width="10" customWidth="1" style="15" min="10001" max="10002"/>
    <col width="10.140625" customWidth="1" style="15" min="10003" max="10006"/>
    <col width="9.7109375" customWidth="1" style="15" min="10007" max="10010"/>
    <col hidden="1" width="11.42578125" customWidth="1" style="15" min="10011" max="10243"/>
    <col width="10.28515625" customWidth="1" style="15" min="10244" max="10244"/>
    <col width="9.5703125" customWidth="1" style="15" min="10245" max="10249"/>
    <col width="10.7109375" customWidth="1" style="15" min="10250" max="10250"/>
    <col width="9.5703125" customWidth="1" style="15" min="10251" max="10256"/>
    <col width="10" customWidth="1" style="15" min="10257" max="10258"/>
    <col width="10.140625" customWidth="1" style="15" min="10259" max="10262"/>
    <col width="9.7109375" customWidth="1" style="15" min="10263" max="10266"/>
    <col hidden="1" width="11.42578125" customWidth="1" style="15" min="10267" max="10499"/>
    <col width="10.28515625" customWidth="1" style="15" min="10500" max="10500"/>
    <col width="9.5703125" customWidth="1" style="15" min="10501" max="10505"/>
    <col width="10.7109375" customWidth="1" style="15" min="10506" max="10506"/>
    <col width="9.5703125" customWidth="1" style="15" min="10507" max="10512"/>
    <col width="10" customWidth="1" style="15" min="10513" max="10514"/>
    <col width="10.140625" customWidth="1" style="15" min="10515" max="10518"/>
    <col width="9.7109375" customWidth="1" style="15" min="10519" max="10522"/>
    <col hidden="1" width="11.42578125" customWidth="1" style="15" min="10523" max="10755"/>
    <col width="10.28515625" customWidth="1" style="15" min="10756" max="10756"/>
    <col width="9.5703125" customWidth="1" style="15" min="10757" max="10761"/>
    <col width="10.7109375" customWidth="1" style="15" min="10762" max="10762"/>
    <col width="9.5703125" customWidth="1" style="15" min="10763" max="10768"/>
    <col width="10" customWidth="1" style="15" min="10769" max="10770"/>
    <col width="10.140625" customWidth="1" style="15" min="10771" max="10774"/>
    <col width="9.7109375" customWidth="1" style="15" min="10775" max="10778"/>
    <col hidden="1" width="11.42578125" customWidth="1" style="15" min="10779" max="11011"/>
    <col width="10.28515625" customWidth="1" style="15" min="11012" max="11012"/>
    <col width="9.5703125" customWidth="1" style="15" min="11013" max="11017"/>
    <col width="10.7109375" customWidth="1" style="15" min="11018" max="11018"/>
    <col width="9.5703125" customWidth="1" style="15" min="11019" max="11024"/>
    <col width="10" customWidth="1" style="15" min="11025" max="11026"/>
    <col width="10.140625" customWidth="1" style="15" min="11027" max="11030"/>
    <col width="9.7109375" customWidth="1" style="15" min="11031" max="11034"/>
    <col hidden="1" width="11.42578125" customWidth="1" style="15" min="11035" max="11267"/>
    <col width="10.28515625" customWidth="1" style="15" min="11268" max="11268"/>
    <col width="9.5703125" customWidth="1" style="15" min="11269" max="11273"/>
    <col width="10.7109375" customWidth="1" style="15" min="11274" max="11274"/>
    <col width="9.5703125" customWidth="1" style="15" min="11275" max="11280"/>
    <col width="10" customWidth="1" style="15" min="11281" max="11282"/>
    <col width="10.140625" customWidth="1" style="15" min="11283" max="11286"/>
    <col width="9.7109375" customWidth="1" style="15" min="11287" max="11290"/>
    <col hidden="1" width="11.42578125" customWidth="1" style="15" min="11291" max="11523"/>
    <col width="10.28515625" customWidth="1" style="15" min="11524" max="11524"/>
    <col width="9.5703125" customWidth="1" style="15" min="11525" max="11529"/>
    <col width="10.7109375" customWidth="1" style="15" min="11530" max="11530"/>
    <col width="9.5703125" customWidth="1" style="15" min="11531" max="11536"/>
    <col width="10" customWidth="1" style="15" min="11537" max="11538"/>
    <col width="10.140625" customWidth="1" style="15" min="11539" max="11542"/>
    <col width="9.7109375" customWidth="1" style="15" min="11543" max="11546"/>
    <col hidden="1" width="11.42578125" customWidth="1" style="15" min="11547" max="11779"/>
    <col width="10.28515625" customWidth="1" style="15" min="11780" max="11780"/>
    <col width="9.5703125" customWidth="1" style="15" min="11781" max="11785"/>
    <col width="10.7109375" customWidth="1" style="15" min="11786" max="11786"/>
    <col width="9.5703125" customWidth="1" style="15" min="11787" max="11792"/>
    <col width="10" customWidth="1" style="15" min="11793" max="11794"/>
    <col width="10.140625" customWidth="1" style="15" min="11795" max="11798"/>
    <col width="9.7109375" customWidth="1" style="15" min="11799" max="11802"/>
    <col hidden="1" width="11.42578125" customWidth="1" style="15" min="11803" max="12035"/>
    <col width="10.28515625" customWidth="1" style="15" min="12036" max="12036"/>
    <col width="9.5703125" customWidth="1" style="15" min="12037" max="12041"/>
    <col width="10.7109375" customWidth="1" style="15" min="12042" max="12042"/>
    <col width="9.5703125" customWidth="1" style="15" min="12043" max="12048"/>
    <col width="10" customWidth="1" style="15" min="12049" max="12050"/>
    <col width="10.140625" customWidth="1" style="15" min="12051" max="12054"/>
    <col width="9.7109375" customWidth="1" style="15" min="12055" max="12058"/>
    <col hidden="1" width="11.42578125" customWidth="1" style="15" min="12059" max="12291"/>
    <col width="10.28515625" customWidth="1" style="15" min="12292" max="12292"/>
    <col width="9.5703125" customWidth="1" style="15" min="12293" max="12297"/>
    <col width="10.7109375" customWidth="1" style="15" min="12298" max="12298"/>
    <col width="9.5703125" customWidth="1" style="15" min="12299" max="12304"/>
    <col width="10" customWidth="1" style="15" min="12305" max="12306"/>
    <col width="10.140625" customWidth="1" style="15" min="12307" max="12310"/>
    <col width="9.7109375" customWidth="1" style="15" min="12311" max="12314"/>
    <col hidden="1" width="11.42578125" customWidth="1" style="15" min="12315" max="12547"/>
    <col width="10.28515625" customWidth="1" style="15" min="12548" max="12548"/>
    <col width="9.5703125" customWidth="1" style="15" min="12549" max="12553"/>
    <col width="10.7109375" customWidth="1" style="15" min="12554" max="12554"/>
    <col width="9.5703125" customWidth="1" style="15" min="12555" max="12560"/>
    <col width="10" customWidth="1" style="15" min="12561" max="12562"/>
    <col width="10.140625" customWidth="1" style="15" min="12563" max="12566"/>
    <col width="9.7109375" customWidth="1" style="15" min="12567" max="12570"/>
    <col hidden="1" width="11.42578125" customWidth="1" style="15" min="12571" max="12803"/>
    <col width="10.28515625" customWidth="1" style="15" min="12804" max="12804"/>
    <col width="9.5703125" customWidth="1" style="15" min="12805" max="12809"/>
    <col width="10.7109375" customWidth="1" style="15" min="12810" max="12810"/>
    <col width="9.5703125" customWidth="1" style="15" min="12811" max="12816"/>
    <col width="10" customWidth="1" style="15" min="12817" max="12818"/>
    <col width="10.140625" customWidth="1" style="15" min="12819" max="12822"/>
    <col width="9.7109375" customWidth="1" style="15" min="12823" max="12826"/>
    <col hidden="1" width="11.42578125" customWidth="1" style="15" min="12827" max="13059"/>
    <col width="10.28515625" customWidth="1" style="15" min="13060" max="13060"/>
    <col width="9.5703125" customWidth="1" style="15" min="13061" max="13065"/>
    <col width="10.7109375" customWidth="1" style="15" min="13066" max="13066"/>
    <col width="9.5703125" customWidth="1" style="15" min="13067" max="13072"/>
    <col width="10" customWidth="1" style="15" min="13073" max="13074"/>
    <col width="10.140625" customWidth="1" style="15" min="13075" max="13078"/>
    <col width="9.7109375" customWidth="1" style="15" min="13079" max="13082"/>
    <col hidden="1" width="11.42578125" customWidth="1" style="15" min="13083" max="13315"/>
    <col width="10.28515625" customWidth="1" style="15" min="13316" max="13316"/>
    <col width="9.5703125" customWidth="1" style="15" min="13317" max="13321"/>
    <col width="10.7109375" customWidth="1" style="15" min="13322" max="13322"/>
    <col width="9.5703125" customWidth="1" style="15" min="13323" max="13328"/>
    <col width="10" customWidth="1" style="15" min="13329" max="13330"/>
    <col width="10.140625" customWidth="1" style="15" min="13331" max="13334"/>
    <col width="9.7109375" customWidth="1" style="15" min="13335" max="13338"/>
    <col hidden="1" width="11.42578125" customWidth="1" style="15" min="13339" max="13571"/>
    <col width="10.28515625" customWidth="1" style="15" min="13572" max="13572"/>
    <col width="9.5703125" customWidth="1" style="15" min="13573" max="13577"/>
    <col width="10.7109375" customWidth="1" style="15" min="13578" max="13578"/>
    <col width="9.5703125" customWidth="1" style="15" min="13579" max="13584"/>
    <col width="10" customWidth="1" style="15" min="13585" max="13586"/>
    <col width="10.140625" customWidth="1" style="15" min="13587" max="13590"/>
    <col width="9.7109375" customWidth="1" style="15" min="13591" max="13594"/>
    <col hidden="1" width="11.42578125" customWidth="1" style="15" min="13595" max="13827"/>
    <col width="10.28515625" customWidth="1" style="15" min="13828" max="13828"/>
    <col width="9.5703125" customWidth="1" style="15" min="13829" max="13833"/>
    <col width="10.7109375" customWidth="1" style="15" min="13834" max="13834"/>
    <col width="9.5703125" customWidth="1" style="15" min="13835" max="13840"/>
    <col width="10" customWidth="1" style="15" min="13841" max="13842"/>
    <col width="10.140625" customWidth="1" style="15" min="13843" max="13846"/>
    <col width="9.7109375" customWidth="1" style="15" min="13847" max="13850"/>
    <col hidden="1" width="11.42578125" customWidth="1" style="15" min="13851" max="14083"/>
    <col width="10.28515625" customWidth="1" style="15" min="14084" max="14084"/>
    <col width="9.5703125" customWidth="1" style="15" min="14085" max="14089"/>
    <col width="10.7109375" customWidth="1" style="15" min="14090" max="14090"/>
    <col width="9.5703125" customWidth="1" style="15" min="14091" max="14096"/>
    <col width="10" customWidth="1" style="15" min="14097" max="14098"/>
    <col width="10.140625" customWidth="1" style="15" min="14099" max="14102"/>
    <col width="9.7109375" customWidth="1" style="15" min="14103" max="14106"/>
    <col hidden="1" width="11.42578125" customWidth="1" style="15" min="14107" max="14339"/>
    <col width="10.28515625" customWidth="1" style="15" min="14340" max="14340"/>
    <col width="9.5703125" customWidth="1" style="15" min="14341" max="14345"/>
    <col width="10.7109375" customWidth="1" style="15" min="14346" max="14346"/>
    <col width="9.5703125" customWidth="1" style="15" min="14347" max="14352"/>
    <col width="10" customWidth="1" style="15" min="14353" max="14354"/>
    <col width="10.140625" customWidth="1" style="15" min="14355" max="14358"/>
    <col width="9.7109375" customWidth="1" style="15" min="14359" max="14362"/>
    <col hidden="1" width="11.42578125" customWidth="1" style="15" min="14363" max="14595"/>
    <col width="10.28515625" customWidth="1" style="15" min="14596" max="14596"/>
    <col width="9.5703125" customWidth="1" style="15" min="14597" max="14601"/>
    <col width="10.7109375" customWidth="1" style="15" min="14602" max="14602"/>
    <col width="9.5703125" customWidth="1" style="15" min="14603" max="14608"/>
    <col width="10" customWidth="1" style="15" min="14609" max="14610"/>
    <col width="10.140625" customWidth="1" style="15" min="14611" max="14614"/>
    <col width="9.7109375" customWidth="1" style="15" min="14615" max="14618"/>
    <col hidden="1" width="11.42578125" customWidth="1" style="15" min="14619" max="14851"/>
    <col width="10.28515625" customWidth="1" style="15" min="14852" max="14852"/>
    <col width="9.5703125" customWidth="1" style="15" min="14853" max="14857"/>
    <col width="10.7109375" customWidth="1" style="15" min="14858" max="14858"/>
    <col width="9.5703125" customWidth="1" style="15" min="14859" max="14864"/>
    <col width="10" customWidth="1" style="15" min="14865" max="14866"/>
    <col width="10.140625" customWidth="1" style="15" min="14867" max="14870"/>
    <col width="9.7109375" customWidth="1" style="15" min="14871" max="14874"/>
    <col hidden="1" width="11.42578125" customWidth="1" style="15" min="14875" max="15107"/>
    <col width="10.28515625" customWidth="1" style="15" min="15108" max="15108"/>
    <col width="9.5703125" customWidth="1" style="15" min="15109" max="15113"/>
    <col width="10.7109375" customWidth="1" style="15" min="15114" max="15114"/>
    <col width="9.5703125" customWidth="1" style="15" min="15115" max="15120"/>
    <col width="10" customWidth="1" style="15" min="15121" max="15122"/>
    <col width="10.140625" customWidth="1" style="15" min="15123" max="15126"/>
    <col width="9.7109375" customWidth="1" style="15" min="15127" max="15130"/>
    <col hidden="1" width="11.42578125" customWidth="1" style="15" min="15131" max="15363"/>
    <col width="10.28515625" customWidth="1" style="15" min="15364" max="15364"/>
    <col width="9.5703125" customWidth="1" style="15" min="15365" max="15369"/>
    <col width="10.7109375" customWidth="1" style="15" min="15370" max="15370"/>
    <col width="9.5703125" customWidth="1" style="15" min="15371" max="15376"/>
    <col width="10" customWidth="1" style="15" min="15377" max="15378"/>
    <col width="10.140625" customWidth="1" style="15" min="15379" max="15382"/>
    <col width="9.7109375" customWidth="1" style="15" min="15383" max="15386"/>
    <col hidden="1" width="11.42578125" customWidth="1" style="15" min="15387" max="15619"/>
    <col width="10.28515625" customWidth="1" style="15" min="15620" max="15620"/>
    <col width="9.5703125" customWidth="1" style="15" min="15621" max="15625"/>
    <col width="10.7109375" customWidth="1" style="15" min="15626" max="15626"/>
    <col width="9.5703125" customWidth="1" style="15" min="15627" max="15632"/>
    <col width="10" customWidth="1" style="15" min="15633" max="15634"/>
    <col width="10.140625" customWidth="1" style="15" min="15635" max="15638"/>
    <col width="9.7109375" customWidth="1" style="15" min="15639" max="15642"/>
    <col hidden="1" width="11.42578125" customWidth="1" style="15" min="15643" max="15875"/>
    <col width="10.28515625" customWidth="1" style="15" min="15876" max="15876"/>
    <col width="9.5703125" customWidth="1" style="15" min="15877" max="15881"/>
    <col width="10.7109375" customWidth="1" style="15" min="15882" max="15882"/>
    <col width="9.5703125" customWidth="1" style="15" min="15883" max="15888"/>
    <col width="10" customWidth="1" style="15" min="15889" max="15890"/>
    <col width="10.140625" customWidth="1" style="15" min="15891" max="15894"/>
    <col width="9.7109375" customWidth="1" style="15" min="15895" max="15898"/>
    <col hidden="1" width="11.42578125" customWidth="1" style="15" min="15899" max="16131"/>
    <col width="10.28515625" customWidth="1" style="15" min="16132" max="16132"/>
    <col width="9.5703125" customWidth="1" style="15" min="16133" max="16137"/>
    <col width="10.7109375" customWidth="1" style="15" min="16138" max="16138"/>
    <col width="9.5703125" customWidth="1" style="15" min="16139" max="16144"/>
    <col width="10" customWidth="1" style="15" min="16145" max="16146"/>
    <col width="10.140625" customWidth="1" style="15" min="16147" max="16150"/>
    <col width="9.7109375" customWidth="1" style="15" min="16151" max="16154"/>
    <col hidden="1" width="13" customWidth="1" style="15" min="16155" max="16384"/>
  </cols>
  <sheetData>
    <row r="1" ht="27" customHeight="1">
      <c r="A1" s="531" t="inlineStr">
        <is>
          <t>OBLIGACIONES FISCALES</t>
        </is>
      </c>
      <c r="B1" s="513" t="n"/>
      <c r="C1" s="513" t="n"/>
      <c r="D1" s="513" t="n"/>
      <c r="E1" s="514" t="n"/>
    </row>
    <row r="2" ht="13.5" customHeight="1" thickBot="1">
      <c r="A2" s="515" t="n"/>
      <c r="B2" s="516" t="n"/>
      <c r="C2" s="516" t="n"/>
      <c r="D2" s="516" t="n"/>
      <c r="E2" s="517" t="n"/>
    </row>
    <row r="3" ht="18" customHeight="1" thickBot="1">
      <c r="A3" s="532" t="inlineStr">
        <is>
          <t>Retenciones por pagar de IVA Y FUENTE</t>
        </is>
      </c>
      <c r="B3" s="519" t="n"/>
      <c r="C3" s="519" t="n"/>
      <c r="D3" s="519" t="n"/>
      <c r="E3" s="520" t="n"/>
    </row>
    <row r="4">
      <c r="A4" s="443" t="inlineStr">
        <is>
          <t>Nombre del cliente</t>
        </is>
      </c>
      <c r="B4" s="513" t="n"/>
      <c r="C4" s="513" t="n"/>
      <c r="D4" s="445" t="inlineStr">
        <is>
          <t>Periodo terminado</t>
        </is>
      </c>
      <c r="E4" s="514" t="n"/>
    </row>
    <row r="5" ht="13.5" customHeight="1" thickBot="1">
      <c r="A5" s="446">
        <f>+'DM3 Revisión de saldos'!A5:C5</f>
        <v/>
      </c>
      <c r="B5" s="521" t="n"/>
      <c r="C5" s="521" t="n"/>
      <c r="D5" s="533">
        <f>+'DM3 Revisión de saldos'!D5:E5</f>
        <v/>
      </c>
      <c r="E5" s="523" t="n"/>
    </row>
    <row r="6">
      <c r="A6" s="429" t="inlineStr">
        <is>
          <t xml:space="preserve">Preparado por: </t>
        </is>
      </c>
      <c r="B6" s="513" t="n"/>
      <c r="C6" s="158" t="inlineStr">
        <is>
          <t>Fecha:</t>
        </is>
      </c>
      <c r="D6" s="431" t="inlineStr">
        <is>
          <t>Referencia</t>
        </is>
      </c>
      <c r="E6" s="514" t="n"/>
    </row>
    <row r="7" ht="13.5" customHeight="1" thickBot="1">
      <c r="A7" s="427">
        <f>+'DM3 Revisión de saldos'!A7:B7</f>
        <v/>
      </c>
      <c r="B7" s="521" t="n"/>
      <c r="C7" s="159">
        <f>+'DM5 Ventas '!C8</f>
        <v/>
      </c>
      <c r="D7" s="433" t="inlineStr">
        <is>
          <t>DM7</t>
        </is>
      </c>
      <c r="E7" s="523" t="n"/>
    </row>
    <row r="8">
      <c r="A8" s="429" t="inlineStr">
        <is>
          <t xml:space="preserve">Revisado por: </t>
        </is>
      </c>
      <c r="B8" s="513" t="n"/>
      <c r="C8" s="158" t="inlineStr">
        <is>
          <t>Fecha:</t>
        </is>
      </c>
      <c r="D8" s="160" t="n"/>
      <c r="E8" s="195" t="n"/>
    </row>
    <row r="9" ht="13.5" customHeight="1" thickBot="1">
      <c r="A9" s="427">
        <f>+'DM3 Revisión de saldos'!A9:B9</f>
        <v/>
      </c>
      <c r="B9" s="521" t="n"/>
      <c r="C9" s="161" t="n"/>
      <c r="D9" s="162" t="n"/>
      <c r="E9" s="196" t="n"/>
    </row>
    <row r="10">
      <c r="A10" s="194" t="n"/>
      <c r="B10" s="8" t="n"/>
      <c r="C10" s="541" t="n"/>
      <c r="D10" s="541" t="n"/>
      <c r="E10" s="541" t="n"/>
    </row>
    <row r="12">
      <c r="A12" s="18" t="inlineStr">
        <is>
          <t>ANEXO No. 20</t>
        </is>
      </c>
      <c r="B12" s="18" t="n"/>
      <c r="C12" s="275" t="n"/>
      <c r="D12" s="275" t="n"/>
    </row>
    <row r="13">
      <c r="A13" s="17" t="inlineStr">
        <is>
          <t>RETENCIONES EN LA FUENTE</t>
        </is>
      </c>
      <c r="B13" s="17" t="n"/>
      <c r="C13" s="275" t="n"/>
      <c r="D13" s="275" t="n"/>
    </row>
    <row r="14">
      <c r="A14" s="275" t="n"/>
      <c r="B14" s="275" t="n"/>
      <c r="C14" s="275" t="n"/>
      <c r="D14" s="275" t="n"/>
    </row>
    <row r="16">
      <c r="A16" s="18" t="inlineStr">
        <is>
          <t xml:space="preserve">Conciliación de Retenciones en la Fuente del Impuesto al Valor Agregado declaradas vs. Libros </t>
        </is>
      </c>
      <c r="B16" s="275" t="n"/>
      <c r="C16" s="275" t="n"/>
      <c r="D16" s="275" t="n"/>
      <c r="E16" s="275" t="n"/>
      <c r="F16" s="275" t="n"/>
      <c r="G16" s="275" t="n"/>
      <c r="H16" s="553" t="n"/>
      <c r="I16" s="275" t="n"/>
      <c r="J16" s="275" t="n"/>
      <c r="K16" s="275" t="n"/>
      <c r="L16" s="275" t="n"/>
      <c r="M16" s="275" t="n"/>
      <c r="N16" s="275" t="n"/>
      <c r="O16" s="275" t="n"/>
      <c r="P16" s="275" t="n"/>
      <c r="Q16" s="22" t="n"/>
      <c r="R16" s="22" t="n"/>
      <c r="S16" s="22" t="n"/>
      <c r="T16" s="22" t="n"/>
      <c r="U16" s="22" t="n"/>
    </row>
    <row r="17">
      <c r="A17" s="18" t="n"/>
      <c r="B17" s="275" t="n"/>
      <c r="C17" s="275" t="n"/>
      <c r="D17" s="275" t="n"/>
      <c r="E17" s="275" t="n"/>
      <c r="F17" s="275" t="n"/>
      <c r="G17" s="275" t="n"/>
      <c r="H17" s="553" t="n"/>
      <c r="I17" s="275" t="n"/>
      <c r="J17" s="275" t="n"/>
      <c r="K17" s="275" t="n"/>
      <c r="L17" s="275" t="n"/>
      <c r="M17" s="275" t="n"/>
      <c r="N17" s="275" t="n"/>
      <c r="O17" s="275" t="n"/>
      <c r="P17" s="275" t="n"/>
      <c r="Q17" s="22" t="n"/>
      <c r="R17" s="22" t="n"/>
      <c r="S17" s="22" t="n"/>
      <c r="T17" s="22" t="n"/>
      <c r="U17" s="22" t="n"/>
    </row>
    <row r="18" ht="11.25" customHeight="1">
      <c r="A18" s="468" t="inlineStr">
        <is>
          <t>Mes</t>
        </is>
      </c>
      <c r="B18" s="471" t="inlineStr">
        <is>
          <t>Valores según los libros contables del contribuyente</t>
        </is>
      </c>
      <c r="C18" s="545" t="n"/>
      <c r="D18" s="545" t="n"/>
      <c r="E18" s="545" t="n"/>
      <c r="F18" s="545" t="n"/>
      <c r="G18" s="534" t="n"/>
      <c r="H18" s="471" t="inlineStr">
        <is>
          <t>Valores según las declaraciones de IVA del contribuyente (a)</t>
        </is>
      </c>
      <c r="I18" s="545" t="n"/>
      <c r="J18" s="545" t="n"/>
      <c r="K18" s="545" t="n"/>
      <c r="L18" s="545" t="n"/>
      <c r="M18" s="545" t="n"/>
      <c r="N18" s="534" t="n"/>
      <c r="O18" s="468" t="inlineStr">
        <is>
          <t>Diferencias (c)</t>
        </is>
      </c>
      <c r="P18" s="545" t="n"/>
      <c r="Q18" s="545" t="n"/>
      <c r="R18" s="545" t="n"/>
      <c r="S18" s="545" t="n"/>
      <c r="T18" s="534" t="n"/>
    </row>
    <row r="19" ht="70.5" customHeight="1">
      <c r="A19" s="546" t="n"/>
      <c r="B19" s="554" t="inlineStr">
        <is>
          <t>Retención del 10%</t>
        </is>
      </c>
      <c r="C19" s="554" t="inlineStr">
        <is>
          <t xml:space="preserve">Retención del 20% </t>
        </is>
      </c>
      <c r="D19" s="554" t="inlineStr">
        <is>
          <t>Retención del 30%</t>
        </is>
      </c>
      <c r="E19" s="554" t="inlineStr">
        <is>
          <t>Retención del 70%</t>
        </is>
      </c>
      <c r="F19" s="554" t="inlineStr">
        <is>
          <t>Retención del 100%</t>
        </is>
      </c>
      <c r="G19" s="554" t="inlineStr">
        <is>
          <t>Total retenciones de IVA</t>
        </is>
      </c>
      <c r="H19" s="554" t="inlineStr">
        <is>
          <t>Retención del 10%
(casillero 721)</t>
        </is>
      </c>
      <c r="I19" s="554" t="inlineStr">
        <is>
          <t>Retención del 20% 
(casillero 723)</t>
        </is>
      </c>
      <c r="J19" s="554" t="inlineStr">
        <is>
          <t>Retención del 30%
(casillero 725)</t>
        </is>
      </c>
      <c r="K19" s="554" t="inlineStr">
        <is>
          <t>Retención del 70%
(casillero 729)</t>
        </is>
      </c>
      <c r="L19" s="554" t="inlineStr">
        <is>
          <t>Retención del 100%
(casillero 731)</t>
        </is>
      </c>
      <c r="M19" s="554" t="inlineStr">
        <is>
          <t>Retención del 50%
(casillero 727)</t>
        </is>
      </c>
      <c r="N19" s="554" t="inlineStr">
        <is>
          <t>Total IVA retenido
(casillero 799)</t>
        </is>
      </c>
      <c r="O19" s="468" t="inlineStr">
        <is>
          <t xml:space="preserve">Diferencia en retención del 10% </t>
        </is>
      </c>
      <c r="P19" s="468" t="inlineStr">
        <is>
          <t xml:space="preserve">Diferencia en retención del 20% </t>
        </is>
      </c>
      <c r="Q19" s="468" t="inlineStr">
        <is>
          <t xml:space="preserve">Diferencia en retención del 30% </t>
        </is>
      </c>
      <c r="R19" s="468" t="inlineStr">
        <is>
          <t xml:space="preserve">Diferencia en retención del 70% </t>
        </is>
      </c>
      <c r="S19" s="468" t="inlineStr">
        <is>
          <t xml:space="preserve">Diferencia en retención del 100% </t>
        </is>
      </c>
      <c r="T19" s="468" t="inlineStr">
        <is>
          <t>Total diferencia en IVA retenido</t>
        </is>
      </c>
    </row>
    <row r="20" ht="25.5" customFormat="1" customHeight="1" s="23">
      <c r="A20" s="535" t="n"/>
      <c r="B20" s="468" t="inlineStr">
        <is>
          <t>{1}</t>
        </is>
      </c>
      <c r="C20" s="468" t="inlineStr">
        <is>
          <t>{2}</t>
        </is>
      </c>
      <c r="D20" s="468" t="n">
        <v>725</v>
      </c>
      <c r="E20" s="468" t="n">
        <v>727</v>
      </c>
      <c r="F20" s="468" t="n">
        <v>729</v>
      </c>
      <c r="G20" s="468" t="inlineStr">
        <is>
          <t>{6}={1+2+3+4+5}</t>
        </is>
      </c>
      <c r="H20" s="468" t="inlineStr">
        <is>
          <t>{7}</t>
        </is>
      </c>
      <c r="I20" s="468" t="inlineStr">
        <is>
          <t>{8}</t>
        </is>
      </c>
      <c r="J20" s="468" t="inlineStr">
        <is>
          <t>{9}</t>
        </is>
      </c>
      <c r="K20" s="468" t="inlineStr">
        <is>
          <t>{10}</t>
        </is>
      </c>
      <c r="L20" s="468" t="inlineStr">
        <is>
          <t>{11}</t>
        </is>
      </c>
      <c r="M20" s="468" t="inlineStr">
        <is>
          <t>{12}</t>
        </is>
      </c>
      <c r="N20" s="468" t="inlineStr">
        <is>
          <t>{13}</t>
        </is>
      </c>
      <c r="O20" s="468" t="inlineStr">
        <is>
          <t>{13}={7-1}</t>
        </is>
      </c>
      <c r="P20" s="468" t="inlineStr">
        <is>
          <t>{14}={8-2}</t>
        </is>
      </c>
      <c r="Q20" s="468" t="inlineStr">
        <is>
          <t>{15}={9-3}</t>
        </is>
      </c>
      <c r="R20" s="468" t="inlineStr">
        <is>
          <t>{16}={10-4}</t>
        </is>
      </c>
      <c r="S20" s="468" t="inlineStr">
        <is>
          <t>{17}={11-5}</t>
        </is>
      </c>
      <c r="T20" s="468" t="inlineStr">
        <is>
          <t>{18}={12-6}</t>
        </is>
      </c>
    </row>
    <row r="21">
      <c r="A21" s="276" t="inlineStr">
        <is>
          <t>Enero</t>
        </is>
      </c>
      <c r="B21" s="277" t="n"/>
      <c r="C21" s="277" t="n"/>
      <c r="D21" s="277" t="n"/>
      <c r="E21" s="277" t="n"/>
      <c r="F21" s="277" t="n"/>
      <c r="G21" s="278">
        <f>SUM(B21:F21)</f>
        <v/>
      </c>
      <c r="H21" s="279" t="n"/>
      <c r="I21" s="279" t="n"/>
      <c r="J21" s="279" t="n"/>
      <c r="K21" s="279" t="n"/>
      <c r="L21" s="279" t="n"/>
      <c r="M21" s="279" t="n">
        <v>0</v>
      </c>
      <c r="N21" s="279">
        <f>SUM(H21:M21)</f>
        <v/>
      </c>
      <c r="O21" s="280">
        <f>+B21-H21</f>
        <v/>
      </c>
      <c r="P21" s="280">
        <f>+C21-I21</f>
        <v/>
      </c>
      <c r="Q21" s="280">
        <f>+D21-J21</f>
        <v/>
      </c>
      <c r="R21" s="280">
        <f>+E21-K21</f>
        <v/>
      </c>
      <c r="S21" s="280">
        <f>+F21-L21</f>
        <v/>
      </c>
      <c r="T21" s="280">
        <f>+G21-N21</f>
        <v/>
      </c>
    </row>
    <row r="22">
      <c r="A22" s="276" t="inlineStr">
        <is>
          <t>Febrero</t>
        </is>
      </c>
      <c r="B22" s="277" t="n"/>
      <c r="C22" s="277" t="n"/>
      <c r="D22" s="277" t="n"/>
      <c r="E22" s="277" t="n"/>
      <c r="F22" s="277" t="n"/>
      <c r="G22" s="278">
        <f>SUM(B22:F22)</f>
        <v/>
      </c>
      <c r="H22" s="279" t="n"/>
      <c r="I22" s="279" t="n"/>
      <c r="J22" s="279" t="n"/>
      <c r="K22" s="279" t="n"/>
      <c r="L22" s="279" t="n"/>
      <c r="M22" s="279" t="n">
        <v>0</v>
      </c>
      <c r="N22" s="279">
        <f>SUM(H22:M22)</f>
        <v/>
      </c>
      <c r="O22" s="280">
        <f>+B22-H22</f>
        <v/>
      </c>
      <c r="P22" s="280">
        <f>+C22-I22</f>
        <v/>
      </c>
      <c r="Q22" s="280">
        <f>+D22-J22</f>
        <v/>
      </c>
      <c r="R22" s="280">
        <f>+E22-K22</f>
        <v/>
      </c>
      <c r="S22" s="280">
        <f>+F22-L22</f>
        <v/>
      </c>
      <c r="T22" s="280">
        <f>+G22-N22</f>
        <v/>
      </c>
    </row>
    <row r="23">
      <c r="A23" s="276" t="inlineStr">
        <is>
          <t>Marzo</t>
        </is>
      </c>
      <c r="B23" s="277" t="n"/>
      <c r="C23" s="277" t="n"/>
      <c r="D23" s="277" t="n"/>
      <c r="E23" s="277" t="n"/>
      <c r="F23" s="277" t="n"/>
      <c r="G23" s="278">
        <f>SUM(B23:F23)</f>
        <v/>
      </c>
      <c r="H23" s="279" t="n"/>
      <c r="I23" s="279" t="n"/>
      <c r="J23" s="279" t="n"/>
      <c r="K23" s="279" t="n"/>
      <c r="L23" s="279" t="n"/>
      <c r="M23" s="279" t="n">
        <v>0</v>
      </c>
      <c r="N23" s="279">
        <f>SUM(H23:M23)</f>
        <v/>
      </c>
      <c r="O23" s="280">
        <f>+B23-H23</f>
        <v/>
      </c>
      <c r="P23" s="280">
        <f>+C23-I23</f>
        <v/>
      </c>
      <c r="Q23" s="280">
        <f>+D23-J23</f>
        <v/>
      </c>
      <c r="R23" s="280">
        <f>+E23-K23</f>
        <v/>
      </c>
      <c r="S23" s="280">
        <f>+F23-L23</f>
        <v/>
      </c>
      <c r="T23" s="280">
        <f>+G23-N23</f>
        <v/>
      </c>
    </row>
    <row r="24">
      <c r="A24" s="276" t="inlineStr">
        <is>
          <t>Abril</t>
        </is>
      </c>
      <c r="B24" s="277" t="n"/>
      <c r="C24" s="277" t="n"/>
      <c r="D24" s="277" t="n"/>
      <c r="E24" s="277" t="n"/>
      <c r="F24" s="277" t="n"/>
      <c r="G24" s="278">
        <f>SUM(B24:F24)</f>
        <v/>
      </c>
      <c r="H24" s="279" t="n"/>
      <c r="I24" s="279" t="n"/>
      <c r="J24" s="279" t="n"/>
      <c r="K24" s="279" t="n"/>
      <c r="L24" s="279" t="n"/>
      <c r="M24" s="279" t="n">
        <v>0</v>
      </c>
      <c r="N24" s="279">
        <f>SUM(H24:M24)</f>
        <v/>
      </c>
      <c r="O24" s="280">
        <f>+B24-H24</f>
        <v/>
      </c>
      <c r="P24" s="280">
        <f>+C24-I24</f>
        <v/>
      </c>
      <c r="Q24" s="280">
        <f>+D24-J24</f>
        <v/>
      </c>
      <c r="R24" s="280">
        <f>+E24-K24</f>
        <v/>
      </c>
      <c r="S24" s="280">
        <f>+F24-L24</f>
        <v/>
      </c>
      <c r="T24" s="280">
        <f>+G24-N24</f>
        <v/>
      </c>
    </row>
    <row r="25">
      <c r="A25" s="276" t="inlineStr">
        <is>
          <t>Mayo</t>
        </is>
      </c>
      <c r="B25" s="277" t="n"/>
      <c r="C25" s="277" t="n"/>
      <c r="D25" s="277" t="n"/>
      <c r="E25" s="277" t="n"/>
      <c r="F25" s="277" t="n"/>
      <c r="G25" s="278">
        <f>SUM(B25:F25)</f>
        <v/>
      </c>
      <c r="H25" s="279" t="n"/>
      <c r="I25" s="279" t="n"/>
      <c r="J25" s="279" t="n"/>
      <c r="K25" s="279" t="n"/>
      <c r="L25" s="279" t="n"/>
      <c r="M25" s="279" t="n">
        <v>0</v>
      </c>
      <c r="N25" s="279">
        <f>SUM(H25:M25)</f>
        <v/>
      </c>
      <c r="O25" s="280">
        <f>+B25-H25</f>
        <v/>
      </c>
      <c r="P25" s="280">
        <f>+C25-I25</f>
        <v/>
      </c>
      <c r="Q25" s="280">
        <f>+D25-J25</f>
        <v/>
      </c>
      <c r="R25" s="280">
        <f>+E25-K25</f>
        <v/>
      </c>
      <c r="S25" s="280">
        <f>+F25-L25</f>
        <v/>
      </c>
      <c r="T25" s="280">
        <f>+G25-N25</f>
        <v/>
      </c>
    </row>
    <row r="26">
      <c r="A26" s="276" t="inlineStr">
        <is>
          <t>Junio</t>
        </is>
      </c>
      <c r="B26" s="277" t="n"/>
      <c r="C26" s="277" t="n"/>
      <c r="D26" s="277" t="n"/>
      <c r="E26" s="277" t="n"/>
      <c r="F26" s="277" t="n"/>
      <c r="G26" s="278">
        <f>SUM(B26:F26)</f>
        <v/>
      </c>
      <c r="H26" s="279" t="n"/>
      <c r="I26" s="279" t="n"/>
      <c r="J26" s="279" t="n"/>
      <c r="K26" s="279" t="n"/>
      <c r="L26" s="279" t="n"/>
      <c r="M26" s="279" t="n">
        <v>0</v>
      </c>
      <c r="N26" s="279">
        <f>SUM(H26:M26)</f>
        <v/>
      </c>
      <c r="O26" s="280">
        <f>+B26-H26</f>
        <v/>
      </c>
      <c r="P26" s="280">
        <f>+C26-I26</f>
        <v/>
      </c>
      <c r="Q26" s="280">
        <f>+D26-J26</f>
        <v/>
      </c>
      <c r="R26" s="280">
        <f>+E26-K26</f>
        <v/>
      </c>
      <c r="S26" s="280">
        <f>+F26-L26</f>
        <v/>
      </c>
      <c r="T26" s="280">
        <f>+G26-N26</f>
        <v/>
      </c>
    </row>
    <row r="27">
      <c r="A27" s="276" t="inlineStr">
        <is>
          <t>Julio</t>
        </is>
      </c>
      <c r="B27" s="277" t="n"/>
      <c r="C27" s="277" t="n"/>
      <c r="D27" s="277" t="n"/>
      <c r="E27" s="277" t="n"/>
      <c r="F27" s="277" t="n"/>
      <c r="G27" s="278">
        <f>SUM(B27:F27)</f>
        <v/>
      </c>
      <c r="H27" s="279" t="n"/>
      <c r="I27" s="279" t="n"/>
      <c r="J27" s="279" t="n"/>
      <c r="K27" s="279" t="n"/>
      <c r="L27" s="279" t="n"/>
      <c r="M27" s="279" t="n">
        <v>0</v>
      </c>
      <c r="N27" s="279">
        <f>SUM(H27:M27)</f>
        <v/>
      </c>
      <c r="O27" s="280">
        <f>+B27-H27</f>
        <v/>
      </c>
      <c r="P27" s="280">
        <f>+C27-I27</f>
        <v/>
      </c>
      <c r="Q27" s="280">
        <f>+D27-J27</f>
        <v/>
      </c>
      <c r="R27" s="280">
        <f>+E27-K27</f>
        <v/>
      </c>
      <c r="S27" s="280">
        <f>+F27-L27</f>
        <v/>
      </c>
      <c r="T27" s="280">
        <f>+G27-N27</f>
        <v/>
      </c>
    </row>
    <row r="28">
      <c r="A28" s="276" t="inlineStr">
        <is>
          <t>Agosto</t>
        </is>
      </c>
      <c r="B28" s="277" t="n"/>
      <c r="C28" s="277" t="n"/>
      <c r="D28" s="277" t="n"/>
      <c r="E28" s="277" t="n"/>
      <c r="F28" s="277" t="n"/>
      <c r="G28" s="278">
        <f>SUM(B28:F28)</f>
        <v/>
      </c>
      <c r="H28" s="279" t="n"/>
      <c r="I28" s="279" t="n"/>
      <c r="J28" s="279" t="n"/>
      <c r="K28" s="279" t="n"/>
      <c r="L28" s="279" t="n"/>
      <c r="M28" s="279" t="n">
        <v>0</v>
      </c>
      <c r="N28" s="279">
        <f>SUM(H28:M28)</f>
        <v/>
      </c>
      <c r="O28" s="280">
        <f>+B28-H28</f>
        <v/>
      </c>
      <c r="P28" s="280">
        <f>+C28-I28</f>
        <v/>
      </c>
      <c r="Q28" s="280">
        <f>+D28-J28</f>
        <v/>
      </c>
      <c r="R28" s="280">
        <f>+E28-K28</f>
        <v/>
      </c>
      <c r="S28" s="280">
        <f>+F28-L28</f>
        <v/>
      </c>
      <c r="T28" s="280">
        <f>+G28-N28</f>
        <v/>
      </c>
    </row>
    <row r="29">
      <c r="A29" s="276" t="inlineStr">
        <is>
          <t>Septiembre</t>
        </is>
      </c>
      <c r="B29" s="277" t="n"/>
      <c r="C29" s="277" t="n"/>
      <c r="D29" s="277" t="n"/>
      <c r="E29" s="277" t="n"/>
      <c r="F29" s="277" t="n"/>
      <c r="G29" s="278">
        <f>SUM(B29:F29)</f>
        <v/>
      </c>
      <c r="H29" s="279" t="n"/>
      <c r="I29" s="279" t="n"/>
      <c r="J29" s="279" t="n"/>
      <c r="K29" s="279" t="n"/>
      <c r="L29" s="279" t="n"/>
      <c r="M29" s="279" t="n">
        <v>0</v>
      </c>
      <c r="N29" s="279">
        <f>SUM(H29:M29)</f>
        <v/>
      </c>
      <c r="O29" s="280">
        <f>+B29-H29</f>
        <v/>
      </c>
      <c r="P29" s="280">
        <f>+C29-I29</f>
        <v/>
      </c>
      <c r="Q29" s="280">
        <f>+D29-J29</f>
        <v/>
      </c>
      <c r="R29" s="280">
        <f>+E29-K29</f>
        <v/>
      </c>
      <c r="S29" s="280">
        <f>+F29-L29</f>
        <v/>
      </c>
      <c r="T29" s="280">
        <f>+G29-N29</f>
        <v/>
      </c>
    </row>
    <row r="30">
      <c r="A30" s="276" t="inlineStr">
        <is>
          <t>Octubre</t>
        </is>
      </c>
      <c r="B30" s="277" t="n"/>
      <c r="C30" s="277" t="n"/>
      <c r="D30" s="277" t="n"/>
      <c r="E30" s="277" t="n"/>
      <c r="F30" s="277" t="n"/>
      <c r="G30" s="278">
        <f>SUM(B30:F30)</f>
        <v/>
      </c>
      <c r="H30" s="279" t="n"/>
      <c r="I30" s="279" t="n"/>
      <c r="J30" s="279" t="n"/>
      <c r="K30" s="279" t="n"/>
      <c r="L30" s="279" t="n"/>
      <c r="M30" s="279" t="n">
        <v>0</v>
      </c>
      <c r="N30" s="279">
        <f>SUM(H30:M30)</f>
        <v/>
      </c>
      <c r="O30" s="280">
        <f>+B30-H30</f>
        <v/>
      </c>
      <c r="P30" s="280">
        <f>+C30-I30</f>
        <v/>
      </c>
      <c r="Q30" s="280">
        <f>+D30-J30</f>
        <v/>
      </c>
      <c r="R30" s="280">
        <f>+E30-K30</f>
        <v/>
      </c>
      <c r="S30" s="280">
        <f>+F30-L30</f>
        <v/>
      </c>
      <c r="T30" s="280">
        <f>+G30-N30</f>
        <v/>
      </c>
    </row>
    <row r="31">
      <c r="A31" s="276" t="inlineStr">
        <is>
          <t>Noviembre</t>
        </is>
      </c>
      <c r="B31" s="277" t="n"/>
      <c r="C31" s="277" t="n"/>
      <c r="D31" s="277" t="n"/>
      <c r="E31" s="277" t="n"/>
      <c r="F31" s="277" t="n">
        <v>0</v>
      </c>
      <c r="G31" s="278">
        <f>SUM(B31:F31)</f>
        <v/>
      </c>
      <c r="H31" s="279" t="n"/>
      <c r="I31" s="279" t="n"/>
      <c r="J31" s="279" t="n"/>
      <c r="K31" s="279" t="n"/>
      <c r="L31" s="279" t="n">
        <v>0</v>
      </c>
      <c r="M31" s="279" t="n">
        <v>0</v>
      </c>
      <c r="N31" s="279">
        <f>SUM(H31:M31)</f>
        <v/>
      </c>
      <c r="O31" s="280">
        <f>+B31-H31</f>
        <v/>
      </c>
      <c r="P31" s="280">
        <f>+C31-I31</f>
        <v/>
      </c>
      <c r="Q31" s="280">
        <f>+D31-J31</f>
        <v/>
      </c>
      <c r="R31" s="280">
        <f>+E31-K31</f>
        <v/>
      </c>
      <c r="S31" s="280">
        <f>+F31-L31</f>
        <v/>
      </c>
      <c r="T31" s="280">
        <f>+G31-N31</f>
        <v/>
      </c>
    </row>
    <row r="32">
      <c r="A32" s="276" t="inlineStr">
        <is>
          <t>Diciembre</t>
        </is>
      </c>
      <c r="B32" s="277" t="n"/>
      <c r="C32" s="277" t="n"/>
      <c r="D32" s="277" t="n"/>
      <c r="E32" s="277" t="n"/>
      <c r="F32" s="277" t="n"/>
      <c r="G32" s="278">
        <f>SUM(B32:F32)</f>
        <v/>
      </c>
      <c r="H32" s="279" t="n"/>
      <c r="I32" s="279" t="n"/>
      <c r="J32" s="279" t="n"/>
      <c r="K32" s="279" t="n"/>
      <c r="L32" s="279" t="n"/>
      <c r="M32" s="279" t="n">
        <v>0</v>
      </c>
      <c r="N32" s="279">
        <f>SUM(H32:M32)</f>
        <v/>
      </c>
      <c r="O32" s="280">
        <f>+B32-H32</f>
        <v/>
      </c>
      <c r="P32" s="280">
        <f>+C32-I32</f>
        <v/>
      </c>
      <c r="Q32" s="280">
        <f>+D32-J32</f>
        <v/>
      </c>
      <c r="R32" s="280">
        <f>+E32-K32</f>
        <v/>
      </c>
      <c r="S32" s="280">
        <f>+F32-L32</f>
        <v/>
      </c>
      <c r="T32" s="280">
        <f>+G32-N32</f>
        <v/>
      </c>
    </row>
    <row r="33">
      <c r="A33" s="186" t="inlineStr">
        <is>
          <t>TOTAL</t>
        </is>
      </c>
      <c r="B33" s="187">
        <f>+SUM(B21:B32)</f>
        <v/>
      </c>
      <c r="C33" s="187">
        <f>+SUM(C21:C32)</f>
        <v/>
      </c>
      <c r="D33" s="187">
        <f>+SUM(D21:D32)</f>
        <v/>
      </c>
      <c r="E33" s="187">
        <f>+SUM(E21:E32)</f>
        <v/>
      </c>
      <c r="F33" s="187">
        <f>+SUM(F21:F32)</f>
        <v/>
      </c>
      <c r="G33" s="187">
        <f>+SUM(G21:G32)</f>
        <v/>
      </c>
      <c r="H33" s="187">
        <f>+SUM(H21:H32)</f>
        <v/>
      </c>
      <c r="I33" s="187">
        <f>+SUM(I21:I32)</f>
        <v/>
      </c>
      <c r="J33" s="187">
        <f>+SUM(J21:J32)</f>
        <v/>
      </c>
      <c r="K33" s="187">
        <f>+SUM(K21:K32)</f>
        <v/>
      </c>
      <c r="L33" s="187">
        <f>+SUM(L21:L32)</f>
        <v/>
      </c>
      <c r="M33" s="187">
        <f>+SUM(M21:M32)</f>
        <v/>
      </c>
      <c r="N33" s="187">
        <f>+SUM(N21:N32)</f>
        <v/>
      </c>
      <c r="O33" s="187">
        <f>+SUM(O21:O32)</f>
        <v/>
      </c>
      <c r="P33" s="187">
        <f>+SUM(P21:P32)</f>
        <v/>
      </c>
      <c r="Q33" s="187">
        <f>+SUM(Q21:Q32)</f>
        <v/>
      </c>
      <c r="R33" s="187">
        <f>+SUM(R21:R32)</f>
        <v/>
      </c>
      <c r="S33" s="187">
        <f>SUM(S21:S32)</f>
        <v/>
      </c>
      <c r="T33" s="187">
        <f>+SUM(T21:T32)</f>
        <v/>
      </c>
    </row>
    <row r="34">
      <c r="A34" s="275" t="n"/>
      <c r="B34" s="10" t="inlineStr">
        <is>
          <t>ü</t>
        </is>
      </c>
      <c r="C34" s="10" t="inlineStr">
        <is>
          <t>ü</t>
        </is>
      </c>
      <c r="D34" s="10" t="inlineStr">
        <is>
          <t>ü</t>
        </is>
      </c>
      <c r="E34" s="10" t="inlineStr">
        <is>
          <t>ü</t>
        </is>
      </c>
      <c r="F34" s="10" t="inlineStr">
        <is>
          <t>ü</t>
        </is>
      </c>
      <c r="G34" s="24" t="inlineStr">
        <is>
          <t xml:space="preserve">Σ  </t>
        </is>
      </c>
      <c r="H34" s="11" t="inlineStr">
        <is>
          <t>£</t>
        </is>
      </c>
      <c r="I34" s="11" t="inlineStr">
        <is>
          <t>£</t>
        </is>
      </c>
      <c r="J34" s="11" t="inlineStr">
        <is>
          <t>£</t>
        </is>
      </c>
      <c r="K34" s="11" t="inlineStr">
        <is>
          <t>£</t>
        </is>
      </c>
      <c r="L34" s="11" t="inlineStr">
        <is>
          <t>£</t>
        </is>
      </c>
      <c r="M34" s="11" t="inlineStr">
        <is>
          <t>£</t>
        </is>
      </c>
      <c r="N34" s="24" t="inlineStr">
        <is>
          <t xml:space="preserve">Σ  </t>
        </is>
      </c>
      <c r="O34" s="7" t="inlineStr">
        <is>
          <t xml:space="preserve">‡ </t>
        </is>
      </c>
      <c r="P34" s="7" t="inlineStr">
        <is>
          <t xml:space="preserve">‡ </t>
        </is>
      </c>
      <c r="Q34" s="7" t="inlineStr">
        <is>
          <t xml:space="preserve">‡ </t>
        </is>
      </c>
      <c r="R34" s="7" t="inlineStr">
        <is>
          <t xml:space="preserve">‡ </t>
        </is>
      </c>
      <c r="S34" s="7" t="inlineStr">
        <is>
          <t xml:space="preserve">‡ </t>
        </is>
      </c>
      <c r="T34" s="24" t="inlineStr">
        <is>
          <t xml:space="preserve">Σ  </t>
        </is>
      </c>
    </row>
    <row r="35">
      <c r="A35" s="19" t="n"/>
      <c r="B35" s="275" t="n"/>
      <c r="C35" s="275" t="n"/>
      <c r="D35" s="275" t="n"/>
      <c r="E35" s="275" t="n"/>
      <c r="F35" s="275" t="n"/>
      <c r="G35" s="275" t="n"/>
      <c r="H35" s="275" t="n"/>
      <c r="I35" s="275" t="n"/>
      <c r="J35" s="275" t="n"/>
      <c r="K35" s="275" t="n"/>
      <c r="L35" s="275" t="n"/>
      <c r="M35" s="275" t="n"/>
      <c r="N35" s="275" t="n"/>
      <c r="O35" s="275" t="n"/>
      <c r="P35" s="275" t="n"/>
      <c r="Q35" s="275" t="n"/>
      <c r="R35" s="275" t="n"/>
      <c r="S35" s="275" t="n"/>
      <c r="T35" s="275" t="n"/>
      <c r="U35" s="275" t="n"/>
    </row>
    <row r="36">
      <c r="A36" s="18" t="inlineStr">
        <is>
          <t xml:space="preserve">Conciliación de Retenciones en la Fuente del Impuesto a la Renta declaradas vs. Libros </t>
        </is>
      </c>
      <c r="B36" s="275" t="n"/>
      <c r="C36" s="275" t="n"/>
      <c r="D36" s="275" t="n"/>
      <c r="E36" s="275" t="n"/>
      <c r="F36" s="275" t="n"/>
      <c r="G36" s="275" t="n"/>
      <c r="H36" s="553" t="n"/>
      <c r="I36" s="275" t="n"/>
      <c r="J36" s="275" t="n"/>
      <c r="K36" s="275" t="n"/>
      <c r="L36" s="275" t="n"/>
      <c r="M36" s="275" t="n"/>
      <c r="N36" s="275" t="n"/>
      <c r="O36" s="275" t="n"/>
      <c r="P36" s="275" t="n"/>
      <c r="Q36" s="22" t="n"/>
      <c r="R36" s="22" t="n"/>
      <c r="S36" s="22" t="n"/>
      <c r="T36" s="22" t="n"/>
      <c r="U36" s="22" t="n"/>
    </row>
    <row r="37">
      <c r="A37" s="18" t="n"/>
      <c r="B37" s="275" t="n"/>
      <c r="C37" s="275" t="n"/>
      <c r="D37" s="275" t="n"/>
      <c r="E37" s="275" t="n"/>
      <c r="F37" s="275" t="n"/>
      <c r="G37" s="275" t="n"/>
      <c r="H37" s="553" t="n"/>
      <c r="I37" s="275" t="n"/>
      <c r="J37" s="275" t="n"/>
      <c r="K37" s="275" t="n"/>
      <c r="L37" s="275" t="n"/>
      <c r="M37" s="275" t="n"/>
      <c r="N37" s="275" t="n"/>
      <c r="O37" s="275" t="n"/>
      <c r="P37" s="275" t="n"/>
      <c r="Q37" s="22" t="n"/>
      <c r="R37" s="22" t="n"/>
      <c r="S37" s="22" t="n"/>
      <c r="T37" s="22" t="n"/>
      <c r="U37" s="22" t="n"/>
    </row>
    <row r="38" ht="11.25" customHeight="1">
      <c r="A38" s="472" t="inlineStr">
        <is>
          <t>Descripción</t>
        </is>
      </c>
      <c r="B38" s="555" t="n"/>
      <c r="C38" s="555" t="n"/>
      <c r="D38" s="555" t="n"/>
      <c r="E38" s="555" t="n"/>
      <c r="F38" s="555" t="n"/>
      <c r="G38" s="555" t="n"/>
      <c r="H38" s="555" t="n"/>
      <c r="I38" s="556" t="n"/>
      <c r="J38" s="469" t="inlineStr">
        <is>
          <t>Valores según los libros contables del contribuyente</t>
        </is>
      </c>
      <c r="K38" s="557" t="n"/>
      <c r="L38" s="557" t="n"/>
      <c r="M38" s="557" t="n"/>
      <c r="N38" s="557" t="n"/>
      <c r="O38" s="557" t="n"/>
      <c r="P38" s="557" t="n"/>
      <c r="Q38" s="557" t="n"/>
      <c r="R38" s="557" t="n"/>
      <c r="S38" s="557" t="n"/>
      <c r="T38" s="557" t="n"/>
      <c r="U38" s="557" t="n"/>
      <c r="V38" s="558" t="n"/>
    </row>
    <row r="39" ht="25.5" customHeight="1">
      <c r="A39" s="559" t="n"/>
      <c r="I39" s="560" t="n"/>
      <c r="J39" s="472" t="inlineStr">
        <is>
          <t>Enero</t>
        </is>
      </c>
      <c r="K39" s="472" t="inlineStr">
        <is>
          <t>Febrero</t>
        </is>
      </c>
      <c r="L39" s="472" t="inlineStr">
        <is>
          <t>Marzo</t>
        </is>
      </c>
      <c r="M39" s="472" t="inlineStr">
        <is>
          <t>Abril</t>
        </is>
      </c>
      <c r="N39" s="472" t="inlineStr">
        <is>
          <t>Mayo</t>
        </is>
      </c>
      <c r="O39" s="472" t="inlineStr">
        <is>
          <t>Junio</t>
        </is>
      </c>
      <c r="P39" s="472" t="inlineStr">
        <is>
          <t>Julio</t>
        </is>
      </c>
      <c r="Q39" s="472" t="inlineStr">
        <is>
          <t>Agosto</t>
        </is>
      </c>
      <c r="R39" s="472" t="inlineStr">
        <is>
          <t>Septiembre</t>
        </is>
      </c>
      <c r="S39" s="472" t="inlineStr">
        <is>
          <t>Octubre</t>
        </is>
      </c>
      <c r="T39" s="472" t="inlineStr">
        <is>
          <t>Noviembre</t>
        </is>
      </c>
      <c r="U39" s="472" t="inlineStr">
        <is>
          <t>Diciembre</t>
        </is>
      </c>
      <c r="V39" s="472" t="inlineStr">
        <is>
          <t>Total</t>
        </is>
      </c>
    </row>
    <row r="40" ht="11.25" customHeight="1">
      <c r="A40" s="561" t="n"/>
      <c r="B40" s="562" t="n"/>
      <c r="C40" s="562" t="n"/>
      <c r="D40" s="562" t="n"/>
      <c r="E40" s="562" t="n"/>
      <c r="F40" s="562" t="n"/>
      <c r="G40" s="562" t="n"/>
      <c r="H40" s="562" t="n"/>
      <c r="I40" s="563" t="n"/>
      <c r="J40" s="472" t="inlineStr">
        <is>
          <t>{1}</t>
        </is>
      </c>
      <c r="K40" s="472" t="inlineStr">
        <is>
          <t>{2}</t>
        </is>
      </c>
      <c r="L40" s="472" t="inlineStr">
        <is>
          <t>{3}</t>
        </is>
      </c>
      <c r="M40" s="472" t="inlineStr">
        <is>
          <t>{4}</t>
        </is>
      </c>
      <c r="N40" s="472" t="inlineStr">
        <is>
          <t>{5}</t>
        </is>
      </c>
      <c r="O40" s="472" t="inlineStr">
        <is>
          <t>{6}</t>
        </is>
      </c>
      <c r="P40" s="472" t="inlineStr">
        <is>
          <t>{7}</t>
        </is>
      </c>
      <c r="Q40" s="472" t="inlineStr">
        <is>
          <t>{8}</t>
        </is>
      </c>
      <c r="R40" s="472" t="inlineStr">
        <is>
          <t>{9}</t>
        </is>
      </c>
      <c r="S40" s="472" t="inlineStr">
        <is>
          <t>{10}</t>
        </is>
      </c>
      <c r="T40" s="472" t="inlineStr">
        <is>
          <t>{11}</t>
        </is>
      </c>
      <c r="U40" s="472" t="inlineStr">
        <is>
          <t>{12}</t>
        </is>
      </c>
      <c r="V40" s="472" t="inlineStr">
        <is>
          <t>{12}</t>
        </is>
      </c>
    </row>
    <row r="41" ht="11.25" customHeight="1">
      <c r="A41" s="386" t="inlineStr">
        <is>
          <t>2.01.10.03.01</t>
        </is>
      </c>
      <c r="B41" s="281" t="inlineStr">
        <is>
          <t>Retención Impuestos 1%</t>
        </is>
      </c>
      <c r="C41" s="281" t="n"/>
      <c r="D41" s="281" t="n"/>
      <c r="E41" s="281" t="n"/>
      <c r="F41" s="281" t="n"/>
      <c r="G41" s="281" t="n"/>
      <c r="H41" s="281" t="n"/>
      <c r="I41" s="281" t="n"/>
      <c r="J41" s="15" t="n"/>
      <c r="K41" s="15" t="n"/>
      <c r="L41" s="15" t="n"/>
      <c r="M41" s="15" t="n"/>
      <c r="N41" s="15" t="n"/>
      <c r="O41" s="15" t="n"/>
      <c r="P41" s="15" t="n"/>
      <c r="Q41" s="15" t="n"/>
      <c r="R41" s="15" t="n"/>
      <c r="S41" s="15" t="n">
        <v>0</v>
      </c>
      <c r="T41" s="15" t="n"/>
      <c r="U41" s="15" t="n"/>
      <c r="V41" s="283">
        <f>SUM(J41:U41)</f>
        <v/>
      </c>
      <c r="IZ41" s="15">
        <f>+J41*-1</f>
        <v/>
      </c>
      <c r="JA41" s="15">
        <f>+K41*-1</f>
        <v/>
      </c>
      <c r="JB41" s="15">
        <f>+L41*-1</f>
        <v/>
      </c>
      <c r="JC41" s="15">
        <f>+M41*-1</f>
        <v/>
      </c>
      <c r="JD41" s="15">
        <f>+N41*-1</f>
        <v/>
      </c>
      <c r="JE41" s="15">
        <f>+O41*-1</f>
        <v/>
      </c>
      <c r="JF41" s="15">
        <f>+P41*-1</f>
        <v/>
      </c>
      <c r="JG41" s="15">
        <f>+Q41*-1</f>
        <v/>
      </c>
      <c r="JH41" s="15">
        <f>+R41*-1</f>
        <v/>
      </c>
      <c r="JI41" s="15">
        <f>+S41*-1</f>
        <v/>
      </c>
      <c r="JJ41" s="15">
        <f>+T41*-1</f>
        <v/>
      </c>
      <c r="JK41" s="15">
        <f>+U41*-1</f>
        <v/>
      </c>
    </row>
    <row r="42" ht="11.25" customHeight="1">
      <c r="A42" s="281" t="inlineStr">
        <is>
          <t>2.01.10.03.02</t>
        </is>
      </c>
      <c r="B42" s="281" t="inlineStr">
        <is>
          <t>Retención Impuestos 2%</t>
        </is>
      </c>
      <c r="C42" s="281" t="n"/>
      <c r="D42" s="281" t="n"/>
      <c r="E42" s="281" t="n"/>
      <c r="F42" s="281" t="n"/>
      <c r="G42" s="281" t="n"/>
      <c r="H42" s="281" t="n"/>
      <c r="I42" s="281" t="n"/>
      <c r="J42" s="15" t="n"/>
      <c r="K42" s="15" t="n"/>
      <c r="L42" s="15" t="n"/>
      <c r="M42" s="15" t="n"/>
      <c r="N42" s="15" t="n"/>
      <c r="O42" s="15" t="n"/>
      <c r="P42" s="15" t="n"/>
      <c r="Q42" s="15" t="n"/>
      <c r="R42" s="15" t="n"/>
      <c r="S42" s="15" t="n"/>
      <c r="T42" s="15" t="n"/>
      <c r="U42" s="15" t="n"/>
      <c r="V42" s="283">
        <f>SUM(J42:U42)</f>
        <v/>
      </c>
      <c r="IZ42" s="15">
        <f>+J42*-1</f>
        <v/>
      </c>
      <c r="JA42" s="15">
        <f>+K42*-1</f>
        <v/>
      </c>
      <c r="JB42" s="15">
        <f>+L42*-1</f>
        <v/>
      </c>
      <c r="JC42" s="15">
        <f>+M42*-1</f>
        <v/>
      </c>
      <c r="JD42" s="15">
        <f>+N42*-1</f>
        <v/>
      </c>
      <c r="JE42" s="15">
        <f>+O42*-1</f>
        <v/>
      </c>
      <c r="JF42" s="15">
        <f>+P42*-1</f>
        <v/>
      </c>
      <c r="JG42" s="15">
        <f>+Q42*-1</f>
        <v/>
      </c>
      <c r="JH42" s="15">
        <f>+R42*-1</f>
        <v/>
      </c>
      <c r="JI42" s="15">
        <f>+S42*-1</f>
        <v/>
      </c>
      <c r="JJ42" s="15">
        <f>+T42*-1</f>
        <v/>
      </c>
      <c r="JK42" s="15">
        <f>+U42*-1</f>
        <v/>
      </c>
    </row>
    <row r="43" ht="11.25" customHeight="1">
      <c r="A43" s="281" t="inlineStr">
        <is>
          <t>2.01.10.03.03</t>
        </is>
      </c>
      <c r="B43" s="281" t="inlineStr">
        <is>
          <t>Retención Impuestos 10%</t>
        </is>
      </c>
      <c r="C43" s="281" t="n"/>
      <c r="D43" s="281" t="n"/>
      <c r="E43" s="281" t="n"/>
      <c r="F43" s="281" t="n"/>
      <c r="G43" s="281" t="n"/>
      <c r="H43" s="281" t="n"/>
      <c r="I43" s="281" t="n"/>
      <c r="J43" s="15" t="n"/>
      <c r="K43" s="15" t="n"/>
      <c r="L43" s="15" t="n"/>
      <c r="M43" s="15" t="n"/>
      <c r="N43" s="15" t="n"/>
      <c r="O43" s="15" t="n"/>
      <c r="P43" s="15" t="n"/>
      <c r="Q43" s="15" t="n"/>
      <c r="R43" s="15" t="n"/>
      <c r="S43" s="15" t="n"/>
      <c r="T43" s="15" t="n"/>
      <c r="U43" s="15" t="n"/>
      <c r="V43" s="283">
        <f>SUM(J43:U43)</f>
        <v/>
      </c>
      <c r="IZ43" s="15">
        <f>+J43*-1</f>
        <v/>
      </c>
      <c r="JA43" s="15">
        <f>+K43*-1</f>
        <v/>
      </c>
      <c r="JB43" s="15">
        <f>+L43*-1</f>
        <v/>
      </c>
      <c r="JC43" s="15">
        <f>+M43*-1</f>
        <v/>
      </c>
      <c r="JD43" s="15">
        <f>+N43*-1</f>
        <v/>
      </c>
      <c r="JE43" s="15">
        <f>+O43*-1</f>
        <v/>
      </c>
      <c r="JF43" s="15">
        <f>+P43*-1</f>
        <v/>
      </c>
      <c r="JG43" s="15">
        <f>+Q43*-1</f>
        <v/>
      </c>
      <c r="JH43" s="15">
        <f>+R43*-1</f>
        <v/>
      </c>
      <c r="JI43" s="15">
        <f>+S43*-1</f>
        <v/>
      </c>
      <c r="JJ43" s="15">
        <f>+T43*-1</f>
        <v/>
      </c>
      <c r="JK43" s="15">
        <f>+U43*-1</f>
        <v/>
      </c>
    </row>
    <row r="44" ht="11.25" customHeight="1">
      <c r="A44" s="281" t="inlineStr">
        <is>
          <t>2.01.10.03.04</t>
        </is>
      </c>
      <c r="B44" s="281" t="inlineStr">
        <is>
          <t>Retencion Impuestos 1.75%</t>
        </is>
      </c>
      <c r="C44" s="281" t="n"/>
      <c r="D44" s="281" t="n"/>
      <c r="E44" s="281" t="n"/>
      <c r="F44" s="281" t="n"/>
      <c r="G44" s="281" t="n"/>
      <c r="H44" s="281" t="n"/>
      <c r="I44" s="281" t="n"/>
      <c r="J44" s="15" t="n"/>
      <c r="K44" s="15" t="n"/>
      <c r="L44" s="15" t="n"/>
      <c r="M44" s="15" t="n"/>
      <c r="N44" s="15" t="n"/>
      <c r="O44" s="15" t="n"/>
      <c r="P44" s="15" t="n"/>
      <c r="Q44" s="15" t="n"/>
      <c r="R44" s="15" t="n"/>
      <c r="S44" s="15" t="n"/>
      <c r="T44" s="15" t="n"/>
      <c r="U44" s="15" t="n"/>
      <c r="V44" s="283">
        <f>SUM(J44:U44)</f>
        <v/>
      </c>
      <c r="IZ44" s="15">
        <f>+J44*-1</f>
        <v/>
      </c>
      <c r="JA44" s="15">
        <f>+K44*-1</f>
        <v/>
      </c>
      <c r="JB44" s="15">
        <f>+L44*-1</f>
        <v/>
      </c>
      <c r="JC44" s="15">
        <f>+M44*-1</f>
        <v/>
      </c>
      <c r="JD44" s="15">
        <f>+N44*-1</f>
        <v/>
      </c>
      <c r="JE44" s="15">
        <f>+O44*-1</f>
        <v/>
      </c>
      <c r="JF44" s="15">
        <f>+P44*-1</f>
        <v/>
      </c>
      <c r="JG44" s="15">
        <f>+Q44*-1</f>
        <v/>
      </c>
      <c r="JH44" s="15">
        <f>+R44*-1</f>
        <v/>
      </c>
      <c r="JI44" s="15">
        <f>+S44*-1</f>
        <v/>
      </c>
      <c r="JJ44" s="15">
        <f>+T44*-1</f>
        <v/>
      </c>
      <c r="JK44" s="15">
        <f>+U44*-1</f>
        <v/>
      </c>
    </row>
    <row r="45" ht="11.25" customHeight="1">
      <c r="A45" s="281" t="inlineStr">
        <is>
          <t>2.01.10.03.05</t>
        </is>
      </c>
      <c r="B45" s="281" t="inlineStr">
        <is>
          <t>Retencion Impuestos 2.75%</t>
        </is>
      </c>
      <c r="C45" s="281" t="n"/>
      <c r="D45" s="281" t="n"/>
      <c r="E45" s="281" t="n"/>
      <c r="F45" s="281" t="n"/>
      <c r="G45" s="281" t="n"/>
      <c r="H45" s="281" t="n"/>
      <c r="I45" s="281" t="n"/>
      <c r="J45" s="15" t="n"/>
      <c r="K45" s="15" t="n"/>
      <c r="L45" s="15" t="n"/>
      <c r="M45" s="15" t="n"/>
      <c r="N45" s="15" t="n"/>
      <c r="O45" s="15" t="n"/>
      <c r="P45" s="15" t="n"/>
      <c r="Q45" s="15" t="n"/>
      <c r="R45" s="15" t="n"/>
      <c r="S45" s="15" t="n"/>
      <c r="T45" s="15" t="n"/>
      <c r="U45" s="15" t="n"/>
      <c r="V45" s="283">
        <f>SUM(J45:U45)</f>
        <v/>
      </c>
      <c r="IZ45" s="15">
        <f>+J45*-1</f>
        <v/>
      </c>
      <c r="JA45" s="15">
        <f>+K45*-1</f>
        <v/>
      </c>
      <c r="JB45" s="15">
        <f>+L45*-1</f>
        <v/>
      </c>
      <c r="JC45" s="15">
        <f>+M45*-1</f>
        <v/>
      </c>
      <c r="JD45" s="15">
        <f>+N45*-1</f>
        <v/>
      </c>
      <c r="JE45" s="15">
        <f>+O45*-1</f>
        <v/>
      </c>
      <c r="JF45" s="15">
        <f>+P45*-1</f>
        <v/>
      </c>
      <c r="JG45" s="15">
        <f>+Q45*-1</f>
        <v/>
      </c>
      <c r="JH45" s="15">
        <f>+R45*-1</f>
        <v/>
      </c>
      <c r="JI45" s="15">
        <f>+S45*-1</f>
        <v/>
      </c>
      <c r="JJ45" s="15">
        <f>+T45*-1</f>
        <v/>
      </c>
      <c r="JK45" s="15">
        <f>+U45*-1</f>
        <v/>
      </c>
    </row>
    <row r="46" ht="11.25" customHeight="1">
      <c r="A46" s="281" t="inlineStr">
        <is>
          <t>2.01.10.03.07</t>
        </is>
      </c>
      <c r="B46" s="281" t="inlineStr">
        <is>
          <t>Retencion impuestos 1% Rimpe</t>
        </is>
      </c>
      <c r="C46" s="281" t="n"/>
      <c r="D46" s="281" t="n"/>
      <c r="E46" s="281" t="n"/>
      <c r="F46" s="281" t="n"/>
      <c r="G46" s="281" t="n"/>
      <c r="H46" s="281" t="n"/>
      <c r="I46" s="281" t="n"/>
      <c r="J46" s="15" t="n"/>
      <c r="K46" s="15" t="n"/>
      <c r="L46" s="15" t="n"/>
      <c r="M46" s="15" t="n"/>
      <c r="N46" s="15" t="n"/>
      <c r="O46" s="15" t="n"/>
      <c r="P46" s="15" t="n"/>
      <c r="Q46" s="15" t="n"/>
      <c r="R46" s="15" t="n"/>
      <c r="S46" s="15" t="n"/>
      <c r="T46" s="15" t="n"/>
      <c r="U46" s="15" t="n"/>
      <c r="V46" s="283">
        <f>SUM(J46:U46)</f>
        <v/>
      </c>
      <c r="IZ46" s="15">
        <f>+J46*-1</f>
        <v/>
      </c>
      <c r="JA46" s="15">
        <f>+K46*-1</f>
        <v/>
      </c>
      <c r="JB46" s="15">
        <f>+L46*-1</f>
        <v/>
      </c>
      <c r="JC46" s="15">
        <f>+M46*-1</f>
        <v/>
      </c>
      <c r="JD46" s="15">
        <f>+N46*-1</f>
        <v/>
      </c>
      <c r="JE46" s="15">
        <f>+O46*-1</f>
        <v/>
      </c>
      <c r="JF46" s="15">
        <f>+P46*-1</f>
        <v/>
      </c>
      <c r="JG46" s="15">
        <f>+Q46*-1</f>
        <v/>
      </c>
      <c r="JH46" s="15">
        <f>+R46*-1</f>
        <v/>
      </c>
      <c r="JI46" s="15">
        <f>+S46*-1</f>
        <v/>
      </c>
      <c r="JJ46" s="15">
        <f>+T46*-1</f>
        <v/>
      </c>
      <c r="JK46" s="15">
        <f>+U46*-1</f>
        <v/>
      </c>
    </row>
    <row r="47" ht="11.25" customHeight="1">
      <c r="A47" s="281" t="inlineStr">
        <is>
          <t>2.01.10.03.08</t>
        </is>
      </c>
      <c r="B47" s="281" t="inlineStr">
        <is>
          <t>Retencion Impuestos 3%</t>
        </is>
      </c>
      <c r="C47" s="281" t="n"/>
      <c r="D47" s="281" t="n"/>
      <c r="E47" s="281" t="n"/>
      <c r="F47" s="281" t="n"/>
      <c r="G47" s="281" t="n"/>
      <c r="H47" s="281" t="n"/>
      <c r="I47" s="281" t="n"/>
      <c r="J47" s="15" t="n">
        <v>0</v>
      </c>
      <c r="K47" s="15" t="n"/>
      <c r="L47" s="15" t="n"/>
      <c r="M47" s="15" t="n"/>
      <c r="N47" s="15" t="n"/>
      <c r="O47" s="15" t="n">
        <v>0</v>
      </c>
      <c r="P47" s="15" t="n"/>
      <c r="Q47" s="15" t="n"/>
      <c r="R47" s="15" t="n">
        <v>0</v>
      </c>
      <c r="S47" s="15" t="n"/>
      <c r="T47" s="15" t="n">
        <v>0</v>
      </c>
      <c r="U47" s="15" t="n">
        <v>0</v>
      </c>
      <c r="V47" s="283">
        <f>SUM(J47:U47)</f>
        <v/>
      </c>
      <c r="IZ47" s="15">
        <f>+J47*-1</f>
        <v/>
      </c>
      <c r="JA47" s="15">
        <f>+K47*-1</f>
        <v/>
      </c>
      <c r="JB47" s="15">
        <f>+L47*-1</f>
        <v/>
      </c>
      <c r="JC47" s="15">
        <f>+M47*-1</f>
        <v/>
      </c>
      <c r="JD47" s="15">
        <f>+N47*-1</f>
        <v/>
      </c>
      <c r="JE47" s="15">
        <f>+O47*-1</f>
        <v/>
      </c>
      <c r="JF47" s="15">
        <f>+P47*-1</f>
        <v/>
      </c>
      <c r="JG47" s="15">
        <f>+Q47*-1</f>
        <v/>
      </c>
      <c r="JH47" s="15">
        <f>+R47*-1</f>
        <v/>
      </c>
      <c r="JI47" s="15">
        <f>+S47*-1</f>
        <v/>
      </c>
      <c r="JJ47" s="15">
        <f>+T47*-1</f>
        <v/>
      </c>
      <c r="JK47" s="15">
        <f>+U47*-1</f>
        <v/>
      </c>
    </row>
    <row r="48" hidden="1" ht="11.25" customHeight="1">
      <c r="A48" s="281" t="n"/>
      <c r="B48" s="281" t="n"/>
      <c r="C48" s="281" t="n"/>
      <c r="D48" s="281" t="n"/>
      <c r="E48" s="281" t="n"/>
      <c r="F48" s="281" t="n"/>
      <c r="G48" s="281" t="n"/>
      <c r="H48" s="281" t="n"/>
      <c r="I48" s="281" t="n"/>
      <c r="J48" s="282" t="n"/>
      <c r="K48" s="282" t="n"/>
      <c r="L48" s="282" t="n"/>
      <c r="M48" s="282" t="n"/>
      <c r="N48" s="282" t="n"/>
      <c r="O48" s="282" t="n"/>
      <c r="P48" s="282" t="n"/>
      <c r="Q48" s="282" t="n"/>
      <c r="R48" s="282" t="n">
        <v>0</v>
      </c>
      <c r="S48" s="282" t="n">
        <v>0</v>
      </c>
      <c r="T48" s="282" t="n">
        <v>0</v>
      </c>
      <c r="U48" s="282" t="n">
        <v>0</v>
      </c>
      <c r="V48" s="283">
        <f>SUM(J48:U48)</f>
        <v/>
      </c>
    </row>
    <row r="49" hidden="1" ht="11.25" customHeight="1">
      <c r="A49" s="281" t="n"/>
      <c r="B49" s="281" t="n"/>
      <c r="C49" s="281" t="n"/>
      <c r="D49" s="281" t="n"/>
      <c r="E49" s="281" t="n"/>
      <c r="F49" s="281" t="n"/>
      <c r="G49" s="281" t="n"/>
      <c r="H49" s="281" t="n"/>
      <c r="I49" s="281" t="n"/>
      <c r="J49" s="282" t="n"/>
      <c r="K49" s="282" t="n"/>
      <c r="L49" s="282" t="n"/>
      <c r="M49" s="282" t="n"/>
      <c r="N49" s="282" t="n"/>
      <c r="O49" s="282" t="n"/>
      <c r="P49" s="282" t="n"/>
      <c r="Q49" s="282" t="n"/>
      <c r="R49" s="282" t="n">
        <v>0</v>
      </c>
      <c r="S49" s="282" t="n">
        <v>0</v>
      </c>
      <c r="T49" s="282" t="n">
        <v>0</v>
      </c>
      <c r="U49" s="282" t="n">
        <v>0</v>
      </c>
      <c r="V49" s="283">
        <f>SUM(J49:U49)</f>
        <v/>
      </c>
    </row>
    <row r="50" hidden="1" ht="11.25" customHeight="1">
      <c r="A50" s="281" t="n"/>
      <c r="B50" s="281" t="n"/>
      <c r="C50" s="281" t="n"/>
      <c r="D50" s="281" t="n"/>
      <c r="E50" s="281" t="n"/>
      <c r="F50" s="281" t="n"/>
      <c r="G50" s="281" t="n"/>
      <c r="H50" s="281" t="n"/>
      <c r="I50" s="281" t="n"/>
      <c r="J50" s="282" t="n"/>
      <c r="K50" s="282" t="n"/>
      <c r="L50" s="284" t="n"/>
      <c r="M50" s="282" t="n"/>
      <c r="N50" s="282" t="n"/>
      <c r="O50" s="282" t="n"/>
      <c r="P50" s="282" t="n"/>
      <c r="Q50" s="284" t="n"/>
      <c r="R50" s="282" t="n">
        <v>0</v>
      </c>
      <c r="S50" s="282" t="n">
        <v>0</v>
      </c>
      <c r="T50" s="282" t="n">
        <v>0</v>
      </c>
      <c r="U50" s="282" t="n">
        <v>0</v>
      </c>
      <c r="V50" s="283">
        <f>SUM(J50:U50)</f>
        <v/>
      </c>
    </row>
    <row r="51" hidden="1" ht="11.25" customHeight="1">
      <c r="A51" s="281" t="n"/>
      <c r="B51" s="281" t="n"/>
      <c r="C51" s="281" t="n"/>
      <c r="D51" s="281" t="n"/>
      <c r="E51" s="281" t="n"/>
      <c r="F51" s="281" t="n"/>
      <c r="G51" s="281" t="n"/>
      <c r="H51" s="281" t="n"/>
      <c r="I51" s="281" t="n"/>
      <c r="J51" s="282" t="n"/>
      <c r="K51" s="282" t="n"/>
      <c r="L51" s="282" t="n"/>
      <c r="M51" s="282" t="n"/>
      <c r="N51" s="282" t="n"/>
      <c r="O51" s="284" t="n"/>
      <c r="P51" s="282" t="n"/>
      <c r="Q51" s="282" t="n"/>
      <c r="R51" s="282" t="n">
        <v>0</v>
      </c>
      <c r="S51" s="282" t="n">
        <v>0</v>
      </c>
      <c r="T51" s="282" t="n">
        <v>0</v>
      </c>
      <c r="U51" s="282" t="n">
        <v>0</v>
      </c>
      <c r="V51" s="283">
        <f>SUM(J51:U51)</f>
        <v/>
      </c>
    </row>
    <row r="52" hidden="1" ht="11.25" customHeight="1">
      <c r="A52" s="281" t="n"/>
      <c r="B52" s="281" t="n"/>
      <c r="C52" s="281" t="n"/>
      <c r="D52" s="281" t="n"/>
      <c r="E52" s="281" t="n"/>
      <c r="F52" s="281" t="n"/>
      <c r="G52" s="281" t="n"/>
      <c r="H52" s="281" t="n"/>
      <c r="I52" s="281" t="n"/>
      <c r="J52" s="282" t="n"/>
      <c r="K52" s="282" t="n"/>
      <c r="L52" s="284" t="n"/>
      <c r="M52" s="282" t="n"/>
      <c r="N52" s="282" t="n"/>
      <c r="O52" s="282" t="n"/>
      <c r="P52" s="284" t="n"/>
      <c r="Q52" s="282" t="n"/>
      <c r="R52" s="282" t="n">
        <v>0</v>
      </c>
      <c r="S52" s="282" t="n">
        <v>0</v>
      </c>
      <c r="T52" s="282" t="n">
        <v>0</v>
      </c>
      <c r="U52" s="282" t="n">
        <v>0</v>
      </c>
      <c r="V52" s="283">
        <f>SUM(J52:U52)</f>
        <v/>
      </c>
    </row>
    <row r="53" hidden="1" ht="11.25" customHeight="1">
      <c r="A53" s="281" t="n"/>
      <c r="B53" s="281" t="n"/>
      <c r="C53" s="281" t="n"/>
      <c r="D53" s="281" t="n"/>
      <c r="E53" s="281" t="n"/>
      <c r="F53" s="281" t="n"/>
      <c r="G53" s="281" t="n"/>
      <c r="H53" s="281" t="n"/>
      <c r="I53" s="281" t="n"/>
      <c r="J53" s="282" t="n"/>
      <c r="K53" s="282" t="n"/>
      <c r="L53" s="282" t="n"/>
      <c r="M53" s="282" t="n"/>
      <c r="N53" s="282" t="n"/>
      <c r="O53" s="284" t="n"/>
      <c r="P53" s="282" t="n"/>
      <c r="Q53" s="282" t="n"/>
      <c r="R53" s="282" t="n">
        <v>0</v>
      </c>
      <c r="S53" s="282" t="n">
        <v>0</v>
      </c>
      <c r="T53" s="282" t="n">
        <v>0</v>
      </c>
      <c r="U53" s="282" t="n">
        <v>0</v>
      </c>
      <c r="V53" s="283">
        <f>SUM(J53:U53)</f>
        <v/>
      </c>
    </row>
    <row r="54" ht="11.25" customHeight="1">
      <c r="A54" s="281" t="n"/>
      <c r="B54" s="281" t="inlineStr">
        <is>
          <t>Retenciones en Relacion de Dependen</t>
        </is>
      </c>
      <c r="C54" s="281" t="n"/>
      <c r="D54" s="281" t="n"/>
      <c r="E54" s="281" t="n"/>
      <c r="F54" s="281" t="n"/>
      <c r="G54" s="281" t="n"/>
      <c r="H54" s="281" t="n"/>
      <c r="I54" s="281" t="n"/>
      <c r="J54" s="282" t="n">
        <v>0</v>
      </c>
      <c r="K54" s="282" t="n">
        <v>0</v>
      </c>
      <c r="L54" s="282" t="n">
        <v>0</v>
      </c>
      <c r="M54" s="282" t="n">
        <v>0</v>
      </c>
      <c r="N54" s="282" t="n">
        <v>0</v>
      </c>
      <c r="O54" s="284" t="n">
        <v>0</v>
      </c>
      <c r="P54" s="282" t="n">
        <v>0</v>
      </c>
      <c r="Q54" s="282" t="n">
        <v>0</v>
      </c>
      <c r="R54" s="282" t="n">
        <v>0</v>
      </c>
      <c r="S54" s="282" t="n">
        <v>0</v>
      </c>
      <c r="T54" s="282" t="n">
        <v>0</v>
      </c>
      <c r="U54" s="282" t="n"/>
      <c r="V54" s="283">
        <f>SUM(J54:U54)</f>
        <v/>
      </c>
    </row>
    <row r="55">
      <c r="A55" s="470" t="inlineStr">
        <is>
          <t>Total de retenciones de impuesto a la renta según libros</t>
        </is>
      </c>
      <c r="B55" s="557" t="n"/>
      <c r="C55" s="557" t="n"/>
      <c r="D55" s="557" t="n"/>
      <c r="E55" s="557" t="n"/>
      <c r="F55" s="557" t="n"/>
      <c r="G55" s="557" t="n"/>
      <c r="H55" s="557" t="n"/>
      <c r="I55" s="558" t="n"/>
      <c r="J55" s="189">
        <f>+SUM(J41:J54)</f>
        <v/>
      </c>
      <c r="K55" s="189">
        <f>+SUM(K41:K54)</f>
        <v/>
      </c>
      <c r="L55" s="189">
        <f>+SUM(L41:L54)</f>
        <v/>
      </c>
      <c r="M55" s="189">
        <f>+SUM(M41:M54)</f>
        <v/>
      </c>
      <c r="N55" s="189">
        <f>+SUM(N41:N54)</f>
        <v/>
      </c>
      <c r="O55" s="189">
        <f>+SUM(O41:O54)</f>
        <v/>
      </c>
      <c r="P55" s="189">
        <f>+SUM(P41:P54)</f>
        <v/>
      </c>
      <c r="Q55" s="189">
        <f>+SUM(Q41:Q54)</f>
        <v/>
      </c>
      <c r="R55" s="189">
        <f>+SUM(R41:R54)</f>
        <v/>
      </c>
      <c r="S55" s="189">
        <f>+SUM(S41:S54)</f>
        <v/>
      </c>
      <c r="T55" s="189">
        <f>+SUM(T41:T54)</f>
        <v/>
      </c>
      <c r="U55" s="189">
        <f>+SUM(U41:U54)</f>
        <v/>
      </c>
      <c r="V55" s="189">
        <f>+SUM(V41:V54)</f>
        <v/>
      </c>
      <c r="W55" s="12" t="inlineStr">
        <is>
          <t>ü</t>
        </is>
      </c>
    </row>
    <row r="56">
      <c r="A56" s="470" t="inlineStr">
        <is>
          <t>Total de retenciones de impuesto a la renta según declaraciones (casillero No. 499de103) (b)</t>
        </is>
      </c>
      <c r="B56" s="557" t="n"/>
      <c r="C56" s="557" t="n"/>
      <c r="D56" s="557" t="n"/>
      <c r="E56" s="557" t="n"/>
      <c r="F56" s="557" t="n"/>
      <c r="G56" s="557" t="n"/>
      <c r="H56" s="557" t="n"/>
      <c r="I56" s="558" t="n"/>
      <c r="J56" s="189" t="n"/>
      <c r="K56" s="189" t="n"/>
      <c r="L56" s="189" t="n"/>
      <c r="M56" s="189" t="n"/>
      <c r="N56" s="189" t="n"/>
      <c r="O56" s="189" t="n"/>
      <c r="P56" s="189" t="n"/>
      <c r="Q56" s="189" t="n"/>
      <c r="R56" s="189" t="n"/>
      <c r="S56" s="189" t="n"/>
      <c r="T56" s="189" t="n"/>
      <c r="U56" s="189" t="n"/>
      <c r="V56" s="189">
        <f>SUM(J56:U56)</f>
        <v/>
      </c>
      <c r="W56" s="49" t="inlineStr">
        <is>
          <t>£</t>
        </is>
      </c>
    </row>
    <row r="57">
      <c r="A57" s="470" t="inlineStr">
        <is>
          <t>Diferencias (c)</t>
        </is>
      </c>
      <c r="B57" s="557" t="n"/>
      <c r="C57" s="557" t="n"/>
      <c r="D57" s="557" t="n"/>
      <c r="E57" s="557" t="n"/>
      <c r="F57" s="557" t="n"/>
      <c r="G57" s="557" t="n"/>
      <c r="H57" s="557" t="n"/>
      <c r="I57" s="558" t="n"/>
      <c r="J57" s="189">
        <f>+J56-J55</f>
        <v/>
      </c>
      <c r="K57" s="189">
        <f>+K56-K55</f>
        <v/>
      </c>
      <c r="L57" s="189">
        <f>+L56-L55</f>
        <v/>
      </c>
      <c r="M57" s="189">
        <f>+M56-M55</f>
        <v/>
      </c>
      <c r="N57" s="189">
        <f>+N56-N55</f>
        <v/>
      </c>
      <c r="O57" s="189">
        <f>+O56-O55</f>
        <v/>
      </c>
      <c r="P57" s="189">
        <f>+P56-P55</f>
        <v/>
      </c>
      <c r="Q57" s="189">
        <f>+Q56-Q55</f>
        <v/>
      </c>
      <c r="R57" s="189">
        <f>+R56-R55</f>
        <v/>
      </c>
      <c r="S57" s="189">
        <f>+S56-S55</f>
        <v/>
      </c>
      <c r="T57" s="189">
        <f>+T56-T55</f>
        <v/>
      </c>
      <c r="U57" s="189">
        <f>+U56-U55</f>
        <v/>
      </c>
      <c r="V57" s="189">
        <f>+V56-V55</f>
        <v/>
      </c>
      <c r="W57" s="4" t="inlineStr">
        <is>
          <t xml:space="preserve">‡ </t>
        </is>
      </c>
    </row>
    <row r="58">
      <c r="A58" s="275" t="n"/>
      <c r="B58" s="275" t="n"/>
      <c r="C58" s="275" t="n"/>
      <c r="D58" s="275" t="n"/>
      <c r="E58" s="275" t="n"/>
      <c r="F58" s="275" t="n"/>
      <c r="G58" s="275" t="n"/>
      <c r="H58" s="275" t="n"/>
      <c r="I58" s="275" t="n"/>
      <c r="J58" s="24" t="n"/>
      <c r="K58" s="24" t="n"/>
      <c r="L58" s="24" t="n"/>
      <c r="M58" s="285" t="n"/>
      <c r="N58" s="24" t="n"/>
      <c r="O58" s="24" t="n"/>
      <c r="P58" s="275" t="n"/>
      <c r="Q58" s="275" t="n"/>
      <c r="R58" s="275" t="n"/>
      <c r="S58" s="275" t="n"/>
      <c r="T58" s="275" t="n"/>
      <c r="U58" s="275" t="n"/>
    </row>
    <row r="59">
      <c r="A59" s="275" t="n"/>
      <c r="B59" s="275" t="n"/>
      <c r="C59" s="275" t="n"/>
      <c r="D59" s="275" t="n"/>
      <c r="E59" s="275" t="n"/>
      <c r="F59" s="275" t="n"/>
      <c r="G59" s="275" t="n"/>
      <c r="H59" s="275" t="n"/>
      <c r="I59" s="275" t="n"/>
      <c r="J59" s="25" t="n"/>
      <c r="K59" s="25" t="n"/>
      <c r="L59" s="25" t="n"/>
      <c r="M59" s="25" t="n"/>
      <c r="N59" s="25" t="n"/>
      <c r="O59" s="25" t="n"/>
      <c r="P59" s="25" t="n"/>
      <c r="Q59" s="25" t="n"/>
      <c r="R59" s="275" t="n"/>
      <c r="S59" s="275" t="n"/>
      <c r="T59" s="275" t="n"/>
      <c r="U59" s="275" t="n"/>
    </row>
    <row r="60">
      <c r="A60" s="275" t="n"/>
      <c r="B60" s="275" t="n"/>
      <c r="C60" s="275" t="n"/>
      <c r="D60" s="275" t="n"/>
      <c r="E60" s="275" t="n"/>
      <c r="F60" s="275" t="n"/>
      <c r="G60" s="275" t="n"/>
      <c r="H60" s="275" t="n"/>
      <c r="I60" s="275" t="n"/>
      <c r="J60" s="286" t="n"/>
      <c r="K60" s="286" t="n"/>
      <c r="L60" s="286" t="n"/>
      <c r="M60" s="286" t="n"/>
      <c r="N60" s="286" t="n"/>
      <c r="O60" s="286" t="n"/>
      <c r="P60" s="286" t="n"/>
      <c r="Q60" s="286" t="n"/>
      <c r="R60" s="275" t="n"/>
      <c r="S60" s="275" t="n"/>
      <c r="T60" s="275" t="n"/>
      <c r="U60" s="275" t="n"/>
    </row>
    <row r="61">
      <c r="A61" s="194" t="n"/>
      <c r="O61" s="25" t="n"/>
      <c r="P61" s="25" t="n"/>
      <c r="Q61" s="25" t="n"/>
      <c r="R61" s="25" t="n"/>
      <c r="S61" s="25" t="n"/>
      <c r="T61" s="25" t="n"/>
    </row>
    <row r="62">
      <c r="A62" s="5" t="n"/>
      <c r="B62" s="2" t="inlineStr">
        <is>
          <t>Marcas:</t>
        </is>
      </c>
      <c r="R62" s="25" t="n"/>
    </row>
    <row r="63">
      <c r="A63" s="10" t="inlineStr">
        <is>
          <t>ü</t>
        </is>
      </c>
      <c r="B63" s="234" t="inlineStr">
        <is>
          <t>Cotejado según libros</t>
        </is>
      </c>
      <c r="R63" s="25" t="n"/>
    </row>
    <row r="64">
      <c r="A64" s="11" t="inlineStr">
        <is>
          <t>£</t>
        </is>
      </c>
      <c r="B64" s="234" t="inlineStr">
        <is>
          <t>Cotejado según formularios 104  y 103</t>
        </is>
      </c>
      <c r="C64" s="222" t="n"/>
      <c r="R64" s="25" t="n"/>
    </row>
    <row r="65">
      <c r="A65" s="467" t="inlineStr">
        <is>
          <t xml:space="preserve">‡ </t>
        </is>
      </c>
      <c r="B65" s="15" t="inlineStr">
        <is>
          <t>Diferencia determinada.</t>
        </is>
      </c>
    </row>
    <row r="66">
      <c r="A66" s="16" t="inlineStr">
        <is>
          <t xml:space="preserve">Σ  </t>
        </is>
      </c>
      <c r="B66" s="194" t="inlineStr">
        <is>
          <t>Sumado, totalizado</t>
        </is>
      </c>
    </row>
    <row r="67">
      <c r="A67" s="194" t="n"/>
      <c r="B67" s="28" t="n"/>
    </row>
    <row r="68">
      <c r="A68" s="194" t="n"/>
      <c r="B68" s="2" t="inlineStr">
        <is>
          <t>Notas:</t>
        </is>
      </c>
    </row>
    <row r="69">
      <c r="A69" s="16" t="inlineStr">
        <is>
          <t>(i)</t>
        </is>
      </c>
      <c r="B69" s="194" t="inlineStr">
        <is>
          <t>Diferencia en declaración de relacion de dependencia.</t>
        </is>
      </c>
    </row>
    <row r="70">
      <c r="A70" s="194" t="n"/>
      <c r="B70" s="8" t="n"/>
    </row>
    <row r="71">
      <c r="A71" s="194" t="n"/>
      <c r="B71" s="8" t="n"/>
    </row>
    <row r="75">
      <c r="A75" s="131" t="inlineStr">
        <is>
          <t>Elaborado por:</t>
        </is>
      </c>
      <c r="B75" s="387" t="n"/>
    </row>
    <row r="76">
      <c r="A76" s="131" t="inlineStr">
        <is>
          <t>Revisado por:</t>
        </is>
      </c>
      <c r="B76" s="387" t="n"/>
    </row>
    <row r="77">
      <c r="A77" s="131" t="inlineStr">
        <is>
          <t>Fecha:</t>
        </is>
      </c>
      <c r="B77" s="210" t="n"/>
    </row>
  </sheetData>
  <mergeCells count="21">
    <mergeCell ref="A56:I56"/>
    <mergeCell ref="A55:I55"/>
    <mergeCell ref="A6:B6"/>
    <mergeCell ref="H18:N18"/>
    <mergeCell ref="D6:E6"/>
    <mergeCell ref="A57:I57"/>
    <mergeCell ref="A7:B7"/>
    <mergeCell ref="A5:C5"/>
    <mergeCell ref="A4:C4"/>
    <mergeCell ref="J38:V38"/>
    <mergeCell ref="A3:E3"/>
    <mergeCell ref="A38:I40"/>
    <mergeCell ref="D7:E7"/>
    <mergeCell ref="D4:E4"/>
    <mergeCell ref="A1:E2"/>
    <mergeCell ref="A8:B8"/>
    <mergeCell ref="O18:T18"/>
    <mergeCell ref="D5:E5"/>
    <mergeCell ref="B18:G18"/>
    <mergeCell ref="A9:B9"/>
    <mergeCell ref="A18:A20"/>
  </mergeCells>
  <pageMargins left="0.7" right="0.7" top="0.75" bottom="0.75" header="0.3" footer="0.3"/>
  <pageSetup orientation="portrait" scale="32"/>
</worksheet>
</file>

<file path=xl/worksheets/sheet9.xml><?xml version="1.0" encoding="utf-8"?>
<worksheet xmlns="http://schemas.openxmlformats.org/spreadsheetml/2006/main">
  <sheetPr>
    <outlinePr summaryBelow="1" summaryRight="1"/>
    <pageSetUpPr/>
  </sheetPr>
  <dimension ref="A1:O113"/>
  <sheetViews>
    <sheetView showGridLines="0" tabSelected="1" topLeftCell="A12" zoomScale="80" zoomScaleNormal="80" workbookViewId="0">
      <selection activeCell="D25" sqref="D25"/>
    </sheetView>
  </sheetViews>
  <sheetFormatPr baseColWidth="10" defaultColWidth="11.42578125" defaultRowHeight="12.75"/>
  <cols>
    <col width="36.28515625" customWidth="1" style="194" min="1" max="1"/>
    <col width="19.28515625" customWidth="1" style="194" min="2" max="2"/>
    <col width="16.28515625" customWidth="1" style="194" min="3" max="3"/>
    <col width="15.7109375" customWidth="1" style="194" min="4" max="4"/>
    <col width="15.42578125" customWidth="1" style="194" min="5" max="5"/>
    <col width="14.85546875" customWidth="1" style="194" min="6" max="6"/>
    <col width="12.28515625" customWidth="1" style="194" min="7" max="8"/>
    <col width="12.42578125" customWidth="1" style="194" min="9" max="9"/>
    <col width="12.28515625" customWidth="1" style="194" min="10" max="10"/>
    <col width="12.7109375" customWidth="1" style="194" min="11" max="11"/>
    <col width="13" customWidth="1" style="194" min="12" max="12"/>
    <col width="13.7109375" customWidth="1" style="194" min="13" max="13"/>
    <col width="13.42578125" customWidth="1" style="194" min="14" max="14"/>
    <col width="11.42578125" customWidth="1" style="194" min="15" max="16384"/>
  </cols>
  <sheetData>
    <row r="1" hidden="1">
      <c r="A1" s="102" t="inlineStr">
        <is>
          <t xml:space="preserve">Ventas </t>
        </is>
      </c>
      <c r="B1" s="102" t="inlineStr">
        <is>
          <t>Enero</t>
        </is>
      </c>
      <c r="C1" s="102" t="inlineStr">
        <is>
          <t>Febrero</t>
        </is>
      </c>
      <c r="D1" s="102" t="inlineStr">
        <is>
          <t>Marzo</t>
        </is>
      </c>
      <c r="E1" s="102" t="inlineStr">
        <is>
          <t>Abril</t>
        </is>
      </c>
      <c r="F1" s="102" t="inlineStr">
        <is>
          <t>Mayo</t>
        </is>
      </c>
      <c r="G1" s="102" t="inlineStr">
        <is>
          <t>Junio</t>
        </is>
      </c>
      <c r="H1" s="102" t="inlineStr">
        <is>
          <t>Julio</t>
        </is>
      </c>
      <c r="I1" s="102" t="inlineStr">
        <is>
          <t>Agosto</t>
        </is>
      </c>
      <c r="J1" s="102" t="inlineStr">
        <is>
          <t>Septiembre</t>
        </is>
      </c>
      <c r="K1" s="102" t="inlineStr">
        <is>
          <t>Octubre</t>
        </is>
      </c>
      <c r="L1" s="102" t="inlineStr">
        <is>
          <t>Noviembre</t>
        </is>
      </c>
      <c r="M1" s="102" t="inlineStr">
        <is>
          <t>Diciembre</t>
        </is>
      </c>
      <c r="N1" s="102" t="inlineStr">
        <is>
          <t>Total</t>
        </is>
      </c>
    </row>
    <row r="2" hidden="1">
      <c r="A2" s="103" t="inlineStr">
        <is>
          <t>Casillero 419 (F 104)</t>
        </is>
      </c>
      <c r="B2" s="104">
        <f>+'DM5 Ventas '!C43</f>
        <v/>
      </c>
      <c r="C2" s="104">
        <f>+'DM5 Ventas '!D43</f>
        <v/>
      </c>
      <c r="D2" s="104">
        <f>+'DM5 Ventas '!E43</f>
        <v/>
      </c>
      <c r="E2" s="104">
        <f>+'DM5 Ventas '!F43</f>
        <v/>
      </c>
      <c r="F2" s="104">
        <f>+'DM5 Ventas '!G43</f>
        <v/>
      </c>
      <c r="G2" s="104">
        <f>+'DM5 Ventas '!H43</f>
        <v/>
      </c>
      <c r="H2" s="104" t="n"/>
      <c r="I2" s="104">
        <f>+'DM5 Ventas '!J43</f>
        <v/>
      </c>
      <c r="J2" s="104">
        <f>+'DM5 Ventas '!K43</f>
        <v/>
      </c>
      <c r="K2" s="104">
        <f>+'DM5 Ventas '!L43</f>
        <v/>
      </c>
      <c r="L2" s="104">
        <f>+'DM5 Ventas '!M43</f>
        <v/>
      </c>
      <c r="M2" s="104">
        <f>+'DM5 Ventas '!N43</f>
        <v/>
      </c>
      <c r="N2" s="90">
        <f>+SUM(B2:M2)</f>
        <v/>
      </c>
      <c r="O2" s="2" t="inlineStr">
        <is>
          <t xml:space="preserve">Σ  </t>
        </is>
      </c>
    </row>
    <row r="3" hidden="1">
      <c r="A3" s="103" t="inlineStr">
        <is>
          <t>Según ATS</t>
        </is>
      </c>
      <c r="B3" s="104" t="n">
        <v>0</v>
      </c>
      <c r="C3" s="104" t="n">
        <v>0</v>
      </c>
      <c r="D3" s="104" t="n">
        <v>0</v>
      </c>
      <c r="E3" s="104" t="n">
        <v>0</v>
      </c>
      <c r="F3" s="104" t="n">
        <v>0</v>
      </c>
      <c r="G3" s="104" t="n">
        <v>0</v>
      </c>
      <c r="H3" s="104" t="n">
        <v>0</v>
      </c>
      <c r="I3" s="104" t="n">
        <v>0</v>
      </c>
      <c r="J3" s="104" t="n">
        <v>0</v>
      </c>
      <c r="K3" s="104" t="n">
        <v>0</v>
      </c>
      <c r="L3" s="104" t="n">
        <v>0</v>
      </c>
      <c r="M3" s="104" t="n">
        <v>0</v>
      </c>
      <c r="N3" s="90">
        <f>+SUM(B3:M3)</f>
        <v/>
      </c>
      <c r="O3" s="2" t="inlineStr">
        <is>
          <t xml:space="preserve">Σ  </t>
        </is>
      </c>
    </row>
    <row r="4" hidden="1">
      <c r="A4" s="103" t="inlineStr">
        <is>
          <t>Rembolso</t>
        </is>
      </c>
      <c r="B4" s="104" t="n">
        <v>0</v>
      </c>
      <c r="C4" s="104" t="n">
        <v>0</v>
      </c>
      <c r="D4" s="104" t="n">
        <v>0</v>
      </c>
      <c r="E4" s="104" t="n">
        <v>0</v>
      </c>
      <c r="F4" s="104" t="n">
        <v>0</v>
      </c>
      <c r="G4" s="104" t="n">
        <v>0</v>
      </c>
      <c r="H4" s="104" t="n">
        <v>0</v>
      </c>
      <c r="I4" s="104" t="n">
        <v>0</v>
      </c>
      <c r="J4" s="104" t="n">
        <v>0</v>
      </c>
      <c r="K4" s="104" t="n">
        <v>0</v>
      </c>
      <c r="L4" s="104" t="n">
        <v>0</v>
      </c>
      <c r="M4" s="104" t="n">
        <v>0</v>
      </c>
      <c r="N4" s="90">
        <f>+SUM(B4:M4)</f>
        <v/>
      </c>
    </row>
    <row r="5" hidden="1">
      <c r="A5" s="89" t="n"/>
      <c r="B5" s="90">
        <f>+B2-B3</f>
        <v/>
      </c>
      <c r="C5" s="90">
        <f>+C2-C3+C4</f>
        <v/>
      </c>
      <c r="D5" s="90">
        <f>+D2-D3</f>
        <v/>
      </c>
      <c r="E5" s="90">
        <f>+E2-E3</f>
        <v/>
      </c>
      <c r="F5" s="90">
        <f>+F2-F3</f>
        <v/>
      </c>
      <c r="G5" s="90">
        <f>+G2-G3</f>
        <v/>
      </c>
      <c r="H5" s="90">
        <f>+H2-H3</f>
        <v/>
      </c>
      <c r="I5" s="90">
        <f>+I2-I3</f>
        <v/>
      </c>
      <c r="J5" s="90">
        <f>+J2-J3</f>
        <v/>
      </c>
      <c r="K5" s="90">
        <f>+K2-K3</f>
        <v/>
      </c>
      <c r="L5" s="90">
        <f>+L2-L3</f>
        <v/>
      </c>
      <c r="M5" s="90">
        <f>+M2-M3</f>
        <v/>
      </c>
      <c r="N5" s="90">
        <f>+SUM(B5:M5)</f>
        <v/>
      </c>
      <c r="O5" s="4" t="inlineStr">
        <is>
          <t xml:space="preserve">‡ </t>
        </is>
      </c>
    </row>
    <row r="6" hidden="1">
      <c r="B6" s="215" t="n"/>
      <c r="C6" s="215" t="n"/>
      <c r="D6" s="215" t="n"/>
      <c r="E6" s="215" t="n"/>
      <c r="F6" s="29" t="n"/>
      <c r="G6" s="215" t="n"/>
      <c r="H6" s="215" t="n"/>
      <c r="I6" s="215" t="n"/>
      <c r="J6" s="215" t="n"/>
      <c r="K6" s="215" t="n"/>
      <c r="L6" s="215" t="n"/>
      <c r="M6" s="215" t="n"/>
      <c r="N6" s="217" t="n"/>
    </row>
    <row r="7" hidden="1">
      <c r="A7" s="233" t="inlineStr">
        <is>
          <t>Casillero 429 (F 104)</t>
        </is>
      </c>
      <c r="B7" s="104">
        <f>HLOOKUP($B$1:$M$1,'DM5 Ventas '!$C$46:$N$54,9,0)</f>
        <v/>
      </c>
      <c r="C7" s="104">
        <f>HLOOKUP($B$1:$M$1,'DM5 Ventas '!$C$46:$N$54,9,0)</f>
        <v/>
      </c>
      <c r="D7" s="104">
        <f>HLOOKUP($B$1:$M$1,'DM5 Ventas '!$C$46:$N$54,9,0)</f>
        <v/>
      </c>
      <c r="E7" s="104">
        <f>HLOOKUP($B$1:$M$1,'DM5 Ventas '!$C$46:$N$54,9,0)</f>
        <v/>
      </c>
      <c r="F7" s="104">
        <f>HLOOKUP($B$1:$M$1,'DM5 Ventas '!$C$46:$N$54,9,0)</f>
        <v/>
      </c>
      <c r="G7" s="104">
        <f>HLOOKUP($B$1:$M$1,'DM5 Ventas '!$C$46:$N$54,9,0)</f>
        <v/>
      </c>
      <c r="H7" s="104" t="n"/>
      <c r="I7" s="104">
        <f>HLOOKUP($B$1:$M$1,'DM5 Ventas '!$C$46:$N$54,9,0)</f>
        <v/>
      </c>
      <c r="J7" s="104">
        <f>HLOOKUP($B$1:$M$1,'DM5 Ventas '!$C$46:$N$54,9,0)</f>
        <v/>
      </c>
      <c r="K7" s="104">
        <f>HLOOKUP($B$1:$M$1,'DM5 Ventas '!$C$46:$N$54,9,0)</f>
        <v/>
      </c>
      <c r="L7" s="104">
        <f>HLOOKUP($B$1:$M$1,'DM5 Ventas '!$C$46:$N$54,9,0)</f>
        <v/>
      </c>
      <c r="M7" s="104">
        <f>HLOOKUP($B$1:$M$1,'DM5 Ventas '!$C$46:$N$54,9,0)</f>
        <v/>
      </c>
      <c r="N7" s="90">
        <f>+SUM(B7:M7)</f>
        <v/>
      </c>
      <c r="O7" s="53" t="inlineStr">
        <is>
          <t xml:space="preserve">Σ  </t>
        </is>
      </c>
    </row>
    <row r="8" hidden="1">
      <c r="A8" s="233" t="inlineStr">
        <is>
          <t>Según ATS</t>
        </is>
      </c>
      <c r="B8" s="225" t="n">
        <v>0</v>
      </c>
      <c r="C8" s="225" t="n">
        <v>0</v>
      </c>
      <c r="D8" s="225" t="n">
        <v>0</v>
      </c>
      <c r="E8" s="225" t="n">
        <v>0</v>
      </c>
      <c r="F8" s="225" t="n">
        <v>0</v>
      </c>
      <c r="G8" s="225" t="n">
        <v>0</v>
      </c>
      <c r="H8" s="225" t="n">
        <v>0</v>
      </c>
      <c r="I8" s="225" t="n">
        <v>0</v>
      </c>
      <c r="J8" s="225" t="n">
        <v>0</v>
      </c>
      <c r="K8" s="225" t="n"/>
      <c r="L8" s="225" t="n">
        <v>0</v>
      </c>
      <c r="M8" s="225" t="n">
        <v>0</v>
      </c>
      <c r="N8" s="90">
        <f>+SUM(B8:M8)</f>
        <v/>
      </c>
      <c r="O8" s="53" t="inlineStr">
        <is>
          <t xml:space="preserve">Σ  </t>
        </is>
      </c>
    </row>
    <row r="9" hidden="1">
      <c r="A9" s="233" t="inlineStr">
        <is>
          <t>Rembolso</t>
        </is>
      </c>
      <c r="B9" s="225" t="n">
        <v>0</v>
      </c>
      <c r="C9" s="225" t="n">
        <v>0</v>
      </c>
      <c r="D9" s="225" t="n">
        <v>0</v>
      </c>
      <c r="E9" s="225" t="n">
        <v>0</v>
      </c>
      <c r="F9" s="225" t="n">
        <v>0</v>
      </c>
      <c r="G9" s="225" t="n">
        <v>0</v>
      </c>
      <c r="H9" s="225" t="n">
        <v>0</v>
      </c>
      <c r="I9" s="225" t="n">
        <v>0</v>
      </c>
      <c r="J9" s="225" t="n">
        <v>0</v>
      </c>
      <c r="K9" s="225" t="n">
        <v>0</v>
      </c>
      <c r="L9" s="225" t="n">
        <v>0</v>
      </c>
      <c r="M9" s="225" t="n">
        <v>0</v>
      </c>
      <c r="N9" s="90">
        <f>+SUM(B9:M9)</f>
        <v/>
      </c>
      <c r="O9" s="53" t="inlineStr">
        <is>
          <t xml:space="preserve">Σ  </t>
        </is>
      </c>
    </row>
    <row r="10" hidden="1">
      <c r="A10" s="101" t="inlineStr">
        <is>
          <t>Diferencia iva ventas</t>
        </is>
      </c>
      <c r="B10" s="90">
        <f>+B7-B8</f>
        <v/>
      </c>
      <c r="C10" s="90">
        <f>+C7-C8+C9</f>
        <v/>
      </c>
      <c r="D10" s="90">
        <f>+D7-D8</f>
        <v/>
      </c>
      <c r="E10" s="90">
        <f>+E7-E8</f>
        <v/>
      </c>
      <c r="F10" s="90">
        <f>+F7-F8</f>
        <v/>
      </c>
      <c r="G10" s="90">
        <f>+G7-G8</f>
        <v/>
      </c>
      <c r="H10" s="90">
        <f>+H7-H8</f>
        <v/>
      </c>
      <c r="I10" s="90">
        <f>+I7-I8</f>
        <v/>
      </c>
      <c r="J10" s="90">
        <f>+J7-J8</f>
        <v/>
      </c>
      <c r="K10" s="90">
        <f>+K7-K8</f>
        <v/>
      </c>
      <c r="L10" s="90">
        <f>+L7-L8</f>
        <v/>
      </c>
      <c r="M10" s="90">
        <f>+M7-M8</f>
        <v/>
      </c>
      <c r="N10" s="90">
        <f>+SUM(B10:M10)</f>
        <v/>
      </c>
      <c r="O10" s="56" t="inlineStr">
        <is>
          <t xml:space="preserve">‡ </t>
        </is>
      </c>
    </row>
    <row r="11" hidden="1">
      <c r="B11" s="217" t="n"/>
      <c r="C11" s="217" t="n"/>
      <c r="D11" s="217" t="n"/>
      <c r="E11" s="217" t="n"/>
      <c r="F11" s="217" t="n"/>
      <c r="G11" s="217" t="n"/>
      <c r="H11" s="217" t="n"/>
      <c r="I11" s="217" t="n"/>
      <c r="J11" s="217" t="n"/>
      <c r="K11" s="217" t="n"/>
      <c r="L11" s="217" t="n"/>
      <c r="M11" s="217" t="n"/>
      <c r="N11" s="217" t="n"/>
      <c r="O11" s="217" t="n"/>
    </row>
    <row r="12" ht="35.25" customHeight="1">
      <c r="A12" s="531" t="inlineStr">
        <is>
          <t>OBLIGACIONES FISCALES</t>
        </is>
      </c>
      <c r="B12" s="513" t="n"/>
      <c r="C12" s="513" t="n"/>
      <c r="D12" s="513" t="n"/>
      <c r="E12" s="514" t="n"/>
      <c r="F12" s="217" t="n"/>
      <c r="G12" s="217" t="n"/>
      <c r="H12" s="217" t="n"/>
      <c r="I12" s="217" t="n"/>
      <c r="J12" s="217" t="n"/>
      <c r="K12" s="217" t="n"/>
      <c r="L12" s="217" t="n"/>
      <c r="M12" s="217" t="n"/>
      <c r="N12" s="217" t="n"/>
      <c r="O12" s="217" t="n"/>
    </row>
    <row r="13" ht="46.5" customHeight="1" thickBot="1">
      <c r="A13" s="515" t="n"/>
      <c r="B13" s="516" t="n"/>
      <c r="C13" s="516" t="n"/>
      <c r="D13" s="516" t="n"/>
      <c r="E13" s="517" t="n"/>
      <c r="F13" s="217" t="n"/>
      <c r="G13" s="217" t="n"/>
      <c r="H13" s="217" t="n"/>
      <c r="I13" s="217" t="n"/>
      <c r="J13" s="217" t="n"/>
      <c r="K13" s="217" t="n"/>
      <c r="L13" s="217" t="n"/>
      <c r="M13" s="217" t="n"/>
      <c r="N13" s="217" t="n"/>
      <c r="O13" s="217" t="n"/>
    </row>
    <row r="14" ht="13.5" customHeight="1" thickBot="1">
      <c r="A14" s="532" t="inlineStr">
        <is>
          <t>ATS VS FORMULARIOS 103 Y 104</t>
        </is>
      </c>
      <c r="B14" s="519" t="n"/>
      <c r="C14" s="519" t="n"/>
      <c r="D14" s="519" t="n"/>
      <c r="E14" s="520" t="n"/>
      <c r="F14" s="217" t="n"/>
      <c r="G14" s="217" t="n"/>
      <c r="H14" s="217" t="n"/>
      <c r="I14" s="217" t="n"/>
      <c r="J14" s="217" t="n"/>
      <c r="K14" s="217" t="n"/>
      <c r="L14" s="217" t="n"/>
      <c r="M14" s="217" t="n"/>
      <c r="N14" s="217" t="n"/>
      <c r="O14" s="217" t="n"/>
    </row>
    <row r="15">
      <c r="A15" s="443" t="inlineStr">
        <is>
          <t>Nombre del cliente</t>
        </is>
      </c>
      <c r="B15" s="513" t="n"/>
      <c r="C15" s="513" t="n"/>
      <c r="D15" s="445" t="inlineStr">
        <is>
          <t>Periodo terminado</t>
        </is>
      </c>
      <c r="E15" s="514" t="n"/>
      <c r="F15" s="217" t="n"/>
      <c r="G15" s="217" t="n"/>
      <c r="H15" s="217" t="n"/>
      <c r="I15" s="217" t="n"/>
      <c r="J15" s="217" t="n"/>
      <c r="K15" s="217" t="n"/>
      <c r="L15" s="217" t="n"/>
      <c r="M15" s="217" t="n"/>
      <c r="N15" s="217" t="n"/>
      <c r="O15" s="217" t="n"/>
    </row>
    <row r="16" ht="13.5" customHeight="1" thickBot="1">
      <c r="A16" s="446">
        <f>+'DM7 Retenciones x pagar'!A5:C5</f>
        <v/>
      </c>
      <c r="B16" s="521" t="n"/>
      <c r="C16" s="521" t="n"/>
      <c r="D16" s="533">
        <f>+'DM7 Retenciones x pagar'!D5:E5</f>
        <v/>
      </c>
      <c r="E16" s="523" t="n"/>
      <c r="F16" s="217" t="n"/>
      <c r="G16" s="217" t="n"/>
      <c r="H16" s="217" t="n"/>
      <c r="I16" s="217" t="n"/>
      <c r="J16" s="217" t="n"/>
      <c r="K16" s="217" t="n"/>
      <c r="L16" s="217" t="n"/>
      <c r="M16" s="217" t="n"/>
      <c r="N16" s="217" t="n"/>
      <c r="O16" s="217" t="n"/>
    </row>
    <row r="17">
      <c r="A17" s="429" t="inlineStr">
        <is>
          <t xml:space="preserve">Preparado por: </t>
        </is>
      </c>
      <c r="B17" s="513" t="n"/>
      <c r="C17" s="158" t="inlineStr">
        <is>
          <t>Fecha:</t>
        </is>
      </c>
      <c r="D17" s="431" t="inlineStr">
        <is>
          <t>Referencia</t>
        </is>
      </c>
      <c r="E17" s="514" t="n"/>
      <c r="F17" s="217" t="n"/>
      <c r="G17" s="217" t="n"/>
      <c r="H17" s="217" t="n"/>
      <c r="I17" s="217" t="n"/>
      <c r="J17" s="217" t="n"/>
      <c r="K17" s="217" t="n"/>
      <c r="L17" s="217" t="n"/>
      <c r="M17" s="217" t="n"/>
      <c r="N17" s="217" t="n"/>
      <c r="O17" s="217" t="n"/>
    </row>
    <row r="18" ht="13.5" customHeight="1" thickBot="1">
      <c r="A18" s="427">
        <f>+'DM7 Retenciones x pagar'!A7:B7</f>
        <v/>
      </c>
      <c r="B18" s="521" t="n"/>
      <c r="C18" s="159">
        <f>+'DM7 Retenciones x pagar'!C7</f>
        <v/>
      </c>
      <c r="D18" s="433" t="inlineStr">
        <is>
          <t>DM8</t>
        </is>
      </c>
      <c r="E18" s="523" t="n"/>
      <c r="F18" s="217" t="n"/>
      <c r="G18" s="217" t="n"/>
      <c r="H18" s="217" t="n"/>
      <c r="I18" s="217" t="n"/>
      <c r="J18" s="217" t="n"/>
      <c r="K18" s="217" t="n"/>
      <c r="L18" s="217" t="n"/>
      <c r="M18" s="217" t="n"/>
      <c r="N18" s="217" t="n"/>
      <c r="O18" s="217" t="n"/>
    </row>
    <row r="19">
      <c r="A19" s="429" t="inlineStr">
        <is>
          <t xml:space="preserve">Revisado por: </t>
        </is>
      </c>
      <c r="B19" s="513" t="n"/>
      <c r="C19" s="158" t="inlineStr">
        <is>
          <t>Fecha:</t>
        </is>
      </c>
      <c r="D19" s="160" t="n"/>
      <c r="E19" s="195" t="n"/>
      <c r="F19" s="217" t="n"/>
      <c r="G19" s="217" t="n"/>
      <c r="H19" s="217" t="n"/>
      <c r="I19" s="217" t="n"/>
      <c r="J19" s="217" t="n"/>
      <c r="K19" s="217" t="n"/>
      <c r="L19" s="217" t="n"/>
      <c r="M19" s="217" t="n"/>
      <c r="N19" s="217" t="n"/>
      <c r="O19" s="217" t="n"/>
    </row>
    <row r="20" ht="13.5" customHeight="1" thickBot="1">
      <c r="A20" s="427">
        <f>+'DM7 Retenciones x pagar'!A9:B9</f>
        <v/>
      </c>
      <c r="B20" s="521" t="n"/>
      <c r="C20" s="161" t="inlineStr">
        <is>
          <t>XXXX</t>
        </is>
      </c>
      <c r="D20" s="162" t="n"/>
      <c r="E20" s="196" t="n"/>
      <c r="F20" s="217" t="n"/>
      <c r="G20" s="217" t="n"/>
      <c r="H20" s="217" t="n"/>
      <c r="I20" s="217" t="n"/>
      <c r="J20" s="217" t="n"/>
      <c r="K20" s="217" t="n"/>
      <c r="L20" s="217" t="n"/>
      <c r="M20" s="217" t="n"/>
      <c r="N20" s="217" t="n"/>
      <c r="O20" s="217" t="n"/>
    </row>
    <row r="21">
      <c r="B21" s="217" t="n"/>
      <c r="C21" s="217" t="n"/>
      <c r="D21" s="217" t="n"/>
      <c r="E21" s="217" t="n"/>
      <c r="F21" s="217" t="n"/>
      <c r="G21" s="217" t="n"/>
      <c r="H21" s="217" t="n"/>
      <c r="I21" s="217" t="n"/>
      <c r="J21" s="217" t="n"/>
      <c r="K21" s="217" t="n"/>
      <c r="L21" s="217" t="n"/>
      <c r="M21" s="217" t="n"/>
      <c r="N21" s="217" t="n"/>
      <c r="O21" s="217" t="n"/>
    </row>
    <row r="22">
      <c r="B22" s="217" t="n"/>
      <c r="C22" s="217" t="n"/>
      <c r="D22" s="217" t="n"/>
      <c r="E22" s="217" t="n"/>
      <c r="F22" s="217" t="n"/>
      <c r="G22" s="217" t="n"/>
      <c r="H22" s="217" t="n"/>
      <c r="I22" s="217" t="n"/>
      <c r="J22" s="217" t="n"/>
      <c r="K22" s="217" t="n"/>
      <c r="L22" s="217" t="n"/>
      <c r="M22" s="217" t="n"/>
      <c r="N22" s="217" t="n"/>
      <c r="O22" s="217" t="n"/>
    </row>
    <row r="23">
      <c r="B23" s="217" t="n"/>
      <c r="C23" s="217" t="n"/>
      <c r="D23" s="217" t="n"/>
      <c r="E23" s="217" t="n"/>
      <c r="F23" s="217" t="n"/>
      <c r="G23" s="217" t="n"/>
      <c r="H23" s="217" t="n"/>
      <c r="I23" s="217" t="n"/>
      <c r="J23" s="217" t="n"/>
      <c r="K23" s="217" t="n"/>
      <c r="L23" s="217" t="n"/>
      <c r="M23" s="217" t="n"/>
      <c r="N23" s="217" t="n"/>
    </row>
    <row r="24">
      <c r="A24" s="102" t="inlineStr">
        <is>
          <t xml:space="preserve">Compras </t>
        </is>
      </c>
      <c r="B24" s="105" t="inlineStr">
        <is>
          <t>Enero</t>
        </is>
      </c>
      <c r="C24" s="105" t="inlineStr">
        <is>
          <t>Febrero</t>
        </is>
      </c>
      <c r="D24" s="105" t="inlineStr">
        <is>
          <t>Marzo</t>
        </is>
      </c>
      <c r="E24" s="105" t="inlineStr">
        <is>
          <t>Abril</t>
        </is>
      </c>
      <c r="F24" s="105" t="inlineStr">
        <is>
          <t>Mayo</t>
        </is>
      </c>
      <c r="G24" s="105" t="inlineStr">
        <is>
          <t>Junio</t>
        </is>
      </c>
      <c r="H24" s="105" t="inlineStr">
        <is>
          <t>Julio</t>
        </is>
      </c>
      <c r="I24" s="105" t="inlineStr">
        <is>
          <t>Agosto</t>
        </is>
      </c>
      <c r="J24" s="105" t="inlineStr">
        <is>
          <t>Septiembre</t>
        </is>
      </c>
      <c r="K24" s="105" t="inlineStr">
        <is>
          <t>Octubre</t>
        </is>
      </c>
      <c r="L24" s="105" t="inlineStr">
        <is>
          <t>Noviembre</t>
        </is>
      </c>
      <c r="M24" s="105" t="inlineStr">
        <is>
          <t>Diciembre</t>
        </is>
      </c>
      <c r="N24" s="105" t="inlineStr">
        <is>
          <t xml:space="preserve">Total </t>
        </is>
      </c>
    </row>
    <row r="25">
      <c r="A25" s="103" t="inlineStr">
        <is>
          <t>Casillero 519 (F 104)</t>
        </is>
      </c>
      <c r="B25" s="104">
        <f>+'DM4 Compras '!C50+'DM4 Compras '!C64</f>
        <v/>
      </c>
      <c r="C25" s="104">
        <f>+'DM4 Compras '!D50+'DM4 Compras '!D64</f>
        <v/>
      </c>
      <c r="D25" s="104">
        <f>+'DM4 Compras '!E50+'DM4 Compras '!E64</f>
        <v/>
      </c>
      <c r="E25" s="104">
        <f>+'DM4 Compras '!F50+'DM4 Compras '!F64</f>
        <v/>
      </c>
      <c r="F25" s="104">
        <f>+'DM4 Compras '!G50+'DM4 Compras '!G64</f>
        <v/>
      </c>
      <c r="G25" s="104">
        <f>+'DM4 Compras '!H50+'DM4 Compras '!H64</f>
        <v/>
      </c>
      <c r="H25" s="104">
        <f>+'DM4 Compras '!I50+'DM4 Compras '!I64</f>
        <v/>
      </c>
      <c r="I25" s="104">
        <f>+'DM4 Compras '!J50+'DM4 Compras '!J64</f>
        <v/>
      </c>
      <c r="J25" s="104">
        <f>+'DM4 Compras '!K50+'DM4 Compras '!K64</f>
        <v/>
      </c>
      <c r="K25" s="104">
        <f>+'DM4 Compras '!L50+'DM4 Compras '!L64</f>
        <v/>
      </c>
      <c r="L25" s="104">
        <f>+'DM4 Compras '!M50+'DM4 Compras '!M64</f>
        <v/>
      </c>
      <c r="M25" s="104">
        <f>+'DM4 Compras '!N50+'DM4 Compras '!N64</f>
        <v/>
      </c>
      <c r="N25" s="106">
        <f>+SUM(B25:M25)</f>
        <v/>
      </c>
      <c r="O25" s="2" t="inlineStr">
        <is>
          <t xml:space="preserve">Σ  </t>
        </is>
      </c>
    </row>
    <row r="26">
      <c r="A26" s="130" t="inlineStr">
        <is>
          <t>Según ATS (Compras) 0 y 12</t>
        </is>
      </c>
      <c r="B26" s="104">
        <f>0+0</f>
        <v/>
      </c>
      <c r="C26" s="104">
        <f>0+0</f>
        <v/>
      </c>
      <c r="D26" s="104">
        <f>0+0</f>
        <v/>
      </c>
      <c r="E26" s="104">
        <f>0+0</f>
        <v/>
      </c>
      <c r="F26" s="104">
        <f>0+0</f>
        <v/>
      </c>
      <c r="G26" s="104">
        <f>0+0</f>
        <v/>
      </c>
      <c r="H26" s="104">
        <f>0+0</f>
        <v/>
      </c>
      <c r="I26" s="104">
        <f>0+0</f>
        <v/>
      </c>
      <c r="J26" s="104">
        <f>0+0</f>
        <v/>
      </c>
      <c r="K26" s="104">
        <f>0+0</f>
        <v/>
      </c>
      <c r="L26" s="104">
        <f>0+0</f>
        <v/>
      </c>
      <c r="M26" s="104">
        <f>0+0</f>
        <v/>
      </c>
      <c r="N26" s="106">
        <f>+SUM(B26:M26)</f>
        <v/>
      </c>
      <c r="O26" s="2" t="inlineStr">
        <is>
          <t xml:space="preserve">Σ  </t>
        </is>
      </c>
    </row>
    <row r="27">
      <c r="A27" s="103" t="inlineStr">
        <is>
          <t>Importaciones</t>
        </is>
      </c>
      <c r="B27" s="104">
        <f>+'DM4 Compras '!C46</f>
        <v/>
      </c>
      <c r="C27" s="104">
        <f>+'DM4 Compras '!D46</f>
        <v/>
      </c>
      <c r="D27" s="104">
        <f>+'DM4 Compras '!E46</f>
        <v/>
      </c>
      <c r="E27" s="104">
        <f>+'DM4 Compras '!F46</f>
        <v/>
      </c>
      <c r="F27" s="104">
        <f>+'DM4 Compras '!G46</f>
        <v/>
      </c>
      <c r="G27" s="104">
        <f>+'DM4 Compras '!H46</f>
        <v/>
      </c>
      <c r="H27" s="104">
        <f>+'DM4 Compras '!I46</f>
        <v/>
      </c>
      <c r="I27" s="104">
        <f>+'DM4 Compras '!J46</f>
        <v/>
      </c>
      <c r="J27" s="104">
        <f>+'DM4 Compras '!K46</f>
        <v/>
      </c>
      <c r="K27" s="104">
        <f>+'DM4 Compras '!L46</f>
        <v/>
      </c>
      <c r="L27" s="104">
        <f>+'DM4 Compras '!M46</f>
        <v/>
      </c>
      <c r="M27" s="104">
        <f>+'DM4 Compras '!N46</f>
        <v/>
      </c>
      <c r="N27" s="106">
        <f>+SUM(B27:M27)</f>
        <v/>
      </c>
      <c r="O27" s="2" t="inlineStr">
        <is>
          <t xml:space="preserve">Σ  </t>
        </is>
      </c>
    </row>
    <row r="28">
      <c r="A28" s="103">
        <f>+'DM4 Compras '!B44</f>
        <v/>
      </c>
      <c r="B28" s="104">
        <f>+'DM4 Compras '!C44</f>
        <v/>
      </c>
      <c r="C28" s="104">
        <f>+'DM4 Compras '!D44</f>
        <v/>
      </c>
      <c r="D28" s="104">
        <f>+'DM4 Compras '!E44</f>
        <v/>
      </c>
      <c r="E28" s="104">
        <f>+'DM4 Compras '!F44</f>
        <v/>
      </c>
      <c r="F28" s="104">
        <f>+'DM4 Compras '!G44</f>
        <v/>
      </c>
      <c r="G28" s="104">
        <f>+'DM4 Compras '!H44</f>
        <v/>
      </c>
      <c r="H28" s="104">
        <f>+'DM4 Compras '!I44</f>
        <v/>
      </c>
      <c r="I28" s="104">
        <f>+'DM4 Compras '!J44</f>
        <v/>
      </c>
      <c r="J28" s="104">
        <f>+'DM4 Compras '!K44</f>
        <v/>
      </c>
      <c r="K28" s="104">
        <f>+'DM4 Compras '!L44</f>
        <v/>
      </c>
      <c r="L28" s="104">
        <f>+'DM4 Compras '!M44</f>
        <v/>
      </c>
      <c r="M28" s="104">
        <f>+'DM4 Compras '!N44</f>
        <v/>
      </c>
      <c r="N28" s="106">
        <f>+SUM(B28:M28)</f>
        <v/>
      </c>
      <c r="O28" s="2" t="inlineStr">
        <is>
          <t xml:space="preserve">Σ  </t>
        </is>
      </c>
    </row>
    <row r="29">
      <c r="A29" s="89" t="inlineStr">
        <is>
          <t>Diferencia compras</t>
        </is>
      </c>
      <c r="B29" s="99">
        <f>+B25-B26-B27+B28</f>
        <v/>
      </c>
      <c r="C29" s="99">
        <f>+C25-C26-C27+C28</f>
        <v/>
      </c>
      <c r="D29" s="99">
        <f>+D25-D26-D27+D28</f>
        <v/>
      </c>
      <c r="E29" s="99">
        <f>+E25-E26-E27+E28</f>
        <v/>
      </c>
      <c r="F29" s="125">
        <f>+F25-F26-F27+F28</f>
        <v/>
      </c>
      <c r="G29" s="99">
        <f>+G25-G26-G27+G28</f>
        <v/>
      </c>
      <c r="H29" s="99">
        <f>+H25-H26-H27+H28</f>
        <v/>
      </c>
      <c r="I29" s="99">
        <f>+I25-I26-I27+I28</f>
        <v/>
      </c>
      <c r="J29" s="90">
        <f>+J25-J26-J27+J28</f>
        <v/>
      </c>
      <c r="K29" s="90">
        <f>+K25-K26-K27+K28</f>
        <v/>
      </c>
      <c r="L29" s="90">
        <f>+L25-L26-L27+L28</f>
        <v/>
      </c>
      <c r="M29" s="90">
        <f>+M25-M26-M27+M28</f>
        <v/>
      </c>
      <c r="N29" s="99">
        <f>+SUM(B29:M29)</f>
        <v/>
      </c>
      <c r="O29" s="4" t="inlineStr">
        <is>
          <t xml:space="preserve">‡ </t>
        </is>
      </c>
    </row>
    <row r="30">
      <c r="B30" s="215" t="n"/>
      <c r="C30" s="215" t="n"/>
      <c r="D30" s="215" t="n"/>
      <c r="E30" s="215" t="n"/>
      <c r="F30" s="215" t="n"/>
      <c r="G30" s="215" t="n"/>
      <c r="H30" s="215" t="n"/>
      <c r="I30" s="215" t="n"/>
      <c r="J30" s="215" t="n"/>
      <c r="K30" s="215" t="n"/>
      <c r="L30" s="215" t="n"/>
      <c r="M30" s="215" t="n"/>
      <c r="N30" s="217" t="n"/>
    </row>
    <row r="31">
      <c r="A31" s="126" t="inlineStr">
        <is>
          <t>Casillero 529 (F 104)</t>
        </is>
      </c>
      <c r="B31" s="104">
        <f>+'DM4 Compras '!C31</f>
        <v/>
      </c>
      <c r="C31" s="104">
        <f>+'DM4 Compras '!D31</f>
        <v/>
      </c>
      <c r="D31" s="104">
        <f>+'DM4 Compras '!E31</f>
        <v/>
      </c>
      <c r="E31" s="104">
        <f>+'DM4 Compras '!F31</f>
        <v/>
      </c>
      <c r="F31" s="104">
        <f>+'DM4 Compras '!G31</f>
        <v/>
      </c>
      <c r="G31" s="104">
        <f>+'DM4 Compras '!H31</f>
        <v/>
      </c>
      <c r="H31" s="104">
        <f>+'DM4 Compras '!I31</f>
        <v/>
      </c>
      <c r="I31" s="104">
        <f>+'DM4 Compras '!J31</f>
        <v/>
      </c>
      <c r="J31" s="104">
        <f>+'DM4 Compras '!K31</f>
        <v/>
      </c>
      <c r="K31" s="104">
        <f>+'DM4 Compras '!L31</f>
        <v/>
      </c>
      <c r="L31" s="104">
        <f>+'DM4 Compras '!M31</f>
        <v/>
      </c>
      <c r="M31" s="104">
        <f>+'DM4 Compras '!N31</f>
        <v/>
      </c>
      <c r="N31" s="106">
        <f>+SUM(B31:M31)</f>
        <v/>
      </c>
      <c r="O31" s="2" t="inlineStr">
        <is>
          <t xml:space="preserve">Σ  </t>
        </is>
      </c>
    </row>
    <row r="32">
      <c r="A32" s="130" t="inlineStr">
        <is>
          <t>Según ATS (Compras) IVA compras</t>
        </is>
      </c>
      <c r="B32" s="104" t="n"/>
      <c r="C32" s="104" t="n"/>
      <c r="D32" s="104" t="n"/>
      <c r="E32" s="104" t="n"/>
      <c r="F32" s="104" t="n"/>
      <c r="G32" s="104" t="n"/>
      <c r="H32" s="104" t="n"/>
      <c r="I32" s="104" t="n"/>
      <c r="J32" s="104" t="n"/>
      <c r="K32" s="104" t="n"/>
      <c r="L32" s="104" t="n"/>
      <c r="M32" s="104" t="n"/>
      <c r="N32" s="106">
        <f>+SUM(B32:M32)</f>
        <v/>
      </c>
      <c r="O32" s="2" t="inlineStr">
        <is>
          <t xml:space="preserve">Σ  </t>
        </is>
      </c>
    </row>
    <row r="33">
      <c r="A33" s="103" t="inlineStr">
        <is>
          <t>Importaciones</t>
        </is>
      </c>
      <c r="B33" s="104">
        <f>+'DM4 Compras '!C26</f>
        <v/>
      </c>
      <c r="C33" s="104">
        <f>+'DM4 Compras '!D26</f>
        <v/>
      </c>
      <c r="D33" s="104">
        <f>+'DM4 Compras '!E26</f>
        <v/>
      </c>
      <c r="E33" s="104">
        <f>+'DM4 Compras '!F26</f>
        <v/>
      </c>
      <c r="F33" s="104">
        <f>+'DM4 Compras '!G26</f>
        <v/>
      </c>
      <c r="G33" s="104">
        <f>+'DM4 Compras '!H26</f>
        <v/>
      </c>
      <c r="H33" s="104">
        <f>+'DM4 Compras '!I26</f>
        <v/>
      </c>
      <c r="I33" s="104">
        <f>+'DM4 Compras '!J26</f>
        <v/>
      </c>
      <c r="J33" s="104">
        <f>+'DM4 Compras '!K26</f>
        <v/>
      </c>
      <c r="K33" s="104">
        <f>+'DM4 Compras '!L26</f>
        <v/>
      </c>
      <c r="L33" s="104">
        <f>+'DM4 Compras '!M26</f>
        <v/>
      </c>
      <c r="M33" s="104">
        <f>+'DM4 Compras '!N26</f>
        <v/>
      </c>
      <c r="N33" s="106">
        <f>+SUM(B33:M33)</f>
        <v/>
      </c>
      <c r="O33" s="2" t="inlineStr">
        <is>
          <t xml:space="preserve">Σ  </t>
        </is>
      </c>
    </row>
    <row r="34">
      <c r="A34" s="103">
        <f>+'DM4 Compras '!B24</f>
        <v/>
      </c>
      <c r="B34" s="104">
        <f>+'DM4 Compras '!C24</f>
        <v/>
      </c>
      <c r="C34" s="104">
        <f>+'DM4 Compras '!D24</f>
        <v/>
      </c>
      <c r="D34" s="104">
        <f>+'DM4 Compras '!E24</f>
        <v/>
      </c>
      <c r="E34" s="104">
        <f>+'DM4 Compras '!F24</f>
        <v/>
      </c>
      <c r="F34" s="104">
        <f>+'DM4 Compras '!G24</f>
        <v/>
      </c>
      <c r="G34" s="104">
        <f>+'DM4 Compras '!H24</f>
        <v/>
      </c>
      <c r="H34" s="104">
        <f>+'DM4 Compras '!I24</f>
        <v/>
      </c>
      <c r="I34" s="104">
        <f>+'DM4 Compras '!J24</f>
        <v/>
      </c>
      <c r="J34" s="104">
        <f>+'DM4 Compras '!K24</f>
        <v/>
      </c>
      <c r="K34" s="104">
        <f>+'DM4 Compras '!L24</f>
        <v/>
      </c>
      <c r="L34" s="104">
        <f>+'DM4 Compras '!M24</f>
        <v/>
      </c>
      <c r="M34" s="104">
        <f>+'DM4 Compras '!N24</f>
        <v/>
      </c>
      <c r="N34" s="106">
        <f>+SUM(B34:M34)</f>
        <v/>
      </c>
      <c r="O34" s="2" t="inlineStr">
        <is>
          <t xml:space="preserve">Σ  </t>
        </is>
      </c>
    </row>
    <row r="35">
      <c r="A35" s="89" t="inlineStr">
        <is>
          <t>Diferencia IVA compras</t>
        </is>
      </c>
      <c r="B35" s="113">
        <f>+B31-B32-B33+B34</f>
        <v/>
      </c>
      <c r="C35" s="113">
        <f>+C31-C32-C33+C34</f>
        <v/>
      </c>
      <c r="D35" s="113">
        <f>+D31-D32-D33+D34</f>
        <v/>
      </c>
      <c r="E35" s="113">
        <f>+E31-E32-E33+E34</f>
        <v/>
      </c>
      <c r="F35" s="113">
        <f>+F31-F32-F33+F34</f>
        <v/>
      </c>
      <c r="G35" s="113">
        <f>+G31-G32-G33+G34</f>
        <v/>
      </c>
      <c r="H35" s="113">
        <f>+H31-H32-H33+H34</f>
        <v/>
      </c>
      <c r="I35" s="113">
        <f>+I31-I32-I33+I34</f>
        <v/>
      </c>
      <c r="J35" s="90">
        <f>+J31-J32-J33+J34</f>
        <v/>
      </c>
      <c r="K35" s="90">
        <f>+K31-K32-K33+K34</f>
        <v/>
      </c>
      <c r="L35" s="90">
        <f>+L31-L32-L33+L34</f>
        <v/>
      </c>
      <c r="M35" s="90">
        <f>+M31-M32-M33+M34</f>
        <v/>
      </c>
      <c r="N35" s="90">
        <f>+SUM(B35:M35)</f>
        <v/>
      </c>
      <c r="O35" s="4" t="inlineStr">
        <is>
          <t xml:space="preserve">‡ </t>
        </is>
      </c>
    </row>
    <row r="36">
      <c r="A36" s="8" t="n"/>
      <c r="B36" s="30" t="n"/>
      <c r="C36" s="30" t="n"/>
      <c r="D36" s="30" t="n"/>
      <c r="E36" s="30" t="n"/>
      <c r="F36" s="30" t="n"/>
      <c r="G36" s="30" t="n"/>
      <c r="H36" s="30" t="n"/>
      <c r="I36" s="30" t="n"/>
      <c r="J36" s="30" t="n"/>
      <c r="K36" s="30" t="n"/>
      <c r="L36" s="30" t="n"/>
      <c r="M36" s="30" t="n"/>
      <c r="N36" s="217" t="n"/>
    </row>
    <row r="37">
      <c r="B37" s="217" t="n"/>
      <c r="C37" s="217" t="n"/>
      <c r="D37" s="217" t="n"/>
      <c r="E37" s="217" t="n"/>
      <c r="F37" s="217" t="n"/>
      <c r="G37" s="217" t="n"/>
      <c r="H37" s="217" t="n"/>
      <c r="I37" s="217" t="n"/>
      <c r="J37" s="217" t="n"/>
      <c r="K37" s="217" t="n"/>
      <c r="L37" s="217" t="n"/>
      <c r="M37" s="217" t="n"/>
      <c r="N37" s="217" t="n"/>
    </row>
    <row r="38">
      <c r="A38" s="89" t="inlineStr">
        <is>
          <t>Retenciones en la fuente del impuesto a la renta</t>
        </is>
      </c>
      <c r="B38" s="105" t="inlineStr">
        <is>
          <t>Enero</t>
        </is>
      </c>
      <c r="C38" s="105" t="inlineStr">
        <is>
          <t>Febrero</t>
        </is>
      </c>
      <c r="D38" s="105" t="inlineStr">
        <is>
          <t>Marzo</t>
        </is>
      </c>
      <c r="E38" s="105" t="inlineStr">
        <is>
          <t>Abril</t>
        </is>
      </c>
      <c r="F38" s="105" t="inlineStr">
        <is>
          <t>Mayo</t>
        </is>
      </c>
      <c r="G38" s="105" t="inlineStr">
        <is>
          <t>Junio</t>
        </is>
      </c>
      <c r="H38" s="105" t="inlineStr">
        <is>
          <t>Julio</t>
        </is>
      </c>
      <c r="I38" s="105" t="inlineStr">
        <is>
          <t>Agosto</t>
        </is>
      </c>
      <c r="J38" s="105" t="inlineStr">
        <is>
          <t>Septiembre</t>
        </is>
      </c>
      <c r="K38" s="105" t="inlineStr">
        <is>
          <t>Octubre</t>
        </is>
      </c>
      <c r="L38" s="105" t="inlineStr">
        <is>
          <t>Noviembre</t>
        </is>
      </c>
      <c r="M38" s="105" t="inlineStr">
        <is>
          <t>Diciembre</t>
        </is>
      </c>
      <c r="N38" s="105" t="inlineStr">
        <is>
          <t xml:space="preserve">Total </t>
        </is>
      </c>
    </row>
    <row r="39">
      <c r="A39" s="128" t="inlineStr">
        <is>
          <t>Casillero (349-302+429+421) (F 103)</t>
        </is>
      </c>
      <c r="B39" s="104">
        <f>0-0</f>
        <v/>
      </c>
      <c r="C39" s="104">
        <f>0-0</f>
        <v/>
      </c>
      <c r="D39" s="104">
        <f>0-0</f>
        <v/>
      </c>
      <c r="E39" s="104">
        <f>0-0</f>
        <v/>
      </c>
      <c r="F39" s="104">
        <f>0-0</f>
        <v/>
      </c>
      <c r="G39" s="104">
        <f>0-0</f>
        <v/>
      </c>
      <c r="H39" s="104">
        <f>0-0</f>
        <v/>
      </c>
      <c r="I39" s="104">
        <f>0-0</f>
        <v/>
      </c>
      <c r="J39" s="104">
        <f>0-0</f>
        <v/>
      </c>
      <c r="K39" s="104">
        <f>0-0</f>
        <v/>
      </c>
      <c r="L39" s="104">
        <f>0-0</f>
        <v/>
      </c>
      <c r="M39" s="104">
        <f>0-0</f>
        <v/>
      </c>
      <c r="N39" s="90">
        <f>+SUM(B39:M39)</f>
        <v/>
      </c>
      <c r="O39" s="2" t="inlineStr">
        <is>
          <t xml:space="preserve">Σ  </t>
        </is>
      </c>
    </row>
    <row r="40">
      <c r="A40" s="130" t="inlineStr">
        <is>
          <t>Base Ret. Fte. IR. ATS (Retenciones - Agente de Retención)</t>
        </is>
      </c>
      <c r="B40" s="104" t="n"/>
      <c r="C40" s="104" t="n"/>
      <c r="D40" s="104" t="n"/>
      <c r="E40" s="104" t="n"/>
      <c r="F40" s="104" t="n"/>
      <c r="G40" s="104" t="n"/>
      <c r="H40" s="104" t="n"/>
      <c r="I40" s="104" t="n"/>
      <c r="J40" s="104" t="n"/>
      <c r="K40" s="104" t="n"/>
      <c r="L40" s="104" t="n"/>
      <c r="M40" s="104" t="n"/>
      <c r="N40" s="90">
        <f>+SUM(B40:M40)</f>
        <v/>
      </c>
      <c r="O40" s="2" t="inlineStr">
        <is>
          <t xml:space="preserve">Σ  </t>
        </is>
      </c>
    </row>
    <row r="41">
      <c r="A41" s="103" t="inlineStr">
        <is>
          <t>Notas de crèdito</t>
        </is>
      </c>
      <c r="B41" s="104" t="n">
        <v>0</v>
      </c>
      <c r="C41" s="104" t="n">
        <v>0</v>
      </c>
      <c r="D41" s="104" t="n">
        <v>0</v>
      </c>
      <c r="E41" s="104" t="n">
        <v>0</v>
      </c>
      <c r="F41" s="104" t="n">
        <v>0</v>
      </c>
      <c r="G41" s="104" t="n">
        <v>0</v>
      </c>
      <c r="H41" s="104" t="n">
        <v>0</v>
      </c>
      <c r="I41" s="104" t="n">
        <v>0</v>
      </c>
      <c r="J41" s="104" t="n">
        <v>0</v>
      </c>
      <c r="K41" s="104" t="n">
        <v>0</v>
      </c>
      <c r="L41" s="104" t="n">
        <v>0</v>
      </c>
      <c r="M41" s="104" t="n">
        <v>0</v>
      </c>
      <c r="N41" s="90">
        <f>+SUM(B41:M41)</f>
        <v/>
      </c>
      <c r="O41" s="2" t="inlineStr">
        <is>
          <t xml:space="preserve">Σ  </t>
        </is>
      </c>
    </row>
    <row r="42">
      <c r="A42" s="89" t="inlineStr">
        <is>
          <t xml:space="preserve">Diferencia bases </t>
        </is>
      </c>
      <c r="B42" s="90">
        <f>+B39-B40-B41</f>
        <v/>
      </c>
      <c r="C42" s="90">
        <f>+C39-C40-C41</f>
        <v/>
      </c>
      <c r="D42" s="90">
        <f>+D39-D40-D41</f>
        <v/>
      </c>
      <c r="E42" s="90">
        <f>+E39-E40-E41</f>
        <v/>
      </c>
      <c r="F42" s="90">
        <f>+F39-F40-F41</f>
        <v/>
      </c>
      <c r="G42" s="113">
        <f>+G39-G40-G41</f>
        <v/>
      </c>
      <c r="H42" s="90">
        <f>+H39-H40-H41</f>
        <v/>
      </c>
      <c r="I42" s="90">
        <f>+I39-I40-I41</f>
        <v/>
      </c>
      <c r="J42" s="90">
        <f>+J39-J40-J41</f>
        <v/>
      </c>
      <c r="K42" s="90">
        <f>+K39-K40-K41</f>
        <v/>
      </c>
      <c r="L42" s="90">
        <f>+L39-L40-L41</f>
        <v/>
      </c>
      <c r="M42" s="90">
        <f>+M39-M40-M41+M43</f>
        <v/>
      </c>
      <c r="N42" s="90">
        <f>+SUM(B42:M42)</f>
        <v/>
      </c>
      <c r="O42" s="4" t="inlineStr">
        <is>
          <t xml:space="preserve">‡ </t>
        </is>
      </c>
    </row>
    <row r="43" customFormat="1" s="57">
      <c r="A43" s="194" t="n"/>
      <c r="B43" s="55" t="n"/>
      <c r="C43" s="55" t="n"/>
      <c r="D43" s="55" t="n"/>
      <c r="E43" s="55" t="n"/>
      <c r="F43" s="55" t="n"/>
      <c r="G43" s="55" t="n"/>
      <c r="H43" s="55" t="n"/>
      <c r="I43" s="55" t="n"/>
      <c r="J43" s="55" t="n"/>
      <c r="K43" s="55" t="n"/>
      <c r="L43" s="115" t="n"/>
      <c r="M43" s="115" t="n"/>
      <c r="N43" s="55" t="inlineStr">
        <is>
          <t>R</t>
        </is>
      </c>
    </row>
    <row r="44">
      <c r="B44" s="129" t="n"/>
      <c r="C44" s="215" t="n"/>
      <c r="D44" s="215" t="n"/>
      <c r="E44" s="29" t="n"/>
      <c r="F44" s="215" t="n"/>
      <c r="G44" s="215" t="n"/>
      <c r="H44" s="215" t="n"/>
      <c r="I44" s="215" t="n"/>
      <c r="J44" s="215" t="n"/>
      <c r="K44" s="215" t="n"/>
      <c r="L44" s="115" t="n"/>
      <c r="M44" s="115" t="n"/>
      <c r="N44" s="217" t="n"/>
    </row>
    <row r="45">
      <c r="A45" s="128" t="inlineStr">
        <is>
          <t>Casillero (399-352+498) (F 103)</t>
        </is>
      </c>
      <c r="B45" s="107" t="n"/>
      <c r="C45" s="107" t="n"/>
      <c r="D45" s="107" t="n"/>
      <c r="E45" s="107" t="n"/>
      <c r="F45" s="107" t="n"/>
      <c r="G45" s="107" t="n"/>
      <c r="H45" s="107" t="n"/>
      <c r="I45" s="107" t="n"/>
      <c r="J45" s="107" t="n"/>
      <c r="K45" s="107" t="n"/>
      <c r="L45" s="107" t="n"/>
      <c r="M45" s="107">
        <f>0-0</f>
        <v/>
      </c>
      <c r="N45" s="90">
        <f>+SUM(B45:M45)</f>
        <v/>
      </c>
      <c r="O45" s="2" t="inlineStr">
        <is>
          <t xml:space="preserve">Σ  </t>
        </is>
      </c>
    </row>
    <row r="46">
      <c r="A46" s="130" t="inlineStr">
        <is>
          <t>Valor retenido ATS IMP Renta</t>
        </is>
      </c>
      <c r="B46" s="107" t="n"/>
      <c r="C46" s="107" t="n"/>
      <c r="D46" s="107" t="n"/>
      <c r="E46" s="107" t="n"/>
      <c r="F46" s="107" t="n"/>
      <c r="G46" s="107" t="n"/>
      <c r="H46" s="107" t="n"/>
      <c r="I46" s="107" t="n"/>
      <c r="J46" s="107" t="n"/>
      <c r="K46" s="107" t="n"/>
      <c r="L46" s="107" t="n"/>
      <c r="M46" s="107" t="n"/>
      <c r="N46" s="90">
        <f>+SUM(B46:M46)</f>
        <v/>
      </c>
      <c r="O46" s="2" t="inlineStr">
        <is>
          <t xml:space="preserve">Σ  </t>
        </is>
      </c>
    </row>
    <row r="47">
      <c r="A47" s="89" t="inlineStr">
        <is>
          <t>Diferencia valor retenido</t>
        </is>
      </c>
      <c r="B47" s="90">
        <f>+B45-B46</f>
        <v/>
      </c>
      <c r="C47" s="90">
        <f>+C45-C46</f>
        <v/>
      </c>
      <c r="D47" s="90">
        <f>+D45-D46</f>
        <v/>
      </c>
      <c r="E47" s="90">
        <f>+E45-E46</f>
        <v/>
      </c>
      <c r="F47" s="90">
        <f>+F45-F46</f>
        <v/>
      </c>
      <c r="G47" s="90">
        <f>+G45-G46</f>
        <v/>
      </c>
      <c r="H47" s="90">
        <f>+H45-H46</f>
        <v/>
      </c>
      <c r="I47" s="90">
        <f>+I45-I46</f>
        <v/>
      </c>
      <c r="J47" s="90">
        <f>+J45-J46</f>
        <v/>
      </c>
      <c r="K47" s="90">
        <f>+K45-K46</f>
        <v/>
      </c>
      <c r="L47" s="90">
        <f>+L45-L46</f>
        <v/>
      </c>
      <c r="M47" s="90">
        <f>+M45-M46+M48</f>
        <v/>
      </c>
      <c r="N47" s="90">
        <f>+SUM(B47:M47)</f>
        <v/>
      </c>
      <c r="O47" s="4" t="inlineStr">
        <is>
          <t xml:space="preserve">‡ </t>
        </is>
      </c>
    </row>
    <row r="48">
      <c r="A48" s="8" t="n"/>
      <c r="B48" s="30" t="n"/>
      <c r="C48" s="30" t="n"/>
      <c r="D48" s="30" t="n"/>
      <c r="E48" s="29" t="n"/>
      <c r="F48" s="30" t="n"/>
      <c r="G48" s="30" t="n"/>
      <c r="H48" s="30" t="n"/>
      <c r="I48" s="30" t="n"/>
      <c r="J48" s="30" t="n"/>
      <c r="K48" s="30" t="n"/>
      <c r="L48" s="30" t="n"/>
      <c r="M48" s="30" t="n"/>
      <c r="N48" s="30" t="n"/>
    </row>
    <row r="49">
      <c r="A49" s="8" t="n"/>
      <c r="B49" s="30" t="n"/>
      <c r="C49" s="30" t="n"/>
      <c r="D49" s="30" t="n"/>
      <c r="E49" s="29" t="n"/>
      <c r="F49" s="30" t="n"/>
      <c r="G49" s="30" t="n"/>
      <c r="H49" s="30" t="n"/>
      <c r="I49" s="30" t="n"/>
      <c r="J49" s="30" t="n"/>
      <c r="K49" s="30" t="n"/>
      <c r="L49" s="30" t="n"/>
      <c r="M49" s="30" t="n"/>
      <c r="N49" s="30" t="n"/>
    </row>
    <row r="50">
      <c r="A50" s="89" t="inlineStr">
        <is>
          <t>Retenciones de iva</t>
        </is>
      </c>
      <c r="B50" s="105" t="inlineStr">
        <is>
          <t>Enero</t>
        </is>
      </c>
      <c r="C50" s="105" t="inlineStr">
        <is>
          <t>Febrero</t>
        </is>
      </c>
      <c r="D50" s="105" t="inlineStr">
        <is>
          <t>Marzo</t>
        </is>
      </c>
      <c r="E50" s="105" t="inlineStr">
        <is>
          <t>Abril</t>
        </is>
      </c>
      <c r="F50" s="105" t="inlineStr">
        <is>
          <t>Mayo</t>
        </is>
      </c>
      <c r="G50" s="105" t="inlineStr">
        <is>
          <t>Junio</t>
        </is>
      </c>
      <c r="H50" s="105" t="inlineStr">
        <is>
          <t>Julio</t>
        </is>
      </c>
      <c r="I50" s="105" t="inlineStr">
        <is>
          <t>Agosto</t>
        </is>
      </c>
      <c r="J50" s="105" t="inlineStr">
        <is>
          <t>Septiembre</t>
        </is>
      </c>
      <c r="K50" s="105" t="inlineStr">
        <is>
          <t>Octubre</t>
        </is>
      </c>
      <c r="L50" s="105" t="inlineStr">
        <is>
          <t>Noviembre</t>
        </is>
      </c>
      <c r="M50" s="105" t="inlineStr">
        <is>
          <t>Diciembre</t>
        </is>
      </c>
      <c r="N50" s="105" t="inlineStr">
        <is>
          <t xml:space="preserve">Total </t>
        </is>
      </c>
    </row>
    <row r="51">
      <c r="A51" s="103" t="inlineStr">
        <is>
          <t>Retenciones del 30% (F 104)</t>
        </is>
      </c>
      <c r="B51" s="104">
        <f>+'DM7 Retenciones x pagar'!J21</f>
        <v/>
      </c>
      <c r="C51" s="104">
        <f>+'DM7 Retenciones x pagar'!J22</f>
        <v/>
      </c>
      <c r="D51" s="104">
        <f>+'DM7 Retenciones x pagar'!J23</f>
        <v/>
      </c>
      <c r="E51" s="104">
        <f>+'DM7 Retenciones x pagar'!J24</f>
        <v/>
      </c>
      <c r="F51" s="104">
        <f>+'DM7 Retenciones x pagar'!J25</f>
        <v/>
      </c>
      <c r="G51" s="104">
        <f>+'DM7 Retenciones x pagar'!J26</f>
        <v/>
      </c>
      <c r="H51" s="104">
        <f>+'DM7 Retenciones x pagar'!J27</f>
        <v/>
      </c>
      <c r="I51" s="104">
        <f>+'DM7 Retenciones x pagar'!J28</f>
        <v/>
      </c>
      <c r="J51" s="104">
        <f>+'DM7 Retenciones x pagar'!J29</f>
        <v/>
      </c>
      <c r="K51" s="104">
        <f>+'DM7 Retenciones x pagar'!J30</f>
        <v/>
      </c>
      <c r="L51" s="104">
        <f>+'DM7 Retenciones x pagar'!J31</f>
        <v/>
      </c>
      <c r="M51" s="104">
        <f>+'DM7 Retenciones x pagar'!J32</f>
        <v/>
      </c>
      <c r="N51" s="106">
        <f>+SUM(B51:M51)</f>
        <v/>
      </c>
      <c r="O51" s="2" t="inlineStr">
        <is>
          <t xml:space="preserve">Σ  </t>
        </is>
      </c>
    </row>
    <row r="52">
      <c r="A52" s="103" t="inlineStr">
        <is>
          <t>Retenciones del 70%  (F 104)</t>
        </is>
      </c>
      <c r="B52" s="104">
        <f>+'DM7 Retenciones x pagar'!K21</f>
        <v/>
      </c>
      <c r="C52" s="104">
        <f>+'DM7 Retenciones x pagar'!K22</f>
        <v/>
      </c>
      <c r="D52" s="104">
        <f>+'DM7 Retenciones x pagar'!K23</f>
        <v/>
      </c>
      <c r="E52" s="104">
        <f>+'DM7 Retenciones x pagar'!K24</f>
        <v/>
      </c>
      <c r="F52" s="104">
        <f>+'DM7 Retenciones x pagar'!K25</f>
        <v/>
      </c>
      <c r="G52" s="104">
        <f>+'DM7 Retenciones x pagar'!K26</f>
        <v/>
      </c>
      <c r="H52" s="104">
        <f>+'DM7 Retenciones x pagar'!K27</f>
        <v/>
      </c>
      <c r="I52" s="104">
        <f>+'DM7 Retenciones x pagar'!K28</f>
        <v/>
      </c>
      <c r="J52" s="104">
        <f>+'DM7 Retenciones x pagar'!K29</f>
        <v/>
      </c>
      <c r="K52" s="104">
        <f>+'DM7 Retenciones x pagar'!K30</f>
        <v/>
      </c>
      <c r="L52" s="104">
        <f>+'DM7 Retenciones x pagar'!K31</f>
        <v/>
      </c>
      <c r="M52" s="104">
        <f>+'DM7 Retenciones x pagar'!K32</f>
        <v/>
      </c>
      <c r="N52" s="106">
        <f>+SUM(B52:M52)</f>
        <v/>
      </c>
      <c r="O52" s="2" t="inlineStr">
        <is>
          <t xml:space="preserve">Σ  </t>
        </is>
      </c>
    </row>
    <row r="53">
      <c r="A53" s="103" t="inlineStr">
        <is>
          <t>Retenciones del 100%  (F 104)</t>
        </is>
      </c>
      <c r="B53" s="104">
        <f>+'DM7 Retenciones x pagar'!L21</f>
        <v/>
      </c>
      <c r="C53" s="104">
        <f>+'DM7 Retenciones x pagar'!L22</f>
        <v/>
      </c>
      <c r="D53" s="104">
        <f>+'DM7 Retenciones x pagar'!L23</f>
        <v/>
      </c>
      <c r="E53" s="104">
        <f>+'DM7 Retenciones x pagar'!L24</f>
        <v/>
      </c>
      <c r="F53" s="104">
        <f>+'DM7 Retenciones x pagar'!L25</f>
        <v/>
      </c>
      <c r="G53" s="104">
        <f>+'DM7 Retenciones x pagar'!L26</f>
        <v/>
      </c>
      <c r="H53" s="104">
        <f>+'DM7 Retenciones x pagar'!L27</f>
        <v/>
      </c>
      <c r="I53" s="104">
        <f>+'DM7 Retenciones x pagar'!L28</f>
        <v/>
      </c>
      <c r="J53" s="104">
        <f>+'DM7 Retenciones x pagar'!L29</f>
        <v/>
      </c>
      <c r="K53" s="104">
        <f>+'DM7 Retenciones x pagar'!L30</f>
        <v/>
      </c>
      <c r="L53" s="104">
        <f>+'DM7 Retenciones x pagar'!L31</f>
        <v/>
      </c>
      <c r="M53" s="104">
        <f>+'DM7 Retenciones x pagar'!L32</f>
        <v/>
      </c>
      <c r="N53" s="106">
        <f>+SUM(B53:M53)</f>
        <v/>
      </c>
      <c r="O53" s="2" t="inlineStr">
        <is>
          <t xml:space="preserve">Σ  </t>
        </is>
      </c>
    </row>
    <row r="54">
      <c r="A54" s="103" t="inlineStr">
        <is>
          <t>Retenciones del 10% (F 104)</t>
        </is>
      </c>
      <c r="B54" s="104">
        <f>+'DM7 Retenciones x pagar'!H21</f>
        <v/>
      </c>
      <c r="C54" s="104">
        <f>+'DM7 Retenciones x pagar'!H22</f>
        <v/>
      </c>
      <c r="D54" s="104">
        <f>+'DM7 Retenciones x pagar'!H23</f>
        <v/>
      </c>
      <c r="E54" s="104">
        <f>+'DM7 Retenciones x pagar'!H24</f>
        <v/>
      </c>
      <c r="F54" s="104">
        <f>+'DM7 Retenciones x pagar'!H25</f>
        <v/>
      </c>
      <c r="G54" s="104">
        <f>+'DM7 Retenciones x pagar'!H26</f>
        <v/>
      </c>
      <c r="H54" s="104">
        <f>+'DM7 Retenciones x pagar'!H27</f>
        <v/>
      </c>
      <c r="I54" s="104">
        <f>+'DM7 Retenciones x pagar'!H28</f>
        <v/>
      </c>
      <c r="J54" s="104">
        <f>+'DM7 Retenciones x pagar'!H29</f>
        <v/>
      </c>
      <c r="K54" s="104">
        <f>+'DM7 Retenciones x pagar'!H30</f>
        <v/>
      </c>
      <c r="L54" s="104">
        <f>+'DM7 Retenciones x pagar'!H31</f>
        <v/>
      </c>
      <c r="M54" s="104">
        <f>+'DM7 Retenciones x pagar'!H32</f>
        <v/>
      </c>
      <c r="N54" s="106">
        <f>+SUM(B54:M54)</f>
        <v/>
      </c>
      <c r="O54" s="2" t="inlineStr">
        <is>
          <t xml:space="preserve">Σ  </t>
        </is>
      </c>
    </row>
    <row r="55">
      <c r="A55" s="103" t="inlineStr">
        <is>
          <t>Retenciones del 20% (F 104)</t>
        </is>
      </c>
      <c r="B55" s="104">
        <f>+'DM7 Retenciones x pagar'!I21</f>
        <v/>
      </c>
      <c r="C55" s="104">
        <f>+'DM7 Retenciones x pagar'!I22</f>
        <v/>
      </c>
      <c r="D55" s="104">
        <f>+'DM7 Retenciones x pagar'!I23</f>
        <v/>
      </c>
      <c r="E55" s="104">
        <f>+'DM7 Retenciones x pagar'!I24</f>
        <v/>
      </c>
      <c r="F55" s="104">
        <f>+'DM7 Retenciones x pagar'!I25</f>
        <v/>
      </c>
      <c r="G55" s="104">
        <f>+'DM7 Retenciones x pagar'!I26</f>
        <v/>
      </c>
      <c r="H55" s="104">
        <f>+'DM7 Retenciones x pagar'!I27</f>
        <v/>
      </c>
      <c r="I55" s="104">
        <f>+'DM7 Retenciones x pagar'!I28</f>
        <v/>
      </c>
      <c r="J55" s="104">
        <f>+'DM7 Retenciones x pagar'!I29</f>
        <v/>
      </c>
      <c r="K55" s="104">
        <f>+'DM7 Retenciones x pagar'!I30</f>
        <v/>
      </c>
      <c r="L55" s="104">
        <f>+'DM7 Retenciones x pagar'!I31</f>
        <v/>
      </c>
      <c r="M55" s="104">
        <f>+'DM7 Retenciones x pagar'!I32</f>
        <v/>
      </c>
      <c r="N55" s="106">
        <f>+SUM(B55:M55)</f>
        <v/>
      </c>
      <c r="O55" s="2" t="inlineStr">
        <is>
          <t xml:space="preserve">Σ  </t>
        </is>
      </c>
    </row>
    <row r="56">
      <c r="A56" s="89" t="inlineStr">
        <is>
          <t>Según formulario 104</t>
        </is>
      </c>
      <c r="B56" s="90">
        <f>SUM(B51:B55)</f>
        <v/>
      </c>
      <c r="C56" s="90">
        <f>SUM(C51:C55)</f>
        <v/>
      </c>
      <c r="D56" s="90">
        <f>SUM(D51:D55)</f>
        <v/>
      </c>
      <c r="E56" s="90">
        <f>SUM(E51:E55)</f>
        <v/>
      </c>
      <c r="F56" s="90">
        <f>SUM(F51:F55)</f>
        <v/>
      </c>
      <c r="G56" s="90">
        <f>SUM(G51:G55)</f>
        <v/>
      </c>
      <c r="H56" s="90">
        <f>SUM(H51:H55)</f>
        <v/>
      </c>
      <c r="I56" s="90">
        <f>SUM(I51:I55)</f>
        <v/>
      </c>
      <c r="J56" s="90">
        <f>SUM(J51:J55)</f>
        <v/>
      </c>
      <c r="K56" s="90">
        <f>SUM(K51:K55)</f>
        <v/>
      </c>
      <c r="L56" s="90">
        <f>SUM(L51:L55)</f>
        <v/>
      </c>
      <c r="M56" s="90">
        <f>SUM(M51:M55)</f>
        <v/>
      </c>
      <c r="N56" s="90">
        <f>SUM(N51:N55)</f>
        <v/>
      </c>
      <c r="O56" s="4" t="n"/>
    </row>
    <row r="57">
      <c r="B57" s="215" t="n"/>
      <c r="C57" s="215" t="n"/>
      <c r="D57" s="215" t="n"/>
      <c r="E57" s="215" t="n"/>
      <c r="F57" s="215" t="n"/>
      <c r="G57" s="215" t="n"/>
      <c r="H57" s="215" t="n"/>
      <c r="I57" s="215" t="n"/>
      <c r="J57" s="215" t="n"/>
      <c r="K57" s="215" t="n"/>
      <c r="L57" s="215" t="n"/>
      <c r="M57" s="215" t="n"/>
      <c r="N57" s="217" t="n"/>
    </row>
    <row r="58">
      <c r="A58" s="103" t="inlineStr">
        <is>
          <t>Retenciones del 30%  ATS</t>
        </is>
      </c>
      <c r="B58" s="104" t="n"/>
      <c r="C58" s="104" t="n"/>
      <c r="D58" s="104" t="n"/>
      <c r="E58" s="104" t="n"/>
      <c r="F58" s="104" t="n"/>
      <c r="G58" s="104" t="n"/>
      <c r="H58" s="104" t="n"/>
      <c r="I58" s="104" t="n"/>
      <c r="J58" s="104" t="n"/>
      <c r="K58" s="104" t="n"/>
      <c r="L58" s="104" t="n"/>
      <c r="M58" s="104" t="n"/>
      <c r="N58" s="90">
        <f>+SUM(B58:M58)</f>
        <v/>
      </c>
      <c r="O58" s="2" t="inlineStr">
        <is>
          <t xml:space="preserve">Σ  </t>
        </is>
      </c>
    </row>
    <row r="59">
      <c r="A59" s="103" t="inlineStr">
        <is>
          <t>Retenciones del 70%  ATS</t>
        </is>
      </c>
      <c r="B59" s="104" t="n"/>
      <c r="C59" s="104" t="n"/>
      <c r="D59" s="104" t="n"/>
      <c r="E59" s="104" t="n"/>
      <c r="F59" s="104" t="n"/>
      <c r="G59" s="104" t="n"/>
      <c r="H59" s="104" t="n"/>
      <c r="I59" s="104" t="n"/>
      <c r="J59" s="104" t="n"/>
      <c r="K59" s="104" t="n"/>
      <c r="L59" s="104" t="n"/>
      <c r="M59" s="104" t="n"/>
      <c r="N59" s="90">
        <f>+SUM(B59:M59)</f>
        <v/>
      </c>
      <c r="O59" s="2" t="inlineStr">
        <is>
          <t xml:space="preserve">Σ  </t>
        </is>
      </c>
    </row>
    <row r="60">
      <c r="A60" s="103" t="inlineStr">
        <is>
          <t>Retenciones del 100% ATS</t>
        </is>
      </c>
      <c r="B60" s="104" t="n"/>
      <c r="C60" s="104" t="n"/>
      <c r="D60" s="104" t="n"/>
      <c r="E60" s="104" t="n"/>
      <c r="F60" s="104" t="n"/>
      <c r="G60" s="104" t="n"/>
      <c r="H60" s="104" t="n"/>
      <c r="I60" s="104" t="n"/>
      <c r="J60" s="104" t="n"/>
      <c r="K60" s="104" t="n"/>
      <c r="L60" s="104" t="n">
        <v>0</v>
      </c>
      <c r="M60" s="104" t="n"/>
      <c r="N60" s="90">
        <f>+SUM(B60:M60)</f>
        <v/>
      </c>
      <c r="O60" s="2" t="inlineStr">
        <is>
          <t xml:space="preserve">Σ  </t>
        </is>
      </c>
    </row>
    <row r="61">
      <c r="A61" s="103" t="inlineStr">
        <is>
          <t>Retenciones del 10% ATS</t>
        </is>
      </c>
      <c r="B61" s="104" t="n"/>
      <c r="C61" s="104" t="n"/>
      <c r="D61" s="104" t="n"/>
      <c r="E61" s="104" t="n"/>
      <c r="F61" s="104" t="n"/>
      <c r="G61" s="104" t="n"/>
      <c r="H61" s="104" t="n"/>
      <c r="I61" s="104" t="n"/>
      <c r="J61" s="104" t="n"/>
      <c r="K61" s="104" t="n"/>
      <c r="L61" s="104" t="n"/>
      <c r="M61" s="104" t="n"/>
      <c r="N61" s="90">
        <f>+SUM(B61:M61)</f>
        <v/>
      </c>
      <c r="O61" s="2" t="inlineStr">
        <is>
          <t xml:space="preserve">Σ  </t>
        </is>
      </c>
    </row>
    <row r="62">
      <c r="A62" s="103" t="inlineStr">
        <is>
          <t>Retenciones del 20% ATS</t>
        </is>
      </c>
      <c r="B62" s="104" t="n"/>
      <c r="C62" s="104" t="n"/>
      <c r="D62" s="104" t="n"/>
      <c r="E62" s="104" t="n"/>
      <c r="F62" s="104" t="n"/>
      <c r="G62" s="104" t="n"/>
      <c r="H62" s="104" t="n"/>
      <c r="I62" s="104" t="n"/>
      <c r="J62" s="104" t="n"/>
      <c r="K62" s="104" t="n"/>
      <c r="L62" s="104" t="n"/>
      <c r="M62" s="104" t="n"/>
      <c r="N62" s="90">
        <f>+SUM(B62:M62)</f>
        <v/>
      </c>
      <c r="O62" s="2" t="inlineStr">
        <is>
          <t xml:space="preserve">Σ  </t>
        </is>
      </c>
    </row>
    <row r="63">
      <c r="A63" s="89" t="inlineStr">
        <is>
          <t>Según ATS</t>
        </is>
      </c>
      <c r="B63" s="90">
        <f>SUM(B58:B62)</f>
        <v/>
      </c>
      <c r="C63" s="90">
        <f>SUM(C58:C62)</f>
        <v/>
      </c>
      <c r="D63" s="90">
        <f>SUM(D58:D62)</f>
        <v/>
      </c>
      <c r="E63" s="90">
        <f>SUM(E58:E62)</f>
        <v/>
      </c>
      <c r="F63" s="90">
        <f>SUM(F58:F62)</f>
        <v/>
      </c>
      <c r="G63" s="90">
        <f>SUM(G58:G62)</f>
        <v/>
      </c>
      <c r="H63" s="90">
        <f>SUM(H58:H62)</f>
        <v/>
      </c>
      <c r="I63" s="90">
        <f>SUM(I58:I62)</f>
        <v/>
      </c>
      <c r="J63" s="90">
        <f>SUM(J58:J62)</f>
        <v/>
      </c>
      <c r="K63" s="90">
        <f>SUM(K58:K62)</f>
        <v/>
      </c>
      <c r="L63" s="90">
        <f>SUM(L58:L62)</f>
        <v/>
      </c>
      <c r="M63" s="90">
        <f>SUM(M58:M62)</f>
        <v/>
      </c>
      <c r="N63" s="90">
        <f>SUM(N58:N62)</f>
        <v/>
      </c>
      <c r="O63" s="4" t="n"/>
    </row>
    <row r="64">
      <c r="B64" s="215" t="n"/>
      <c r="C64" s="215" t="n"/>
      <c r="D64" s="215" t="n"/>
      <c r="E64" s="215" t="n"/>
      <c r="F64" s="215" t="n"/>
      <c r="G64" s="215" t="n"/>
      <c r="H64" s="215" t="n"/>
      <c r="I64" s="215" t="n"/>
      <c r="J64" s="215" t="n"/>
      <c r="K64" s="215" t="n"/>
      <c r="L64" s="215" t="n"/>
      <c r="M64" s="215" t="n"/>
      <c r="N64" s="217" t="n"/>
    </row>
    <row r="65">
      <c r="A65" s="103" t="inlineStr">
        <is>
          <t>Retenciones del 30%</t>
        </is>
      </c>
      <c r="B65" s="104">
        <f>+B51-B58</f>
        <v/>
      </c>
      <c r="C65" s="104">
        <f>+C51-C58</f>
        <v/>
      </c>
      <c r="D65" s="104">
        <f>+D51-D58</f>
        <v/>
      </c>
      <c r="E65" s="104">
        <f>+E51-E58</f>
        <v/>
      </c>
      <c r="F65" s="104">
        <f>+F51-F58</f>
        <v/>
      </c>
      <c r="G65" s="104">
        <f>+G51-G58</f>
        <v/>
      </c>
      <c r="H65" s="104">
        <f>+H51-H58</f>
        <v/>
      </c>
      <c r="I65" s="104">
        <f>+I51-I58</f>
        <v/>
      </c>
      <c r="J65" s="104">
        <f>+J51-J58</f>
        <v/>
      </c>
      <c r="K65" s="104">
        <f>+K51-K58</f>
        <v/>
      </c>
      <c r="L65" s="104">
        <f>+L51-L58</f>
        <v/>
      </c>
      <c r="M65" s="104">
        <f>+M51-M58</f>
        <v/>
      </c>
      <c r="N65" s="106">
        <f>+SUM(B65:M65)</f>
        <v/>
      </c>
      <c r="O65" s="2" t="inlineStr">
        <is>
          <t xml:space="preserve">Σ  </t>
        </is>
      </c>
    </row>
    <row r="66">
      <c r="A66" s="103" t="inlineStr">
        <is>
          <t>Retenciones del 70%</t>
        </is>
      </c>
      <c r="B66" s="104">
        <f>+B52-B59</f>
        <v/>
      </c>
      <c r="C66" s="104">
        <f>+C52-C59</f>
        <v/>
      </c>
      <c r="D66" s="104">
        <f>+D52-D59</f>
        <v/>
      </c>
      <c r="E66" s="104">
        <f>+E52-E59</f>
        <v/>
      </c>
      <c r="F66" s="104">
        <f>+F52-F59</f>
        <v/>
      </c>
      <c r="G66" s="104">
        <f>+G52-G59</f>
        <v/>
      </c>
      <c r="H66" s="104">
        <f>+H52-H59</f>
        <v/>
      </c>
      <c r="I66" s="104">
        <f>+I52-I59</f>
        <v/>
      </c>
      <c r="J66" s="104">
        <f>+J52-J59</f>
        <v/>
      </c>
      <c r="K66" s="104">
        <f>+K52-K59</f>
        <v/>
      </c>
      <c r="L66" s="104">
        <f>+L52-L59</f>
        <v/>
      </c>
      <c r="M66" s="104">
        <f>+M52-M59</f>
        <v/>
      </c>
      <c r="N66" s="106">
        <f>+SUM(B66:M66)</f>
        <v/>
      </c>
      <c r="O66" s="2" t="inlineStr">
        <is>
          <t xml:space="preserve">Σ  </t>
        </is>
      </c>
    </row>
    <row r="67">
      <c r="A67" s="103" t="inlineStr">
        <is>
          <t>Reteciones del 100%</t>
        </is>
      </c>
      <c r="B67" s="104">
        <f>+B53-B60</f>
        <v/>
      </c>
      <c r="C67" s="104">
        <f>+C53-C60</f>
        <v/>
      </c>
      <c r="D67" s="104">
        <f>+D53-D60</f>
        <v/>
      </c>
      <c r="E67" s="104">
        <f>+E53-E60</f>
        <v/>
      </c>
      <c r="F67" s="104">
        <f>+F53-F60</f>
        <v/>
      </c>
      <c r="G67" s="104">
        <f>+G53-G60</f>
        <v/>
      </c>
      <c r="H67" s="104">
        <f>+H53-H60</f>
        <v/>
      </c>
      <c r="I67" s="104">
        <f>+I53-I60</f>
        <v/>
      </c>
      <c r="J67" s="104">
        <f>+J53-J60</f>
        <v/>
      </c>
      <c r="K67" s="104">
        <f>+K53-K60</f>
        <v/>
      </c>
      <c r="L67" s="104">
        <f>+L53-L60</f>
        <v/>
      </c>
      <c r="M67" s="104">
        <f>+M53-M60</f>
        <v/>
      </c>
      <c r="N67" s="106">
        <f>+SUM(B67:M67)</f>
        <v/>
      </c>
      <c r="O67" s="2" t="inlineStr">
        <is>
          <t xml:space="preserve">Σ  </t>
        </is>
      </c>
    </row>
    <row r="68">
      <c r="A68" s="103" t="inlineStr">
        <is>
          <t>Reteciones del 10%</t>
        </is>
      </c>
      <c r="B68" s="104">
        <f>+B54-B61</f>
        <v/>
      </c>
      <c r="C68" s="104">
        <f>+C54-C61</f>
        <v/>
      </c>
      <c r="D68" s="104">
        <f>+D54-D61</f>
        <v/>
      </c>
      <c r="E68" s="104">
        <f>+E54-E61</f>
        <v/>
      </c>
      <c r="F68" s="104">
        <f>+F54-F61</f>
        <v/>
      </c>
      <c r="G68" s="104">
        <f>+G54-G61</f>
        <v/>
      </c>
      <c r="H68" s="104">
        <f>+H54-H61</f>
        <v/>
      </c>
      <c r="I68" s="104">
        <f>+I54-I61</f>
        <v/>
      </c>
      <c r="J68" s="104">
        <f>+J54-J61</f>
        <v/>
      </c>
      <c r="K68" s="104">
        <f>+K54-K61</f>
        <v/>
      </c>
      <c r="L68" s="104">
        <f>+L54-L61</f>
        <v/>
      </c>
      <c r="M68" s="104">
        <f>+M54-M61</f>
        <v/>
      </c>
      <c r="N68" s="106">
        <f>+SUM(B68:M68)</f>
        <v/>
      </c>
      <c r="O68" s="2" t="inlineStr">
        <is>
          <t xml:space="preserve">Σ  </t>
        </is>
      </c>
    </row>
    <row r="69">
      <c r="A69" s="103" t="inlineStr">
        <is>
          <t>Reteciones del 20%</t>
        </is>
      </c>
      <c r="B69" s="104">
        <f>+B55-B62</f>
        <v/>
      </c>
      <c r="C69" s="104">
        <f>+C55-C62</f>
        <v/>
      </c>
      <c r="D69" s="104">
        <f>+D55-D62</f>
        <v/>
      </c>
      <c r="E69" s="104">
        <f>+E55-E62</f>
        <v/>
      </c>
      <c r="F69" s="104">
        <f>+F55-F62</f>
        <v/>
      </c>
      <c r="G69" s="104">
        <f>+G55-G62</f>
        <v/>
      </c>
      <c r="H69" s="104">
        <f>+H55-H62</f>
        <v/>
      </c>
      <c r="I69" s="104">
        <f>+I55-I62</f>
        <v/>
      </c>
      <c r="J69" s="104">
        <f>+J55-J62</f>
        <v/>
      </c>
      <c r="K69" s="104">
        <f>+K55-K62</f>
        <v/>
      </c>
      <c r="L69" s="104">
        <f>+L55-L62</f>
        <v/>
      </c>
      <c r="M69" s="104">
        <f>+M55-M62</f>
        <v/>
      </c>
      <c r="N69" s="106">
        <f>+SUM(B69:M69)</f>
        <v/>
      </c>
      <c r="O69" s="2" t="inlineStr">
        <is>
          <t xml:space="preserve">Σ  </t>
        </is>
      </c>
    </row>
    <row r="70">
      <c r="A70" s="89" t="inlineStr">
        <is>
          <t>Diferencia</t>
        </is>
      </c>
      <c r="B70" s="90">
        <f>SUM(B65:B69)</f>
        <v/>
      </c>
      <c r="C70" s="90">
        <f>SUM(C65:C69)</f>
        <v/>
      </c>
      <c r="D70" s="90">
        <f>SUM(D65:D69)</f>
        <v/>
      </c>
      <c r="E70" s="90">
        <f>SUM(E65:E69)</f>
        <v/>
      </c>
      <c r="F70" s="90">
        <f>SUM(F65:F69)</f>
        <v/>
      </c>
      <c r="G70" s="90">
        <f>SUM(G65:G69)</f>
        <v/>
      </c>
      <c r="H70" s="90">
        <f>SUM(H65:H69)</f>
        <v/>
      </c>
      <c r="I70" s="90">
        <f>SUM(I65:I69)</f>
        <v/>
      </c>
      <c r="J70" s="90">
        <f>SUM(J65:J69)</f>
        <v/>
      </c>
      <c r="K70" s="90">
        <f>SUM(K65:K69)</f>
        <v/>
      </c>
      <c r="L70" s="90">
        <f>SUM(L65:L69)</f>
        <v/>
      </c>
      <c r="M70" s="90">
        <f>SUM(M65:M69)</f>
        <v/>
      </c>
      <c r="N70" s="90">
        <f>SUM(N65:N69)</f>
        <v/>
      </c>
      <c r="O70" s="4" t="inlineStr">
        <is>
          <t xml:space="preserve">‡ </t>
        </is>
      </c>
    </row>
    <row r="71">
      <c r="B71" s="215" t="n"/>
      <c r="C71" s="215" t="n"/>
      <c r="D71" s="215" t="n"/>
      <c r="E71" s="215" t="n"/>
      <c r="F71" s="215" t="n"/>
      <c r="G71" s="215" t="n"/>
      <c r="H71" s="215" t="n"/>
      <c r="I71" s="215" t="n"/>
      <c r="J71" s="215" t="n"/>
      <c r="K71" s="215" t="n"/>
      <c r="L71" s="215" t="n"/>
      <c r="M71" s="215" t="n"/>
      <c r="N71" s="217" t="n"/>
    </row>
    <row r="72">
      <c r="A72" s="103" t="inlineStr">
        <is>
          <t>IVA RETENIDO X VENTAS según libros</t>
        </is>
      </c>
      <c r="B72" s="104">
        <f>+'DM6 IVA'!U20</f>
        <v/>
      </c>
      <c r="C72" s="104">
        <f>+'DM6 IVA'!U21</f>
        <v/>
      </c>
      <c r="D72" s="104">
        <f>+'DM6 IVA'!U22</f>
        <v/>
      </c>
      <c r="E72" s="104">
        <f>+'DM6 IVA'!U23</f>
        <v/>
      </c>
      <c r="F72" s="104">
        <f>+'DM6 IVA'!U24</f>
        <v/>
      </c>
      <c r="G72" s="104">
        <f>+'DM6 IVA'!U25</f>
        <v/>
      </c>
      <c r="H72" s="104">
        <f>+'DM6 IVA'!U26</f>
        <v/>
      </c>
      <c r="I72" s="104">
        <f>+'DM6 IVA'!U27</f>
        <v/>
      </c>
      <c r="J72" s="104">
        <f>+'DM6 IVA'!U28</f>
        <v/>
      </c>
      <c r="K72" s="104">
        <f>+'DM6 IVA'!U29</f>
        <v/>
      </c>
      <c r="L72" s="104">
        <f>+'DM6 IVA'!U30</f>
        <v/>
      </c>
      <c r="M72" s="104">
        <f>+'DM6 IVA'!U31</f>
        <v/>
      </c>
      <c r="N72" s="106">
        <f>+SUM(B72:M72)</f>
        <v/>
      </c>
    </row>
    <row r="73">
      <c r="A73" s="109" t="inlineStr">
        <is>
          <t>Ret. Iva. Recibidas según formulario 104 (casillero 609)</t>
        </is>
      </c>
      <c r="B73" s="104" t="n">
        <v>0</v>
      </c>
      <c r="C73" s="104" t="n"/>
      <c r="D73" s="104" t="n">
        <v>0</v>
      </c>
      <c r="E73" s="104" t="n"/>
      <c r="F73" s="104" t="n"/>
      <c r="G73" s="104" t="n">
        <v>0</v>
      </c>
      <c r="H73" s="104" t="n">
        <v>0</v>
      </c>
      <c r="I73" s="104" t="n">
        <v>0</v>
      </c>
      <c r="J73" s="104" t="n">
        <v>0</v>
      </c>
      <c r="K73" s="104" t="n">
        <v>0</v>
      </c>
      <c r="L73" s="104" t="n">
        <v>0</v>
      </c>
      <c r="M73" s="104" t="n">
        <v>0</v>
      </c>
      <c r="N73" s="106">
        <f>+SUM(B73:M73)</f>
        <v/>
      </c>
      <c r="O73" s="2" t="inlineStr">
        <is>
          <t xml:space="preserve">Σ  </t>
        </is>
      </c>
    </row>
    <row r="74">
      <c r="A74" s="89" t="inlineStr">
        <is>
          <t>Diferencia</t>
        </is>
      </c>
      <c r="B74" s="90">
        <f>B72-B73</f>
        <v/>
      </c>
      <c r="C74" s="90">
        <f>C72-C73</f>
        <v/>
      </c>
      <c r="D74" s="90">
        <f>D72-D73</f>
        <v/>
      </c>
      <c r="E74" s="90">
        <f>E72-E73</f>
        <v/>
      </c>
      <c r="F74" s="90">
        <f>F72-F73</f>
        <v/>
      </c>
      <c r="G74" s="90">
        <f>G72-G73</f>
        <v/>
      </c>
      <c r="H74" s="90">
        <f>H72-H73</f>
        <v/>
      </c>
      <c r="I74" s="90">
        <f>I72-I73</f>
        <v/>
      </c>
      <c r="J74" s="90">
        <f>J72-J73</f>
        <v/>
      </c>
      <c r="K74" s="90">
        <f>K72-K73</f>
        <v/>
      </c>
      <c r="L74" s="90">
        <f>L72-L73</f>
        <v/>
      </c>
      <c r="M74" s="90">
        <f>M72-M73</f>
        <v/>
      </c>
      <c r="N74" s="90">
        <f>+SUM(B74:M74)</f>
        <v/>
      </c>
      <c r="O74" s="4" t="inlineStr">
        <is>
          <t xml:space="preserve">‡ </t>
        </is>
      </c>
    </row>
    <row r="76" hidden="1">
      <c r="A76" s="233" t="inlineStr">
        <is>
          <t xml:space="preserve">Ret. IVA Recibidas según formularios </t>
        </is>
      </c>
      <c r="B76" s="104">
        <f>+'DM6 IVA'!AE20</f>
        <v/>
      </c>
      <c r="C76" s="104">
        <f>+'DM6 IVA'!AE21</f>
        <v/>
      </c>
      <c r="D76" s="104">
        <f>+'DM6 IVA'!AE22</f>
        <v/>
      </c>
      <c r="E76" s="104">
        <f>+'DM6 IVA'!AE23</f>
        <v/>
      </c>
      <c r="F76" s="104">
        <f>+'DM6 IVA'!AE24</f>
        <v/>
      </c>
      <c r="G76" s="104">
        <f>+'DM6 IVA'!AE25</f>
        <v/>
      </c>
      <c r="H76" s="104">
        <f>+'DM6 IVA'!AE26</f>
        <v/>
      </c>
      <c r="I76" s="104">
        <f>+'DM6 IVA'!AE27</f>
        <v/>
      </c>
      <c r="J76" s="104">
        <f>'DM6 IVA'!AE28</f>
        <v/>
      </c>
      <c r="K76" s="104">
        <f>'DM6 IVA'!U29</f>
        <v/>
      </c>
      <c r="L76" s="104">
        <f>'DM6 IVA'!U30</f>
        <v/>
      </c>
      <c r="M76" s="104">
        <f>'DM6 IVA'!U31</f>
        <v/>
      </c>
      <c r="N76" s="108">
        <f>+SUM(B76:M76)</f>
        <v/>
      </c>
    </row>
    <row r="77" hidden="1">
      <c r="A77" s="287" t="inlineStr">
        <is>
          <t>Ret. Iva. Recibidas según ATS</t>
        </is>
      </c>
      <c r="B77" s="225" t="n">
        <v>0</v>
      </c>
      <c r="C77" s="225" t="n">
        <v>0</v>
      </c>
      <c r="D77" s="225" t="n">
        <v>0</v>
      </c>
      <c r="E77" s="225" t="n">
        <v>0</v>
      </c>
      <c r="F77" s="225" t="n">
        <v>0</v>
      </c>
      <c r="G77" s="225" t="n">
        <v>0</v>
      </c>
      <c r="H77" s="225" t="n">
        <v>0</v>
      </c>
      <c r="I77" s="225" t="n">
        <v>0</v>
      </c>
      <c r="J77" s="225" t="n">
        <v>0</v>
      </c>
      <c r="K77" s="225">
        <f>'DM6 IVA'!U33</f>
        <v/>
      </c>
      <c r="L77" s="225">
        <f>'DM6 IVA'!U34</f>
        <v/>
      </c>
      <c r="M77" s="225" t="n">
        <v>0</v>
      </c>
      <c r="N77" s="108">
        <f>+SUM(B77:M77)</f>
        <v/>
      </c>
      <c r="O77" s="2" t="inlineStr">
        <is>
          <t xml:space="preserve">Σ  </t>
        </is>
      </c>
    </row>
    <row r="78" hidden="1">
      <c r="A78" s="89" t="inlineStr">
        <is>
          <t>Diferencia</t>
        </is>
      </c>
      <c r="B78" s="87">
        <f>B76-B77</f>
        <v/>
      </c>
      <c r="C78" s="87">
        <f>C76-C77</f>
        <v/>
      </c>
      <c r="D78" s="87">
        <f>D76-D77</f>
        <v/>
      </c>
      <c r="E78" s="87">
        <f>E76-E77</f>
        <v/>
      </c>
      <c r="F78" s="87">
        <f>F76-F77</f>
        <v/>
      </c>
      <c r="G78" s="87">
        <f>G76-G77</f>
        <v/>
      </c>
      <c r="H78" s="87">
        <f>H76-H77</f>
        <v/>
      </c>
      <c r="I78" s="87">
        <f>I76-I77</f>
        <v/>
      </c>
      <c r="J78" s="87">
        <f>J76-J77</f>
        <v/>
      </c>
      <c r="K78" s="87">
        <f>K76-K77</f>
        <v/>
      </c>
      <c r="L78" s="87">
        <f>L76-L77</f>
        <v/>
      </c>
      <c r="M78" s="87">
        <f>M76-M77</f>
        <v/>
      </c>
      <c r="N78" s="87">
        <f>+SUM(B78:M78)</f>
        <v/>
      </c>
      <c r="O78" s="4" t="inlineStr">
        <is>
          <t xml:space="preserve">‡ </t>
        </is>
      </c>
    </row>
    <row r="79" hidden="1"/>
    <row r="80" hidden="1">
      <c r="A80" s="233" t="inlineStr">
        <is>
          <t>Retenciones fuentes recibidas según libros</t>
        </is>
      </c>
      <c r="B80" s="225" t="n"/>
      <c r="C80" s="225" t="n"/>
      <c r="D80" s="225" t="n"/>
      <c r="E80" s="225" t="n"/>
      <c r="F80" s="225" t="n">
        <v>0</v>
      </c>
      <c r="G80" s="225" t="n"/>
      <c r="H80" s="225" t="n"/>
      <c r="I80" s="225" t="n"/>
      <c r="J80" s="225" t="n">
        <v>0</v>
      </c>
      <c r="K80" s="225" t="n">
        <v>0</v>
      </c>
      <c r="L80" s="225" t="n">
        <v>0</v>
      </c>
      <c r="M80" s="225" t="n">
        <v>0</v>
      </c>
      <c r="N80" s="108">
        <f>+SUM(B80:M80)</f>
        <v/>
      </c>
      <c r="O80" s="2" t="inlineStr">
        <is>
          <t xml:space="preserve">Σ  </t>
        </is>
      </c>
    </row>
    <row r="81" hidden="1">
      <c r="A81" s="233" t="inlineStr">
        <is>
          <t>Valor de Renta que han retenido ATS</t>
        </is>
      </c>
      <c r="B81" s="225" t="n">
        <v>0</v>
      </c>
      <c r="C81" s="225" t="n">
        <v>0</v>
      </c>
      <c r="D81" s="225" t="n">
        <v>0</v>
      </c>
      <c r="E81" s="225" t="n">
        <v>0</v>
      </c>
      <c r="F81" s="225" t="n">
        <v>0</v>
      </c>
      <c r="G81" s="225" t="n">
        <v>0</v>
      </c>
      <c r="H81" s="225" t="n">
        <v>0</v>
      </c>
      <c r="I81" s="225" t="n">
        <v>0</v>
      </c>
      <c r="J81" s="225" t="n">
        <v>0</v>
      </c>
      <c r="K81" s="225" t="n">
        <v>0</v>
      </c>
      <c r="L81" s="225" t="n">
        <v>0</v>
      </c>
      <c r="M81" s="225" t="n">
        <v>0</v>
      </c>
      <c r="N81" s="108">
        <f>+SUM(B81:M81)</f>
        <v/>
      </c>
      <c r="O81" s="2" t="inlineStr">
        <is>
          <t xml:space="preserve">Σ  </t>
        </is>
      </c>
    </row>
    <row r="82" hidden="1">
      <c r="A82" s="101" t="inlineStr">
        <is>
          <t>Diferencia</t>
        </is>
      </c>
      <c r="B82" s="87">
        <f>B80-B81</f>
        <v/>
      </c>
      <c r="C82" s="87">
        <f>C80-C81</f>
        <v/>
      </c>
      <c r="D82" s="87">
        <f>D80-D81</f>
        <v/>
      </c>
      <c r="E82" s="87">
        <f>E80-E81</f>
        <v/>
      </c>
      <c r="F82" s="87">
        <f>F80-F81</f>
        <v/>
      </c>
      <c r="G82" s="87">
        <f>G80-G81</f>
        <v/>
      </c>
      <c r="H82" s="87">
        <f>H80-H81</f>
        <v/>
      </c>
      <c r="I82" s="87">
        <f>I80-I81</f>
        <v/>
      </c>
      <c r="J82" s="87">
        <f>J80-J81</f>
        <v/>
      </c>
      <c r="K82" s="87">
        <f>K80-K81</f>
        <v/>
      </c>
      <c r="L82" s="87">
        <f>L80-L81</f>
        <v/>
      </c>
      <c r="M82" s="87">
        <f>M80-M81</f>
        <v/>
      </c>
      <c r="N82" s="87">
        <f>+N80-N81</f>
        <v/>
      </c>
      <c r="O82" s="4" t="inlineStr">
        <is>
          <t xml:space="preserve">‡ </t>
        </is>
      </c>
    </row>
    <row r="83" hidden="1"/>
    <row r="84">
      <c r="C84" s="217" t="n"/>
      <c r="H84" s="217" t="n"/>
    </row>
    <row r="86">
      <c r="B86" s="32" t="inlineStr">
        <is>
          <t xml:space="preserve">Diferencia en las Bases Imponibles del formualrio 103 y formulario 104 </t>
        </is>
      </c>
    </row>
    <row r="87">
      <c r="B87" s="33" t="n"/>
    </row>
    <row r="88">
      <c r="C88" s="473" t="inlineStr">
        <is>
          <t xml:space="preserve">Según </t>
        </is>
      </c>
    </row>
    <row r="89" ht="25.5" customHeight="1">
      <c r="B89" s="192" t="inlineStr">
        <is>
          <t>Mes</t>
        </is>
      </c>
      <c r="C89" s="192" t="inlineStr">
        <is>
          <t>Formulario 104</t>
        </is>
      </c>
      <c r="D89" s="192" t="inlineStr">
        <is>
          <t>Importaciones 15%</t>
        </is>
      </c>
      <c r="E89" s="192" t="inlineStr">
        <is>
          <t>Formulario 103</t>
        </is>
      </c>
      <c r="F89" s="192" t="inlineStr">
        <is>
          <t>Diferencia</t>
        </is>
      </c>
    </row>
    <row r="90">
      <c r="B90" s="34" t="inlineStr">
        <is>
          <t>Enero</t>
        </is>
      </c>
      <c r="C90" s="564" t="n"/>
      <c r="D90" s="565" t="n">
        <v>0</v>
      </c>
      <c r="E90" s="565">
        <f>+B39</f>
        <v/>
      </c>
      <c r="F90" s="565">
        <f>+C90-D90-E90</f>
        <v/>
      </c>
    </row>
    <row r="91">
      <c r="B91" s="34" t="inlineStr">
        <is>
          <t>Febrero</t>
        </is>
      </c>
      <c r="C91" s="564" t="n"/>
      <c r="D91" s="565" t="n">
        <v>0</v>
      </c>
      <c r="E91" s="565">
        <f>+C39</f>
        <v/>
      </c>
      <c r="F91" s="565">
        <f>+C91-D91-E91</f>
        <v/>
      </c>
    </row>
    <row r="92">
      <c r="B92" s="34" t="inlineStr">
        <is>
          <t xml:space="preserve">Marzo </t>
        </is>
      </c>
      <c r="C92" s="564" t="n"/>
      <c r="D92" s="565" t="n">
        <v>0</v>
      </c>
      <c r="E92" s="565">
        <f>+D39</f>
        <v/>
      </c>
      <c r="F92" s="565">
        <f>+C92-D92-E92</f>
        <v/>
      </c>
    </row>
    <row r="93">
      <c r="B93" s="34" t="inlineStr">
        <is>
          <t xml:space="preserve">Abril </t>
        </is>
      </c>
      <c r="C93" s="564" t="n"/>
      <c r="D93" s="565" t="n">
        <v>0</v>
      </c>
      <c r="E93" s="565">
        <f>+E39</f>
        <v/>
      </c>
      <c r="F93" s="565">
        <f>+C93-D93-E93</f>
        <v/>
      </c>
    </row>
    <row r="94">
      <c r="B94" s="34" t="inlineStr">
        <is>
          <t xml:space="preserve">Mayo </t>
        </is>
      </c>
      <c r="C94" s="564" t="n"/>
      <c r="D94" s="565" t="n">
        <v>0</v>
      </c>
      <c r="E94" s="565">
        <f>+F39</f>
        <v/>
      </c>
      <c r="F94" s="565">
        <f>+C94-D94-E94</f>
        <v/>
      </c>
    </row>
    <row r="95">
      <c r="B95" s="34" t="inlineStr">
        <is>
          <t xml:space="preserve">Junio </t>
        </is>
      </c>
      <c r="C95" s="564" t="n"/>
      <c r="D95" s="565" t="n">
        <v>0</v>
      </c>
      <c r="E95" s="565">
        <f>+G39</f>
        <v/>
      </c>
      <c r="F95" s="565">
        <f>+C95-D95-E95</f>
        <v/>
      </c>
    </row>
    <row r="96">
      <c r="B96" s="34" t="inlineStr">
        <is>
          <t xml:space="preserve">Julio </t>
        </is>
      </c>
      <c r="C96" s="564" t="n"/>
      <c r="D96" s="565" t="n">
        <v>0</v>
      </c>
      <c r="E96" s="565">
        <f>+H39</f>
        <v/>
      </c>
      <c r="F96" s="565">
        <f>+C96-D96-E96</f>
        <v/>
      </c>
    </row>
    <row r="97">
      <c r="B97" s="34" t="inlineStr">
        <is>
          <t xml:space="preserve">Agosto </t>
        </is>
      </c>
      <c r="C97" s="564" t="n"/>
      <c r="D97" s="565" t="n">
        <v>0</v>
      </c>
      <c r="E97" s="565">
        <f>+I39</f>
        <v/>
      </c>
      <c r="F97" s="565">
        <f>+C97-D97-E97</f>
        <v/>
      </c>
    </row>
    <row r="98">
      <c r="B98" s="34" t="inlineStr">
        <is>
          <t xml:space="preserve">Septiembre </t>
        </is>
      </c>
      <c r="C98" s="564" t="n"/>
      <c r="D98" s="565" t="n">
        <v>0</v>
      </c>
      <c r="E98" s="565">
        <f>+J39</f>
        <v/>
      </c>
      <c r="F98" s="565">
        <f>+C98-D98-E98</f>
        <v/>
      </c>
    </row>
    <row r="99">
      <c r="B99" s="34" t="inlineStr">
        <is>
          <t xml:space="preserve">Octubre </t>
        </is>
      </c>
      <c r="C99" s="564" t="n"/>
      <c r="D99" s="565" t="n">
        <v>0</v>
      </c>
      <c r="E99" s="565">
        <f>+K39</f>
        <v/>
      </c>
      <c r="F99" s="565">
        <f>+C99-D99-E99</f>
        <v/>
      </c>
    </row>
    <row r="100">
      <c r="B100" s="34" t="inlineStr">
        <is>
          <t xml:space="preserve">Noviembre </t>
        </is>
      </c>
      <c r="C100" s="564" t="n"/>
      <c r="D100" s="565" t="n">
        <v>0</v>
      </c>
      <c r="E100" s="565">
        <f>+L39</f>
        <v/>
      </c>
      <c r="F100" s="565">
        <f>+C100-D100-E100</f>
        <v/>
      </c>
    </row>
    <row r="101" ht="13.5" customHeight="1" thickBot="1">
      <c r="B101" s="34" t="inlineStr">
        <is>
          <t xml:space="preserve">Diciembre </t>
        </is>
      </c>
      <c r="C101" s="564" t="n"/>
      <c r="D101" s="565" t="n">
        <v>0</v>
      </c>
      <c r="E101" s="565">
        <f>+M39</f>
        <v/>
      </c>
      <c r="F101" s="565">
        <f>+C101-D101-E101-H101</f>
        <v/>
      </c>
    </row>
    <row r="102" ht="13.5" customHeight="1" thickBot="1">
      <c r="B102" s="190" t="inlineStr">
        <is>
          <t>Total</t>
        </is>
      </c>
      <c r="C102" s="566">
        <f>SUM(C90:C101)</f>
        <v/>
      </c>
      <c r="D102" s="566">
        <f>SUM(D90:D101)</f>
        <v/>
      </c>
      <c r="E102" s="566">
        <f>SUM(E90:E101)</f>
        <v/>
      </c>
      <c r="F102" s="566">
        <f>SUM(F90:F101)</f>
        <v/>
      </c>
    </row>
    <row r="103" ht="13.5" customHeight="1" thickTop="1">
      <c r="C103" s="16" t="inlineStr">
        <is>
          <t xml:space="preserve">Σ  </t>
        </is>
      </c>
      <c r="E103" s="16" t="inlineStr">
        <is>
          <t xml:space="preserve">Σ  </t>
        </is>
      </c>
    </row>
    <row r="108">
      <c r="B108" s="3" t="inlineStr">
        <is>
          <t>Marcas:</t>
        </is>
      </c>
    </row>
    <row r="109">
      <c r="B109" s="3" t="n"/>
    </row>
    <row r="110">
      <c r="A110" s="54" t="inlineStr">
        <is>
          <t>ü</t>
        </is>
      </c>
      <c r="B110" s="110" t="inlineStr">
        <is>
          <t>Cotejado según declaracion</t>
        </is>
      </c>
    </row>
    <row r="111">
      <c r="A111" s="54" t="inlineStr">
        <is>
          <t>£</t>
        </is>
      </c>
      <c r="B111" s="110" t="inlineStr">
        <is>
          <t>Cotejado según ATS</t>
        </is>
      </c>
    </row>
    <row r="112">
      <c r="A112" s="112" t="inlineStr">
        <is>
          <t xml:space="preserve">‡ </t>
        </is>
      </c>
      <c r="B112" s="8" t="inlineStr">
        <is>
          <t>Sumado, totalizado</t>
        </is>
      </c>
    </row>
    <row r="113">
      <c r="A113" s="5" t="inlineStr">
        <is>
          <t xml:space="preserve">Σ  </t>
        </is>
      </c>
      <c r="B113" s="111" t="inlineStr">
        <is>
          <t>Diferencia determinada.</t>
        </is>
      </c>
    </row>
  </sheetData>
  <mergeCells count="13">
    <mergeCell ref="A20:B20"/>
    <mergeCell ref="D16:E16"/>
    <mergeCell ref="D18:E18"/>
    <mergeCell ref="A12:E13"/>
    <mergeCell ref="D15:E15"/>
    <mergeCell ref="A19:B19"/>
    <mergeCell ref="A17:B17"/>
    <mergeCell ref="A14:E14"/>
    <mergeCell ref="C88:D88"/>
    <mergeCell ref="A18:B18"/>
    <mergeCell ref="D17:E17"/>
    <mergeCell ref="A16:C16"/>
    <mergeCell ref="A15:C15"/>
  </mergeCells>
  <pageMargins left="0.7" right="0.7" top="0.75" bottom="0.75" header="0.3" footer="0.3"/>
  <pageSetup orientation="portrait" scale="42"/>
  <colBreaks count="1" manualBreakCount="1">
    <brk id="15" min="0" max="1048575" man="1"/>
  </colBreaks>
</worksheet>
</file>

<file path=xl/worksheets/sheet10.xml><?xml version="1.0" encoding="utf-8"?>
<worksheet xmlns="http://schemas.openxmlformats.org/spreadsheetml/2006/main">
  <sheetPr>
    <outlinePr summaryBelow="1" summaryRight="1"/>
    <pageSetUpPr/>
  </sheetPr>
  <dimension ref="A1:O157"/>
  <sheetViews>
    <sheetView showGridLines="0" topLeftCell="A15" workbookViewId="0">
      <selection activeCell="F19" sqref="F19"/>
    </sheetView>
  </sheetViews>
  <sheetFormatPr baseColWidth="10" defaultColWidth="9.140625" defaultRowHeight="12.75"/>
  <cols>
    <col width="16.85546875" customWidth="1" style="323" min="1" max="1"/>
    <col width="40.28515625" customWidth="1" style="323" min="2" max="2"/>
    <col width="31.28515625" customWidth="1" style="323" min="3" max="3"/>
    <col width="11.42578125" customWidth="1" style="323" min="4" max="4"/>
    <col width="11" customWidth="1" style="323" min="5" max="5"/>
    <col width="11.42578125" customWidth="1" style="323" min="6" max="6"/>
    <col width="17" customWidth="1" style="323" min="7" max="7"/>
    <col width="21.7109375" customWidth="1" style="323" min="8" max="8"/>
    <col width="11.42578125" customWidth="1" style="323" min="9" max="256"/>
    <col width="9.140625" customWidth="1" style="323" min="257" max="16384"/>
  </cols>
  <sheetData>
    <row r="1" ht="35.25" customFormat="1" customHeight="1" s="317">
      <c r="A1" s="531" t="inlineStr">
        <is>
          <t>OBLIGACIONES FISCALES</t>
        </is>
      </c>
      <c r="B1" s="513" t="n"/>
      <c r="C1" s="513" t="n"/>
      <c r="D1" s="513" t="n"/>
      <c r="E1" s="514" t="n"/>
      <c r="F1" s="316" t="n"/>
      <c r="G1" s="316" t="n"/>
      <c r="H1" s="316" t="n"/>
      <c r="I1" s="316" t="n"/>
      <c r="J1" s="316" t="n"/>
      <c r="K1" s="316" t="n"/>
      <c r="L1" s="316" t="n"/>
      <c r="M1" s="316" t="n"/>
      <c r="N1" s="316" t="n"/>
      <c r="O1" s="316" t="n"/>
    </row>
    <row r="2" ht="46.5" customFormat="1" customHeight="1" s="317" thickBot="1">
      <c r="A2" s="515" t="n"/>
      <c r="B2" s="516" t="n"/>
      <c r="C2" s="516" t="n"/>
      <c r="D2" s="516" t="n"/>
      <c r="E2" s="517" t="n"/>
      <c r="F2" s="316" t="n"/>
      <c r="G2" s="316" t="n"/>
      <c r="H2" s="316" t="n"/>
      <c r="I2" s="316" t="n"/>
      <c r="J2" s="316" t="n"/>
      <c r="K2" s="316" t="n"/>
      <c r="L2" s="316" t="n"/>
      <c r="M2" s="316" t="n"/>
      <c r="N2" s="316" t="n"/>
      <c r="O2" s="316" t="n"/>
    </row>
    <row r="3" ht="20.25" customFormat="1" customHeight="1" s="317" thickBot="1">
      <c r="A3" s="532" t="inlineStr">
        <is>
          <t>REVISIÓN GENERAL DE LÍMITES DE COSTOS Y GASTOS</t>
        </is>
      </c>
      <c r="B3" s="519" t="n"/>
      <c r="C3" s="519" t="n"/>
      <c r="D3" s="519" t="n"/>
      <c r="E3" s="520" t="n"/>
      <c r="F3" s="316" t="n"/>
      <c r="G3" s="316" t="n"/>
      <c r="H3" s="316" t="n"/>
      <c r="I3" s="316" t="n"/>
      <c r="J3" s="316" t="n"/>
      <c r="K3" s="316" t="n"/>
      <c r="L3" s="316" t="n"/>
      <c r="M3" s="316" t="n"/>
      <c r="N3" s="316" t="n"/>
      <c r="O3" s="316" t="n"/>
    </row>
    <row r="4" customFormat="1" s="317">
      <c r="A4" s="443" t="inlineStr">
        <is>
          <t>Nombre del cliente</t>
        </is>
      </c>
      <c r="B4" s="513" t="n"/>
      <c r="C4" s="513" t="n"/>
      <c r="D4" s="445" t="inlineStr">
        <is>
          <t>Periodo terminado</t>
        </is>
      </c>
      <c r="E4" s="514" t="n"/>
      <c r="F4" s="316" t="n"/>
      <c r="G4" s="316" t="n"/>
      <c r="H4" s="316" t="n"/>
      <c r="I4" s="316" t="n"/>
      <c r="J4" s="316" t="n"/>
      <c r="K4" s="316" t="n"/>
      <c r="L4" s="316" t="n"/>
      <c r="M4" s="316" t="n"/>
      <c r="N4" s="316" t="n"/>
      <c r="O4" s="316" t="n"/>
    </row>
    <row r="5" ht="13.5" customFormat="1" customHeight="1" s="317" thickBot="1">
      <c r="A5" s="313" t="n"/>
      <c r="B5" s="314" t="n"/>
      <c r="C5" s="314" t="n"/>
      <c r="D5" s="533" t="n"/>
      <c r="E5" s="523" t="n"/>
      <c r="F5" s="316" t="n"/>
      <c r="G5" s="316" t="n"/>
      <c r="H5" s="316" t="n"/>
      <c r="I5" s="316" t="n"/>
      <c r="J5" s="316" t="n"/>
      <c r="K5" s="316" t="n"/>
      <c r="L5" s="316" t="n"/>
      <c r="M5" s="316" t="n"/>
      <c r="N5" s="316" t="n"/>
      <c r="O5" s="316" t="n"/>
    </row>
    <row r="6" customFormat="1" s="317">
      <c r="A6" s="429" t="inlineStr">
        <is>
          <t xml:space="preserve">Preparado por: </t>
        </is>
      </c>
      <c r="B6" s="513" t="n"/>
      <c r="C6" s="158" t="inlineStr">
        <is>
          <t>Fecha:</t>
        </is>
      </c>
      <c r="D6" s="431" t="inlineStr">
        <is>
          <t>Referencia</t>
        </is>
      </c>
      <c r="E6" s="514" t="n"/>
      <c r="F6" s="316" t="n"/>
      <c r="G6" s="316" t="n"/>
      <c r="H6" s="316" t="n"/>
      <c r="I6" s="316" t="n"/>
      <c r="J6" s="316" t="n"/>
      <c r="K6" s="316" t="n"/>
      <c r="L6" s="316" t="n"/>
      <c r="M6" s="316" t="n"/>
      <c r="N6" s="316" t="n"/>
      <c r="O6" s="316" t="n"/>
    </row>
    <row r="7" ht="13.5" customFormat="1" customHeight="1" s="317" thickBot="1">
      <c r="A7" s="315" t="n"/>
      <c r="B7" s="149" t="n"/>
      <c r="C7" s="159" t="n"/>
      <c r="D7" s="433" t="inlineStr">
        <is>
          <t>DM9</t>
        </is>
      </c>
      <c r="E7" s="523" t="n"/>
      <c r="F7" s="316" t="n"/>
      <c r="G7" s="316" t="n"/>
      <c r="H7" s="316" t="n"/>
      <c r="I7" s="316" t="n"/>
      <c r="J7" s="316" t="n"/>
      <c r="K7" s="316" t="n"/>
      <c r="L7" s="316" t="n"/>
      <c r="M7" s="316" t="n"/>
      <c r="N7" s="316" t="n"/>
      <c r="O7" s="316" t="n"/>
    </row>
    <row r="8" customFormat="1" s="317">
      <c r="A8" s="429" t="inlineStr">
        <is>
          <t xml:space="preserve">Revisado por: </t>
        </is>
      </c>
      <c r="B8" s="513" t="n"/>
      <c r="C8" s="158" t="inlineStr">
        <is>
          <t>Fecha:</t>
        </is>
      </c>
      <c r="D8" s="160" t="n"/>
      <c r="E8" s="318" t="n"/>
      <c r="F8" s="316" t="n"/>
      <c r="G8" s="316" t="n"/>
      <c r="H8" s="316" t="n"/>
      <c r="I8" s="316" t="n"/>
      <c r="J8" s="316" t="n"/>
      <c r="K8" s="316" t="n"/>
      <c r="L8" s="316" t="n"/>
      <c r="M8" s="316" t="n"/>
      <c r="N8" s="316" t="n"/>
      <c r="O8" s="316" t="n"/>
    </row>
    <row r="9" ht="13.5" customFormat="1" customHeight="1" s="317" thickBot="1">
      <c r="A9" s="315" t="n"/>
      <c r="B9" s="149" t="n"/>
      <c r="C9" s="161" t="n"/>
      <c r="D9" s="162" t="n"/>
      <c r="E9" s="319" t="n"/>
      <c r="F9" s="316" t="n"/>
      <c r="G9" s="316" t="n"/>
      <c r="H9" s="316" t="n"/>
      <c r="I9" s="316" t="n"/>
      <c r="J9" s="316" t="n"/>
      <c r="K9" s="316" t="n"/>
      <c r="L9" s="316" t="n"/>
      <c r="M9" s="316" t="n"/>
      <c r="N9" s="316" t="n"/>
      <c r="O9" s="316" t="n"/>
    </row>
    <row r="10">
      <c r="A10" s="312" t="n"/>
      <c r="B10" s="321" t="n"/>
      <c r="C10" s="322" t="n"/>
      <c r="D10" s="322" t="n"/>
      <c r="E10" s="322" t="n"/>
      <c r="F10" s="322" t="n"/>
    </row>
    <row r="11">
      <c r="A11" s="312" t="n"/>
      <c r="B11" s="312" t="n"/>
      <c r="C11" s="312" t="n"/>
      <c r="D11" s="322" t="n"/>
      <c r="E11" s="324" t="n"/>
      <c r="F11" s="322" t="n"/>
    </row>
    <row r="12">
      <c r="A12" s="325" t="inlineStr">
        <is>
          <t>REVISIÓN GENERAL DE LÍMITES DE COSTOS Y GASTOS</t>
        </is>
      </c>
      <c r="B12" s="312" t="n"/>
      <c r="C12" s="312" t="n"/>
      <c r="D12" s="322" t="n"/>
      <c r="E12" s="322" t="n"/>
      <c r="F12" s="322" t="n"/>
    </row>
    <row r="13">
      <c r="A13" s="325" t="n"/>
      <c r="B13" s="312" t="n"/>
      <c r="C13" s="312" t="n"/>
      <c r="D13" s="322" t="n"/>
      <c r="E13" s="322" t="n"/>
      <c r="F13" s="322" t="n"/>
    </row>
    <row r="14">
      <c r="A14" s="326" t="inlineStr">
        <is>
          <t>GASTOS DE GESTIÓN</t>
        </is>
      </c>
      <c r="B14" s="327" t="n"/>
      <c r="C14" s="327" t="n"/>
      <c r="D14" s="322" t="n"/>
      <c r="E14" s="322" t="n"/>
      <c r="F14" s="322" t="n"/>
    </row>
    <row r="15">
      <c r="A15" s="312" t="inlineStr">
        <is>
          <t>Cálculo del valor máximo de deducibilidad de gastos de gestión</t>
        </is>
      </c>
      <c r="B15" s="327" t="n"/>
      <c r="C15" s="327" t="n"/>
      <c r="D15" s="322" t="n"/>
      <c r="E15" s="322" t="n"/>
      <c r="F15" s="322" t="n"/>
    </row>
    <row r="16">
      <c r="A16" s="312" t="n"/>
      <c r="B16" s="327" t="n"/>
      <c r="C16" s="327" t="n"/>
      <c r="D16" s="322" t="n"/>
      <c r="E16" s="322" t="n"/>
      <c r="F16" s="322" t="n"/>
    </row>
    <row r="17" ht="51" customHeight="1">
      <c r="A17" s="495" t="inlineStr">
        <is>
          <t>No. Casillero declaración de I. Renta
(a)</t>
        </is>
      </c>
      <c r="B17" s="495" t="inlineStr">
        <is>
          <t>Descripción</t>
        </is>
      </c>
      <c r="C17" s="567" t="n"/>
      <c r="D17" s="568" t="n"/>
      <c r="E17" s="495" t="inlineStr">
        <is>
          <t>Referencia</t>
        </is>
      </c>
      <c r="F17" s="495" t="inlineStr">
        <is>
          <t>Valor</t>
        </is>
      </c>
      <c r="G17" s="495" t="inlineStr">
        <is>
          <t xml:space="preserve">Observaciones
</t>
        </is>
      </c>
    </row>
    <row r="18">
      <c r="A18" s="329" t="n">
        <v>7992</v>
      </c>
      <c r="B18" s="491" t="inlineStr">
        <is>
          <t>Total gastos declarados</t>
        </is>
      </c>
      <c r="C18" s="567" t="n"/>
      <c r="D18" s="568" t="n"/>
      <c r="E18" s="330" t="inlineStr">
        <is>
          <t>{1}</t>
        </is>
      </c>
      <c r="F18" s="331" t="n"/>
      <c r="G18" s="332" t="n"/>
    </row>
    <row r="19">
      <c r="A19" s="329" t="n">
        <v>7185</v>
      </c>
      <c r="B19" s="491" t="inlineStr">
        <is>
          <t>Gastos de gestión declarados</t>
        </is>
      </c>
      <c r="C19" s="567" t="n"/>
      <c r="D19" s="568" t="n"/>
      <c r="E19" s="330" t="inlineStr">
        <is>
          <t>{2}</t>
        </is>
      </c>
      <c r="F19" s="331" t="n"/>
      <c r="G19" s="332" t="n"/>
    </row>
    <row r="20">
      <c r="A20" s="333" t="inlineStr">
        <is>
          <t>-</t>
        </is>
      </c>
      <c r="B20" s="492" t="inlineStr">
        <is>
          <t xml:space="preserve">Total gastos generales (base para el cálculo del valor máximo de deducibilidad de gastos de gestión)                                                                                              </t>
        </is>
      </c>
      <c r="C20" s="567" t="n"/>
      <c r="D20" s="568" t="n"/>
      <c r="E20" s="334" t="inlineStr">
        <is>
          <t>{3}={1-2}</t>
        </is>
      </c>
      <c r="F20" s="335">
        <f>+F18-F19</f>
        <v/>
      </c>
      <c r="G20" s="332" t="n"/>
    </row>
    <row r="21">
      <c r="A21" s="329" t="inlineStr">
        <is>
          <t>-</t>
        </is>
      </c>
      <c r="B21" s="491" t="inlineStr">
        <is>
          <t>Porcentaje máximo de deducibilidad de gastos de gestión (b)</t>
        </is>
      </c>
      <c r="C21" s="567" t="n"/>
      <c r="D21" s="568" t="n"/>
      <c r="E21" s="330" t="inlineStr">
        <is>
          <t>{4}</t>
        </is>
      </c>
      <c r="F21" s="336" t="n"/>
      <c r="G21" s="332" t="n"/>
    </row>
    <row r="22">
      <c r="A22" s="333" t="inlineStr">
        <is>
          <t>-</t>
        </is>
      </c>
      <c r="B22" s="492" t="inlineStr">
        <is>
          <t xml:space="preserve">Valor máximo de deducibilidad de gastos de gestión           </t>
        </is>
      </c>
      <c r="C22" s="567" t="n"/>
      <c r="D22" s="568" t="n"/>
      <c r="E22" s="334" t="inlineStr">
        <is>
          <t>{5}={3*4}</t>
        </is>
      </c>
      <c r="F22" s="337">
        <f>F20*F21</f>
        <v/>
      </c>
      <c r="G22" s="332" t="n"/>
    </row>
    <row r="23">
      <c r="A23" s="338" t="n"/>
      <c r="B23" s="493" t="n"/>
      <c r="C23" s="567" t="n"/>
      <c r="D23" s="567" t="n"/>
      <c r="E23" s="339" t="n"/>
      <c r="F23" s="340" t="n"/>
      <c r="G23" s="332" t="n"/>
    </row>
    <row r="24">
      <c r="A24" s="329" t="n">
        <v>7185</v>
      </c>
      <c r="B24" s="491" t="inlineStr">
        <is>
          <t>Gastos de gestión declarados</t>
        </is>
      </c>
      <c r="C24" s="567" t="n"/>
      <c r="D24" s="568" t="n"/>
      <c r="E24" s="330" t="inlineStr">
        <is>
          <t>{6}</t>
        </is>
      </c>
      <c r="F24" s="341" t="n"/>
      <c r="G24" s="332" t="n"/>
    </row>
    <row r="25">
      <c r="A25" s="329" t="n">
        <v>7186</v>
      </c>
      <c r="B25" s="491" t="inlineStr">
        <is>
          <t>Gastos de gestión declarados como no deducibles</t>
        </is>
      </c>
      <c r="C25" s="567" t="n"/>
      <c r="D25" s="568" t="n"/>
      <c r="E25" s="330" t="inlineStr">
        <is>
          <t>{7}</t>
        </is>
      </c>
      <c r="F25" s="341" t="n"/>
      <c r="G25" s="332" t="n"/>
    </row>
    <row r="26">
      <c r="A26" s="333" t="inlineStr">
        <is>
          <t>-</t>
        </is>
      </c>
      <c r="B26" s="492" t="inlineStr">
        <is>
          <t>Gastos de gestión declarados como deducibles</t>
        </is>
      </c>
      <c r="C26" s="567" t="n"/>
      <c r="D26" s="568" t="n"/>
      <c r="E26" s="334" t="inlineStr">
        <is>
          <t>{8}={6-7}</t>
        </is>
      </c>
      <c r="F26" s="337">
        <f>+F24-F25</f>
        <v/>
      </c>
      <c r="G26" s="332" t="n"/>
    </row>
    <row r="27">
      <c r="A27" s="338" t="n"/>
      <c r="B27" s="493" t="n"/>
      <c r="C27" s="567" t="n"/>
      <c r="D27" s="567" t="n"/>
      <c r="E27" s="339" t="n"/>
      <c r="F27" s="342" t="n"/>
      <c r="G27" s="332" t="n"/>
    </row>
    <row r="28">
      <c r="A28" s="495" t="inlineStr">
        <is>
          <t>-</t>
        </is>
      </c>
      <c r="B28" s="494" t="inlineStr">
        <is>
          <t>Diferencia en el valor máximo de deducibilidad de gastos de gestión (c)</t>
        </is>
      </c>
      <c r="C28" s="567" t="n"/>
      <c r="D28" s="568" t="n"/>
      <c r="E28" s="343" t="inlineStr">
        <is>
          <t>{9}={8-5}</t>
        </is>
      </c>
      <c r="F28" s="337">
        <f>IF((F26-F22)&lt;=0,0,(F26-F22))</f>
        <v/>
      </c>
      <c r="G28" s="332" t="n"/>
    </row>
    <row r="31">
      <c r="A31" s="326" t="inlineStr">
        <is>
          <t>GASTOS DE VIAJE</t>
        </is>
      </c>
      <c r="B31" s="344" t="n"/>
      <c r="C31" s="344" t="n"/>
      <c r="D31" s="322" t="n"/>
      <c r="E31" s="322" t="n"/>
      <c r="F31" s="322" t="n"/>
    </row>
    <row r="32">
      <c r="A32" s="312" t="inlineStr">
        <is>
          <t>Cálculo del valor máximo de deducibilidad de gastos de viaje</t>
        </is>
      </c>
      <c r="B32" s="327" t="n"/>
      <c r="C32" s="312" t="n"/>
      <c r="D32" s="312" t="n"/>
      <c r="E32" s="322" t="n"/>
      <c r="F32" s="322" t="n"/>
    </row>
    <row r="33">
      <c r="A33" s="322" t="n"/>
      <c r="B33" s="344" t="n"/>
      <c r="C33" s="322" t="n"/>
      <c r="D33" s="322" t="n"/>
      <c r="E33" s="322" t="n"/>
      <c r="F33" s="322" t="n"/>
    </row>
    <row r="34" ht="51" customHeight="1">
      <c r="A34" s="495" t="inlineStr">
        <is>
          <t>No. Casillero declaración de I. Renta
(a)</t>
        </is>
      </c>
      <c r="B34" s="495" t="inlineStr">
        <is>
          <t>Descripción</t>
        </is>
      </c>
      <c r="C34" s="567" t="n"/>
      <c r="D34" s="568" t="n"/>
      <c r="E34" s="495" t="inlineStr">
        <is>
          <t>Referencia</t>
        </is>
      </c>
      <c r="F34" s="495" t="inlineStr">
        <is>
          <t>Valor</t>
        </is>
      </c>
      <c r="G34" s="495" t="inlineStr">
        <is>
          <t>Observaciones</t>
        </is>
      </c>
    </row>
    <row r="35">
      <c r="A35" s="345" t="n">
        <v>6999</v>
      </c>
      <c r="B35" s="491" t="inlineStr">
        <is>
          <t>Total Ingresos</t>
        </is>
      </c>
      <c r="C35" s="567" t="n"/>
      <c r="D35" s="568" t="n"/>
      <c r="E35" s="330" t="inlineStr">
        <is>
          <t>{1}</t>
        </is>
      </c>
      <c r="F35" s="346" t="n"/>
      <c r="G35" s="332" t="n"/>
    </row>
    <row r="36">
      <c r="A36" s="345" t="n">
        <v>804</v>
      </c>
      <c r="B36" s="491" t="inlineStr">
        <is>
          <t>Dividendos exentos y efectos por método de participación</t>
        </is>
      </c>
      <c r="C36" s="567" t="n"/>
      <c r="D36" s="568" t="n"/>
      <c r="E36" s="330" t="inlineStr">
        <is>
          <t>{2}</t>
        </is>
      </c>
      <c r="F36" s="347" t="n"/>
      <c r="G36" s="332" t="n"/>
    </row>
    <row r="37">
      <c r="A37" s="345" t="n">
        <v>805</v>
      </c>
      <c r="B37" s="491" t="inlineStr">
        <is>
          <t>Otras rentas exentas e ingresos no objeto de impuesto a la renta</t>
        </is>
      </c>
      <c r="C37" s="567" t="n"/>
      <c r="D37" s="568" t="n"/>
      <c r="E37" s="330" t="inlineStr">
        <is>
          <t>{3}</t>
        </is>
      </c>
      <c r="F37" s="347" t="n"/>
      <c r="G37" s="332" t="n"/>
    </row>
    <row r="38">
      <c r="A38" s="345" t="n">
        <v>812</v>
      </c>
      <c r="B38" s="491" t="inlineStr">
        <is>
          <t>Ingresos sujetos a impuesto a la renta único</t>
        </is>
      </c>
      <c r="C38" s="567" t="n"/>
      <c r="D38" s="568" t="n"/>
      <c r="E38" s="330" t="inlineStr">
        <is>
          <t>{4}</t>
        </is>
      </c>
      <c r="F38" s="347" t="n"/>
      <c r="G38" s="332" t="n"/>
    </row>
    <row r="39">
      <c r="A39" s="345" t="n">
        <v>1116</v>
      </c>
      <c r="B39" s="491" t="inlineStr">
        <is>
          <t>Diferencias temporarias - Por contratos de construcción (generación)</t>
        </is>
      </c>
      <c r="C39" s="567" t="n"/>
      <c r="D39" s="568" t="n"/>
      <c r="E39" s="330" t="inlineStr">
        <is>
          <t>{5}</t>
        </is>
      </c>
      <c r="F39" s="347" t="n"/>
      <c r="G39" s="332" t="n"/>
    </row>
    <row r="40" ht="21" customHeight="1">
      <c r="A40" s="345" t="n">
        <v>828</v>
      </c>
      <c r="B40" s="491" t="inlineStr">
        <is>
          <t>Diferencias temporarias - Por mediciones de activos biológicos al valor razonable menos costos de venta / Ingresos (generación)</t>
        </is>
      </c>
      <c r="C40" s="567" t="n"/>
      <c r="D40" s="568" t="n"/>
      <c r="E40" s="330" t="inlineStr">
        <is>
          <t>{6}</t>
        </is>
      </c>
      <c r="F40" s="347" t="n"/>
      <c r="G40" s="332" t="n"/>
    </row>
    <row r="41">
      <c r="A41" s="345" t="n">
        <v>834</v>
      </c>
      <c r="B41" s="491" t="inlineStr">
        <is>
          <t>Diferencias temporarias - Por otras diferencias temporarias (generación) (d)</t>
        </is>
      </c>
      <c r="C41" s="567" t="n"/>
      <c r="D41" s="568" t="n"/>
      <c r="E41" s="330" t="inlineStr">
        <is>
          <t>{7}</t>
        </is>
      </c>
      <c r="F41" s="347" t="n"/>
      <c r="G41" s="332" t="n"/>
    </row>
    <row r="42">
      <c r="A42" s="345" t="n">
        <v>1117</v>
      </c>
      <c r="B42" s="491" t="inlineStr">
        <is>
          <t>Diferencias temporarias - Por contratos de construcción (reversión)</t>
        </is>
      </c>
      <c r="C42" s="567" t="n"/>
      <c r="D42" s="568" t="n"/>
      <c r="E42" s="330" t="inlineStr">
        <is>
          <t>{8}</t>
        </is>
      </c>
      <c r="F42" s="347" t="n"/>
      <c r="G42" s="332" t="n"/>
    </row>
    <row r="43" ht="22.9" customHeight="1">
      <c r="A43" s="345" t="n">
        <v>829</v>
      </c>
      <c r="B43" s="491" t="inlineStr">
        <is>
          <t>Diferencias temporarias - Por mediciones de activos biológicos al valor razonable menos costos de venta / Ingresos (reversión)</t>
        </is>
      </c>
      <c r="C43" s="567" t="n"/>
      <c r="D43" s="568" t="n"/>
      <c r="E43" s="330" t="inlineStr">
        <is>
          <t>{9}</t>
        </is>
      </c>
      <c r="F43" s="347" t="n"/>
      <c r="G43" s="332" t="n"/>
    </row>
    <row r="44">
      <c r="A44" s="345" t="n">
        <v>835</v>
      </c>
      <c r="B44" s="491" t="inlineStr">
        <is>
          <t>Diferencias temporarias - Por otras diferencias temporarias (reversión) (d)</t>
        </is>
      </c>
      <c r="C44" s="567" t="n"/>
      <c r="D44" s="568" t="n"/>
      <c r="E44" s="330" t="inlineStr">
        <is>
          <t>{10}</t>
        </is>
      </c>
      <c r="F44" s="346" t="n"/>
      <c r="G44" s="332" t="n"/>
    </row>
    <row r="45" ht="38.25" customHeight="1">
      <c r="A45" s="333" t="inlineStr">
        <is>
          <t>-</t>
        </is>
      </c>
      <c r="B45" s="492" t="inlineStr">
        <is>
          <t xml:space="preserve">Total ingresos gravados (base para el cálculo del valor máximo de deducibilidad de gastos de viaje)                                                                                              </t>
        </is>
      </c>
      <c r="C45" s="567" t="n"/>
      <c r="D45" s="568" t="n"/>
      <c r="E45" s="334" t="inlineStr">
        <is>
          <t>{11}={1-2-3-4-5-6-7+8+9+10}</t>
        </is>
      </c>
      <c r="F45" s="348">
        <f>+F35-F36-F37-F38-F39-F40-F41+F42+F43+F44</f>
        <v/>
      </c>
      <c r="G45" s="332" t="n"/>
    </row>
    <row r="46">
      <c r="A46" s="329" t="inlineStr">
        <is>
          <t>-</t>
        </is>
      </c>
      <c r="B46" s="491" t="inlineStr">
        <is>
          <t>Porcentaje máximo de deducibilidad de gastos de viaje (e)</t>
        </is>
      </c>
      <c r="C46" s="567" t="n"/>
      <c r="D46" s="568" t="n"/>
      <c r="E46" s="330" t="inlineStr">
        <is>
          <t>{12}</t>
        </is>
      </c>
      <c r="F46" s="349" t="n"/>
      <c r="G46" s="332" t="n"/>
    </row>
    <row r="47" ht="25.5" customHeight="1">
      <c r="A47" s="333" t="inlineStr">
        <is>
          <t>-</t>
        </is>
      </c>
      <c r="B47" s="492" t="inlineStr">
        <is>
          <t>Valor máximo de deducibilidad de gastos de viaje</t>
        </is>
      </c>
      <c r="C47" s="567" t="n"/>
      <c r="D47" s="568" t="n"/>
      <c r="E47" s="334" t="inlineStr">
        <is>
          <t>{13}={11*12}</t>
        </is>
      </c>
      <c r="F47" s="350">
        <f>+F45*F46</f>
        <v/>
      </c>
      <c r="G47" s="332" t="n"/>
    </row>
    <row r="48">
      <c r="A48" s="351" t="n"/>
      <c r="B48" s="493" t="n"/>
      <c r="C48" s="567" t="n"/>
      <c r="D48" s="567" t="n"/>
      <c r="E48" s="352" t="n"/>
      <c r="F48" s="353" t="n"/>
      <c r="G48" s="332" t="n"/>
    </row>
    <row r="49">
      <c r="A49" s="329" t="n">
        <v>7182</v>
      </c>
      <c r="B49" s="491" t="inlineStr">
        <is>
          <t>Gastos de viaje declarados</t>
        </is>
      </c>
      <c r="C49" s="567" t="n"/>
      <c r="D49" s="568" t="n"/>
      <c r="E49" s="330" t="inlineStr">
        <is>
          <t>{14}</t>
        </is>
      </c>
      <c r="F49" s="346" t="n"/>
      <c r="G49" s="332" t="n"/>
    </row>
    <row r="50">
      <c r="A50" s="329" t="n"/>
      <c r="B50" s="491" t="inlineStr">
        <is>
          <t>Gastos de viaje declarados como no deducibles</t>
        </is>
      </c>
      <c r="C50" s="567" t="n"/>
      <c r="D50" s="568" t="n"/>
      <c r="E50" s="330" t="inlineStr">
        <is>
          <t>{15}</t>
        </is>
      </c>
      <c r="F50" s="346" t="n"/>
      <c r="G50" s="332" t="n"/>
    </row>
    <row r="51" ht="25.5" customHeight="1">
      <c r="A51" s="333" t="inlineStr">
        <is>
          <t>-</t>
        </is>
      </c>
      <c r="B51" s="492" t="inlineStr">
        <is>
          <t>Gastos de viaje declarados como deducibles</t>
        </is>
      </c>
      <c r="C51" s="567" t="n"/>
      <c r="D51" s="568" t="n"/>
      <c r="E51" s="334" t="inlineStr">
        <is>
          <t>{16}={14-15}</t>
        </is>
      </c>
      <c r="F51" s="350">
        <f>+F49-F50</f>
        <v/>
      </c>
      <c r="G51" s="332" t="n"/>
    </row>
    <row r="52">
      <c r="A52" s="351" t="n"/>
      <c r="B52" s="493" t="n"/>
      <c r="C52" s="567" t="n"/>
      <c r="D52" s="567" t="n"/>
      <c r="E52" s="352" t="n"/>
      <c r="F52" s="353" t="n"/>
      <c r="G52" s="332" t="n"/>
    </row>
    <row r="53" ht="25.5" customHeight="1">
      <c r="A53" s="354" t="inlineStr">
        <is>
          <t>-</t>
        </is>
      </c>
      <c r="B53" s="494" t="inlineStr">
        <is>
          <t>Diferencia en el valor máximo de deducibilidad de gastos de viaje (f)</t>
        </is>
      </c>
      <c r="C53" s="567" t="n"/>
      <c r="D53" s="568" t="n"/>
      <c r="E53" s="343" t="inlineStr">
        <is>
          <t>{17}={16-13}</t>
        </is>
      </c>
      <c r="F53" s="355">
        <f>IF((F51-F47)&lt;=0,0,(F51-F47))</f>
        <v/>
      </c>
      <c r="G53" s="332" t="n"/>
    </row>
    <row r="54">
      <c r="A54" s="322" t="n"/>
      <c r="B54" s="344" t="n"/>
      <c r="C54" s="344" t="n"/>
      <c r="D54" s="322" t="n"/>
      <c r="E54" s="322" t="n"/>
      <c r="F54" s="322" t="n"/>
    </row>
    <row r="55">
      <c r="A55" s="322" t="n"/>
      <c r="B55" s="344" t="n"/>
      <c r="C55" s="344" t="n"/>
      <c r="D55" s="322" t="n"/>
      <c r="E55" s="322" t="n"/>
      <c r="F55" s="322" t="n"/>
    </row>
    <row r="56">
      <c r="A56" s="326" t="inlineStr">
        <is>
          <t>GASTOS INDIRECTOS ASIGNADOS DESDE EL EXTERIOR POR PARTES RELACIONADAS</t>
        </is>
      </c>
      <c r="B56" s="344" t="n"/>
      <c r="C56" s="344" t="n"/>
      <c r="D56" s="322" t="n"/>
      <c r="E56" s="322" t="n"/>
      <c r="F56" s="322" t="n"/>
    </row>
    <row r="57">
      <c r="A57" s="312" t="inlineStr">
        <is>
          <t>Cálculo del valor máximo de deducibilidad de gastos indirectos asignados desde el exterior por partes relacionadas</t>
        </is>
      </c>
      <c r="B57" s="344" t="n"/>
      <c r="C57" s="344" t="n"/>
      <c r="D57" s="322" t="n"/>
      <c r="E57" s="322" t="n"/>
      <c r="F57" s="322" t="n"/>
    </row>
    <row r="58">
      <c r="A58" s="312" t="n"/>
      <c r="B58" s="344" t="n"/>
      <c r="C58" s="344" t="n"/>
      <c r="D58" s="322" t="n"/>
      <c r="E58" s="322" t="n"/>
      <c r="F58" s="322" t="n"/>
    </row>
    <row r="59" ht="51" customHeight="1">
      <c r="A59" s="495" t="inlineStr">
        <is>
          <t>No. Casillero declaración de I. Renta
(a)</t>
        </is>
      </c>
      <c r="B59" s="495" t="inlineStr">
        <is>
          <t>Descripción</t>
        </is>
      </c>
      <c r="C59" s="567" t="n"/>
      <c r="D59" s="568" t="n"/>
      <c r="E59" s="495" t="inlineStr">
        <is>
          <t>Referencia</t>
        </is>
      </c>
      <c r="F59" s="495" t="inlineStr">
        <is>
          <t>Valor</t>
        </is>
      </c>
      <c r="G59" s="495" t="inlineStr">
        <is>
          <t>Observaciones</t>
        </is>
      </c>
    </row>
    <row r="60">
      <c r="A60" s="345" t="inlineStr">
        <is>
          <t>-</t>
        </is>
      </c>
      <c r="B60" s="491" t="inlineStr">
        <is>
          <t>Utilidad gravable (base imponible) sin incluir límites (g)</t>
        </is>
      </c>
      <c r="C60" s="567" t="n"/>
      <c r="D60" s="568" t="n"/>
      <c r="E60" s="330" t="inlineStr">
        <is>
          <t>{1}</t>
        </is>
      </c>
      <c r="F60" s="356" t="n"/>
      <c r="G60" s="332" t="n"/>
    </row>
    <row r="61">
      <c r="A61" s="329" t="inlineStr">
        <is>
          <t>7205+7206</t>
        </is>
      </c>
      <c r="B61" s="491" t="inlineStr">
        <is>
          <t>Costos y gastos indirectos asignados desde el exterior por partes relacionadas declarados</t>
        </is>
      </c>
      <c r="C61" s="567" t="n"/>
      <c r="D61" s="568" t="n"/>
      <c r="E61" s="330" t="inlineStr">
        <is>
          <t>{2}</t>
        </is>
      </c>
      <c r="F61" s="357" t="n"/>
      <c r="G61" s="332" t="n"/>
    </row>
    <row r="62" ht="30" customHeight="1">
      <c r="A62" s="333" t="inlineStr">
        <is>
          <t>-</t>
        </is>
      </c>
      <c r="B62" s="492" t="inlineStr">
        <is>
          <t xml:space="preserve">Base imponible más el valor de los gastos indirectos asignados desde el exterior por partes relacionadas (base para el cálculo del valor máximo de deducibilidad de los gastos indirectos asignados desde el exterior por partes relacionadas)                                                                                       </t>
        </is>
      </c>
      <c r="C62" s="567" t="n"/>
      <c r="D62" s="568" t="n"/>
      <c r="E62" s="334" t="inlineStr">
        <is>
          <t>{3}={1+2}</t>
        </is>
      </c>
      <c r="F62" s="358">
        <f>+F60+F61</f>
        <v/>
      </c>
      <c r="G62" s="332" t="n"/>
    </row>
    <row r="63">
      <c r="A63" s="333" t="inlineStr">
        <is>
          <t>-</t>
        </is>
      </c>
      <c r="B63" s="491" t="inlineStr">
        <is>
          <t>Porcentaje máximo de deducibilidad de gastos indirectos asignados desde el exterior por partes relacionadas (h)</t>
        </is>
      </c>
      <c r="C63" s="567" t="n"/>
      <c r="D63" s="568" t="n"/>
      <c r="E63" s="330" t="inlineStr">
        <is>
          <t>{4}</t>
        </is>
      </c>
      <c r="F63" s="359" t="n"/>
      <c r="G63" s="332" t="n"/>
    </row>
    <row r="64">
      <c r="A64" s="333" t="inlineStr">
        <is>
          <t>-</t>
        </is>
      </c>
      <c r="B64" s="492" t="inlineStr">
        <is>
          <t>Valor máximo de deducibilidad de gastos indirectos asignados desde el exterior por partes relacionadas (i)</t>
        </is>
      </c>
      <c r="C64" s="567" t="n"/>
      <c r="D64" s="568" t="n"/>
      <c r="E64" s="334" t="inlineStr">
        <is>
          <t>{5}={3*4}</t>
        </is>
      </c>
      <c r="F64" s="358">
        <f>+IF(F60&lt;=0,0,F62*F63)</f>
        <v/>
      </c>
      <c r="G64" s="332" t="n"/>
    </row>
    <row r="65">
      <c r="A65" s="351" t="n"/>
      <c r="B65" s="493" t="n"/>
      <c r="C65" s="567" t="n"/>
      <c r="D65" s="567" t="n"/>
      <c r="E65" s="360" t="n"/>
      <c r="F65" s="361" t="n"/>
      <c r="G65" s="332" t="n"/>
    </row>
    <row r="66">
      <c r="A66" s="329" t="inlineStr">
        <is>
          <t>7205+7206</t>
        </is>
      </c>
      <c r="B66" s="491" t="inlineStr">
        <is>
          <t>Costos y gastos indirectos asignados desde el exterior por partes relacionadas declarados</t>
        </is>
      </c>
      <c r="C66" s="567" t="n"/>
      <c r="D66" s="568" t="n"/>
      <c r="E66" s="330" t="inlineStr">
        <is>
          <t>{6}</t>
        </is>
      </c>
      <c r="F66" s="357" t="n"/>
      <c r="G66" s="332" t="n"/>
    </row>
    <row r="67">
      <c r="A67" s="329" t="n"/>
      <c r="B67" s="491" t="inlineStr">
        <is>
          <t>Costos y gastos indirectos asignados desde el exterior por partes relacionadas declarados como no deducibles</t>
        </is>
      </c>
      <c r="C67" s="567" t="n"/>
      <c r="D67" s="568" t="n"/>
      <c r="E67" s="330" t="inlineStr">
        <is>
          <t>{7}</t>
        </is>
      </c>
      <c r="F67" s="357" t="n"/>
      <c r="G67" s="332" t="n"/>
    </row>
    <row r="68" ht="16.15" customHeight="1">
      <c r="A68" s="333" t="inlineStr">
        <is>
          <t>-</t>
        </is>
      </c>
      <c r="B68" s="492" t="inlineStr">
        <is>
          <t>Costos y gastos indirectos asignados desde el exterior por partes relacionadas declarados como deducibles</t>
        </is>
      </c>
      <c r="C68" s="567" t="n"/>
      <c r="D68" s="568" t="n"/>
      <c r="E68" s="334" t="inlineStr">
        <is>
          <t>{8}={6-7}</t>
        </is>
      </c>
      <c r="F68" s="358">
        <f>+F66-F67</f>
        <v/>
      </c>
      <c r="G68" s="332" t="n"/>
    </row>
    <row r="69">
      <c r="A69" s="351" t="n"/>
      <c r="B69" s="493" t="n"/>
      <c r="C69" s="567" t="n"/>
      <c r="D69" s="567" t="n"/>
      <c r="E69" s="339" t="n"/>
      <c r="F69" s="361" t="n"/>
      <c r="G69" s="332" t="n"/>
    </row>
    <row r="70" ht="18" customHeight="1">
      <c r="A70" s="495" t="inlineStr">
        <is>
          <t>-</t>
        </is>
      </c>
      <c r="B70" s="494" t="inlineStr">
        <is>
          <t>Diferencia en el valor máximo de deducibilidad de gastos indirectos asignados desde el exterior por partes relacionadas (j)</t>
        </is>
      </c>
      <c r="C70" s="567" t="n"/>
      <c r="D70" s="568" t="n"/>
      <c r="E70" s="343" t="inlineStr">
        <is>
          <t>{9}={8-5}</t>
        </is>
      </c>
      <c r="F70" s="362">
        <f>IF((F68-F64)&lt;=0,0,(F68-F64))</f>
        <v/>
      </c>
      <c r="G70" s="332" t="n"/>
    </row>
    <row r="71">
      <c r="A71" s="322" t="n"/>
      <c r="B71" s="344" t="n"/>
      <c r="C71" s="344" t="n"/>
      <c r="D71" s="322" t="n"/>
      <c r="E71" s="322" t="n"/>
      <c r="F71" s="322" t="n"/>
    </row>
    <row r="72">
      <c r="A72" s="312" t="inlineStr">
        <is>
          <t xml:space="preserve">Nota: </t>
        </is>
      </c>
      <c r="B72" s="320" t="inlineStr">
        <is>
          <t>No aplica, ya que la Compañía no ha registrado gastos indirectos asigandos desde el exterior por partes relacionadas</t>
        </is>
      </c>
      <c r="C72" s="344" t="n"/>
      <c r="D72" s="322" t="n"/>
      <c r="E72" s="322" t="n"/>
      <c r="F72" s="322" t="n"/>
    </row>
    <row r="73">
      <c r="A73" s="322" t="n"/>
      <c r="B73" s="344" t="n"/>
      <c r="C73" s="344" t="n"/>
      <c r="D73" s="322" t="n"/>
      <c r="E73" s="322" t="n"/>
      <c r="F73" s="322" t="n"/>
    </row>
    <row r="74">
      <c r="A74" s="326" t="inlineStr">
        <is>
          <t>GASTOS DE PROMOCIÓN Y PUBLICIDAD</t>
        </is>
      </c>
      <c r="B74" s="344" t="n"/>
      <c r="C74" s="344" t="n"/>
      <c r="D74" s="322" t="n"/>
      <c r="E74" s="322" t="n"/>
      <c r="F74" s="322" t="n"/>
    </row>
    <row r="75">
      <c r="A75" s="312" t="inlineStr">
        <is>
          <t>Cálculo del valor máximo de deducibilidad de gastos de promoción y publicidad</t>
        </is>
      </c>
      <c r="B75" s="327" t="n"/>
      <c r="C75" s="312" t="n"/>
      <c r="D75" s="312" t="n"/>
      <c r="E75" s="322" t="n"/>
      <c r="F75" s="322" t="n"/>
    </row>
    <row r="76">
      <c r="A76" s="322" t="n"/>
      <c r="B76" s="344" t="n"/>
      <c r="C76" s="322" t="n"/>
      <c r="D76" s="322" t="n"/>
      <c r="E76" s="322" t="n"/>
      <c r="F76" s="322" t="n"/>
    </row>
    <row r="77" ht="51" customHeight="1">
      <c r="A77" s="495" t="inlineStr">
        <is>
          <t>No. Casillero declaración de I. Renta
(a)</t>
        </is>
      </c>
      <c r="B77" s="495" t="inlineStr">
        <is>
          <t>Descripción</t>
        </is>
      </c>
      <c r="C77" s="567" t="n"/>
      <c r="D77" s="568" t="n"/>
      <c r="E77" s="495" t="inlineStr">
        <is>
          <t>Referencia</t>
        </is>
      </c>
      <c r="F77" s="363" t="inlineStr">
        <is>
          <t>Valor</t>
        </is>
      </c>
      <c r="G77" s="495" t="inlineStr">
        <is>
          <t>Observaciones</t>
        </is>
      </c>
    </row>
    <row r="78">
      <c r="A78" s="345" t="n"/>
      <c r="B78" s="491" t="inlineStr">
        <is>
          <t>Total Ingresos</t>
        </is>
      </c>
      <c r="C78" s="567" t="n"/>
      <c r="D78" s="568" t="n"/>
      <c r="E78" s="330" t="inlineStr">
        <is>
          <t>{1}</t>
        </is>
      </c>
      <c r="F78" s="346" t="n"/>
      <c r="G78" s="332" t="n"/>
    </row>
    <row r="79">
      <c r="A79" s="345" t="n"/>
      <c r="B79" s="491" t="inlineStr">
        <is>
          <t>Dividendos exentos y efectos por método de participación</t>
        </is>
      </c>
      <c r="C79" s="567" t="n"/>
      <c r="D79" s="568" t="n"/>
      <c r="E79" s="330" t="inlineStr">
        <is>
          <t>{2}</t>
        </is>
      </c>
      <c r="F79" s="356" t="n"/>
      <c r="G79" s="332" t="n"/>
    </row>
    <row r="80">
      <c r="A80" s="345" t="n"/>
      <c r="B80" s="491" t="inlineStr">
        <is>
          <t>Otras rentas exentas e ingresos no objeto de impuesto a la renta</t>
        </is>
      </c>
      <c r="C80" s="567" t="n"/>
      <c r="D80" s="568" t="n"/>
      <c r="E80" s="330" t="inlineStr">
        <is>
          <t>{3}</t>
        </is>
      </c>
      <c r="F80" s="356" t="n"/>
      <c r="G80" s="332" t="n"/>
    </row>
    <row r="81">
      <c r="A81" s="345" t="n"/>
      <c r="B81" s="491" t="inlineStr">
        <is>
          <t>Ingresos sujetos a impuesto a la renta único</t>
        </is>
      </c>
      <c r="C81" s="567" t="n"/>
      <c r="D81" s="568" t="n"/>
      <c r="E81" s="330" t="inlineStr">
        <is>
          <t>{4}</t>
        </is>
      </c>
      <c r="F81" s="356" t="n"/>
      <c r="G81" s="332" t="n"/>
    </row>
    <row r="82">
      <c r="A82" s="345" t="n"/>
      <c r="B82" s="491" t="inlineStr">
        <is>
          <t>Diferencias temporarias - Por contratos de construcción (generación)</t>
        </is>
      </c>
      <c r="C82" s="567" t="n"/>
      <c r="D82" s="568" t="n"/>
      <c r="E82" s="330" t="inlineStr">
        <is>
          <t>{5}</t>
        </is>
      </c>
      <c r="F82" s="356" t="n"/>
      <c r="G82" s="332" t="n"/>
    </row>
    <row r="83" ht="16.9" customHeight="1">
      <c r="A83" s="345" t="n"/>
      <c r="B83" s="491" t="inlineStr">
        <is>
          <t>Diferencias temporarias - Por mediciones de activos biológicos al valor razonable menos costos de venta / Ingresos (generación)</t>
        </is>
      </c>
      <c r="C83" s="567" t="n"/>
      <c r="D83" s="568" t="n"/>
      <c r="E83" s="330" t="inlineStr">
        <is>
          <t>{6}</t>
        </is>
      </c>
      <c r="F83" s="356" t="n"/>
      <c r="G83" s="332" t="n"/>
    </row>
    <row r="84">
      <c r="A84" s="345" t="n"/>
      <c r="B84" s="491" t="inlineStr">
        <is>
          <t>Diferencias temporarias - Por otras diferencias temporarias (generación) (d)</t>
        </is>
      </c>
      <c r="C84" s="567" t="n"/>
      <c r="D84" s="568" t="n"/>
      <c r="E84" s="330" t="inlineStr">
        <is>
          <t>{7}</t>
        </is>
      </c>
      <c r="F84" s="356" t="n"/>
      <c r="G84" s="332" t="n"/>
    </row>
    <row r="85">
      <c r="A85" s="345" t="n"/>
      <c r="B85" s="491" t="inlineStr">
        <is>
          <t>Diferencias temporarias - Por contratos de construcción (reversión)</t>
        </is>
      </c>
      <c r="C85" s="567" t="n"/>
      <c r="D85" s="568" t="n"/>
      <c r="E85" s="330" t="inlineStr">
        <is>
          <t>{8}</t>
        </is>
      </c>
      <c r="F85" s="356" t="n"/>
      <c r="G85" s="332" t="n"/>
    </row>
    <row r="86" ht="19.15" customHeight="1">
      <c r="A86" s="345" t="n"/>
      <c r="B86" s="491" t="inlineStr">
        <is>
          <t>Diferencias temporarias - Por mediciones de activos biológicos al valor razonable menos costos de venta / Ingresos (reversión)</t>
        </is>
      </c>
      <c r="C86" s="567" t="n"/>
      <c r="D86" s="568" t="n"/>
      <c r="E86" s="330" t="inlineStr">
        <is>
          <t>{9}</t>
        </is>
      </c>
      <c r="F86" s="356" t="n"/>
      <c r="G86" s="332" t="n"/>
    </row>
    <row r="87">
      <c r="A87" s="345" t="n"/>
      <c r="B87" s="491" t="inlineStr">
        <is>
          <t>Diferencias temporarias - Por otras diferencias temporarias (reversión) (d)</t>
        </is>
      </c>
      <c r="C87" s="567" t="n"/>
      <c r="D87" s="568" t="n"/>
      <c r="E87" s="330" t="inlineStr">
        <is>
          <t>{10}</t>
        </is>
      </c>
      <c r="F87" s="364" t="n"/>
      <c r="G87" s="332" t="n"/>
    </row>
    <row r="88" ht="38.25" customHeight="1">
      <c r="A88" s="333" t="inlineStr">
        <is>
          <t>-</t>
        </is>
      </c>
      <c r="B88" s="492" t="inlineStr">
        <is>
          <t xml:space="preserve">Total ingresos gravados (base para el cálculo del valor máximo de deducibilidad de gastos de promoción y publicidad)                                                                                              </t>
        </is>
      </c>
      <c r="C88" s="567" t="n"/>
      <c r="D88" s="568" t="n"/>
      <c r="E88" s="334" t="inlineStr">
        <is>
          <t>{11}={1-2-3-4-5-6-7+8+9+10}</t>
        </is>
      </c>
      <c r="F88" s="358">
        <f>+F78-F79-F80-F81-F82-F83-F84+F85+F86+F87</f>
        <v/>
      </c>
      <c r="G88" s="332" t="n"/>
    </row>
    <row r="89">
      <c r="A89" s="329" t="inlineStr">
        <is>
          <t>-</t>
        </is>
      </c>
      <c r="B89" s="491" t="inlineStr">
        <is>
          <t>Porcentaje máximo de deducibilidad de gastos de promoción y publicidad (k)</t>
        </is>
      </c>
      <c r="C89" s="567" t="n"/>
      <c r="D89" s="568" t="n"/>
      <c r="E89" s="330" t="inlineStr">
        <is>
          <t>{12}</t>
        </is>
      </c>
      <c r="F89" s="365" t="n"/>
      <c r="G89" s="332" t="n"/>
    </row>
    <row r="90" ht="25.5" customHeight="1">
      <c r="A90" s="333" t="inlineStr">
        <is>
          <t>-</t>
        </is>
      </c>
      <c r="B90" s="492" t="inlineStr">
        <is>
          <t>Valor máximo de deducibilidad de gastos de promoción y publicidad</t>
        </is>
      </c>
      <c r="C90" s="567" t="n"/>
      <c r="D90" s="568" t="n"/>
      <c r="E90" s="334" t="inlineStr">
        <is>
          <t>{13}={11*12}</t>
        </is>
      </c>
      <c r="F90" s="366">
        <f>+F88*F89</f>
        <v/>
      </c>
      <c r="G90" s="332" t="n"/>
    </row>
    <row r="91">
      <c r="A91" s="351" t="n"/>
      <c r="B91" s="493" t="n"/>
      <c r="C91" s="567" t="n"/>
      <c r="D91" s="567" t="n"/>
      <c r="E91" s="352" t="n"/>
      <c r="F91" s="361" t="n"/>
      <c r="G91" s="332" t="n"/>
    </row>
    <row r="92">
      <c r="A92" s="329" t="n"/>
      <c r="B92" s="491" t="inlineStr">
        <is>
          <t>Gastos de promoción y publicidad declarados</t>
        </is>
      </c>
      <c r="C92" s="567" t="n"/>
      <c r="D92" s="568" t="n"/>
      <c r="E92" s="330" t="inlineStr">
        <is>
          <t>{14}</t>
        </is>
      </c>
      <c r="F92" s="364" t="n"/>
      <c r="G92" s="332" t="n"/>
    </row>
    <row r="93">
      <c r="A93" s="329" t="n"/>
      <c r="B93" s="491" t="inlineStr">
        <is>
          <t>Gastos de promoción y publicidad declarados como no deducibles</t>
        </is>
      </c>
      <c r="C93" s="567" t="n"/>
      <c r="D93" s="568" t="n"/>
      <c r="E93" s="330" t="inlineStr">
        <is>
          <t>{15}</t>
        </is>
      </c>
      <c r="F93" s="364" t="n"/>
      <c r="G93" s="332" t="n"/>
    </row>
    <row r="94" ht="25.5" customHeight="1">
      <c r="A94" s="333" t="inlineStr">
        <is>
          <t>-</t>
        </is>
      </c>
      <c r="B94" s="492" t="inlineStr">
        <is>
          <t>Gastos de promoción y publicidad declarados como deducibles</t>
        </is>
      </c>
      <c r="C94" s="567" t="n"/>
      <c r="D94" s="568" t="n"/>
      <c r="E94" s="334" t="inlineStr">
        <is>
          <t>{16}={14-15}</t>
        </is>
      </c>
      <c r="F94" s="367">
        <f>+F92-F93</f>
        <v/>
      </c>
      <c r="G94" s="332" t="n"/>
    </row>
    <row r="95">
      <c r="A95" s="351" t="n"/>
      <c r="B95" s="493" t="n"/>
      <c r="C95" s="567" t="n"/>
      <c r="D95" s="567" t="n"/>
      <c r="E95" s="352" t="n"/>
      <c r="F95" s="368" t="n"/>
      <c r="G95" s="332" t="n"/>
    </row>
    <row r="96" ht="25.5" customHeight="1">
      <c r="A96" s="354" t="inlineStr">
        <is>
          <t>-</t>
        </is>
      </c>
      <c r="B96" s="494" t="inlineStr">
        <is>
          <t>Diferencia en el valor máximo de deducibilidad de gastos de promoción y publicidad (l)</t>
        </is>
      </c>
      <c r="C96" s="567" t="n"/>
      <c r="D96" s="568" t="n"/>
      <c r="E96" s="343" t="inlineStr">
        <is>
          <t>{17}={16-13}</t>
        </is>
      </c>
      <c r="F96" s="362">
        <f>IF((F94-F90)&lt;=0,0,(F94-F90))</f>
        <v/>
      </c>
      <c r="G96" s="332" t="n"/>
    </row>
    <row r="97">
      <c r="A97" s="322" t="n"/>
      <c r="B97" s="344" t="n"/>
      <c r="C97" s="344" t="n"/>
      <c r="D97" s="322" t="n"/>
      <c r="E97" s="322" t="n"/>
      <c r="F97" s="322" t="n"/>
    </row>
    <row r="98">
      <c r="A98" s="322" t="n"/>
      <c r="B98" s="344" t="n"/>
      <c r="C98" s="344" t="n"/>
      <c r="D98" s="322" t="n"/>
      <c r="E98" s="322" t="n"/>
      <c r="F98" s="322" t="n"/>
    </row>
    <row r="99">
      <c r="A99" s="326" t="inlineStr">
        <is>
          <t>GASTOS DE INTERESES POR CRÉDITOS DEL EXTERIOR CON PARTES RELACIONADAS</t>
        </is>
      </c>
      <c r="B99" s="344" t="n"/>
      <c r="C99" s="344" t="n"/>
      <c r="D99" s="322" t="n"/>
      <c r="E99" s="322" t="n"/>
      <c r="F99" s="322" t="n"/>
    </row>
    <row r="100">
      <c r="A100" s="312" t="inlineStr">
        <is>
          <t>Cálculo del valor máximo de deducibilidad de gastos de intereses por créditos del exterior con partes relacionadas</t>
        </is>
      </c>
      <c r="B100" s="344" t="n"/>
      <c r="C100" s="344" t="n"/>
      <c r="D100" s="322" t="n"/>
      <c r="E100" s="322" t="n"/>
      <c r="F100" s="322" t="n"/>
    </row>
    <row r="101">
      <c r="A101" s="322" t="n"/>
      <c r="B101" s="344" t="n"/>
      <c r="C101" s="344" t="n"/>
      <c r="D101" s="322" t="n"/>
      <c r="E101" s="322" t="n"/>
      <c r="F101" s="322" t="n"/>
    </row>
    <row r="102" ht="51" customHeight="1">
      <c r="A102" s="495" t="inlineStr">
        <is>
          <t>No. Casillero declaración de I. Renta
(a)</t>
        </is>
      </c>
      <c r="B102" s="495" t="inlineStr">
        <is>
          <t>Descripción</t>
        </is>
      </c>
      <c r="C102" s="567" t="n"/>
      <c r="D102" s="568" t="n"/>
      <c r="E102" s="495" t="inlineStr">
        <is>
          <t>Referencia</t>
        </is>
      </c>
      <c r="F102" s="495" t="inlineStr">
        <is>
          <t>Valor</t>
        </is>
      </c>
      <c r="G102" s="495" t="inlineStr">
        <is>
          <t>Observaciones</t>
        </is>
      </c>
    </row>
    <row r="103">
      <c r="A103" s="345" t="inlineStr">
        <is>
          <t>-</t>
        </is>
      </c>
      <c r="B103" s="491" t="inlineStr">
        <is>
          <t>Valor total del endeudamiento externo (m)</t>
        </is>
      </c>
      <c r="C103" s="567" t="n"/>
      <c r="D103" s="568" t="n"/>
      <c r="E103" s="334" t="inlineStr">
        <is>
          <t>{1}</t>
        </is>
      </c>
      <c r="F103" s="347" t="n"/>
      <c r="G103" s="332" t="n"/>
    </row>
    <row r="104">
      <c r="A104" s="345" t="n"/>
      <c r="B104" s="491" t="inlineStr">
        <is>
          <t>Total Patrimonio</t>
        </is>
      </c>
      <c r="C104" s="567" t="n"/>
      <c r="D104" s="568" t="n"/>
      <c r="E104" s="334" t="inlineStr">
        <is>
          <t>{2}</t>
        </is>
      </c>
      <c r="F104" s="347" t="n"/>
      <c r="G104" s="332" t="n"/>
    </row>
    <row r="105">
      <c r="A105" s="369" t="inlineStr">
        <is>
          <t>-</t>
        </is>
      </c>
      <c r="B105" s="492" t="inlineStr">
        <is>
          <t>Relación entre el total del endeudamiento externo y el patrimonio del contribuyente</t>
        </is>
      </c>
      <c r="C105" s="567" t="n"/>
      <c r="D105" s="568" t="n"/>
      <c r="E105" s="334" t="inlineStr">
        <is>
          <t>{3}={1/2}</t>
        </is>
      </c>
      <c r="F105" s="370">
        <f>+F103/F104</f>
        <v/>
      </c>
      <c r="G105" s="332" t="n"/>
      <c r="H105" s="371" t="n"/>
    </row>
    <row r="106" ht="19.15" customHeight="1">
      <c r="A106" s="333" t="inlineStr">
        <is>
          <t>-</t>
        </is>
      </c>
      <c r="B106" s="491" t="inlineStr">
        <is>
          <t>Porcentaje máximo de la relación entre el total del endeudamiento externo y el patrimonio para la deducibilidad de intereses por créditos del exterior con partes relacionadas (n)</t>
        </is>
      </c>
      <c r="C106" s="567" t="n"/>
      <c r="D106" s="568" t="n"/>
      <c r="E106" s="334" t="inlineStr">
        <is>
          <t>{4}</t>
        </is>
      </c>
      <c r="F106" s="372" t="n"/>
      <c r="G106" s="332" t="n"/>
      <c r="H106" s="373" t="n"/>
    </row>
    <row r="107">
      <c r="A107" s="333" t="inlineStr">
        <is>
          <t>-</t>
        </is>
      </c>
      <c r="B107" s="491" t="inlineStr">
        <is>
          <t>Valor de intereses por créditos del exterior con partes relacionadas según el contribuyente</t>
        </is>
      </c>
      <c r="C107" s="567" t="n"/>
      <c r="D107" s="568" t="n"/>
      <c r="E107" s="334" t="inlineStr">
        <is>
          <t>{5}</t>
        </is>
      </c>
      <c r="F107" s="374" t="n"/>
      <c r="G107" s="332" t="n"/>
      <c r="H107" s="371" t="n"/>
    </row>
    <row r="108" ht="25.5" customHeight="1">
      <c r="A108" s="333" t="inlineStr">
        <is>
          <t>-</t>
        </is>
      </c>
      <c r="B108" s="492" t="inlineStr">
        <is>
          <t>Valor máximo de deducibilidad de gastos de intereses por créditos del exterior con partes relacionadas (o)</t>
        </is>
      </c>
      <c r="C108" s="567" t="n"/>
      <c r="D108" s="568" t="n"/>
      <c r="E108" s="334" t="inlineStr">
        <is>
          <t>{6}={(5*4) / 3}</t>
        </is>
      </c>
      <c r="F108" s="374">
        <f>IF(F105&gt;F106,((F107*F106)/F105),F107)</f>
        <v/>
      </c>
      <c r="G108" s="332" t="n"/>
      <c r="H108" s="371" t="n"/>
    </row>
    <row r="109">
      <c r="A109" s="375" t="n"/>
      <c r="B109" s="493" t="n"/>
      <c r="C109" s="567" t="n"/>
      <c r="D109" s="567" t="n"/>
      <c r="E109" s="352" t="n"/>
      <c r="F109" s="353" t="n"/>
      <c r="G109" s="332" t="n"/>
    </row>
    <row r="110">
      <c r="A110" s="345" t="inlineStr">
        <is>
          <t>7278+7290</t>
        </is>
      </c>
      <c r="B110" s="491" t="inlineStr">
        <is>
          <t>Gastos de intereses por créditos del exterior con partes relacionadas declarados</t>
        </is>
      </c>
      <c r="C110" s="567" t="n"/>
      <c r="D110" s="568" t="n"/>
      <c r="E110" s="334" t="inlineStr">
        <is>
          <t>{7}</t>
        </is>
      </c>
      <c r="F110" s="347" t="n"/>
      <c r="G110" s="332" t="n"/>
    </row>
    <row r="111">
      <c r="A111" s="329" t="inlineStr">
        <is>
          <t>7279+7291</t>
        </is>
      </c>
      <c r="B111" s="491" t="inlineStr">
        <is>
          <t>Gastos de intereses por créditos del exterior con por partes relacionadas declarados como no deducibles</t>
        </is>
      </c>
      <c r="C111" s="567" t="n"/>
      <c r="D111" s="568" t="n"/>
      <c r="E111" s="334" t="inlineStr">
        <is>
          <t>{8}</t>
        </is>
      </c>
      <c r="F111" s="374" t="n"/>
      <c r="G111" s="332" t="n"/>
    </row>
    <row r="112">
      <c r="A112" s="333" t="inlineStr">
        <is>
          <t>-</t>
        </is>
      </c>
      <c r="B112" s="492" t="inlineStr">
        <is>
          <t>Gastos de intereses por créditos del exterior con partes relacionadas declarados como deducibles</t>
        </is>
      </c>
      <c r="C112" s="567" t="n"/>
      <c r="D112" s="568" t="n"/>
      <c r="E112" s="334" t="inlineStr">
        <is>
          <t>{9}={7-8}</t>
        </is>
      </c>
      <c r="F112" s="376">
        <f>+F110-F111</f>
        <v/>
      </c>
      <c r="G112" s="332" t="n"/>
    </row>
    <row r="113">
      <c r="A113" s="375" t="n"/>
      <c r="B113" s="493" t="n"/>
      <c r="C113" s="567" t="n"/>
      <c r="D113" s="567" t="n"/>
      <c r="E113" s="352" t="n"/>
      <c r="F113" s="353" t="n"/>
      <c r="G113" s="332" t="n"/>
    </row>
    <row r="114" ht="22.15" customHeight="1">
      <c r="A114" s="495" t="inlineStr">
        <is>
          <t>-</t>
        </is>
      </c>
      <c r="B114" s="494" t="inlineStr">
        <is>
          <t>Diferencia en el valor máximo de deducibilidad de gastos de intereses por créditos del exterior con partes relacionadas (p)</t>
        </is>
      </c>
      <c r="C114" s="567" t="n"/>
      <c r="D114" s="568" t="n"/>
      <c r="E114" s="343" t="inlineStr">
        <is>
          <t>{10}={9-6}</t>
        </is>
      </c>
      <c r="F114" s="355">
        <f>IF((F112-F108)&lt;=0,0,(F112-F108))</f>
        <v/>
      </c>
      <c r="G114" s="332" t="n"/>
    </row>
    <row r="115">
      <c r="A115" s="322" t="n"/>
      <c r="B115" s="344" t="n"/>
      <c r="C115" s="344" t="n"/>
      <c r="D115" s="322" t="n"/>
      <c r="E115" s="322" t="n"/>
      <c r="F115" s="322" t="n"/>
    </row>
    <row r="116">
      <c r="A116" s="312" t="inlineStr">
        <is>
          <t xml:space="preserve">Nota: </t>
        </is>
      </c>
      <c r="B116" s="320" t="inlineStr">
        <is>
          <t>No aplica, ya que la Compañía no ha registrado intereses por créditos del exterior por partes relacionadas</t>
        </is>
      </c>
      <c r="C116" s="344" t="n"/>
      <c r="D116" s="322" t="n"/>
      <c r="E116" s="322" t="n"/>
      <c r="F116" s="322" t="n"/>
    </row>
    <row r="117">
      <c r="A117" s="312" t="n"/>
      <c r="B117" s="320" t="n"/>
      <c r="C117" s="344" t="n"/>
      <c r="D117" s="322" t="n"/>
      <c r="E117" s="322" t="n"/>
      <c r="F117" s="322" t="n"/>
    </row>
    <row r="118">
      <c r="A118" s="326" t="inlineStr">
        <is>
          <t>GASTOS DE INSTALACIÓN, ORGANIZACIÓN Y SIMILARES</t>
        </is>
      </c>
      <c r="B118" s="344" t="n"/>
      <c r="C118" s="344" t="n"/>
      <c r="D118" s="322" t="n"/>
      <c r="E118" s="322" t="n"/>
      <c r="F118" s="322" t="n"/>
    </row>
    <row r="119">
      <c r="A119" s="312" t="inlineStr">
        <is>
          <t>Cálculo del valor máximo de deducibilidad de gastos de instalación, organización y similares</t>
        </is>
      </c>
      <c r="B119" s="344" t="n"/>
      <c r="C119" s="344" t="n"/>
      <c r="D119" s="322" t="n"/>
      <c r="E119" s="322" t="n"/>
      <c r="F119" s="322" t="n"/>
    </row>
    <row r="120">
      <c r="A120" s="312" t="n"/>
      <c r="B120" s="344" t="n"/>
      <c r="C120" s="344" t="n"/>
      <c r="D120" s="322" t="n"/>
      <c r="E120" s="322" t="n"/>
      <c r="F120" s="322" t="n"/>
    </row>
    <row r="121" ht="51" customHeight="1">
      <c r="A121" s="495" t="inlineStr">
        <is>
          <t>No. Casillero declaración de I. Renta
(a)</t>
        </is>
      </c>
      <c r="B121" s="495" t="inlineStr">
        <is>
          <t>Descripción</t>
        </is>
      </c>
      <c r="C121" s="567" t="n"/>
      <c r="D121" s="568" t="n"/>
      <c r="E121" s="495" t="inlineStr">
        <is>
          <t>Referencia</t>
        </is>
      </c>
      <c r="F121" s="495" t="inlineStr">
        <is>
          <t>Valor</t>
        </is>
      </c>
      <c r="G121" s="495" t="inlineStr">
        <is>
          <t>Observaciones</t>
        </is>
      </c>
    </row>
    <row r="122">
      <c r="A122" s="345" t="inlineStr">
        <is>
          <t>-</t>
        </is>
      </c>
      <c r="B122" s="491" t="inlineStr">
        <is>
          <t xml:space="preserve">Utilidad gravable (base imponible) </t>
        </is>
      </c>
      <c r="C122" s="567" t="n"/>
      <c r="D122" s="568" t="n"/>
      <c r="E122" s="330" t="inlineStr">
        <is>
          <t>{1}</t>
        </is>
      </c>
      <c r="F122" s="347" t="n"/>
      <c r="G122" s="332" t="n"/>
    </row>
    <row r="123">
      <c r="A123" s="329" t="inlineStr">
        <is>
          <t>7235+7236</t>
        </is>
      </c>
      <c r="B123" s="491" t="inlineStr">
        <is>
          <t xml:space="preserve">Costos y gastos de instalación, organización y similares </t>
        </is>
      </c>
      <c r="C123" s="567" t="n"/>
      <c r="D123" s="568" t="n"/>
      <c r="E123" s="330" t="inlineStr">
        <is>
          <t>{2}</t>
        </is>
      </c>
      <c r="F123" s="374" t="n"/>
      <c r="G123" s="332" t="n"/>
    </row>
    <row r="124">
      <c r="A124" s="333" t="inlineStr">
        <is>
          <t>-</t>
        </is>
      </c>
      <c r="B124" s="492" t="inlineStr">
        <is>
          <t xml:space="preserve">Base imponible más el valor de los gastos de instalación, organización y similares </t>
        </is>
      </c>
      <c r="C124" s="567" t="n"/>
      <c r="D124" s="568" t="n"/>
      <c r="E124" s="334" t="inlineStr">
        <is>
          <t>{3}={1+2}</t>
        </is>
      </c>
      <c r="F124" s="348">
        <f>+F122+F123</f>
        <v/>
      </c>
      <c r="G124" s="332" t="n"/>
    </row>
    <row r="125">
      <c r="A125" s="333" t="inlineStr">
        <is>
          <t>-</t>
        </is>
      </c>
      <c r="B125" s="491" t="inlineStr">
        <is>
          <t>Porcentaje máximo de deducibilidad de gastos de instalación, organización y similares  (q)</t>
        </is>
      </c>
      <c r="C125" s="567" t="n"/>
      <c r="D125" s="568" t="n"/>
      <c r="E125" s="330" t="inlineStr">
        <is>
          <t>{4}</t>
        </is>
      </c>
      <c r="F125" s="372" t="n"/>
      <c r="G125" s="332" t="n"/>
    </row>
    <row r="126">
      <c r="A126" s="333" t="inlineStr">
        <is>
          <t>-</t>
        </is>
      </c>
      <c r="B126" s="492" t="inlineStr">
        <is>
          <t>Valor máximo de deducibilidad de gastos de instalación, organización y similares</t>
        </is>
      </c>
      <c r="C126" s="567" t="n"/>
      <c r="D126" s="568" t="n"/>
      <c r="E126" s="334" t="inlineStr">
        <is>
          <t>{5}={3*4}</t>
        </is>
      </c>
      <c r="F126" s="348">
        <f>+F124*F125</f>
        <v/>
      </c>
      <c r="G126" s="332" t="n"/>
    </row>
    <row r="127">
      <c r="A127" s="351" t="n"/>
      <c r="B127" s="493" t="n"/>
      <c r="C127" s="567" t="n"/>
      <c r="D127" s="567" t="n"/>
      <c r="E127" s="360" t="n"/>
      <c r="F127" s="353" t="n"/>
      <c r="G127" s="332" t="n"/>
    </row>
    <row r="128">
      <c r="A128" s="329" t="inlineStr">
        <is>
          <t>7235+7236</t>
        </is>
      </c>
      <c r="B128" s="491" t="inlineStr">
        <is>
          <t>Costos y gastos de instalación, organización y similares declarados</t>
        </is>
      </c>
      <c r="C128" s="567" t="n"/>
      <c r="D128" s="568" t="n"/>
      <c r="E128" s="330" t="inlineStr">
        <is>
          <t>{6}</t>
        </is>
      </c>
      <c r="F128" s="374" t="n"/>
      <c r="G128" s="332" t="n"/>
    </row>
    <row r="129">
      <c r="A129" s="329" t="n"/>
      <c r="B129" s="491" t="inlineStr">
        <is>
          <t>Costos y gastos de instalación, organización y similares declarados como no deducibles</t>
        </is>
      </c>
      <c r="C129" s="567" t="n"/>
      <c r="D129" s="568" t="n"/>
      <c r="E129" s="330" t="inlineStr">
        <is>
          <t>{7}</t>
        </is>
      </c>
      <c r="F129" s="374" t="n"/>
      <c r="G129" s="332" t="n"/>
    </row>
    <row r="130">
      <c r="A130" s="333" t="inlineStr">
        <is>
          <t>-</t>
        </is>
      </c>
      <c r="B130" s="492" t="inlineStr">
        <is>
          <t>Costos y gastos de instalación, organización y similares declarados como deducibles</t>
        </is>
      </c>
      <c r="C130" s="567" t="n"/>
      <c r="D130" s="568" t="n"/>
      <c r="E130" s="334" t="inlineStr">
        <is>
          <t>{8}={6-7}</t>
        </is>
      </c>
      <c r="F130" s="348">
        <f>+F128-F129</f>
        <v/>
      </c>
      <c r="G130" s="332" t="n"/>
    </row>
    <row r="131">
      <c r="A131" s="351" t="n"/>
      <c r="B131" s="493" t="n"/>
      <c r="C131" s="567" t="n"/>
      <c r="D131" s="567" t="n"/>
      <c r="E131" s="339" t="n"/>
      <c r="F131" s="353" t="n"/>
      <c r="G131" s="332" t="n"/>
    </row>
    <row r="132">
      <c r="A132" s="495" t="inlineStr">
        <is>
          <t>-</t>
        </is>
      </c>
      <c r="B132" s="494" t="inlineStr">
        <is>
          <t>Diferencia en el valor máximo de deducibilidad de gastos de instalación, organización y similares (r)</t>
        </is>
      </c>
      <c r="C132" s="567" t="n"/>
      <c r="D132" s="568" t="n"/>
      <c r="E132" s="343" t="inlineStr">
        <is>
          <t>{9}={8-5}</t>
        </is>
      </c>
      <c r="F132" s="355">
        <f>IF((F130-F126)&lt;=0,0,(F130-F126))</f>
        <v/>
      </c>
      <c r="G132" s="332" t="n"/>
    </row>
    <row r="133" ht="12.6" customHeight="1">
      <c r="A133" s="322" t="n"/>
      <c r="B133" s="344" t="n"/>
      <c r="C133" s="344" t="n"/>
      <c r="D133" s="322" t="n"/>
      <c r="E133" s="322" t="n"/>
      <c r="F133" s="322" t="n"/>
    </row>
    <row r="134" ht="12.6" customHeight="1">
      <c r="A134" s="312" t="inlineStr">
        <is>
          <t xml:space="preserve">Nota: </t>
        </is>
      </c>
      <c r="B134" s="320" t="inlineStr">
        <is>
          <t>No aplica, ya que la Compañía no ha registrado gastos de instalación, organización y similares</t>
        </is>
      </c>
      <c r="C134" s="344" t="n"/>
      <c r="D134" s="322" t="n"/>
      <c r="E134" s="322" t="n"/>
      <c r="F134" s="322" t="n"/>
    </row>
    <row r="135" ht="12.6" customHeight="1">
      <c r="A135" s="326" t="n"/>
      <c r="B135" s="344" t="n"/>
      <c r="C135" s="344" t="n"/>
      <c r="D135" s="322" t="n"/>
      <c r="E135" s="322" t="n"/>
      <c r="F135" s="322" t="n"/>
    </row>
    <row r="136" ht="12.6" customHeight="1">
      <c r="A136" s="312" t="n"/>
      <c r="B136" s="320" t="n"/>
      <c r="C136" s="377" t="n"/>
      <c r="D136" s="377" t="n"/>
      <c r="E136" s="377" t="n"/>
      <c r="F136" s="378" t="n"/>
      <c r="G136" s="378" t="n"/>
      <c r="H136" s="378" t="n"/>
      <c r="I136" s="378" t="n"/>
    </row>
    <row r="137" ht="13.15" customHeight="1">
      <c r="A137" s="489" t="inlineStr">
        <is>
          <t xml:space="preserve">NOTAS :
</t>
        </is>
      </c>
      <c r="I137" s="379" t="n"/>
    </row>
    <row r="138">
      <c r="A138" s="569" t="inlineStr">
        <is>
          <t>a. Corresponde al número del casillero del formulario 101, Declaración del impuesto a la renta y presentación de estados financieros, vigente para el ejercicio fiscal auditado.</t>
        </is>
      </c>
      <c r="B138" s="570" t="n"/>
      <c r="C138" s="570" t="n"/>
      <c r="D138" s="570" t="n"/>
      <c r="E138" s="570" t="n"/>
      <c r="F138" s="570" t="n"/>
      <c r="G138" s="570" t="n"/>
      <c r="H138" s="571" t="n"/>
      <c r="I138" s="379" t="n"/>
    </row>
    <row r="139">
      <c r="A139" s="572" t="inlineStr">
        <is>
          <t>b. Según lo establecido en el numeral 10 del artículo 28 y en artículo innumerado siguiente del Reglamento para la aplicación de la Ley de Régimen Tributario Interno.</t>
        </is>
      </c>
      <c r="H139" s="573" t="n"/>
      <c r="I139" s="379" t="n"/>
    </row>
    <row r="140" ht="33.6" customHeight="1">
      <c r="A140" s="572" t="inlineStr">
        <is>
          <t>d. Aplica cuando se refiera a un ingreso. Considerar el casillero 834 únicamente en los casos en que se haya declarado un valor con signo negativo, considerar el casillero 835 únicamente en los casos en que se haya declarado un valor con signo positivo. Si cumplen los parámetros indicados se deberá consignar en el cuadro los valores en absoluto.</t>
        </is>
      </c>
      <c r="H140" s="573" t="n"/>
      <c r="I140" s="379" t="n"/>
    </row>
    <row r="141" ht="22.9" customHeight="1">
      <c r="A141" s="572" t="inlineStr">
        <is>
          <t>e. Según lo establecido en el numeral 6 del artículo 10 de la Ley de Régimen Tributario Interno. En el caso de sociedades nuevas, la deducción será aplicada por la totalidad de estos gastos durante los dos primeros años de operaciones.</t>
        </is>
      </c>
      <c r="H141" s="573" t="n"/>
      <c r="I141" s="379" t="n"/>
    </row>
    <row r="142" ht="13.15" customHeight="1">
      <c r="A142" s="572" t="inlineStr">
        <is>
          <t>g. Considerar las disposiciones establecidas en la resolución No. NAC-DGERCGC16-00000332.</t>
        </is>
      </c>
      <c r="H142" s="573" t="n"/>
      <c r="I142" s="379" t="n"/>
    </row>
    <row r="143" ht="28.9" customHeight="1">
      <c r="A143" s="572" t="inlineStr">
        <is>
          <t>h. Según lo establecido en el literal innumerado del artículo 10 de la Ley de Régimen Tributario Interno. En el caso de las sociedades que se encuentren en el ciclo preoperativo del negocio, éste porcentaje corresponderá al 5% del total de los activos.</t>
        </is>
      </c>
      <c r="H143" s="573" t="n"/>
      <c r="I143" s="379" t="n"/>
    </row>
    <row r="144" ht="22.15" customHeight="1">
      <c r="A144" s="572" t="inlineStr">
        <is>
          <t>i. Según lo establecido en el acápite I del artículo 30 del Reglamento para la aplicación de la Ley de Régimen Tributario Interno, en el caso de que no se determine base imponible de Impuesto a la Renta no se admitirán los gastos indirectos asignados desde el exterior por partes relacionadas.</t>
        </is>
      </c>
      <c r="H144" s="573" t="n"/>
      <c r="I144" s="379" t="n"/>
    </row>
    <row r="145" ht="13.15" customHeight="1">
      <c r="A145" s="572" t="inlineStr">
        <is>
          <t>k. Según lo establecido en el numeral 11 del artículo 28 del Reglamento para la aplicación de la Ley de Régimen Tributario Interno.</t>
        </is>
      </c>
      <c r="H145" s="573" t="n"/>
      <c r="I145" s="379" t="n"/>
    </row>
    <row r="146" ht="24.6" customHeight="1">
      <c r="A146" s="572" t="inlineStr">
        <is>
          <t>m. Según lo establecido en el numeral (II) del artículo 30 del Reglamento para la aplicación de la Ley de Régimen Tributario Interno, se entenderá como endeudamiento externo, el total de deudas contraídas con personas naturales y sociedades relacionadas del exterior.</t>
        </is>
      </c>
      <c r="H146" s="573" t="n"/>
      <c r="I146" s="379" t="n"/>
    </row>
    <row r="147" ht="45.6" customHeight="1">
      <c r="A147" s="572" t="inlineStr">
        <is>
          <t xml:space="preserve">n. Según lo establecido en el numeral (II) del artículo 30 del Reglamento para la aplicación de la Ley de Régimen Tributario Interno, serán deducibles los intereses generados por sus créditos del exterior, siempre que la relación entre el total del endeudamiento externo y su patrimonio no exceda del 300%. Para sucursales extranjeras, consorcios de empresas petroleras, sociedades de hecho y demás sociedades que carecen de personalidad jurídica y fideicomisos mercantiles se deberá hacer referencia al valor sobre el cual se establece la relación con el total del endeudamiento externo, de acuerdo con lo que señala la normativa tributaria señalada para cada caso.  
</t>
        </is>
      </c>
      <c r="H147" s="573" t="n"/>
      <c r="I147" s="379" t="n"/>
    </row>
    <row r="148" ht="36" customHeight="1">
      <c r="A148" s="572" t="inlineStr">
        <is>
          <t>o. Según lo establecido en el numeral (II) del artículo 30 del Reglamento para la aplicación de la Ley de Régimen Tributario Interno, en caso de que las relaciones de deuda, excedan el límite establecido al momento del registro del crédito en el Banco Central, no será deducible la porción del gasto generado sobre el exceso de la relación correspondiente, sin perjuicio de la retención en la fuente de Impuesto a la Renta sobre el total de los intereses.</t>
        </is>
      </c>
      <c r="H148" s="573" t="n"/>
      <c r="I148" s="379" t="n"/>
    </row>
    <row r="149" ht="28.15" customHeight="1">
      <c r="A149" s="572" t="inlineStr">
        <is>
          <t>q. Según lo establecido en el numeral 17 del artículo 28 del Reglamento para la aplicación de la Ley de Régimen Tributario Interno. Para el caso de las sociedades que se encuentren en el ciclo preoperativo del negocio, este porcentaje corresponderá al 2% del total de los activos.</t>
        </is>
      </c>
      <c r="H149" s="573" t="n"/>
      <c r="I149" s="379" t="n"/>
    </row>
    <row r="150">
      <c r="A150" s="572" t="inlineStr">
        <is>
          <t>s. Según lo establecido en el numeral 3 del artículo 28 del Reglamento para la aplicación de la Ley de Régimen Tributario Interno.</t>
        </is>
      </c>
      <c r="H150" s="573" t="n"/>
      <c r="I150" s="379" t="n"/>
    </row>
    <row r="151" ht="14.45" customHeight="1">
      <c r="A151" s="572" t="inlineStr">
        <is>
          <t>t. Corresponde al saldo final del deterioro acumulado de créditos incobrables del período fisccal anterior al auditado.</t>
        </is>
      </c>
      <c r="H151" s="573" t="n"/>
      <c r="I151" s="379" t="n"/>
    </row>
    <row r="152" ht="18.6" customHeight="1">
      <c r="A152" s="572" t="inlineStr">
        <is>
          <t>c, f, j, l, p, r. En caso de existir diferencias se debe revelar la explicación de las mismas, tanto en las columnas de observaciones del presente anexo como en la parte de Recomendaciones sobre Aspectos Tributarios.</t>
        </is>
      </c>
      <c r="H152" s="573" t="n"/>
      <c r="I152" s="379" t="n"/>
    </row>
    <row r="153">
      <c r="A153" s="380" t="n"/>
      <c r="B153" s="381" t="n"/>
      <c r="C153" s="381" t="n"/>
      <c r="D153" s="381" t="n"/>
      <c r="E153" s="381" t="n"/>
      <c r="F153" s="382" t="n"/>
      <c r="G153" s="382" t="n"/>
      <c r="H153" s="383" t="n"/>
      <c r="I153" s="379" t="n"/>
    </row>
    <row r="154" ht="13.15" customHeight="1">
      <c r="A154" s="574" t="inlineStr">
        <is>
          <t>CERTIFICACIÓN:  Al cargar el presente Anexo en la plataforma del 'SRI en Línea' previa autenticación e ingreso con usuario y contraseña, el representante legal del sujeto pasivo y su contador certifican la veracidad del contenido de este anexo del Informe de Cumplimiento Tributario.</t>
        </is>
      </c>
      <c r="B154" s="570" t="n"/>
      <c r="C154" s="570" t="n"/>
      <c r="D154" s="570" t="n"/>
      <c r="E154" s="570" t="n"/>
      <c r="F154" s="570" t="n"/>
      <c r="G154" s="570" t="n"/>
      <c r="H154" s="571" t="n"/>
      <c r="I154" s="384" t="n"/>
    </row>
    <row r="155">
      <c r="A155" s="575" t="n"/>
      <c r="H155" s="573" t="n"/>
      <c r="I155" s="384" t="n"/>
    </row>
    <row r="156">
      <c r="A156" s="575" t="n"/>
      <c r="H156" s="573" t="n"/>
      <c r="I156" s="384" t="n"/>
    </row>
    <row r="157">
      <c r="A157" s="576" t="n"/>
      <c r="B157" s="577" t="n"/>
      <c r="C157" s="577" t="n"/>
      <c r="D157" s="577" t="n"/>
      <c r="E157" s="577" t="n"/>
      <c r="F157" s="577" t="n"/>
      <c r="G157" s="577" t="n"/>
      <c r="H157" s="578" t="n"/>
      <c r="I157" s="384" t="n"/>
    </row>
  </sheetData>
  <mergeCells count="115">
    <mergeCell ref="B42:D42"/>
    <mergeCell ref="B60:D60"/>
    <mergeCell ref="A148:H148"/>
    <mergeCell ref="A138:H138"/>
    <mergeCell ref="B44:D44"/>
    <mergeCell ref="B53:D53"/>
    <mergeCell ref="B34:D34"/>
    <mergeCell ref="B28:D28"/>
    <mergeCell ref="D6:E6"/>
    <mergeCell ref="B37:D37"/>
    <mergeCell ref="B108:D108"/>
    <mergeCell ref="B84:D84"/>
    <mergeCell ref="B92:D92"/>
    <mergeCell ref="B20:D20"/>
    <mergeCell ref="B80:D80"/>
    <mergeCell ref="D7:E7"/>
    <mergeCell ref="B94:D94"/>
    <mergeCell ref="D4:E4"/>
    <mergeCell ref="A1:E2"/>
    <mergeCell ref="B62:D62"/>
    <mergeCell ref="A150:H150"/>
    <mergeCell ref="B125:D125"/>
    <mergeCell ref="A152:H152"/>
    <mergeCell ref="B96:D96"/>
    <mergeCell ref="B70:D70"/>
    <mergeCell ref="B105:D105"/>
    <mergeCell ref="B43:D43"/>
    <mergeCell ref="B111:D111"/>
    <mergeCell ref="B107:D107"/>
    <mergeCell ref="B17:D17"/>
    <mergeCell ref="B88:D88"/>
    <mergeCell ref="B82:D82"/>
    <mergeCell ref="A154:H157"/>
    <mergeCell ref="A146:H146"/>
    <mergeCell ref="B19:D19"/>
    <mergeCell ref="B68:D68"/>
    <mergeCell ref="B83:D83"/>
    <mergeCell ref="A4:C4"/>
    <mergeCell ref="A149:H149"/>
    <mergeCell ref="A3:E3"/>
    <mergeCell ref="B124:D124"/>
    <mergeCell ref="B36:D36"/>
    <mergeCell ref="B45:D45"/>
    <mergeCell ref="B110:D110"/>
    <mergeCell ref="B85:D85"/>
    <mergeCell ref="A151:H151"/>
    <mergeCell ref="B126:D126"/>
    <mergeCell ref="B109:D109"/>
    <mergeCell ref="A141:H141"/>
    <mergeCell ref="B47:D47"/>
    <mergeCell ref="A8:B8"/>
    <mergeCell ref="A144:H144"/>
    <mergeCell ref="B59:D59"/>
    <mergeCell ref="B46:D46"/>
    <mergeCell ref="B102:D102"/>
    <mergeCell ref="B21:D21"/>
    <mergeCell ref="B39:D39"/>
    <mergeCell ref="B48:D48"/>
    <mergeCell ref="B23:D23"/>
    <mergeCell ref="B78:D78"/>
    <mergeCell ref="B87:D87"/>
    <mergeCell ref="B128:D128"/>
    <mergeCell ref="B49:D49"/>
    <mergeCell ref="A137:H137"/>
    <mergeCell ref="B65:D65"/>
    <mergeCell ref="B51:D51"/>
    <mergeCell ref="A145:H145"/>
    <mergeCell ref="A139:H139"/>
    <mergeCell ref="B114:D114"/>
    <mergeCell ref="B63:D63"/>
    <mergeCell ref="B41:D41"/>
    <mergeCell ref="B123:D123"/>
    <mergeCell ref="B35:D35"/>
    <mergeCell ref="B50:D50"/>
    <mergeCell ref="B113:D113"/>
    <mergeCell ref="B91:D91"/>
    <mergeCell ref="B25:D25"/>
    <mergeCell ref="A140:H140"/>
    <mergeCell ref="B66:D66"/>
    <mergeCell ref="B22:D22"/>
    <mergeCell ref="B93:D93"/>
    <mergeCell ref="D5:E5"/>
    <mergeCell ref="B130:D130"/>
    <mergeCell ref="B77:D77"/>
    <mergeCell ref="B86:D86"/>
    <mergeCell ref="A143:H143"/>
    <mergeCell ref="B67:D67"/>
    <mergeCell ref="B61:D61"/>
    <mergeCell ref="B132:D132"/>
    <mergeCell ref="A142:H142"/>
    <mergeCell ref="B69:D69"/>
    <mergeCell ref="B38:D38"/>
    <mergeCell ref="B103:D103"/>
    <mergeCell ref="A6:B6"/>
    <mergeCell ref="B112:D112"/>
    <mergeCell ref="B127:D127"/>
    <mergeCell ref="B40:D40"/>
    <mergeCell ref="B24:D24"/>
    <mergeCell ref="B64:D64"/>
    <mergeCell ref="B95:D95"/>
    <mergeCell ref="B89:D89"/>
    <mergeCell ref="B104:D104"/>
    <mergeCell ref="B79:D79"/>
    <mergeCell ref="B26:D26"/>
    <mergeCell ref="B106:D106"/>
    <mergeCell ref="B129:D129"/>
    <mergeCell ref="B81:D81"/>
    <mergeCell ref="B90:D90"/>
    <mergeCell ref="B121:D121"/>
    <mergeCell ref="A147:H147"/>
    <mergeCell ref="B122:D122"/>
    <mergeCell ref="B131:D131"/>
    <mergeCell ref="B27:D27"/>
    <mergeCell ref="B18:D18"/>
    <mergeCell ref="B52:D5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12"/>
  <sheetViews>
    <sheetView showGridLines="0" zoomScaleNormal="100" workbookViewId="0">
      <selection activeCell="G14" sqref="G14"/>
    </sheetView>
  </sheetViews>
  <sheetFormatPr baseColWidth="10" defaultColWidth="10.85546875" defaultRowHeight="23.1" customHeight="1"/>
  <cols>
    <col width="18.42578125" customWidth="1" style="209" min="1" max="1"/>
    <col width="44.42578125" customWidth="1" style="209" min="2" max="2"/>
    <col width="18.5703125" customWidth="1" style="209" min="3" max="3"/>
    <col width="41.140625" customWidth="1" style="209" min="4" max="4"/>
    <col width="15.42578125" bestFit="1" customWidth="1" style="209" min="5" max="5"/>
    <col width="13.7109375" customWidth="1" style="209" min="6" max="6"/>
    <col width="10.85546875" customWidth="1" style="209" min="7" max="16384"/>
  </cols>
  <sheetData>
    <row r="1" ht="33" customHeight="1">
      <c r="A1" s="579" t="inlineStr">
        <is>
          <t>OBLIGACIONES ACUMULADAS</t>
        </is>
      </c>
      <c r="B1" s="513" t="n"/>
      <c r="C1" s="513" t="n"/>
      <c r="D1" s="513" t="n"/>
      <c r="E1" s="513" t="n"/>
      <c r="F1" s="513" t="n"/>
    </row>
    <row r="2" ht="22.5" customHeight="1" thickBot="1">
      <c r="A2" s="515" t="n"/>
      <c r="B2" s="516" t="n"/>
      <c r="C2" s="516" t="n"/>
      <c r="D2" s="516" t="n"/>
      <c r="E2" s="516" t="n"/>
      <c r="F2" s="516" t="n"/>
    </row>
    <row r="3" ht="16.5" customHeight="1">
      <c r="A3" s="499" t="inlineStr">
        <is>
          <t>Hoja de Hallazgos</t>
        </is>
      </c>
      <c r="B3" s="580" t="n"/>
      <c r="C3" s="580" t="n"/>
      <c r="D3" s="580" t="n"/>
      <c r="E3" s="580" t="n"/>
      <c r="F3" s="580" t="n"/>
    </row>
    <row r="4" ht="12.75" customHeight="1">
      <c r="A4" s="289" t="inlineStr">
        <is>
          <t xml:space="preserve">Nombre del cliente: </t>
        </is>
      </c>
      <c r="B4" s="290" t="n"/>
      <c r="C4" s="289" t="inlineStr">
        <is>
          <t>Período terminado:</t>
        </is>
      </c>
      <c r="D4" s="291">
        <f>+'DM8 ATS'!D16:E16</f>
        <v/>
      </c>
      <c r="E4" s="581" t="inlineStr">
        <is>
          <t>Referencia de PT</t>
        </is>
      </c>
      <c r="F4" s="293" t="inlineStr">
        <is>
          <t>DM9</t>
        </is>
      </c>
    </row>
    <row r="5" ht="12.75" customHeight="1">
      <c r="A5" s="289" t="inlineStr">
        <is>
          <t xml:space="preserve">Preparado por: </t>
        </is>
      </c>
      <c r="B5" s="290" t="n"/>
      <c r="C5" s="289" t="inlineStr">
        <is>
          <t>Revisado por:</t>
        </is>
      </c>
      <c r="D5" s="290" t="n"/>
      <c r="E5" s="582" t="inlineStr">
        <is>
          <t>Fecha</t>
        </is>
      </c>
      <c r="F5" s="295">
        <f>+'DM8 ATS'!C18</f>
        <v/>
      </c>
    </row>
    <row r="6" ht="12.75" customHeight="1" thickBot="1"/>
    <row r="7" ht="12.75" customHeight="1">
      <c r="A7" s="296" t="inlineStr">
        <is>
          <t>No.</t>
        </is>
      </c>
      <c r="B7" s="297" t="inlineStr">
        <is>
          <t>Observación</t>
        </is>
      </c>
      <c r="C7" s="297" t="inlineStr">
        <is>
          <t>Referencia de PT</t>
        </is>
      </c>
      <c r="D7" s="298" t="inlineStr">
        <is>
          <t>Recomendación</t>
        </is>
      </c>
    </row>
    <row r="8" ht="38.25" customHeight="1">
      <c r="A8" s="299" t="n">
        <v>1</v>
      </c>
      <c r="B8" s="300" t="inlineStr">
        <is>
          <t>Diferencia en ats vs anexos</t>
        </is>
      </c>
      <c r="C8" s="301" t="inlineStr">
        <is>
          <t>DM3</t>
        </is>
      </c>
      <c r="D8" s="302" t="n"/>
    </row>
    <row r="9" ht="12.75" customFormat="1" customHeight="1" s="306">
      <c r="A9" s="303" t="n"/>
      <c r="B9" s="304" t="n"/>
      <c r="C9" s="7" t="n"/>
      <c r="D9" s="305" t="n"/>
    </row>
    <row r="10" ht="12.75" customHeight="1">
      <c r="A10" s="307" t="inlineStr">
        <is>
          <t>Prodecimiento:</t>
        </is>
      </c>
      <c r="D10" s="308" t="n"/>
    </row>
    <row r="11" ht="36.75" customHeight="1">
      <c r="A11" s="583" t="inlineStr">
        <is>
          <t>Detallar las observaciones encontradas en cada uno de los análisis, detallando el problema encontrado, la causa y el efecto. (Mencionar el valor en USD$ de las diferencias determinadas)</t>
        </is>
      </c>
      <c r="D11" s="584" t="n"/>
    </row>
    <row r="12" ht="13.5" customHeight="1" thickBot="1">
      <c r="A12" s="309" t="n"/>
      <c r="B12" s="310" t="n"/>
      <c r="C12" s="310" t="n"/>
      <c r="D12" s="311" t="n"/>
    </row>
    <row r="13" ht="12.75" customHeight="1"/>
    <row r="14" ht="12.75" customHeight="1"/>
    <row r="15" ht="12.75" customHeight="1"/>
    <row r="16" ht="12.75" customHeight="1"/>
    <row r="17"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sheetData>
  <mergeCells count="3">
    <mergeCell ref="A3:F3"/>
    <mergeCell ref="A1:F2"/>
    <mergeCell ref="A11:D11"/>
  </mergeCells>
  <pageMargins left="0.7" right="0.7" top="0.75" bottom="0.75" header="0.3" footer="0.3"/>
  <pageSetup orientation="portrait" scale="6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Marco Jácome</dc:creator>
  <dcterms:created xmlns:dcterms="http://purl.org/dc/terms/" xmlns:xsi="http://www.w3.org/2001/XMLSchema-instance" xsi:type="dcterms:W3CDTF">2011-08-16T14:56:08Z</dcterms:created>
  <dcterms:modified xmlns:dcterms="http://purl.org/dc/terms/" xmlns:xsi="http://www.w3.org/2001/XMLSchema-instance" xsi:type="dcterms:W3CDTF">2026-05-28T12:57:00Z</dcterms:modified>
  <cp:lastModifiedBy>Alexis Unaucho</cp:lastModifiedBy>
</cp:coreProperties>
</file>