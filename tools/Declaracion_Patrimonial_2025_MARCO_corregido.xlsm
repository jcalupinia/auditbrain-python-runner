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3875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&quot;$&quot;#,##0.00"/>
    <numFmt numFmtId="165" formatCode="\+0.0%;\-0.0%;0.0%"/>
    <numFmt numFmtId="166" formatCode="&quot;$&quot;#.##0.00"/>
  </numFmts>
  <fonts count="27">
    <font>
      <name val="Calibri"/>
      <family val="2"/>
      <color theme="1"/>
      <sz val="11"/>
      <scheme val="minor"/>
    </font>
    <font>
      <name val="Calibri"/>
      <b val="1"/>
      <color rgb="FF1A1A1A"/>
      <sz val="11"/>
    </font>
    <font>
      <name val="Calibri"/>
      <b val="1"/>
      <color rgb="FFFFFFFF"/>
      <sz val="14"/>
    </font>
    <font>
      <name val="Calibri"/>
      <i val="1"/>
      <color rgb="FF7A7A7A"/>
      <sz val="10"/>
    </font>
    <font>
      <name val="Calibri"/>
      <b val="1"/>
      <color rgb="FFFFFFFF"/>
      <sz val="10"/>
    </font>
    <font>
      <name val="Calibri"/>
      <color rgb="FF1A1A1A"/>
      <sz val="11"/>
    </font>
    <font>
      <name val="Calibri"/>
      <b val="1"/>
      <color rgb="FFFFFFFF"/>
      <sz val="11"/>
    </font>
    <font>
      <name val="Calibri"/>
      <b val="1"/>
      <color rgb="FFFFFFFF"/>
      <sz val="12"/>
    </font>
    <font>
      <name val="Calibri"/>
      <color rgb="FF1A1A1A"/>
      <sz val="11"/>
    </font>
    <font>
      <name val="Calibri"/>
      <i val="1"/>
      <color rgb="FF7A7A7A"/>
      <sz val="9"/>
    </font>
    <font>
      <name val="Calibri"/>
      <b val="1"/>
      <color rgb="FF1A1A1A"/>
      <sz val="11"/>
    </font>
    <font>
      <name val="Calibri"/>
      <b val="1"/>
      <color rgb="FF1E6B52"/>
      <sz val="10"/>
    </font>
    <font>
      <name val="Calibri"/>
      <color rgb="FF7A7A7A"/>
      <sz val="8"/>
    </font>
    <font>
      <name val="Calibri"/>
      <b val="1"/>
      <color rgb="FFA23B3B"/>
      <sz val="10"/>
    </font>
    <font>
      <name val="Calibri"/>
      <b val="1"/>
      <color rgb="FF20507D"/>
      <sz val="10"/>
    </font>
    <font>
      <name val="Calibri"/>
      <b val="1"/>
      <color rgb="FFFFFFFF"/>
      <sz val="14"/>
    </font>
    <font>
      <name val="Calibri"/>
      <i val="1"/>
      <color rgb="FF7A7A7A"/>
      <sz val="8"/>
    </font>
    <font>
      <name val="Calibri"/>
      <b val="1"/>
      <color rgb="FF10243E"/>
      <sz val="11"/>
    </font>
    <font>
      <name val="Calibri"/>
      <b val="1"/>
      <color rgb="FFFFFFFF"/>
      <sz val="16"/>
    </font>
    <font>
      <name val="Calibri"/>
      <b val="1"/>
      <color rgb="FFFFFFFF"/>
      <sz val="16"/>
      <scheme val="minor"/>
    </font>
    <font>
      <name val="Calibri"/>
      <i val="1"/>
      <color rgb="FF5A6470"/>
      <sz val="10"/>
    </font>
    <font>
      <name val="Calibri"/>
      <family val="2"/>
      <i val="1"/>
      <color rgb="FF5A6470"/>
      <sz val="10"/>
      <scheme val="minor"/>
    </font>
    <font>
      <name val="Calibri"/>
      <color theme="1"/>
      <sz val="11"/>
      <scheme val="minor"/>
    </font>
    <font>
      <name val="Calibri"/>
      <b val="1"/>
      <color rgb="FF1A1A1A"/>
      <sz val="20"/>
    </font>
    <font>
      <name val="Calibri"/>
      <family val="2"/>
      <b val="1"/>
      <color rgb="FFFFFFFF"/>
      <sz val="12"/>
      <scheme val="minor"/>
    </font>
    <font>
      <name val="Calibri"/>
      <family val="2"/>
      <i val="1"/>
      <color rgb="FF7A7A7A"/>
      <sz val="9"/>
      <scheme val="minor"/>
    </font>
    <font>
      <name val="Calibri"/>
      <family val="2"/>
      <color rgb="FF1A1A1A"/>
      <sz val="11"/>
    </font>
  </fonts>
  <fills count="21">
    <fill>
      <patternFill/>
    </fill>
    <fill>
      <patternFill patternType="gray125"/>
    </fill>
    <fill>
      <patternFill patternType="solid">
        <fgColor rgb="FF10243E"/>
      </patternFill>
    </fill>
    <fill>
      <patternFill patternType="solid">
        <fgColor rgb="FFC8A24B"/>
      </patternFill>
    </fill>
    <fill>
      <patternFill patternType="solid">
        <fgColor rgb="FF1F3B5C"/>
      </patternFill>
    </fill>
    <fill>
      <patternFill patternType="solid">
        <fgColor rgb="FFFCEFC9"/>
      </patternFill>
    </fill>
    <fill>
      <patternFill patternType="solid">
        <fgColor rgb="FFF3F4F6"/>
      </patternFill>
    </fill>
    <fill>
      <patternFill patternType="solid">
        <fgColor rgb="FF1E6B52"/>
      </patternFill>
    </fill>
    <fill>
      <patternFill patternType="solid">
        <fgColor rgb="FFA23B3B"/>
      </patternFill>
    </fill>
    <fill>
      <patternFill patternType="solid">
        <fgColor rgb="FFE6F0EB"/>
      </patternFill>
    </fill>
    <fill>
      <patternFill patternType="solid">
        <fgColor rgb="FFF4E6E6"/>
      </patternFill>
    </fill>
    <fill>
      <patternFill patternType="solid">
        <fgColor rgb="FF20507D"/>
      </patternFill>
    </fill>
    <fill>
      <patternFill patternType="solid">
        <fgColor rgb="FFE2EAF2"/>
      </patternFill>
    </fill>
    <fill>
      <patternFill patternType="solid">
        <fgColor rgb="FF0B2440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E6B52"/>
        <bgColor indexed="64"/>
      </patternFill>
    </fill>
    <fill>
      <patternFill patternType="solid">
        <fgColor rgb="FFA23B3B"/>
        <bgColor indexed="64"/>
      </patternFill>
    </fill>
    <fill>
      <patternFill patternType="solid">
        <fgColor rgb="FF20507D"/>
        <bgColor indexed="64"/>
      </patternFill>
    </fill>
    <fill>
      <patternFill patternType="solid">
        <fgColor rgb="FFF2F7F4"/>
        <bgColor indexed="64"/>
      </patternFill>
    </fill>
    <fill>
      <patternFill patternType="solid">
        <fgColor rgb="FFE6F0EB"/>
        <bgColor indexed="64"/>
      </patternFill>
    </fill>
    <fill>
      <patternFill patternType="solid">
        <fgColor rgb="00FCEFC9"/>
      </patternFill>
    </fill>
  </fills>
  <borders count="17">
    <border>
      <left/>
      <right/>
      <top/>
      <bottom/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n">
        <color rgb="FFD0D3D8"/>
      </bottom>
      <diagonal/>
    </border>
    <border>
      <left style="thin">
        <color rgb="FFD0D3D8"/>
      </left>
      <right style="thin">
        <color rgb="FFD0D3D8"/>
      </right>
      <top style="thin">
        <color rgb="FFD0D3D8"/>
      </top>
      <bottom/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ck">
        <color rgb="FF1E6B52"/>
      </bottom>
      <diagonal/>
    </border>
    <border>
      <left style="thin">
        <color rgb="FFD0D3D8"/>
      </left>
      <right/>
      <top style="thin">
        <color rgb="FFD0D3D8"/>
      </top>
      <bottom style="thick">
        <color rgb="FF1E6B52"/>
      </bottom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ck">
        <color rgb="FFA23B3B"/>
      </bottom>
      <diagonal/>
    </border>
    <border>
      <left style="thin">
        <color rgb="FFD0D3D8"/>
      </left>
      <right/>
      <top style="thin">
        <color rgb="FFD0D3D8"/>
      </top>
      <bottom style="thick">
        <color rgb="FFA23B3B"/>
      </bottom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ck">
        <color rgb="FF20507D"/>
      </bottom>
      <diagonal/>
    </border>
    <border>
      <left/>
      <right/>
      <top style="thin">
        <color rgb="FFD0D3D8"/>
      </top>
      <bottom/>
      <diagonal/>
    </border>
    <border>
      <left/>
      <right style="thin">
        <color rgb="FFD0D3D8"/>
      </right>
      <top style="thin">
        <color rgb="FFD0D3D8"/>
      </top>
      <bottom/>
      <diagonal/>
    </border>
    <border>
      <left/>
      <right style="thin">
        <color rgb="FFD0D3D8"/>
      </right>
      <top style="thin">
        <color rgb="FFD0D3D8"/>
      </top>
      <bottom style="thin">
        <color rgb="FFD0D3D8"/>
      </bottom>
      <diagonal/>
    </border>
    <border>
      <left/>
      <right/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/>
      <bottom/>
      <diagonal/>
    </border>
    <border>
      <left/>
      <right style="thin">
        <color rgb="FFD0D3D8"/>
      </right>
      <top/>
      <bottom/>
      <diagonal/>
    </border>
    <border>
      <left style="thin">
        <color rgb="FFD0D3D8"/>
      </left>
      <right/>
      <top/>
      <bottom style="thin">
        <color rgb="FFD0D3D8"/>
      </bottom>
      <diagonal/>
    </border>
    <border>
      <left/>
      <right/>
      <top/>
      <bottom style="thin">
        <color rgb="FFD0D3D8"/>
      </bottom>
      <diagonal/>
    </border>
    <border>
      <left/>
      <right style="thin">
        <color rgb="FFD0D3D8"/>
      </right>
      <top/>
      <bottom style="thin">
        <color rgb="FFD0D3D8"/>
      </bottom>
      <diagonal/>
    </border>
  </borders>
  <cellStyleXfs count="1">
    <xf numFmtId="0" fontId="0" fillId="0" borderId="0"/>
  </cellStyleXfs>
  <cellXfs count="117">
    <xf numFmtId="0" fontId="0" fillId="0" borderId="0" pivotButton="0" quotePrefix="0" xfId="0"/>
    <xf numFmtId="164" fontId="0" fillId="0" borderId="0" pivotButton="0" quotePrefix="0" xfId="0"/>
    <xf numFmtId="0" fontId="0" fillId="0" borderId="1" pivotButton="0" quotePrefix="0" xfId="0"/>
    <xf numFmtId="0" fontId="4" fillId="4" borderId="1" applyAlignment="1" pivotButton="0" quotePrefix="0" xfId="0">
      <alignment horizontal="center" vertical="center" wrapTex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164" fontId="9" fillId="0" borderId="1" applyAlignment="1" pivotButton="0" quotePrefix="0" xfId="0">
      <alignment horizontal="right" vertical="center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164" fontId="1" fillId="6" borderId="1" applyAlignment="1" pivotButton="0" quotePrefix="0" xfId="0">
      <alignment horizontal="right" vertical="center"/>
    </xf>
    <xf numFmtId="0" fontId="1" fillId="5" borderId="1" applyAlignment="1" pivotButton="0" quotePrefix="0" xfId="0">
      <alignment horizontal="center" vertical="center" wrapText="1"/>
    </xf>
    <xf numFmtId="0" fontId="16" fillId="0" borderId="0" pivotButton="0" quotePrefix="0" xfId="0"/>
    <xf numFmtId="0" fontId="17" fillId="0" borderId="0" pivotButton="0" quotePrefix="0" xfId="0"/>
    <xf numFmtId="0" fontId="5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19" fillId="13" borderId="0" pivotButton="0" quotePrefix="0" xfId="0"/>
    <xf numFmtId="0" fontId="21" fillId="14" borderId="0" pivotButton="0" quotePrefix="0" xfId="0"/>
    <xf numFmtId="0" fontId="4" fillId="13" borderId="1" applyAlignment="1" pivotButton="0" quotePrefix="0" xfId="0">
      <alignment horizontal="center" vertical="center" wrapText="1"/>
    </xf>
    <xf numFmtId="0" fontId="25" fillId="0" borderId="0" pivotButton="0" quotePrefix="0" xfId="0"/>
    <xf numFmtId="0" fontId="12" fillId="9" borderId="3" applyAlignment="1" pivotButton="0" quotePrefix="0" xfId="0">
      <alignment horizontal="left" vertical="center" indent="1"/>
    </xf>
    <xf numFmtId="165" fontId="11" fillId="9" borderId="4" applyAlignment="1" pivotButton="0" quotePrefix="0" xfId="0">
      <alignment horizontal="right" vertical="center" indent="1"/>
    </xf>
    <xf numFmtId="0" fontId="12" fillId="10" borderId="5" applyAlignment="1" pivotButton="0" quotePrefix="0" xfId="0">
      <alignment horizontal="left" vertical="center" indent="1"/>
    </xf>
    <xf numFmtId="165" fontId="13" fillId="10" borderId="6" applyAlignment="1" pivotButton="0" quotePrefix="0" xfId="0">
      <alignment horizontal="right" vertical="center" indent="1"/>
    </xf>
    <xf numFmtId="0" fontId="12" fillId="12" borderId="7" applyAlignment="1" pivotButton="0" quotePrefix="0" xfId="0">
      <alignment horizontal="left" vertical="center" indent="1"/>
    </xf>
    <xf numFmtId="165" fontId="14" fillId="12" borderId="7" applyAlignment="1" pivotButton="0" quotePrefix="0" xfId="0">
      <alignment horizontal="right" vertical="center" indent="1"/>
    </xf>
    <xf numFmtId="164" fontId="8" fillId="18" borderId="1" applyAlignment="1" pivotButton="0" quotePrefix="0" xfId="0">
      <alignment horizontal="right" vertical="center"/>
    </xf>
    <xf numFmtId="165" fontId="8" fillId="18" borderId="1" applyAlignment="1" pivotButton="0" quotePrefix="0" xfId="0">
      <alignment horizontal="right" vertical="center"/>
    </xf>
    <xf numFmtId="164" fontId="8" fillId="19" borderId="1" applyAlignment="1" pivotButton="0" quotePrefix="0" xfId="0">
      <alignment horizontal="right" vertical="center"/>
    </xf>
    <xf numFmtId="165" fontId="8" fillId="19" borderId="1" applyAlignment="1" pivotButton="0" quotePrefix="0" xfId="0">
      <alignment horizontal="right" vertical="center"/>
    </xf>
    <xf numFmtId="0" fontId="6" fillId="4" borderId="0" applyAlignment="1" pivotButton="0" quotePrefix="0" xfId="0">
      <alignment horizontal="left" vertical="center" indent="1"/>
    </xf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10" fillId="12" borderId="1" applyAlignment="1" pivotButton="0" quotePrefix="0" xfId="0">
      <alignment horizontal="left" vertical="center" indent="1"/>
    </xf>
    <xf numFmtId="0" fontId="11" fillId="9" borderId="1" applyAlignment="1" pivotButton="0" quotePrefix="0" xfId="0">
      <alignment horizontal="left" vertical="center" indent="1"/>
    </xf>
    <xf numFmtId="0" fontId="22" fillId="9" borderId="1" pivotButton="0" quotePrefix="0" xfId="0"/>
    <xf numFmtId="0" fontId="8" fillId="10" borderId="1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0" fontId="8" fillId="18" borderId="1" applyAlignment="1" pivotButton="0" quotePrefix="0" xfId="0">
      <alignment horizontal="left" vertical="center" indent="1"/>
    </xf>
    <xf numFmtId="0" fontId="0" fillId="18" borderId="0" pivotButton="0" quotePrefix="0" xfId="0"/>
    <xf numFmtId="0" fontId="9" fillId="0" borderId="1" applyAlignment="1" pivotButton="0" quotePrefix="0" xfId="0">
      <alignment horizontal="left" vertical="center" indent="1"/>
    </xf>
    <xf numFmtId="0" fontId="0" fillId="0" borderId="1" pivotButton="0" quotePrefix="0" xfId="0"/>
    <xf numFmtId="0" fontId="7" fillId="16" borderId="0" applyAlignment="1" pivotButton="0" quotePrefix="0" xfId="0">
      <alignment horizontal="left" vertical="center" indent="1"/>
    </xf>
    <xf numFmtId="0" fontId="24" fillId="16" borderId="0" applyAlignment="1" pivotButton="0" quotePrefix="0" xfId="0">
      <alignment vertical="center"/>
    </xf>
    <xf numFmtId="0" fontId="6" fillId="7" borderId="1" applyAlignment="1" pivotButton="0" quotePrefix="0" xfId="0">
      <alignment horizontal="left" vertical="center" indent="1"/>
    </xf>
    <xf numFmtId="0" fontId="7" fillId="17" borderId="0" applyAlignment="1" pivotButton="0" quotePrefix="0" xfId="0">
      <alignment horizontal="left" vertical="center" indent="1"/>
    </xf>
    <xf numFmtId="0" fontId="24" fillId="17" borderId="0" applyAlignment="1" pivotButton="0" quotePrefix="0" xfId="0">
      <alignment vertical="center"/>
    </xf>
    <xf numFmtId="0" fontId="7" fillId="13" borderId="0" applyAlignment="1" pivotButton="0" quotePrefix="0" xfId="0">
      <alignment horizontal="left" vertical="center" indent="1"/>
    </xf>
    <xf numFmtId="0" fontId="24" fillId="13" borderId="0" applyAlignment="1" pivotButton="0" quotePrefix="0" xfId="0">
      <alignment vertical="center"/>
    </xf>
    <xf numFmtId="0" fontId="20" fillId="14" borderId="0" applyAlignment="1" pivotButton="0" quotePrefix="0" xfId="0">
      <alignment horizontal="left" vertical="center" indent="1"/>
    </xf>
    <xf numFmtId="0" fontId="21" fillId="14" borderId="0" pivotButton="0" quotePrefix="0" xfId="0"/>
    <xf numFmtId="0" fontId="4" fillId="13" borderId="1" applyAlignment="1" pivotButton="0" quotePrefix="0" xfId="0">
      <alignment horizontal="left" vertical="center" indent="1"/>
    </xf>
    <xf numFmtId="0" fontId="0" fillId="7" borderId="1" pivotButton="0" quotePrefix="0" xfId="0"/>
    <xf numFmtId="0" fontId="0" fillId="8" borderId="1" pivotButton="0" quotePrefix="0" xfId="0"/>
    <xf numFmtId="0" fontId="18" fillId="13" borderId="0" applyAlignment="1" pivotButton="0" quotePrefix="0" xfId="0">
      <alignment horizontal="left" vertical="center" indent="1"/>
    </xf>
    <xf numFmtId="0" fontId="19" fillId="13" borderId="0" pivotButton="0" quotePrefix="0" xfId="0"/>
    <xf numFmtId="0" fontId="8" fillId="19" borderId="1" applyAlignment="1" pivotButton="0" quotePrefix="0" xfId="0">
      <alignment horizontal="left" vertical="center" indent="1"/>
    </xf>
    <xf numFmtId="0" fontId="0" fillId="19" borderId="0" pivotButton="0" quotePrefix="0" xfId="0"/>
    <xf numFmtId="164" fontId="23" fillId="12" borderId="2" applyAlignment="1" pivotButton="0" quotePrefix="0" xfId="0">
      <alignment horizontal="left" vertical="center" indent="1"/>
    </xf>
    <xf numFmtId="0" fontId="22" fillId="12" borderId="2" pivotButton="0" quotePrefix="0" xfId="0"/>
    <xf numFmtId="0" fontId="10" fillId="10" borderId="1" applyAlignment="1" pivotButton="0" quotePrefix="0" xfId="0">
      <alignment horizontal="left" vertical="center" indent="1"/>
    </xf>
    <xf numFmtId="0" fontId="13" fillId="10" borderId="1" applyAlignment="1" pivotButton="0" quotePrefix="0" xfId="0">
      <alignment horizontal="left" vertical="center" indent="1"/>
    </xf>
    <xf numFmtId="0" fontId="22" fillId="10" borderId="1" pivotButton="0" quotePrefix="0" xfId="0"/>
    <xf numFmtId="0" fontId="7" fillId="15" borderId="0" applyAlignment="1" pivotButton="0" quotePrefix="0" xfId="0">
      <alignment horizontal="left" vertical="center" indent="1"/>
    </xf>
    <xf numFmtId="0" fontId="24" fillId="15" borderId="0" applyAlignment="1" pivotButton="0" quotePrefix="0" xfId="0">
      <alignment vertical="center"/>
    </xf>
    <xf numFmtId="0" fontId="0" fillId="11" borderId="1" pivotButton="0" quotePrefix="0" xfId="0"/>
    <xf numFmtId="0" fontId="10" fillId="9" borderId="1" applyAlignment="1" pivotButton="0" quotePrefix="0" xfId="0">
      <alignment horizontal="left" vertical="center" indent="1"/>
    </xf>
    <xf numFmtId="164" fontId="23" fillId="9" borderId="2" applyAlignment="1" pivotButton="0" quotePrefix="0" xfId="0">
      <alignment horizontal="left" vertical="center" indent="1"/>
    </xf>
    <xf numFmtId="0" fontId="22" fillId="9" borderId="2" pivotButton="0" quotePrefix="0" xfId="0"/>
    <xf numFmtId="0" fontId="6" fillId="8" borderId="1" applyAlignment="1" pivotButton="0" quotePrefix="0" xfId="0">
      <alignment horizontal="left" vertical="center" indent="1"/>
    </xf>
    <xf numFmtId="0" fontId="14" fillId="12" borderId="1" applyAlignment="1" pivotButton="0" quotePrefix="0" xfId="0">
      <alignment horizontal="left" vertical="center" indent="1"/>
    </xf>
    <xf numFmtId="0" fontId="22" fillId="12" borderId="1" pivotButton="0" quotePrefix="0" xfId="0"/>
    <xf numFmtId="0" fontId="6" fillId="11" borderId="1" applyAlignment="1" pivotButton="0" quotePrefix="0" xfId="0">
      <alignment horizontal="left" vertical="center" indent="1"/>
    </xf>
    <xf numFmtId="164" fontId="23" fillId="10" borderId="2" applyAlignment="1" pivotButton="0" quotePrefix="0" xfId="0">
      <alignment horizontal="left" vertical="center" indent="1"/>
    </xf>
    <xf numFmtId="0" fontId="22" fillId="10" borderId="2" pivotButton="0" quotePrefix="0" xfId="0"/>
    <xf numFmtId="0" fontId="3" fillId="0" borderId="0" applyAlignment="1" pivotButton="0" quotePrefix="0" xfId="0">
      <alignment horizontal="left" vertical="center" indent="1"/>
    </xf>
    <xf numFmtId="0" fontId="5" fillId="0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0" fontId="15" fillId="7" borderId="1" applyAlignment="1" pivotButton="0" quotePrefix="0" xfId="0">
      <alignment horizontal="center" vertical="center" wrapText="1"/>
    </xf>
    <xf numFmtId="166" fontId="0" fillId="0" borderId="0" pivotButton="0" quotePrefix="0" xfId="0"/>
    <xf numFmtId="164" fontId="26" fillId="5" borderId="1" applyAlignment="1" pivotButton="0" quotePrefix="0" xfId="0">
      <alignment horizontal="right" vertical="center"/>
    </xf>
    <xf numFmtId="0" fontId="0" fillId="0" borderId="10" pivotButton="0" quotePrefix="0" xfId="0"/>
    <xf numFmtId="0" fontId="0" fillId="0" borderId="9" pivotButton="0" quotePrefix="0" xfId="0"/>
    <xf numFmtId="0" fontId="5" fillId="20" borderId="1" applyAlignment="1" pivotButton="0" quotePrefix="0" xfId="0">
      <alignment horizontal="left" vertical="center"/>
    </xf>
    <xf numFmtId="49" fontId="5" fillId="0" borderId="1" applyAlignment="1" pivotButton="0" quotePrefix="0" xfId="0">
      <alignment horizontal="left" vertical="center"/>
    </xf>
    <xf numFmtId="49" fontId="5" fillId="6" borderId="1" applyAlignment="1" pivotButton="0" quotePrefix="0" xfId="0">
      <alignment horizontal="left" vertical="center"/>
    </xf>
    <xf numFmtId="0" fontId="0" fillId="0" borderId="11" pivotButton="0" quotePrefix="0" xfId="0"/>
    <xf numFmtId="0" fontId="0" fillId="0" borderId="8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</cellXfs>
  <cellStyles count="1">
    <cellStyle name="Normal" xfId="0" builtinId="0"/>
  </cellStyle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400" b="1">
                <a:solidFill>
                  <a:srgbClr val="1F3B5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Composición: Activos, Pasivos y Patrimonio</a:t>
            </a:r>
          </a:p>
        </rich>
      </tx>
      <layout>
        <manualLayout>
          <xMode val="edge"/>
          <yMode val="edge"/>
          <wMode val="factor"/>
          <hMode val="factor"/>
          <x val="0.0007749343832020998"/>
          <y val="0.003225806451612903"/>
        </manualLayout>
      </layout>
      <overlay val="1"/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rgbClr val="1E6B52"/>
              </a:solidFill>
              <a:ln>
                <a:prstDash val="solid"/>
              </a:ln>
            </spPr>
          </dPt>
          <dPt>
            <idx val="1"/>
            <bubble3D val="0"/>
            <spPr>
              <a:solidFill>
                <a:srgbClr val="A23B3B"/>
              </a:solidFill>
              <a:ln>
                <a:prstDash val="solid"/>
              </a:ln>
            </spPr>
          </dPt>
          <dPt>
            <idx val="2"/>
            <bubble3D val="0"/>
            <spPr>
              <a:solidFill>
                <a:srgbClr val="20507D"/>
              </a:solidFill>
              <a:ln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FFFFFF"/>
                    </a:solidFill>
                  </a:defRPr>
                </a:pPr>
                <a:r>
                  <a:t/>
                </a:r>
                <a:endParaRPr lang="es-EC"/>
              </a:p>
            </txPr>
            <dLblPos val="ctr"/>
            <showLegendKey val="0"/>
            <showVal val="0"/>
            <showCatName val="0"/>
            <showSerName val="0"/>
            <showPercent val="1"/>
            <showBubbleSize val="1"/>
            <showLeaderLines val="1"/>
          </dLbls>
          <cat>
            <strRef>
              <f>Dashboard!$B$38:$B$40</f>
              <strCache>
                <ptCount val="3"/>
                <pt idx="0">
                  <v>Activos</v>
                </pt>
                <pt idx="1">
                  <v>Pasivos</v>
                </pt>
                <pt idx="2">
                  <v>Patrimonio neto</v>
                </pt>
              </strCache>
            </strRef>
          </cat>
          <val>
            <numRef>
              <f>Dashboard!$D$38:$D$40</f>
              <numCache>
                <formatCode>"$"#.##0.00</formatCode>
                <ptCount val="3"/>
                <pt idx="0">
                  <v>893724.75</v>
                </pt>
                <pt idx="1">
                  <v>10439.19</v>
                </pt>
                <pt idx="2">
                  <v>883285.5600000001</v>
                </pt>
              </numCache>
            </numRef>
          </val>
        </ser>
        <dLbls>
          <showLegendKey val="0"/>
          <showVal val="0"/>
          <showCatName val="1"/>
          <showSerName val="0"/>
          <showPercent val="1"/>
          <showBubbleSize val="1"/>
          <showLeaderLines val="1"/>
        </dLbls>
        <firstSliceAng val="0"/>
      </pieChart>
    </plotArea>
    <legend>
      <legendPos val="b"/>
      <layout>
        <manualLayout>
          <xMode val="edge"/>
          <yMode val="edge"/>
          <wMode val="factor"/>
          <hMode val="factor"/>
          <x val="0.003202493438320222"/>
          <y val="0.9061841503683007"/>
          <w val="0.3169283464566929"/>
          <h val="0.05833197866395733"/>
        </manualLayout>
      </layout>
      <overlay val="1"/>
      <txPr>
        <a:bodyPr/>
        <a:lstStyle/>
        <a:p>
          <a:pPr>
            <a:defRPr sz="1000">
              <a:solidFill>
                <a:srgbClr val="1A1A1A"/>
              </a:solidFill>
            </a:defRPr>
          </a:pPr>
          <a:r>
            <a:t/>
          </a:r>
          <a:endParaRPr lang="es-EC"/>
        </a:p>
      </txPr>
    </legend>
    <plotVisOnly val="1"/>
    <dispBlanksAs val="gap"/>
  </chart>
  <spPr>
    <a:solidFill>
      <a:srgbClr val="FFFFFF"/>
    </a:solidFill>
    <a:ln>
      <a:prstDash val="solid"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rgbClr val="1F3B5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Concentración de Activos 2025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rgbClr val="1F3B5C"/>
              </a:solidFill>
              <a:latin typeface="Calibri"/>
              <a:ea typeface="Calibri"/>
              <a:cs typeface="Calibri"/>
            </a:defRPr>
          </a:pPr>
          <a:r>
            <a:t/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Dashboard!$AB$2</f>
              <strCache>
                <ptCount val="1"/>
                <pt idx="0">
                  <v>Total 2025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1E6B52"/>
              </a:solidFill>
              <a:ln w="25400">
                <a:noFill/>
                <a:prstDash val="solid"/>
              </a:ln>
            </spPr>
          </dPt>
          <dPt>
            <idx val="1"/>
            <invertIfNegative val="0"/>
            <bubble3D val="0"/>
            <spPr>
              <a:solidFill>
                <a:srgbClr val="3B7EA1"/>
              </a:solidFill>
              <a:ln w="25400">
                <a:noFill/>
                <a:prstDash val="solid"/>
              </a:ln>
            </spPr>
          </dPt>
          <dPt>
            <idx val="2"/>
            <invertIfNegative val="0"/>
            <bubble3D val="0"/>
            <spPr>
              <a:solidFill>
                <a:srgbClr val="C8A24B"/>
              </a:solidFill>
              <a:ln w="25400">
                <a:noFill/>
                <a:prstDash val="solid"/>
              </a:ln>
            </spPr>
          </dPt>
          <dPt>
            <idx val="3"/>
            <invertIfNegative val="0"/>
            <bubble3D val="0"/>
            <spPr>
              <a:solidFill>
                <a:srgbClr val="7A5C99"/>
              </a:solidFill>
              <a:ln w="25400">
                <a:noFill/>
                <a:prstDash val="solid"/>
              </a:ln>
            </spPr>
          </dPt>
          <dPt>
            <idx val="4"/>
            <invertIfNegative val="0"/>
            <bubble3D val="0"/>
            <spPr>
              <a:solidFill>
                <a:srgbClr val="D97A3C"/>
              </a:solidFill>
              <a:ln w="25400">
                <a:noFill/>
                <a:prstDash val="solid"/>
              </a:ln>
            </spPr>
          </dPt>
          <dPt>
            <idx val="5"/>
            <invertIfNegative val="0"/>
            <bubble3D val="0"/>
            <spPr>
              <a:solidFill>
                <a:srgbClr val="5A9367"/>
              </a:solidFill>
              <a:ln w="25400">
                <a:noFill/>
                <a:prstDash val="solid"/>
              </a:ln>
            </spPr>
          </dPt>
          <dPt>
            <idx val="6"/>
            <invertIfNegative val="0"/>
            <bubble3D val="0"/>
            <spPr>
              <a:solidFill>
                <a:srgbClr val="20507D"/>
              </a:solidFill>
              <a:ln w="25400">
                <a:noFill/>
                <a:prstDash val="solid"/>
              </a:ln>
            </spPr>
          </dPt>
          <dPt>
            <idx val="7"/>
            <invertIfNegative val="0"/>
            <bubble3D val="0"/>
            <spPr>
              <a:solidFill>
                <a:srgbClr val="A23B3B"/>
              </a:solidFill>
              <a:ln w="25400">
                <a:noFill/>
                <a:prstDash val="solid"/>
              </a:ln>
            </spPr>
          </dPt>
          <dLbls>
            <numFmt formatCode="&quot;$&quot;#\,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rgbClr val="1A1A1A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Dashboard!$AA$3:$AA$10</f>
              <strCache>
                <ptCount val="8"/>
                <pt idx="0">
                  <v>Dinero e inversiones</v>
                </pt>
                <pt idx="1">
                  <v>Derechos representativos de capital</v>
                </pt>
                <pt idx="2">
                  <v>Cuentas por cobrar</v>
                </pt>
                <pt idx="3">
                  <v>Bienes muebles</v>
                </pt>
                <pt idx="4">
                  <v>Vehiculos, naves y aeronaves</v>
                </pt>
                <pt idx="5">
                  <v>Derechos (usufructo, uso, etc.)</v>
                </pt>
                <pt idx="6">
                  <v>Bienes inmuebles</v>
                </pt>
                <pt idx="7">
                  <v>Otros activos</v>
                </pt>
              </strCache>
            </strRef>
          </cat>
          <val>
            <numRef>
              <f>Dashboard!$AB$3:$AB$10</f>
              <numCache>
                <formatCode>"$"#.##0.00</formatCode>
                <ptCount val="8"/>
                <pt idx="0">
                  <v>248007.14</v>
                </pt>
                <pt idx="1">
                  <v>0</v>
                </pt>
                <pt idx="2">
                  <v>0</v>
                </pt>
                <pt idx="3">
                  <formatCode>General</formatCode>
                  <v>0</v>
                </pt>
                <pt idx="4">
                  <v>64000</v>
                </pt>
                <pt idx="5">
                  <v>0</v>
                </pt>
                <pt idx="6">
                  <v>581717.61</v>
                </pt>
                <pt idx="7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64101295"/>
        <axId val="664100335"/>
      </barChart>
      <catAx>
        <axId val="66410129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1A1A1A"/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s-EC"/>
          </a:p>
        </txPr>
        <crossAx val="664100335"/>
        <crosses val="autoZero"/>
        <auto val="1"/>
        <lblAlgn val="ctr"/>
        <lblOffset val="100"/>
        <noMultiLvlLbl val="0"/>
      </catAx>
      <valAx>
        <axId val="66410033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,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5A5A5A"/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s-EC"/>
          </a:p>
        </txPr>
        <crossAx val="664101295"/>
        <crosses val="autoZero"/>
        <crossBetween val="between"/>
      </valAx>
    </plotArea>
    <plotVisOnly val="0"/>
    <dispBlanksAs val="gap"/>
  </chart>
  <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31750</colOff>
      <row>5</row>
      <rowOff>142875</rowOff>
    </from>
    <to>
      <col>24</col>
      <colOff>565150</colOff>
      <row>20</row>
      <rowOff>12700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oneCellAnchor>
    <from>
      <col>9</col>
      <colOff>117475</colOff>
      <row>21</row>
      <rowOff>182563</rowOff>
    </from>
    <ext cx="7620000" cy="3937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FF0B2440"/>
    <outlinePr summaryBelow="1" summaryRight="1"/>
    <pageSetUpPr/>
  </sheetPr>
  <dimension ref="A1:AB42"/>
  <sheetViews>
    <sheetView showGridLines="0" tabSelected="1" topLeftCell="A23" zoomScale="120" zoomScaleNormal="120" workbookViewId="0">
      <selection activeCell="F31" sqref="F31"/>
    </sheetView>
  </sheetViews>
  <sheetFormatPr baseColWidth="10" defaultColWidth="9.06640625" defaultRowHeight="14.25"/>
  <cols>
    <col width="1.3984375" customWidth="1" style="54" min="1" max="1"/>
    <col width="39.1328125" customWidth="1" style="54" min="2" max="2"/>
    <col width="2.46484375" customWidth="1" style="54" min="3" max="3"/>
    <col width="19.53125" customWidth="1" style="54" min="4" max="6"/>
    <col width="16" customWidth="1" style="54" min="7" max="7"/>
    <col width="2.1328125" customWidth="1" style="54" min="8" max="14"/>
    <col hidden="1" width="13" customWidth="1" style="54" min="27" max="28"/>
  </cols>
  <sheetData>
    <row r="1" ht="32" customHeight="1" s="54">
      <c r="A1" s="78" t="inlineStr">
        <is>
          <t>DECLARACION PATRIMONIAL  -  TABLERO EJECUTIVO</t>
        </is>
      </c>
      <c r="I1" s="79" t="n"/>
      <c r="J1" s="79" t="n"/>
      <c r="K1" s="79" t="n"/>
      <c r="L1" s="79" t="n"/>
      <c r="M1" s="79" t="n"/>
      <c r="N1" s="79" t="n"/>
    </row>
    <row r="2" ht="22.05" customHeight="1" s="54">
      <c r="A2" s="73" t="inlineStr">
        <is>
          <t>GONZALEZ NAVAS MARCO VINICIO   |   R - RUC: 1709164899001   |   SOC - Sociedad conyugal o union de hecho   |   Comparativo 2025 vs 2026</t>
        </is>
      </c>
      <c r="I2" s="74" t="n"/>
      <c r="J2" s="74" t="n"/>
      <c r="K2" s="74" t="n"/>
      <c r="L2" s="74" t="n"/>
      <c r="M2" s="74" t="n"/>
      <c r="N2" s="74" t="n"/>
      <c r="AA2" t="inlineStr">
        <is>
          <t>Concepto</t>
        </is>
      </c>
      <c r="AB2" t="inlineStr">
        <is>
          <t>Total 2025</t>
        </is>
      </c>
    </row>
    <row r="3" ht="5" customHeight="1" s="54">
      <c r="A3" s="56" t="n"/>
      <c r="AA3" t="inlineStr">
        <is>
          <t>Dinero e inversiones</t>
        </is>
      </c>
      <c r="AB3" s="1">
        <f>D12</f>
        <v/>
      </c>
    </row>
    <row r="4">
      <c r="AA4" t="inlineStr">
        <is>
          <t>Derechos representativos de capital</t>
        </is>
      </c>
      <c r="AB4" s="1">
        <f>D13</f>
        <v/>
      </c>
    </row>
    <row r="5" ht="6" customHeight="1" s="54">
      <c r="B5" s="76" t="n"/>
      <c r="C5" s="107" t="n"/>
      <c r="D5" s="77" t="n"/>
      <c r="E5" s="107" t="n"/>
      <c r="F5" s="89" t="n"/>
      <c r="G5" s="107" t="n"/>
      <c r="AA5" t="inlineStr">
        <is>
          <t>Cuentas por cobrar</t>
        </is>
      </c>
      <c r="AB5" s="1">
        <f>D14</f>
        <v/>
      </c>
    </row>
    <row r="6" ht="22.05" customHeight="1" s="54">
      <c r="B6" s="58" t="inlineStr">
        <is>
          <t>TOTAL ACTIVOS</t>
        </is>
      </c>
      <c r="C6" s="107" t="n"/>
      <c r="D6" s="85" t="inlineStr">
        <is>
          <t>TOTAL PASIVOS</t>
        </is>
      </c>
      <c r="E6" s="107" t="n"/>
      <c r="F6" s="94" t="inlineStr">
        <is>
          <t>PATRIMONIO NETO</t>
        </is>
      </c>
      <c r="G6" s="107" t="n"/>
      <c r="AA6" t="inlineStr">
        <is>
          <t>Bienes muebles</t>
        </is>
      </c>
      <c r="AB6">
        <f>D15</f>
        <v/>
      </c>
    </row>
    <row r="7" ht="36" customHeight="1" s="54">
      <c r="B7" s="91">
        <f>D20</f>
        <v/>
      </c>
      <c r="C7" s="108" t="n"/>
      <c r="D7" s="97">
        <f>D25</f>
        <v/>
      </c>
      <c r="E7" s="108" t="n"/>
      <c r="F7" s="82">
        <f>D31</f>
        <v/>
      </c>
      <c r="G7" s="108" t="n"/>
      <c r="AA7" t="inlineStr">
        <is>
          <t>Vehiculos, naves y aeronaves</t>
        </is>
      </c>
      <c r="AB7" s="1">
        <f>D16</f>
        <v/>
      </c>
    </row>
    <row r="8" ht="20" customHeight="1" s="54" thickBot="1">
      <c r="B8" s="43" t="inlineStr">
        <is>
          <t>Var. proyectada</t>
        </is>
      </c>
      <c r="C8" s="44">
        <f>G20</f>
        <v/>
      </c>
      <c r="D8" s="45" t="inlineStr">
        <is>
          <t>Var. proyectada</t>
        </is>
      </c>
      <c r="E8" s="46">
        <f>G25</f>
        <v/>
      </c>
      <c r="F8" s="47" t="inlineStr">
        <is>
          <t>Var. proyectada</t>
        </is>
      </c>
      <c r="G8" s="48">
        <f>G31</f>
        <v/>
      </c>
      <c r="AA8" t="inlineStr">
        <is>
          <t>Derechos (usufructo, uso, etc.)</t>
        </is>
      </c>
      <c r="AB8" s="1">
        <f>D17</f>
        <v/>
      </c>
    </row>
    <row r="9" ht="14.65" customHeight="1" s="54" thickTop="1">
      <c r="AA9" t="inlineStr">
        <is>
          <t>Bienes inmuebles</t>
        </is>
      </c>
      <c r="AB9" s="1">
        <f>D18</f>
        <v/>
      </c>
    </row>
    <row r="10" ht="26" customHeight="1" s="54">
      <c r="B10" s="87" t="inlineStr">
        <is>
          <t>ACTIVOS</t>
        </is>
      </c>
      <c r="AA10" t="inlineStr">
        <is>
          <t>Otros activos</t>
        </is>
      </c>
      <c r="AB10" s="1">
        <f>D19</f>
        <v/>
      </c>
    </row>
    <row r="11" ht="22.05" customHeight="1" s="54">
      <c r="B11" s="75" t="inlineStr">
        <is>
          <t>Concepto</t>
        </is>
      </c>
      <c r="C11" s="107" t="n"/>
      <c r="D11" s="41" t="inlineStr">
        <is>
          <t>Total 2025</t>
        </is>
      </c>
      <c r="E11" s="41" t="inlineStr">
        <is>
          <t>Total 2026</t>
        </is>
      </c>
      <c r="F11" s="41" t="inlineStr">
        <is>
          <t>Variacion</t>
        </is>
      </c>
      <c r="G11" s="41" t="inlineStr">
        <is>
          <t>Variacion %</t>
        </is>
      </c>
    </row>
    <row r="12" ht="20" customHeight="1" s="54">
      <c r="B12" s="80" t="inlineStr">
        <is>
          <t>Dinero e inversiones</t>
        </is>
      </c>
      <c r="C12" s="107" t="n"/>
      <c r="D12" s="51">
        <f>Dinero!J11</f>
        <v/>
      </c>
      <c r="E12" s="51">
        <f>Dinero!K11</f>
        <v/>
      </c>
      <c r="F12" s="51">
        <f>E12-D12</f>
        <v/>
      </c>
      <c r="G12" s="52">
        <f>IF(D12=0,"",(E12-D12)/D12)</f>
        <v/>
      </c>
    </row>
    <row r="13" ht="20" customHeight="1" s="54">
      <c r="B13" s="62" t="inlineStr">
        <is>
          <t>Derechos representativos de capital</t>
        </is>
      </c>
      <c r="C13" s="107" t="n"/>
      <c r="D13" s="49">
        <f>'Derechos de Capital'!J14</f>
        <v/>
      </c>
      <c r="E13" s="49">
        <f>'Derechos de Capital'!K14</f>
        <v/>
      </c>
      <c r="F13" s="49">
        <f>E13-D13</f>
        <v/>
      </c>
      <c r="G13" s="50">
        <f>IF(D13=0,"",(E13-D13)/D13)</f>
        <v/>
      </c>
    </row>
    <row r="14" ht="20" customHeight="1" s="54">
      <c r="B14" s="80" t="inlineStr">
        <is>
          <t>Cuentas por cobrar</t>
        </is>
      </c>
      <c r="C14" s="107" t="n"/>
      <c r="D14" s="51">
        <f>'Cuentas por Cobrar'!J14</f>
        <v/>
      </c>
      <c r="E14" s="51">
        <f>'Cuentas por Cobrar'!K14</f>
        <v/>
      </c>
      <c r="F14" s="51">
        <f>E14-D14</f>
        <v/>
      </c>
      <c r="G14" s="52">
        <f>IF(D14=0,"",(E14-D14)/D14)</f>
        <v/>
      </c>
    </row>
    <row r="15" ht="20" customHeight="1" s="54">
      <c r="B15" s="62" t="inlineStr">
        <is>
          <t>Bienes muebles</t>
        </is>
      </c>
      <c r="C15" s="107" t="n"/>
      <c r="D15" s="49">
        <f>'Bienes Muebles'!F14</f>
        <v/>
      </c>
      <c r="E15" s="49">
        <f>'Bienes Muebles'!G14</f>
        <v/>
      </c>
      <c r="F15" s="49">
        <f>E15-D15</f>
        <v/>
      </c>
      <c r="G15" s="50">
        <f>IF(D15=0,"",(E15-D15)/D15)</f>
        <v/>
      </c>
    </row>
    <row r="16" ht="20" customHeight="1" s="54">
      <c r="B16" s="80" t="inlineStr">
        <is>
          <t>Vehiculos, naves y aeronaves</t>
        </is>
      </c>
      <c r="C16" s="107" t="n"/>
      <c r="D16" s="51">
        <f>Vehiculos!G9</f>
        <v/>
      </c>
      <c r="E16" s="51">
        <f>Vehiculos!H9</f>
        <v/>
      </c>
      <c r="F16" s="51">
        <f>E16-D16</f>
        <v/>
      </c>
      <c r="G16" s="52">
        <f>IF(D16=0,"",(E16-D16)/D16)</f>
        <v/>
      </c>
    </row>
    <row r="17" ht="20" customHeight="1" s="54">
      <c r="B17" s="62" t="inlineStr">
        <is>
          <t>Derechos (usufructo, uso, etc.)</t>
        </is>
      </c>
      <c r="C17" s="107" t="n"/>
      <c r="D17" s="49">
        <f>Derechos!F14</f>
        <v/>
      </c>
      <c r="E17" s="49">
        <f>Derechos!G14</f>
        <v/>
      </c>
      <c r="F17" s="49">
        <f>E17-D17</f>
        <v/>
      </c>
      <c r="G17" s="50">
        <f>IF(D17=0,"",(E17-D17)/D17)</f>
        <v/>
      </c>
    </row>
    <row r="18" ht="20" customHeight="1" s="54">
      <c r="B18" s="80" t="inlineStr">
        <is>
          <t>Bienes inmuebles</t>
        </is>
      </c>
      <c r="C18" s="107" t="n"/>
      <c r="D18" s="51">
        <f>'Bienes Inmuebles'!J10</f>
        <v/>
      </c>
      <c r="E18" s="51">
        <f>'Bienes Inmuebles'!K10</f>
        <v/>
      </c>
      <c r="F18" s="51">
        <f>E18-D18</f>
        <v/>
      </c>
      <c r="G18" s="52">
        <f>IF(D18=0,"",(E18-D18)/D18)</f>
        <v/>
      </c>
    </row>
    <row r="19" ht="20" customHeight="1" s="54">
      <c r="B19" s="62" t="inlineStr">
        <is>
          <t>Otros activos</t>
        </is>
      </c>
      <c r="C19" s="107" t="n"/>
      <c r="D19" s="49">
        <f>'Otros Activos'!F14</f>
        <v/>
      </c>
      <c r="E19" s="49">
        <f>'Otros Activos'!G14</f>
        <v/>
      </c>
      <c r="F19" s="49">
        <f>E19-D19</f>
        <v/>
      </c>
      <c r="G19" s="50">
        <f>IF(D19=0,"",(E19-D19)/D19)</f>
        <v/>
      </c>
    </row>
    <row r="20" ht="22.05" customHeight="1" s="54">
      <c r="B20" s="68" t="inlineStr">
        <is>
          <t>TOTAL ACTIVOS</t>
        </is>
      </c>
      <c r="C20" s="107" t="n"/>
      <c r="D20" s="4">
        <f>SUM(D12:D19)</f>
        <v/>
      </c>
      <c r="E20" s="4">
        <f>SUM(E12:E19)</f>
        <v/>
      </c>
      <c r="F20" s="4">
        <f>E20-D20</f>
        <v/>
      </c>
      <c r="G20" s="5">
        <f>IF(D20=0,"",(E20-D20)/D20)</f>
        <v/>
      </c>
    </row>
    <row r="22" ht="26" customHeight="1" s="54">
      <c r="B22" s="66" t="inlineStr">
        <is>
          <t>PASIVOS</t>
        </is>
      </c>
    </row>
    <row r="23" ht="22.05" customHeight="1" s="54">
      <c r="B23" s="75" t="inlineStr">
        <is>
          <t>Concepto</t>
        </is>
      </c>
      <c r="C23" s="107" t="n"/>
      <c r="D23" s="41" t="inlineStr">
        <is>
          <t>Total 2025</t>
        </is>
      </c>
      <c r="E23" s="41" t="inlineStr">
        <is>
          <t>Total 2026</t>
        </is>
      </c>
      <c r="F23" s="41" t="inlineStr">
        <is>
          <t>Variacion</t>
        </is>
      </c>
      <c r="G23" s="41" t="inlineStr">
        <is>
          <t>Variacion %</t>
        </is>
      </c>
    </row>
    <row r="24" ht="20" customHeight="1" s="54">
      <c r="B24" s="60" t="inlineStr">
        <is>
          <t>Deudas y obligaciones</t>
        </is>
      </c>
      <c r="C24" s="107" t="n"/>
      <c r="D24" s="6">
        <f>Pasivos!I8</f>
        <v/>
      </c>
      <c r="E24" s="6">
        <f>Pasivos!J8</f>
        <v/>
      </c>
      <c r="F24" s="6">
        <f>E24-D24</f>
        <v/>
      </c>
      <c r="G24" s="7">
        <f>IF(D24=0,"",(E24-D24)/D24)</f>
        <v/>
      </c>
    </row>
    <row r="25" ht="22.05" customHeight="1" s="54">
      <c r="B25" s="93" t="inlineStr">
        <is>
          <t>TOTAL PASIVOS</t>
        </is>
      </c>
      <c r="C25" s="107" t="n"/>
      <c r="D25" s="8">
        <f>SUM(D24:D24)</f>
        <v/>
      </c>
      <c r="E25" s="8">
        <f>SUM(E24:E24)</f>
        <v/>
      </c>
      <c r="F25" s="8">
        <f>E25-D25</f>
        <v/>
      </c>
      <c r="G25" s="9">
        <f>IF(D25=0,"",(E25-D25)/D25)</f>
        <v/>
      </c>
    </row>
    <row r="27" ht="26" customHeight="1" s="54">
      <c r="B27" s="69" t="inlineStr">
        <is>
          <t>PATRIMONIO NETO</t>
        </is>
      </c>
    </row>
    <row r="28" ht="22.05" customHeight="1" s="54">
      <c r="B28" s="75" t="inlineStr">
        <is>
          <t>Concepto</t>
        </is>
      </c>
      <c r="C28" s="107" t="n"/>
      <c r="D28" s="41" t="inlineStr">
        <is>
          <t>Total 2025</t>
        </is>
      </c>
      <c r="E28" s="41" t="inlineStr">
        <is>
          <t>Total 2026</t>
        </is>
      </c>
      <c r="F28" s="41" t="inlineStr">
        <is>
          <t>Variacion</t>
        </is>
      </c>
      <c r="G28" s="41" t="inlineStr">
        <is>
          <t>Variacion %</t>
        </is>
      </c>
    </row>
    <row r="29" ht="20" customHeight="1" s="54">
      <c r="B29" s="61" t="inlineStr">
        <is>
          <t>(+) Total activos</t>
        </is>
      </c>
      <c r="C29" s="107" t="n"/>
      <c r="D29" s="10">
        <f>D20</f>
        <v/>
      </c>
      <c r="E29" s="10">
        <f>E20</f>
        <v/>
      </c>
      <c r="F29" s="10">
        <f>E29-D29</f>
        <v/>
      </c>
      <c r="G29" s="11">
        <f>IF(D29=0,"",(E29-D29)/D29)</f>
        <v/>
      </c>
    </row>
    <row r="30" ht="20" customHeight="1" s="54">
      <c r="B30" s="61" t="inlineStr">
        <is>
          <t>(-) Total pasivos</t>
        </is>
      </c>
      <c r="C30" s="107" t="n"/>
      <c r="D30" s="10">
        <f>D25</f>
        <v/>
      </c>
      <c r="E30" s="10">
        <f>E25</f>
        <v/>
      </c>
      <c r="F30" s="10">
        <f>E30-D30</f>
        <v/>
      </c>
      <c r="G30" s="11">
        <f>IF(D30=0,"",(E30-D30)/D30)</f>
        <v/>
      </c>
    </row>
    <row r="31" ht="22.05" customHeight="1" s="54">
      <c r="B31" s="96" t="inlineStr">
        <is>
          <t>(=) PATRIMONIO NETO</t>
        </is>
      </c>
      <c r="C31" s="107" t="n"/>
      <c r="D31" s="12">
        <f>D29-D30</f>
        <v/>
      </c>
      <c r="E31" s="12">
        <f>E29-E30</f>
        <v/>
      </c>
      <c r="F31" s="12">
        <f>E31-D31</f>
        <v/>
      </c>
      <c r="G31" s="13">
        <f>IF(D31=0,"",(E31-D31)/D31)</f>
        <v/>
      </c>
    </row>
    <row r="32" ht="16.05" customHeight="1" s="54">
      <c r="B32" s="64" t="inlineStr">
        <is>
          <t>Patrimonio declarado en el XML (2025)</t>
        </is>
      </c>
      <c r="C32" s="107" t="n"/>
      <c r="D32" s="14" t="n">
        <v>883285.5600000001</v>
      </c>
      <c r="E32" s="65" t="n"/>
      <c r="F32" s="65" t="n"/>
      <c r="G32" s="65" t="n"/>
    </row>
    <row r="33" ht="16.05" customHeight="1" s="54">
      <c r="B33" s="64" t="inlineStr">
        <is>
          <t>Patrimonio neto del anio anterior</t>
        </is>
      </c>
      <c r="C33" s="107" t="n"/>
      <c r="D33" s="14" t="n">
        <v>801569.97</v>
      </c>
      <c r="E33" s="65" t="n"/>
      <c r="F33" s="65" t="n"/>
      <c r="G33" s="65" t="n"/>
    </row>
    <row r="34" ht="16.05" customHeight="1" s="54">
      <c r="B34" s="64" t="inlineStr">
        <is>
          <t>Crecimiento / decremento patrimonial (XML)</t>
        </is>
      </c>
      <c r="C34" s="107" t="n"/>
      <c r="D34" s="14" t="n">
        <v>81715.59</v>
      </c>
      <c r="E34" s="65" t="n"/>
      <c r="F34" s="65" t="n"/>
      <c r="G34" s="65" t="n"/>
    </row>
    <row r="36" ht="26" customHeight="1" s="54">
      <c r="B36" s="71" t="inlineStr">
        <is>
          <t>CONSOLIDADO</t>
        </is>
      </c>
    </row>
    <row r="37" ht="22.05" customHeight="1" s="54">
      <c r="B37" s="75" t="inlineStr">
        <is>
          <t>Concepto</t>
        </is>
      </c>
      <c r="C37" s="107" t="n"/>
      <c r="D37" s="41" t="inlineStr">
        <is>
          <t>Total 2025</t>
        </is>
      </c>
      <c r="E37" s="41" t="inlineStr">
        <is>
          <t>Total 2026</t>
        </is>
      </c>
      <c r="F37" s="41" t="inlineStr">
        <is>
          <t>Variacion</t>
        </is>
      </c>
      <c r="G37" s="41" t="inlineStr">
        <is>
          <t>Variacion %</t>
        </is>
      </c>
    </row>
    <row r="38" ht="20" customHeight="1" s="54">
      <c r="B38" s="90" t="inlineStr">
        <is>
          <t>Activos</t>
        </is>
      </c>
      <c r="C38" s="107" t="n"/>
      <c r="D38" s="15">
        <f>D20</f>
        <v/>
      </c>
      <c r="E38" s="15">
        <f>E20</f>
        <v/>
      </c>
      <c r="F38" s="15">
        <f>E38-D38</f>
        <v/>
      </c>
      <c r="G38" s="16">
        <f>IF(D38=0,"",(E38-D38)/D38)</f>
        <v/>
      </c>
    </row>
    <row r="39" ht="20" customHeight="1" s="54">
      <c r="B39" s="84" t="inlineStr">
        <is>
          <t>Pasivos</t>
        </is>
      </c>
      <c r="C39" s="107" t="n"/>
      <c r="D39" s="17">
        <f>D25</f>
        <v/>
      </c>
      <c r="E39" s="17">
        <f>E25</f>
        <v/>
      </c>
      <c r="F39" s="17">
        <f>E39-D39</f>
        <v/>
      </c>
      <c r="G39" s="18">
        <f>IF(D39=0,"",(E39-D39)/D39)</f>
        <v/>
      </c>
    </row>
    <row r="40" ht="20" customHeight="1" s="54">
      <c r="B40" s="57" t="inlineStr">
        <is>
          <t>Patrimonio neto</t>
        </is>
      </c>
      <c r="C40" s="107" t="n"/>
      <c r="D40" s="19">
        <f>D31</f>
        <v/>
      </c>
      <c r="E40" s="19">
        <f>E31</f>
        <v/>
      </c>
      <c r="F40" s="19">
        <f>E40-D40</f>
        <v/>
      </c>
      <c r="G40" s="20">
        <f>IF(D40=0,"",(E40-D40)/D40)</f>
        <v/>
      </c>
    </row>
    <row r="42">
      <c r="B42" s="21" t="inlineStr">
        <is>
          <t>Edite las columnas amarillas en las hojas de cada modulo; las tarjetas, secciones y graficos se recalculan solos.</t>
        </is>
      </c>
      <c r="C42" s="42" t="n"/>
      <c r="D42" s="42" t="n"/>
      <c r="E42" s="42" t="n"/>
      <c r="F42" s="42" t="n"/>
      <c r="G42" s="42" t="n"/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D5:E5"/>
    <mergeCell ref="B27:G27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1"/>
  <sheetViews>
    <sheetView showGridLines="0" topLeftCell="C1" workbookViewId="0">
      <pane ySplit="5" topLeftCell="A6" activePane="bottomLeft" state="frozen"/>
      <selection pane="bottomLeft" activeCell="K11" sqref="K11"/>
    </sheetView>
  </sheetViews>
  <sheetFormatPr baseColWidth="10" defaultColWidth="9.06640625" defaultRowHeight="14.25"/>
  <cols>
    <col width="18" customWidth="1" style="54" min="1" max="1"/>
    <col width="26" customWidth="1" style="54" min="2" max="2"/>
    <col width="15" customWidth="1" style="54" min="3" max="3"/>
    <col width="18" customWidth="1" style="54" min="4" max="4"/>
    <col width="28" customWidth="1" style="54" min="5" max="5"/>
    <col width="13" customWidth="1" style="54" min="6" max="6"/>
    <col width="15" customWidth="1" style="54" min="7" max="7"/>
    <col width="16" customWidth="1" style="54" min="8" max="8"/>
    <col width="15" customWidth="1" style="54" min="9" max="9"/>
    <col width="16" customWidth="1" style="54" min="10" max="13"/>
  </cols>
  <sheetData>
    <row r="1" ht="30" customHeight="1" s="54">
      <c r="A1" s="55" t="inlineStr">
        <is>
          <t>4.1.1   DINERO E INVERSIONES EN INSTITUCIONES FINANCIERAS</t>
        </is>
      </c>
    </row>
    <row r="2">
      <c r="A2" s="99" t="inlineStr">
        <is>
          <t>Declaracion 2025  -  columna 2026 editable</t>
        </is>
      </c>
    </row>
    <row r="3" ht="5" customHeight="1" s="54">
      <c r="A3" s="56" t="n"/>
    </row>
    <row r="5" ht="32" customHeight="1" s="54">
      <c r="A5" s="101" t="inlineStr">
        <is>
          <t>Dinero en</t>
        </is>
      </c>
      <c r="B5" s="101" t="inlineStr">
        <is>
          <t>Tipo de inversion</t>
        </is>
      </c>
      <c r="C5" s="101" t="inlineStr">
        <is>
          <t>Ubicacion</t>
        </is>
      </c>
      <c r="D5" s="101" t="inlineStr">
        <is>
          <t>Pais</t>
        </is>
      </c>
      <c r="E5" s="101" t="inlineStr">
        <is>
          <t>Institucion financiera</t>
        </is>
      </c>
      <c r="F5" s="101" t="inlineStr">
        <is>
          <t>Tipo de moneda</t>
        </is>
      </c>
      <c r="G5" s="101" t="inlineStr">
        <is>
          <t>Partes relacionadas</t>
        </is>
      </c>
      <c r="H5" s="101" t="inlineStr">
        <is>
          <t>Regularizacion activos</t>
        </is>
      </c>
      <c r="I5" s="101" t="inlineStr">
        <is>
          <t>Anio fiscal adquisicion</t>
        </is>
      </c>
      <c r="J5" s="101" t="inlineStr">
        <is>
          <t>Valor 2025</t>
        </is>
      </c>
      <c r="K5" s="101" t="inlineStr">
        <is>
          <t>Valor 2026</t>
        </is>
      </c>
      <c r="L5" s="101" t="inlineStr">
        <is>
          <t>Variacion</t>
        </is>
      </c>
      <c r="M5" s="101" t="inlineStr">
        <is>
          <t>Variacion %</t>
        </is>
      </c>
    </row>
    <row r="6">
      <c r="A6" s="22" t="inlineStr">
        <is>
          <t>IFI - Instituciones financieras</t>
        </is>
      </c>
      <c r="B6" s="22" t="inlineStr">
        <is>
          <t>3 - Cuenta de ahorros</t>
        </is>
      </c>
      <c r="C6" s="22" t="inlineStr">
        <is>
          <t>ECU - En el Ecuador</t>
        </is>
      </c>
      <c r="D6" s="22" t="inlineStr">
        <is>
          <t>593 - ECUADOR</t>
        </is>
      </c>
      <c r="E6" s="22" t="inlineStr">
        <is>
          <t>1029 - BANCO PICHINCHA C.A.</t>
        </is>
      </c>
      <c r="F6" s="22" t="inlineStr">
        <is>
          <t>DOLARES</t>
        </is>
      </c>
      <c r="G6" s="22" t="inlineStr">
        <is>
          <t>2 - No</t>
        </is>
      </c>
      <c r="H6" s="22" t="n"/>
      <c r="I6" s="22" t="n"/>
      <c r="J6" s="23" t="n">
        <v>130.2</v>
      </c>
      <c r="K6" s="106" t="n">
        <v>39.22</v>
      </c>
      <c r="L6" s="23">
        <f>K6-J6</f>
        <v/>
      </c>
      <c r="M6" s="25">
        <f>IF(J6=0,"",(K6-J6)/J6)</f>
        <v/>
      </c>
    </row>
    <row r="7">
      <c r="A7" s="26" t="inlineStr">
        <is>
          <t>IFI - Instituciones financieras</t>
        </is>
      </c>
      <c r="B7" s="26" t="inlineStr">
        <is>
          <t>4 - Cuenta corriente</t>
        </is>
      </c>
      <c r="C7" s="26" t="inlineStr">
        <is>
          <t>ECU - En el Ecuador</t>
        </is>
      </c>
      <c r="D7" s="26" t="inlineStr">
        <is>
          <t>593 - ECUADOR</t>
        </is>
      </c>
      <c r="E7" s="26" t="inlineStr">
        <is>
          <t>1029 - BANCO PICHINCHA C.A.</t>
        </is>
      </c>
      <c r="F7" s="26" t="inlineStr">
        <is>
          <t>DOLARES</t>
        </is>
      </c>
      <c r="G7" s="26" t="inlineStr">
        <is>
          <t>2 - No</t>
        </is>
      </c>
      <c r="H7" s="26" t="n"/>
      <c r="I7" s="26" t="n"/>
      <c r="J7" s="27" t="n">
        <v>5590.32</v>
      </c>
      <c r="K7" s="106">
        <f>1137.25+1996.84</f>
        <v/>
      </c>
      <c r="L7" s="27">
        <f>K7-J7</f>
        <v/>
      </c>
      <c r="M7" s="28">
        <f>IF(J7=0,"",(K7-J7)/J7)</f>
        <v/>
      </c>
    </row>
    <row r="8">
      <c r="A8" s="22" t="inlineStr">
        <is>
          <t>IFI - Instituciones financieras</t>
        </is>
      </c>
      <c r="B8" s="22" t="inlineStr">
        <is>
          <t>3 - Cuenta de ahorros</t>
        </is>
      </c>
      <c r="C8" s="22" t="inlineStr">
        <is>
          <t>ECU - En el Ecuador</t>
        </is>
      </c>
      <c r="D8" s="22" t="inlineStr">
        <is>
          <t>593 - ECUADOR</t>
        </is>
      </c>
      <c r="E8" s="22" t="inlineStr">
        <is>
          <t>1418 - BANCO PROMERICA S.A.</t>
        </is>
      </c>
      <c r="F8" s="22" t="inlineStr">
        <is>
          <t>DOLARES</t>
        </is>
      </c>
      <c r="G8" s="22" t="inlineStr">
        <is>
          <t>2 - No</t>
        </is>
      </c>
      <c r="H8" s="22" t="n"/>
      <c r="I8" s="22" t="n"/>
      <c r="J8" s="23" t="n">
        <v>53237.31</v>
      </c>
      <c r="K8" s="106" t="n">
        <v>45</v>
      </c>
      <c r="L8" s="23">
        <f>K8-J8</f>
        <v/>
      </c>
      <c r="M8" s="25">
        <f>IF(J8=0,"",(K8-J8)/J8)</f>
        <v/>
      </c>
    </row>
    <row r="9">
      <c r="A9" s="26" t="inlineStr">
        <is>
          <t>IFI - Instituciones financieras</t>
        </is>
      </c>
      <c r="B9" s="26" t="inlineStr">
        <is>
          <t>2 - Inversiones financieras</t>
        </is>
      </c>
      <c r="C9" s="26" t="inlineStr">
        <is>
          <t>EXT - En el exterior</t>
        </is>
      </c>
      <c r="D9" s="26" t="inlineStr">
        <is>
          <t>118 - PANAMA</t>
        </is>
      </c>
      <c r="E9" s="26" t="inlineStr">
        <is>
          <t>BANCO PICHINCHA CA</t>
        </is>
      </c>
      <c r="F9" s="26" t="inlineStr">
        <is>
          <t>DOLARES</t>
        </is>
      </c>
      <c r="G9" s="26" t="inlineStr">
        <is>
          <t>2 - No</t>
        </is>
      </c>
      <c r="H9" s="26" t="n"/>
      <c r="I9" s="26" t="n"/>
      <c r="J9" s="27" t="n">
        <v>189049.31</v>
      </c>
      <c r="K9" s="106" t="n">
        <v>211701.65</v>
      </c>
      <c r="L9" s="27">
        <f>K9-J9</f>
        <v/>
      </c>
      <c r="M9" s="28">
        <f>IF(J9=0,"",(K9-J9)/J9)</f>
        <v/>
      </c>
    </row>
    <row r="10">
      <c r="A10" s="109" t="inlineStr">
        <is>
          <t>IFI - Instituciones financieras</t>
        </is>
      </c>
      <c r="B10" s="26" t="inlineStr">
        <is>
          <t>5 - Inversiones financieras (bonos, obligaciones y otros)</t>
        </is>
      </c>
      <c r="C10" s="26" t="inlineStr">
        <is>
          <t>ECU - En el Ecuador</t>
        </is>
      </c>
      <c r="D10" s="26" t="inlineStr">
        <is>
          <t>593 - ECUADOR</t>
        </is>
      </c>
      <c r="E10" s="26" t="inlineStr">
        <is>
          <t>1148 - BANCO PROCREDIT S.A.</t>
        </is>
      </c>
      <c r="F10" s="26" t="inlineStr">
        <is>
          <t>DOLARES</t>
        </is>
      </c>
      <c r="G10" s="26" t="inlineStr">
        <is>
          <t>2 - No</t>
        </is>
      </c>
      <c r="H10" s="26" t="n"/>
      <c r="I10" s="26" t="n"/>
      <c r="J10" s="27" t="n"/>
      <c r="K10" s="106" t="n">
        <v>13314.33</v>
      </c>
      <c r="L10" s="27" t="n"/>
      <c r="M10" s="28" t="n"/>
    </row>
    <row r="11" ht="22.05" customHeight="1" s="54">
      <c r="A11" s="29" t="inlineStr">
        <is>
          <t>TOTAL</t>
        </is>
      </c>
      <c r="B11" s="29" t="n"/>
      <c r="C11" s="29" t="n"/>
      <c r="D11" s="29" t="n"/>
      <c r="E11" s="29" t="n"/>
      <c r="F11" s="29" t="n"/>
      <c r="G11" s="29" t="n"/>
      <c r="H11" s="29" t="n"/>
      <c r="I11" s="29" t="n"/>
      <c r="J11" s="4">
        <f>SUM(J6:J9)</f>
        <v/>
      </c>
      <c r="K11" s="4">
        <f>SUM(K6:K10)</f>
        <v/>
      </c>
      <c r="L11" s="4">
        <f>K11-J11</f>
        <v/>
      </c>
      <c r="M11" s="5">
        <f>IF(J11=0,"",(K11-J11)/J11)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.06640625" defaultRowHeight="14.25"/>
  <cols>
    <col width="30" customWidth="1" style="54" min="1" max="1"/>
    <col width="15" customWidth="1" style="54" min="2" max="2"/>
    <col width="18" customWidth="1" style="54" min="3" max="3"/>
    <col width="30" customWidth="1" style="54" min="4" max="4"/>
    <col width="14" customWidth="1" style="54" min="5" max="5"/>
    <col width="16" customWidth="1" style="54" min="6" max="6"/>
    <col width="15" customWidth="1" style="54" min="7" max="7"/>
    <col width="16" customWidth="1" style="54" min="8" max="8"/>
    <col width="15" customWidth="1" style="54" min="9" max="9"/>
    <col width="16" customWidth="1" style="54" min="10" max="13"/>
  </cols>
  <sheetData>
    <row r="1" ht="30" customHeight="1" s="54">
      <c r="A1" s="55" t="inlineStr">
        <is>
          <t>4.1.2   INVERSIONES EN DERECHOS REPRESENTATIVOS DE CAPITAL</t>
        </is>
      </c>
    </row>
    <row r="2">
      <c r="A2" s="99" t="inlineStr">
        <is>
          <t>Declaracion 2025  -  columna 2026 editable   |   PLANTILLA EN BLANCO (este modulo no consta en el XML)</t>
        </is>
      </c>
    </row>
    <row r="3" ht="5" customHeight="1" s="54">
      <c r="A3" s="56" t="n"/>
    </row>
    <row r="5" ht="32" customHeight="1" s="54">
      <c r="A5" s="101" t="inlineStr">
        <is>
          <t>Tipo de inversion</t>
        </is>
      </c>
      <c r="B5" s="101" t="inlineStr">
        <is>
          <t>Ubicacion</t>
        </is>
      </c>
      <c r="C5" s="101" t="inlineStr">
        <is>
          <t>Pais</t>
        </is>
      </c>
      <c r="D5" s="101" t="inlineStr">
        <is>
          <t>Empresa / Administradora / Fideicomiso</t>
        </is>
      </c>
      <c r="E5" s="101" t="inlineStr">
        <is>
          <t>% de participacion</t>
        </is>
      </c>
      <c r="F5" s="101" t="inlineStr">
        <is>
          <t>N. de acciones / participaciones</t>
        </is>
      </c>
      <c r="G5" s="101" t="inlineStr">
        <is>
          <t>Partes relacionadas</t>
        </is>
      </c>
      <c r="H5" s="101" t="inlineStr">
        <is>
          <t>Regularizacion activos</t>
        </is>
      </c>
      <c r="I5" s="101" t="inlineStr">
        <is>
          <t>Anio fiscal adquisicion</t>
        </is>
      </c>
      <c r="J5" s="101" t="inlineStr">
        <is>
          <t>Valor 2025</t>
        </is>
      </c>
      <c r="K5" s="101" t="inlineStr">
        <is>
          <t>Valor 2026</t>
        </is>
      </c>
      <c r="L5" s="101" t="inlineStr">
        <is>
          <t>Variacion</t>
        </is>
      </c>
      <c r="M5" s="101" t="inlineStr">
        <is>
          <t>Variacion %</t>
        </is>
      </c>
    </row>
    <row r="6">
      <c r="A6" s="22" t="n"/>
      <c r="B6" s="22" t="n"/>
      <c r="C6" s="22" t="n"/>
      <c r="D6" s="22" t="n"/>
      <c r="E6" s="22" t="n"/>
      <c r="F6" s="22" t="n"/>
      <c r="G6" s="22" t="n"/>
      <c r="H6" s="22" t="n"/>
      <c r="I6" s="22" t="n"/>
      <c r="J6" s="24" t="n">
        <v>0</v>
      </c>
      <c r="K6" s="24" t="n">
        <v>0</v>
      </c>
      <c r="L6" s="23">
        <f>K6-J6</f>
        <v/>
      </c>
      <c r="M6" s="25">
        <f>IF(J6=0,"",(K6-J6)/J6)</f>
        <v/>
      </c>
    </row>
    <row r="7">
      <c r="A7" s="26" t="n"/>
      <c r="B7" s="26" t="n"/>
      <c r="C7" s="26" t="n"/>
      <c r="D7" s="26" t="n"/>
      <c r="E7" s="26" t="n"/>
      <c r="F7" s="26" t="n"/>
      <c r="G7" s="26" t="n"/>
      <c r="H7" s="26" t="n"/>
      <c r="I7" s="26" t="n"/>
      <c r="J7" s="24" t="n">
        <v>0</v>
      </c>
      <c r="K7" s="24" t="n">
        <v>0</v>
      </c>
      <c r="L7" s="27">
        <f>K7-J7</f>
        <v/>
      </c>
      <c r="M7" s="28">
        <f>IF(J7=0,"",(K7-J7)/J7)</f>
        <v/>
      </c>
    </row>
    <row r="8">
      <c r="A8" s="22" t="n"/>
      <c r="B8" s="22" t="n"/>
      <c r="C8" s="22" t="n"/>
      <c r="D8" s="22" t="n"/>
      <c r="E8" s="22" t="n"/>
      <c r="F8" s="22" t="n"/>
      <c r="G8" s="22" t="n"/>
      <c r="H8" s="22" t="n"/>
      <c r="I8" s="22" t="n"/>
      <c r="J8" s="24" t="n">
        <v>0</v>
      </c>
      <c r="K8" s="24" t="n">
        <v>0</v>
      </c>
      <c r="L8" s="23">
        <f>K8-J8</f>
        <v/>
      </c>
      <c r="M8" s="25">
        <f>IF(J8=0,"",(K8-J8)/J8)</f>
        <v/>
      </c>
    </row>
    <row r="9">
      <c r="A9" s="26" t="n"/>
      <c r="B9" s="26" t="n"/>
      <c r="C9" s="26" t="n"/>
      <c r="D9" s="26" t="n"/>
      <c r="E9" s="26" t="n"/>
      <c r="F9" s="26" t="n"/>
      <c r="G9" s="26" t="n"/>
      <c r="H9" s="26" t="n"/>
      <c r="I9" s="26" t="n"/>
      <c r="J9" s="24" t="n">
        <v>0</v>
      </c>
      <c r="K9" s="24" t="n">
        <v>0</v>
      </c>
      <c r="L9" s="27">
        <f>K9-J9</f>
        <v/>
      </c>
      <c r="M9" s="28">
        <f>IF(J9=0,"",(K9-J9)/J9)</f>
        <v/>
      </c>
    </row>
    <row r="10">
      <c r="A10" s="22" t="n"/>
      <c r="B10" s="22" t="n"/>
      <c r="C10" s="22" t="n"/>
      <c r="D10" s="22" t="n"/>
      <c r="E10" s="22" t="n"/>
      <c r="F10" s="22" t="n"/>
      <c r="G10" s="22" t="n"/>
      <c r="H10" s="22" t="n"/>
      <c r="I10" s="22" t="n"/>
      <c r="J10" s="24" t="n">
        <v>0</v>
      </c>
      <c r="K10" s="24" t="n">
        <v>0</v>
      </c>
      <c r="L10" s="23">
        <f>K10-J10</f>
        <v/>
      </c>
      <c r="M10" s="25">
        <f>IF(J10=0,"",(K10-J10)/J10)</f>
        <v/>
      </c>
    </row>
    <row r="11">
      <c r="A11" s="26" t="n"/>
      <c r="B11" s="26" t="n"/>
      <c r="C11" s="26" t="n"/>
      <c r="D11" s="26" t="n"/>
      <c r="E11" s="26" t="n"/>
      <c r="F11" s="26" t="n"/>
      <c r="G11" s="26" t="n"/>
      <c r="H11" s="26" t="n"/>
      <c r="I11" s="26" t="n"/>
      <c r="J11" s="24" t="n">
        <v>0</v>
      </c>
      <c r="K11" s="24" t="n">
        <v>0</v>
      </c>
      <c r="L11" s="27">
        <f>K11-J11</f>
        <v/>
      </c>
      <c r="M11" s="28">
        <f>IF(J11=0,"",(K11-J11)/J11)</f>
        <v/>
      </c>
    </row>
    <row r="12">
      <c r="A12" s="22" t="n"/>
      <c r="B12" s="22" t="n"/>
      <c r="C12" s="22" t="n"/>
      <c r="D12" s="22" t="n"/>
      <c r="E12" s="22" t="n"/>
      <c r="F12" s="22" t="n"/>
      <c r="G12" s="22" t="n"/>
      <c r="H12" s="22" t="n"/>
      <c r="I12" s="22" t="n"/>
      <c r="J12" s="24" t="n">
        <v>0</v>
      </c>
      <c r="K12" s="24" t="n">
        <v>0</v>
      </c>
      <c r="L12" s="23">
        <f>K12-J12</f>
        <v/>
      </c>
      <c r="M12" s="25">
        <f>IF(J12=0,"",(K12-J12)/J12)</f>
        <v/>
      </c>
    </row>
    <row r="13">
      <c r="A13" s="26" t="n"/>
      <c r="B13" s="26" t="n"/>
      <c r="C13" s="26" t="n"/>
      <c r="D13" s="26" t="n"/>
      <c r="E13" s="26" t="n"/>
      <c r="F13" s="26" t="n"/>
      <c r="G13" s="26" t="n"/>
      <c r="H13" s="26" t="n"/>
      <c r="I13" s="26" t="n"/>
      <c r="J13" s="24" t="n">
        <v>0</v>
      </c>
      <c r="K13" s="24" t="n">
        <v>0</v>
      </c>
      <c r="L13" s="27">
        <f>K13-J13</f>
        <v/>
      </c>
      <c r="M13" s="28">
        <f>IF(J13=0,"",(K13-J13)/J13)</f>
        <v/>
      </c>
    </row>
    <row r="14" ht="22.05" customHeight="1" s="54">
      <c r="A14" s="29" t="inlineStr">
        <is>
          <t>TOTAL</t>
        </is>
      </c>
      <c r="B14" s="29" t="n"/>
      <c r="C14" s="29" t="n"/>
      <c r="D14" s="29" t="n"/>
      <c r="E14" s="29" t="n"/>
      <c r="F14" s="29" t="n"/>
      <c r="G14" s="29" t="n"/>
      <c r="H14" s="29" t="n"/>
      <c r="I14" s="29" t="n"/>
      <c r="J14" s="4">
        <f>SUM(J6:J13)</f>
        <v/>
      </c>
      <c r="K14" s="4">
        <f>SUM(K6:K13)</f>
        <v/>
      </c>
      <c r="L14" s="4">
        <f>K14-J14</f>
        <v/>
      </c>
      <c r="M14" s="5">
        <f>IF(J14=0,"",(K14-J14)/J14)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.06640625" defaultRowHeight="14.25"/>
  <cols>
    <col width="28" customWidth="1" style="54" min="1" max="1"/>
    <col width="16" customWidth="1" style="54" min="2" max="2"/>
    <col width="18" customWidth="1" style="54" min="3" max="3"/>
    <col width="20" customWidth="1" style="54" min="4" max="4"/>
    <col width="15" customWidth="1" style="54" min="5" max="5"/>
    <col width="18" customWidth="1" style="54" min="6" max="6"/>
    <col width="15" customWidth="1" style="54" min="7" max="7"/>
    <col width="16" customWidth="1" style="54" min="8" max="8"/>
    <col width="15" customWidth="1" style="54" min="9" max="9"/>
    <col width="16" customWidth="1" style="54" min="10" max="13"/>
  </cols>
  <sheetData>
    <row r="1" ht="30" customHeight="1" s="54">
      <c r="A1" s="55" t="inlineStr">
        <is>
          <t>4.1.3   CREDITOS, DOCUMENTOS Y CUENTAS POR COBRAR</t>
        </is>
      </c>
    </row>
    <row r="2">
      <c r="A2" s="99" t="inlineStr">
        <is>
          <t>Declaracion 2025  -  columna 2026 editable   |   PLANTILLA EN BLANCO (este modulo no consta en el XML)</t>
        </is>
      </c>
    </row>
    <row r="3" ht="5" customHeight="1" s="54">
      <c r="A3" s="56" t="n"/>
    </row>
    <row r="5" ht="32" customHeight="1" s="54">
      <c r="A5" s="101" t="inlineStr">
        <is>
          <t>Nombre del deudor</t>
        </is>
      </c>
      <c r="B5" s="101" t="inlineStr">
        <is>
          <t>Tipo de deudor</t>
        </is>
      </c>
      <c r="C5" s="101" t="inlineStr">
        <is>
          <t>Tipo de identificacion</t>
        </is>
      </c>
      <c r="D5" s="101" t="inlineStr">
        <is>
          <t>N. de identificacion</t>
        </is>
      </c>
      <c r="E5" s="101" t="inlineStr">
        <is>
          <t>Ubicacion</t>
        </is>
      </c>
      <c r="F5" s="101" t="inlineStr">
        <is>
          <t>Pais</t>
        </is>
      </c>
      <c r="G5" s="101" t="inlineStr">
        <is>
          <t>Partes relacionadas</t>
        </is>
      </c>
      <c r="H5" s="101" t="inlineStr">
        <is>
          <t>Regularizacion activos</t>
        </is>
      </c>
      <c r="I5" s="101" t="inlineStr">
        <is>
          <t>Anio fiscal adquisicion</t>
        </is>
      </c>
      <c r="J5" s="101" t="inlineStr">
        <is>
          <t>Valor 2025</t>
        </is>
      </c>
      <c r="K5" s="101" t="inlineStr">
        <is>
          <t>Valor 2026</t>
        </is>
      </c>
      <c r="L5" s="101" t="inlineStr">
        <is>
          <t>Variacion</t>
        </is>
      </c>
      <c r="M5" s="101" t="inlineStr">
        <is>
          <t>Variacion %</t>
        </is>
      </c>
    </row>
    <row r="6">
      <c r="A6" s="22" t="n"/>
      <c r="B6" s="22" t="n"/>
      <c r="C6" s="22" t="n"/>
      <c r="D6" s="22" t="n"/>
      <c r="E6" s="22" t="n"/>
      <c r="F6" s="22" t="n"/>
      <c r="G6" s="22" t="n"/>
      <c r="H6" s="22" t="n"/>
      <c r="I6" s="22" t="n"/>
      <c r="J6" s="24" t="n">
        <v>0</v>
      </c>
      <c r="K6" s="24" t="n">
        <v>0</v>
      </c>
      <c r="L6" s="23">
        <f>K6-J6</f>
        <v/>
      </c>
      <c r="M6" s="25">
        <f>IF(J6=0,"",(K6-J6)/J6)</f>
        <v/>
      </c>
    </row>
    <row r="7">
      <c r="A7" s="26" t="n"/>
      <c r="B7" s="26" t="n"/>
      <c r="C7" s="26" t="n"/>
      <c r="D7" s="26" t="n"/>
      <c r="E7" s="26" t="n"/>
      <c r="F7" s="26" t="n"/>
      <c r="G7" s="26" t="n"/>
      <c r="H7" s="26" t="n"/>
      <c r="I7" s="26" t="n"/>
      <c r="J7" s="24" t="n">
        <v>0</v>
      </c>
      <c r="K7" s="24" t="n">
        <v>0</v>
      </c>
      <c r="L7" s="27">
        <f>K7-J7</f>
        <v/>
      </c>
      <c r="M7" s="28">
        <f>IF(J7=0,"",(K7-J7)/J7)</f>
        <v/>
      </c>
    </row>
    <row r="8">
      <c r="A8" s="22" t="n"/>
      <c r="B8" s="22" t="n"/>
      <c r="C8" s="22" t="n"/>
      <c r="D8" s="22" t="n"/>
      <c r="E8" s="22" t="n"/>
      <c r="F8" s="22" t="n"/>
      <c r="G8" s="22" t="n"/>
      <c r="H8" s="22" t="n"/>
      <c r="I8" s="22" t="n"/>
      <c r="J8" s="24" t="n">
        <v>0</v>
      </c>
      <c r="K8" s="24" t="n">
        <v>0</v>
      </c>
      <c r="L8" s="23">
        <f>K8-J8</f>
        <v/>
      </c>
      <c r="M8" s="25">
        <f>IF(J8=0,"",(K8-J8)/J8)</f>
        <v/>
      </c>
    </row>
    <row r="9">
      <c r="A9" s="26" t="n"/>
      <c r="B9" s="26" t="n"/>
      <c r="C9" s="26" t="n"/>
      <c r="D9" s="26" t="n"/>
      <c r="E9" s="26" t="n"/>
      <c r="F9" s="26" t="n"/>
      <c r="G9" s="26" t="n"/>
      <c r="H9" s="26" t="n"/>
      <c r="I9" s="26" t="n"/>
      <c r="J9" s="24" t="n">
        <v>0</v>
      </c>
      <c r="K9" s="24" t="n">
        <v>0</v>
      </c>
      <c r="L9" s="27">
        <f>K9-J9</f>
        <v/>
      </c>
      <c r="M9" s="28">
        <f>IF(J9=0,"",(K9-J9)/J9)</f>
        <v/>
      </c>
    </row>
    <row r="10">
      <c r="A10" s="22" t="n"/>
      <c r="B10" s="22" t="n"/>
      <c r="C10" s="22" t="n"/>
      <c r="D10" s="22" t="n"/>
      <c r="E10" s="22" t="n"/>
      <c r="F10" s="22" t="n"/>
      <c r="G10" s="22" t="n"/>
      <c r="H10" s="22" t="n"/>
      <c r="I10" s="22" t="n"/>
      <c r="J10" s="24" t="n">
        <v>0</v>
      </c>
      <c r="K10" s="24" t="n">
        <v>0</v>
      </c>
      <c r="L10" s="23">
        <f>K10-J10</f>
        <v/>
      </c>
      <c r="M10" s="25">
        <f>IF(J10=0,"",(K10-J10)/J10)</f>
        <v/>
      </c>
    </row>
    <row r="11">
      <c r="A11" s="26" t="n"/>
      <c r="B11" s="26" t="n"/>
      <c r="C11" s="26" t="n"/>
      <c r="D11" s="26" t="n"/>
      <c r="E11" s="26" t="n"/>
      <c r="F11" s="26" t="n"/>
      <c r="G11" s="26" t="n"/>
      <c r="H11" s="26" t="n"/>
      <c r="I11" s="26" t="n"/>
      <c r="J11" s="24" t="n">
        <v>0</v>
      </c>
      <c r="K11" s="24" t="n">
        <v>0</v>
      </c>
      <c r="L11" s="27">
        <f>K11-J11</f>
        <v/>
      </c>
      <c r="M11" s="28">
        <f>IF(J11=0,"",(K11-J11)/J11)</f>
        <v/>
      </c>
    </row>
    <row r="12">
      <c r="A12" s="22" t="n"/>
      <c r="B12" s="22" t="n"/>
      <c r="C12" s="22" t="n"/>
      <c r="D12" s="22" t="n"/>
      <c r="E12" s="22" t="n"/>
      <c r="F12" s="22" t="n"/>
      <c r="G12" s="22" t="n"/>
      <c r="H12" s="22" t="n"/>
      <c r="I12" s="22" t="n"/>
      <c r="J12" s="24" t="n">
        <v>0</v>
      </c>
      <c r="K12" s="24" t="n">
        <v>0</v>
      </c>
      <c r="L12" s="23">
        <f>K12-J12</f>
        <v/>
      </c>
      <c r="M12" s="25">
        <f>IF(J12=0,"",(K12-J12)/J12)</f>
        <v/>
      </c>
    </row>
    <row r="13">
      <c r="A13" s="26" t="n"/>
      <c r="B13" s="26" t="n"/>
      <c r="C13" s="26" t="n"/>
      <c r="D13" s="26" t="n"/>
      <c r="E13" s="26" t="n"/>
      <c r="F13" s="26" t="n"/>
      <c r="G13" s="26" t="n"/>
      <c r="H13" s="26" t="n"/>
      <c r="I13" s="26" t="n"/>
      <c r="J13" s="24" t="n">
        <v>0</v>
      </c>
      <c r="K13" s="24" t="n">
        <v>0</v>
      </c>
      <c r="L13" s="27">
        <f>K13-J13</f>
        <v/>
      </c>
      <c r="M13" s="28">
        <f>IF(J13=0,"",(K13-J13)/J13)</f>
        <v/>
      </c>
    </row>
    <row r="14" ht="22.05" customHeight="1" s="54">
      <c r="A14" s="29" t="inlineStr">
        <is>
          <t>TOTAL</t>
        </is>
      </c>
      <c r="B14" s="29" t="n"/>
      <c r="C14" s="29" t="n"/>
      <c r="D14" s="29" t="n"/>
      <c r="E14" s="29" t="n"/>
      <c r="F14" s="29" t="n"/>
      <c r="G14" s="29" t="n"/>
      <c r="H14" s="29" t="n"/>
      <c r="I14" s="29" t="n"/>
      <c r="J14" s="4">
        <f>SUM(J6:J13)</f>
        <v/>
      </c>
      <c r="K14" s="4">
        <f>SUM(K6:K13)</f>
        <v/>
      </c>
      <c r="L14" s="4">
        <f>K14-J14</f>
        <v/>
      </c>
      <c r="M14" s="5">
        <f>IF(J14=0,"",(K14-J14)/J14)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.06640625" defaultRowHeight="14.25"/>
  <cols>
    <col width="36" customWidth="1" style="54" min="1" max="1"/>
    <col width="15" customWidth="1" style="54" min="2" max="2"/>
    <col width="18" customWidth="1" style="54" min="3" max="3"/>
    <col width="16" customWidth="1" style="54" min="4" max="4"/>
    <col width="15" customWidth="1" style="54" min="5" max="5"/>
    <col width="16" customWidth="1" style="54" min="6" max="9"/>
  </cols>
  <sheetData>
    <row r="1" ht="30" customHeight="1" s="54">
      <c r="A1" s="55" t="inlineStr">
        <is>
          <t>4.1.4   BIENES MUEBLES</t>
        </is>
      </c>
    </row>
    <row r="2">
      <c r="A2" s="99" t="inlineStr">
        <is>
          <t>Declaracion 2025  -  columna 2026 editable   |   PLANTILLA EN BLANCO (este modulo no consta en el XML)</t>
        </is>
      </c>
    </row>
    <row r="3" ht="5" customHeight="1" s="54">
      <c r="A3" s="56" t="n"/>
    </row>
    <row r="5" ht="32" customHeight="1" s="54">
      <c r="A5" s="101" t="inlineStr">
        <is>
          <t>Tipo de bien</t>
        </is>
      </c>
      <c r="B5" s="101" t="inlineStr">
        <is>
          <t>Ubicacion</t>
        </is>
      </c>
      <c r="C5" s="101" t="inlineStr">
        <is>
          <t>Pais</t>
        </is>
      </c>
      <c r="D5" s="101" t="inlineStr">
        <is>
          <t>Regularizacion activos</t>
        </is>
      </c>
      <c r="E5" s="101" t="inlineStr">
        <is>
          <t>Anio fiscal adquisicion</t>
        </is>
      </c>
      <c r="F5" s="101" t="inlineStr">
        <is>
          <t>Valor 2025</t>
        </is>
      </c>
      <c r="G5" s="101" t="inlineStr">
        <is>
          <t>Valor 2026</t>
        </is>
      </c>
      <c r="H5" s="101" t="inlineStr">
        <is>
          <t>Variacion</t>
        </is>
      </c>
      <c r="I5" s="101" t="inlineStr">
        <is>
          <t>Variacion %</t>
        </is>
      </c>
    </row>
    <row r="6">
      <c r="A6" s="22" t="n"/>
      <c r="B6" s="22" t="n"/>
      <c r="C6" s="22" t="n"/>
      <c r="D6" s="22" t="n"/>
      <c r="E6" s="22" t="n"/>
      <c r="F6" s="24" t="n">
        <v>0</v>
      </c>
      <c r="G6" s="24" t="n">
        <v>0</v>
      </c>
      <c r="H6" s="23">
        <f>G6-F6</f>
        <v/>
      </c>
      <c r="I6" s="25">
        <f>IF(F6=0,"",(G6-F6)/F6)</f>
        <v/>
      </c>
    </row>
    <row r="7">
      <c r="A7" s="26" t="n"/>
      <c r="B7" s="26" t="n"/>
      <c r="C7" s="26" t="n"/>
      <c r="D7" s="26" t="n"/>
      <c r="E7" s="26" t="n"/>
      <c r="F7" s="24" t="n">
        <v>0</v>
      </c>
      <c r="G7" s="24" t="n">
        <v>0</v>
      </c>
      <c r="H7" s="27">
        <f>G7-F7</f>
        <v/>
      </c>
      <c r="I7" s="28">
        <f>IF(F7=0,"",(G7-F7)/F7)</f>
        <v/>
      </c>
    </row>
    <row r="8">
      <c r="A8" s="22" t="n"/>
      <c r="B8" s="22" t="n"/>
      <c r="C8" s="22" t="n"/>
      <c r="D8" s="22" t="n"/>
      <c r="E8" s="22" t="n"/>
      <c r="F8" s="24" t="n">
        <v>0</v>
      </c>
      <c r="G8" s="24" t="n">
        <v>0</v>
      </c>
      <c r="H8" s="23">
        <f>G8-F8</f>
        <v/>
      </c>
      <c r="I8" s="25">
        <f>IF(F8=0,"",(G8-F8)/F8)</f>
        <v/>
      </c>
    </row>
    <row r="9">
      <c r="A9" s="26" t="n"/>
      <c r="B9" s="26" t="n"/>
      <c r="C9" s="26" t="n"/>
      <c r="D9" s="26" t="n"/>
      <c r="E9" s="26" t="n"/>
      <c r="F9" s="24" t="n">
        <v>0</v>
      </c>
      <c r="G9" s="24" t="n">
        <v>0</v>
      </c>
      <c r="H9" s="27">
        <f>G9-F9</f>
        <v/>
      </c>
      <c r="I9" s="28">
        <f>IF(F9=0,"",(G9-F9)/F9)</f>
        <v/>
      </c>
    </row>
    <row r="10">
      <c r="A10" s="22" t="n"/>
      <c r="B10" s="22" t="n"/>
      <c r="C10" s="22" t="n"/>
      <c r="D10" s="22" t="n"/>
      <c r="E10" s="22" t="n"/>
      <c r="F10" s="24" t="n">
        <v>0</v>
      </c>
      <c r="G10" s="24" t="n">
        <v>0</v>
      </c>
      <c r="H10" s="23">
        <f>G10-F10</f>
        <v/>
      </c>
      <c r="I10" s="25">
        <f>IF(F10=0,"",(G10-F10)/F10)</f>
        <v/>
      </c>
    </row>
    <row r="11">
      <c r="A11" s="26" t="n"/>
      <c r="B11" s="26" t="n"/>
      <c r="C11" s="26" t="n"/>
      <c r="D11" s="26" t="n"/>
      <c r="E11" s="26" t="n"/>
      <c r="F11" s="24" t="n">
        <v>0</v>
      </c>
      <c r="G11" s="24" t="n">
        <v>0</v>
      </c>
      <c r="H11" s="27">
        <f>G11-F11</f>
        <v/>
      </c>
      <c r="I11" s="28">
        <f>IF(F11=0,"",(G11-F11)/F11)</f>
        <v/>
      </c>
    </row>
    <row r="12">
      <c r="A12" s="22" t="n"/>
      <c r="B12" s="22" t="n"/>
      <c r="C12" s="22" t="n"/>
      <c r="D12" s="22" t="n"/>
      <c r="E12" s="22" t="n"/>
      <c r="F12" s="24" t="n">
        <v>0</v>
      </c>
      <c r="G12" s="24" t="n">
        <v>0</v>
      </c>
      <c r="H12" s="23">
        <f>G12-F12</f>
        <v/>
      </c>
      <c r="I12" s="25">
        <f>IF(F12=0,"",(G12-F12)/F12)</f>
        <v/>
      </c>
    </row>
    <row r="13">
      <c r="A13" s="26" t="n"/>
      <c r="B13" s="26" t="n"/>
      <c r="C13" s="26" t="n"/>
      <c r="D13" s="26" t="n"/>
      <c r="E13" s="26" t="n"/>
      <c r="F13" s="24" t="n">
        <v>0</v>
      </c>
      <c r="G13" s="24" t="n">
        <v>0</v>
      </c>
      <c r="H13" s="27">
        <f>G13-F13</f>
        <v/>
      </c>
      <c r="I13" s="28">
        <f>IF(F13=0,"",(G13-F13)/F13)</f>
        <v/>
      </c>
    </row>
    <row r="14" ht="22.05" customHeight="1" s="54">
      <c r="A14" s="29" t="inlineStr">
        <is>
          <t>TOTAL</t>
        </is>
      </c>
      <c r="B14" s="29" t="n"/>
      <c r="C14" s="29" t="n"/>
      <c r="D14" s="29" t="n"/>
      <c r="E14" s="29" t="n"/>
      <c r="F14" s="4">
        <f>SUM(F6:F13)</f>
        <v/>
      </c>
      <c r="G14" s="4">
        <f>SUM(G6:G13)</f>
        <v/>
      </c>
      <c r="H14" s="4">
        <f>G14-F14</f>
        <v/>
      </c>
      <c r="I14" s="5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8" sqref="A8"/>
    </sheetView>
  </sheetViews>
  <sheetFormatPr baseColWidth="10" defaultColWidth="9.06640625" defaultRowHeight="14.25"/>
  <cols>
    <col width="26" customWidth="1" style="54" min="1" max="1"/>
    <col width="20" customWidth="1" style="54" min="2" max="2"/>
    <col width="15" customWidth="1" style="54" min="3" max="3"/>
    <col width="18" customWidth="1" style="54" min="4" max="4"/>
    <col width="16" customWidth="1" style="54" min="5" max="5"/>
    <col width="15" customWidth="1" style="54" min="6" max="6"/>
    <col width="16" customWidth="1" style="54" min="7" max="10"/>
  </cols>
  <sheetData>
    <row r="1" ht="30" customHeight="1" s="54">
      <c r="A1" s="55" t="inlineStr">
        <is>
          <t>4.1.5   VEHICULOS MOTORIZADOS TERRESTRES, NAVES Y AERONAVES</t>
        </is>
      </c>
    </row>
    <row r="2">
      <c r="A2" s="99" t="inlineStr">
        <is>
          <t>Declaracion 2025  -  columna 2026 editable</t>
        </is>
      </c>
    </row>
    <row r="3" ht="5" customHeight="1" s="54">
      <c r="A3" s="56" t="n"/>
    </row>
    <row r="5" ht="32" customHeight="1" s="54">
      <c r="A5" s="101" t="inlineStr">
        <is>
          <t>Tipo de vehiculo</t>
        </is>
      </c>
      <c r="B5" s="101" t="inlineStr">
        <is>
          <t>Registro / placa / chasis</t>
        </is>
      </c>
      <c r="C5" s="101" t="inlineStr">
        <is>
          <t>Ubicacion</t>
        </is>
      </c>
      <c r="D5" s="101" t="inlineStr">
        <is>
          <t>Pais</t>
        </is>
      </c>
      <c r="E5" s="101" t="inlineStr">
        <is>
          <t>Regularizacion activos</t>
        </is>
      </c>
      <c r="F5" s="101" t="inlineStr">
        <is>
          <t>Anio fiscal adquisicion</t>
        </is>
      </c>
      <c r="G5" s="101" t="inlineStr">
        <is>
          <t>Valor 2025</t>
        </is>
      </c>
      <c r="H5" s="101" t="inlineStr">
        <is>
          <t>Valor 2026</t>
        </is>
      </c>
      <c r="I5" s="101" t="inlineStr">
        <is>
          <t>Variacion</t>
        </is>
      </c>
      <c r="J5" s="101" t="inlineStr">
        <is>
          <t>Variacion %</t>
        </is>
      </c>
    </row>
    <row r="6">
      <c r="A6" s="22" t="inlineStr">
        <is>
          <t>1 - Vehiculos motorizados terrestres</t>
        </is>
      </c>
      <c r="B6" s="22" t="inlineStr">
        <is>
          <t>PBO7092</t>
        </is>
      </c>
      <c r="C6" s="22" t="inlineStr">
        <is>
          <t>ECU - En el Ecuador</t>
        </is>
      </c>
      <c r="D6" s="22" t="inlineStr">
        <is>
          <t>593 - ECUADOR</t>
        </is>
      </c>
      <c r="E6" s="22" t="n"/>
      <c r="F6" s="22" t="n"/>
      <c r="G6" s="23" t="n">
        <v>12000</v>
      </c>
      <c r="H6" s="24" t="n">
        <v>12000</v>
      </c>
      <c r="I6" s="23">
        <f>H6-G6</f>
        <v/>
      </c>
      <c r="J6" s="25">
        <f>IF(G6=0,"",(H6-G6)/G6)</f>
        <v/>
      </c>
    </row>
    <row r="7">
      <c r="A7" s="26" t="inlineStr">
        <is>
          <t>1 - Vehiculos motorizados terrestres</t>
        </is>
      </c>
      <c r="B7" s="26" t="inlineStr">
        <is>
          <t>PBF9690</t>
        </is>
      </c>
      <c r="C7" s="26" t="inlineStr">
        <is>
          <t>ECU - En el Ecuador</t>
        </is>
      </c>
      <c r="D7" s="26" t="inlineStr">
        <is>
          <t>593 - ECUADOR</t>
        </is>
      </c>
      <c r="E7" s="26" t="n"/>
      <c r="F7" s="26" t="n"/>
      <c r="G7" s="27" t="n">
        <v>20000</v>
      </c>
      <c r="H7" s="24" t="n">
        <v>20000</v>
      </c>
      <c r="I7" s="27">
        <f>H7-G7</f>
        <v/>
      </c>
      <c r="J7" s="28">
        <f>IF(G7=0,"",(H7-G7)/G7)</f>
        <v/>
      </c>
    </row>
    <row r="8">
      <c r="A8" s="22" t="inlineStr">
        <is>
          <t>1 - Vehiculos motorizados terrestres</t>
        </is>
      </c>
      <c r="B8" s="22" t="inlineStr">
        <is>
          <t>PFC8683</t>
        </is>
      </c>
      <c r="C8" s="22" t="inlineStr">
        <is>
          <t>ECU - En el Ecuador</t>
        </is>
      </c>
      <c r="D8" s="22" t="inlineStr">
        <is>
          <t>593 - ECUADOR</t>
        </is>
      </c>
      <c r="E8" s="22" t="n"/>
      <c r="F8" s="22" t="n"/>
      <c r="G8" s="23" t="n">
        <v>32000</v>
      </c>
      <c r="H8" s="24" t="n">
        <v>32000</v>
      </c>
      <c r="I8" s="23">
        <f>H8-G8</f>
        <v/>
      </c>
      <c r="J8" s="25">
        <f>IF(G8=0,"",(H8-G8)/G8)</f>
        <v/>
      </c>
    </row>
    <row r="9" ht="22.05" customHeight="1" s="54">
      <c r="A9" s="29" t="inlineStr">
        <is>
          <t>TOTAL</t>
        </is>
      </c>
      <c r="B9" s="29" t="n"/>
      <c r="C9" s="29" t="n"/>
      <c r="D9" s="29" t="n"/>
      <c r="E9" s="29" t="n"/>
      <c r="F9" s="29" t="n"/>
      <c r="G9" s="4">
        <f>SUM(G6:G8)</f>
        <v/>
      </c>
      <c r="H9" s="4">
        <f>SUM(H6:H8)</f>
        <v/>
      </c>
      <c r="I9" s="4">
        <f>H9-G9</f>
        <v/>
      </c>
      <c r="J9" s="5">
        <f>IF(G9=0,"",(H9-G9)/G9)</f>
        <v/>
      </c>
    </row>
  </sheetData>
  <mergeCells count="3">
    <mergeCell ref="A1:J1"/>
    <mergeCell ref="A3:J3"/>
    <mergeCell ref="A2:J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.06640625" defaultRowHeight="14.25"/>
  <cols>
    <col width="28" customWidth="1" style="54" min="1" max="1"/>
    <col width="15" customWidth="1" style="54" min="2" max="2"/>
    <col width="18" customWidth="1" style="54" min="3" max="3"/>
    <col width="16" customWidth="1" style="54" min="4" max="4"/>
    <col width="15" customWidth="1" style="54" min="5" max="5"/>
    <col width="16" customWidth="1" style="54" min="6" max="9"/>
  </cols>
  <sheetData>
    <row r="1" ht="30" customHeight="1" s="54">
      <c r="A1" s="55" t="inlineStr">
        <is>
          <t>4.1.6   DERECHOS (USUFRUCTO, USO, HABITACION, MARCAS, ETC.)</t>
        </is>
      </c>
    </row>
    <row r="2">
      <c r="A2" s="99" t="inlineStr">
        <is>
          <t>Declaracion 2025  -  columna 2026 editable   |   PLANTILLA EN BLANCO (este modulo no consta en el XML)</t>
        </is>
      </c>
    </row>
    <row r="3" ht="5" customHeight="1" s="54">
      <c r="A3" s="56" t="n"/>
    </row>
    <row r="5" ht="32" customHeight="1" s="54">
      <c r="A5" s="101" t="inlineStr">
        <is>
          <t>Tipo de derecho</t>
        </is>
      </c>
      <c r="B5" s="101" t="inlineStr">
        <is>
          <t>Ubicacion</t>
        </is>
      </c>
      <c r="C5" s="101" t="inlineStr">
        <is>
          <t>Pais</t>
        </is>
      </c>
      <c r="D5" s="101" t="inlineStr">
        <is>
          <t>Regularizacion activos</t>
        </is>
      </c>
      <c r="E5" s="101" t="inlineStr">
        <is>
          <t>Anio fiscal adquisicion</t>
        </is>
      </c>
      <c r="F5" s="101" t="inlineStr">
        <is>
          <t>Valor 2025</t>
        </is>
      </c>
      <c r="G5" s="101" t="inlineStr">
        <is>
          <t>Valor 2026</t>
        </is>
      </c>
      <c r="H5" s="101" t="inlineStr">
        <is>
          <t>Variacion</t>
        </is>
      </c>
      <c r="I5" s="101" t="inlineStr">
        <is>
          <t>Variacion %</t>
        </is>
      </c>
    </row>
    <row r="6">
      <c r="A6" s="22" t="n"/>
      <c r="B6" s="22" t="n"/>
      <c r="C6" s="22" t="n"/>
      <c r="D6" s="22" t="n"/>
      <c r="E6" s="22" t="n"/>
      <c r="F6" s="24" t="n">
        <v>0</v>
      </c>
      <c r="G6" s="24" t="n">
        <v>0</v>
      </c>
      <c r="H6" s="23">
        <f>G6-F6</f>
        <v/>
      </c>
      <c r="I6" s="25">
        <f>IF(F6=0,"",(G6-F6)/F6)</f>
        <v/>
      </c>
    </row>
    <row r="7">
      <c r="A7" s="26" t="n"/>
      <c r="B7" s="26" t="n"/>
      <c r="C7" s="26" t="n"/>
      <c r="D7" s="26" t="n"/>
      <c r="E7" s="26" t="n"/>
      <c r="F7" s="24" t="n">
        <v>0</v>
      </c>
      <c r="G7" s="24" t="n">
        <v>0</v>
      </c>
      <c r="H7" s="27">
        <f>G7-F7</f>
        <v/>
      </c>
      <c r="I7" s="28">
        <f>IF(F7=0,"",(G7-F7)/F7)</f>
        <v/>
      </c>
    </row>
    <row r="8">
      <c r="A8" s="22" t="n"/>
      <c r="B8" s="22" t="n"/>
      <c r="C8" s="22" t="n"/>
      <c r="D8" s="22" t="n"/>
      <c r="E8" s="22" t="n"/>
      <c r="F8" s="24" t="n">
        <v>0</v>
      </c>
      <c r="G8" s="24" t="n">
        <v>0</v>
      </c>
      <c r="H8" s="23">
        <f>G8-F8</f>
        <v/>
      </c>
      <c r="I8" s="25">
        <f>IF(F8=0,"",(G8-F8)/F8)</f>
        <v/>
      </c>
    </row>
    <row r="9">
      <c r="A9" s="26" t="n"/>
      <c r="B9" s="26" t="n"/>
      <c r="C9" s="26" t="n"/>
      <c r="D9" s="26" t="n"/>
      <c r="E9" s="26" t="n"/>
      <c r="F9" s="24" t="n">
        <v>0</v>
      </c>
      <c r="G9" s="24" t="n">
        <v>0</v>
      </c>
      <c r="H9" s="27">
        <f>G9-F9</f>
        <v/>
      </c>
      <c r="I9" s="28">
        <f>IF(F9=0,"",(G9-F9)/F9)</f>
        <v/>
      </c>
    </row>
    <row r="10">
      <c r="A10" s="22" t="n"/>
      <c r="B10" s="22" t="n"/>
      <c r="C10" s="22" t="n"/>
      <c r="D10" s="22" t="n"/>
      <c r="E10" s="22" t="n"/>
      <c r="F10" s="24" t="n">
        <v>0</v>
      </c>
      <c r="G10" s="24" t="n">
        <v>0</v>
      </c>
      <c r="H10" s="23">
        <f>G10-F10</f>
        <v/>
      </c>
      <c r="I10" s="25">
        <f>IF(F10=0,"",(G10-F10)/F10)</f>
        <v/>
      </c>
    </row>
    <row r="11">
      <c r="A11" s="26" t="n"/>
      <c r="B11" s="26" t="n"/>
      <c r="C11" s="26" t="n"/>
      <c r="D11" s="26" t="n"/>
      <c r="E11" s="26" t="n"/>
      <c r="F11" s="24" t="n">
        <v>0</v>
      </c>
      <c r="G11" s="24" t="n">
        <v>0</v>
      </c>
      <c r="H11" s="27">
        <f>G11-F11</f>
        <v/>
      </c>
      <c r="I11" s="28">
        <f>IF(F11=0,"",(G11-F11)/F11)</f>
        <v/>
      </c>
    </row>
    <row r="12">
      <c r="A12" s="22" t="n"/>
      <c r="B12" s="22" t="n"/>
      <c r="C12" s="22" t="n"/>
      <c r="D12" s="22" t="n"/>
      <c r="E12" s="22" t="n"/>
      <c r="F12" s="24" t="n">
        <v>0</v>
      </c>
      <c r="G12" s="24" t="n">
        <v>0</v>
      </c>
      <c r="H12" s="23">
        <f>G12-F12</f>
        <v/>
      </c>
      <c r="I12" s="25">
        <f>IF(F12=0,"",(G12-F12)/F12)</f>
        <v/>
      </c>
    </row>
    <row r="13">
      <c r="A13" s="26" t="n"/>
      <c r="B13" s="26" t="n"/>
      <c r="C13" s="26" t="n"/>
      <c r="D13" s="26" t="n"/>
      <c r="E13" s="26" t="n"/>
      <c r="F13" s="24" t="n">
        <v>0</v>
      </c>
      <c r="G13" s="24" t="n">
        <v>0</v>
      </c>
      <c r="H13" s="27">
        <f>G13-F13</f>
        <v/>
      </c>
      <c r="I13" s="28">
        <f>IF(F13=0,"",(G13-F13)/F13)</f>
        <v/>
      </c>
    </row>
    <row r="14" ht="22.05" customHeight="1" s="54">
      <c r="A14" s="29" t="inlineStr">
        <is>
          <t>TOTAL</t>
        </is>
      </c>
      <c r="B14" s="29" t="n"/>
      <c r="C14" s="29" t="n"/>
      <c r="D14" s="29" t="n"/>
      <c r="E14" s="29" t="n"/>
      <c r="F14" s="4">
        <f>SUM(F6:F13)</f>
        <v/>
      </c>
      <c r="G14" s="4">
        <f>SUM(G6:G13)</f>
        <v/>
      </c>
      <c r="H14" s="4">
        <f>G14-F14</f>
        <v/>
      </c>
      <c r="I14" s="5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3"/>
  <sheetViews>
    <sheetView showGridLines="0" topLeftCell="B1" workbookViewId="0">
      <pane ySplit="5" topLeftCell="A6" activePane="bottomLeft" state="frozen"/>
      <selection pane="bottomLeft" activeCell="K14" sqref="K14"/>
    </sheetView>
  </sheetViews>
  <sheetFormatPr baseColWidth="10" defaultColWidth="9.06640625" defaultRowHeight="14.25"/>
  <cols>
    <col width="20" customWidth="1" style="54" min="1" max="1"/>
    <col width="15" customWidth="1" style="54" min="2" max="2"/>
    <col width="18" customWidth="1" style="54" min="3" max="3"/>
    <col width="22" customWidth="1" style="54" min="4" max="5"/>
    <col width="16" customWidth="1" style="54" min="6" max="6"/>
    <col width="22" customWidth="1" style="54" min="7" max="7"/>
    <col width="16" customWidth="1" style="54" min="8" max="8"/>
    <col width="15" customWidth="1" style="54" min="9" max="9"/>
    <col width="16" customWidth="1" style="54" min="10" max="13"/>
  </cols>
  <sheetData>
    <row r="1" ht="30" customHeight="1" s="54">
      <c r="A1" s="55" t="inlineStr">
        <is>
          <t>4.1.7   BIENES INMUEBLES</t>
        </is>
      </c>
    </row>
    <row r="2">
      <c r="A2" s="99" t="inlineStr">
        <is>
          <t>Declaracion 2025  -  columna 2026 editable</t>
        </is>
      </c>
    </row>
    <row r="3" ht="5" customHeight="1" s="54">
      <c r="A3" s="56" t="n"/>
    </row>
    <row r="5" ht="32" customHeight="1" s="54">
      <c r="A5" s="101" t="inlineStr">
        <is>
          <t>Tipo de inmueble</t>
        </is>
      </c>
      <c r="B5" s="101" t="inlineStr">
        <is>
          <t>Ubicacion</t>
        </is>
      </c>
      <c r="C5" s="101" t="inlineStr">
        <is>
          <t>Pais</t>
        </is>
      </c>
      <c r="D5" s="101" t="inlineStr">
        <is>
          <t>Provincia</t>
        </is>
      </c>
      <c r="E5" s="101" t="inlineStr">
        <is>
          <t>Canton</t>
        </is>
      </c>
      <c r="F5" s="101" t="inlineStr">
        <is>
          <t>Fecha de inscripcion</t>
        </is>
      </c>
      <c r="G5" s="101" t="inlineStr">
        <is>
          <t>Clave catastral</t>
        </is>
      </c>
      <c r="H5" s="101" t="inlineStr">
        <is>
          <t>Regularizacion activos</t>
        </is>
      </c>
      <c r="I5" s="101" t="inlineStr">
        <is>
          <t>Anio fiscal adquisicion</t>
        </is>
      </c>
      <c r="J5" s="101" t="inlineStr">
        <is>
          <t>Valor 2025</t>
        </is>
      </c>
      <c r="K5" s="101" t="inlineStr">
        <is>
          <t>Valor 2026</t>
        </is>
      </c>
      <c r="L5" s="101" t="inlineStr">
        <is>
          <t>Variacion</t>
        </is>
      </c>
      <c r="M5" s="101" t="inlineStr">
        <is>
          <t>Variacion %</t>
        </is>
      </c>
    </row>
    <row r="6">
      <c r="A6" s="22" t="inlineStr">
        <is>
          <t>3 - Terreno</t>
        </is>
      </c>
      <c r="B6" s="22" t="inlineStr">
        <is>
          <t>ECU - En el Ecuador</t>
        </is>
      </c>
      <c r="C6" s="22" t="inlineStr">
        <is>
          <t>593 - ECUADOR</t>
        </is>
      </c>
      <c r="D6" s="22" t="inlineStr">
        <is>
          <t>217 - PICHINCHA</t>
        </is>
      </c>
      <c r="E6" s="22" t="inlineStr">
        <is>
          <t>21701 - QUITO</t>
        </is>
      </c>
      <c r="F6" s="22" t="inlineStr">
        <is>
          <t>22/10/2008</t>
        </is>
      </c>
      <c r="G6" s="110" t="inlineStr">
        <is>
          <t>1042203018</t>
        </is>
      </c>
      <c r="H6" s="22" t="n"/>
      <c r="I6" s="22" t="n"/>
      <c r="J6" s="23" t="n">
        <v>267340.8</v>
      </c>
      <c r="K6" s="24" t="n">
        <v>325258.8</v>
      </c>
      <c r="L6" s="23">
        <f>K6-J6</f>
        <v/>
      </c>
      <c r="M6" s="25">
        <f>IF(J6=0,"",(K6-J6)/J6)</f>
        <v/>
      </c>
    </row>
    <row r="7">
      <c r="A7" s="26" t="inlineStr">
        <is>
          <t>1 - Casa</t>
        </is>
      </c>
      <c r="B7" s="26" t="inlineStr">
        <is>
          <t>ECU - En el Ecuador</t>
        </is>
      </c>
      <c r="C7" s="26" t="inlineStr">
        <is>
          <t>593 - ECUADOR</t>
        </is>
      </c>
      <c r="D7" s="26" t="inlineStr">
        <is>
          <t>217 - PICHINCHA</t>
        </is>
      </c>
      <c r="E7" s="26" t="inlineStr">
        <is>
          <t>21701 - QUITO</t>
        </is>
      </c>
      <c r="F7" s="26" t="inlineStr">
        <is>
          <t>13/03/1997</t>
        </is>
      </c>
      <c r="G7" s="111" t="inlineStr">
        <is>
          <t>1012020021000000000</t>
        </is>
      </c>
      <c r="H7" s="26" t="n"/>
      <c r="I7" s="26" t="n"/>
      <c r="J7" s="27" t="n">
        <v>198118.55</v>
      </c>
      <c r="K7" s="24" t="n">
        <v>202353.86</v>
      </c>
      <c r="L7" s="27">
        <f>K7-J7</f>
        <v/>
      </c>
      <c r="M7" s="28">
        <f>IF(J7=0,"",(K7-J7)/J7)</f>
        <v/>
      </c>
    </row>
    <row r="8">
      <c r="A8" s="22" t="inlineStr">
        <is>
          <t>1 - Casa</t>
        </is>
      </c>
      <c r="B8" s="22" t="inlineStr">
        <is>
          <t>ECU - En el Ecuador</t>
        </is>
      </c>
      <c r="C8" s="22" t="inlineStr">
        <is>
          <t>593 - ECUADOR</t>
        </is>
      </c>
      <c r="D8" s="22" t="inlineStr">
        <is>
          <t>217 - PICHINCHA</t>
        </is>
      </c>
      <c r="E8" s="22" t="inlineStr">
        <is>
          <t>21701 - QUITO</t>
        </is>
      </c>
      <c r="F8" s="22" t="n"/>
      <c r="G8" s="111" t="inlineStr">
        <is>
          <t>1042203018</t>
        </is>
      </c>
      <c r="H8" s="22" t="n"/>
      <c r="I8" s="22" t="n"/>
      <c r="J8" s="23" t="n">
        <v>33634.04</v>
      </c>
      <c r="K8" s="24" t="n">
        <v>29131.43</v>
      </c>
      <c r="L8" s="23">
        <f>K8-J8</f>
        <v/>
      </c>
      <c r="M8" s="25">
        <f>IF(J8=0,"",(K8-J8)/J8)</f>
        <v/>
      </c>
    </row>
    <row r="9">
      <c r="A9" s="26" t="inlineStr">
        <is>
          <t>3 - Terreno</t>
        </is>
      </c>
      <c r="B9" s="26" t="inlineStr">
        <is>
          <t>ECU - En el Ecuador</t>
        </is>
      </c>
      <c r="C9" s="26" t="inlineStr">
        <is>
          <t>593 - ECUADOR</t>
        </is>
      </c>
      <c r="D9" s="26" t="inlineStr">
        <is>
          <t>217 - PICHINCHA</t>
        </is>
      </c>
      <c r="E9" s="26" t="inlineStr">
        <is>
          <t>21701 - QUITO</t>
        </is>
      </c>
      <c r="F9" s="26" t="n"/>
      <c r="G9" s="111" t="inlineStr">
        <is>
          <t>1012020021000000000</t>
        </is>
      </c>
      <c r="H9" s="26" t="n"/>
      <c r="I9" s="26" t="n"/>
      <c r="J9" s="27" t="n">
        <v>82624.22</v>
      </c>
      <c r="K9" s="24" t="n">
        <v>76097.82000000001</v>
      </c>
      <c r="L9" s="27">
        <f>K9-J9</f>
        <v/>
      </c>
      <c r="M9" s="28">
        <f>IF(J9=0,"",(K9-J9)/J9)</f>
        <v/>
      </c>
    </row>
    <row r="10" ht="22.05" customHeight="1" s="54">
      <c r="A10" s="29" t="inlineStr">
        <is>
          <t>TOTAL</t>
        </is>
      </c>
      <c r="B10" s="29" t="n"/>
      <c r="C10" s="29" t="n"/>
      <c r="D10" s="29" t="n"/>
      <c r="E10" s="29" t="n"/>
      <c r="F10" s="29" t="n"/>
      <c r="G10" s="29" t="n"/>
      <c r="H10" s="29" t="n"/>
      <c r="I10" s="29" t="n"/>
      <c r="J10" s="4">
        <f>SUM(J6:J9)</f>
        <v/>
      </c>
      <c r="K10" s="4">
        <f>SUM(K6:K9)</f>
        <v/>
      </c>
      <c r="L10" s="4">
        <f>K10-J10</f>
        <v/>
      </c>
      <c r="M10" s="5">
        <f>IF(J10=0,"",(K10-J10)/J10)</f>
        <v/>
      </c>
    </row>
    <row r="13">
      <c r="K13" s="105" t="inlineStr">
        <is>
          <t> </t>
        </is>
      </c>
    </row>
  </sheetData>
  <mergeCells count="3">
    <mergeCell ref="A3:M3"/>
    <mergeCell ref="A2:M2"/>
    <mergeCell ref="A1:M1"/>
  </mergeCells>
  <pageMargins left="0.75" right="0.75" top="1" bottom="1" header="0.5" footer="0.5"/>
  <pageSetup orientation="portrait" horizontalDpi="1200" verticalDpi="12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.06640625" defaultRowHeight="14.25"/>
  <cols>
    <col width="16" customWidth="1" style="54" min="1" max="1"/>
    <col width="20" customWidth="1" style="54" min="2" max="2"/>
    <col width="32" customWidth="1" style="54" min="3" max="3"/>
    <col width="16" customWidth="1" style="54" min="4" max="4"/>
    <col width="15" customWidth="1" style="54" min="5" max="5"/>
    <col width="16" customWidth="1" style="54" min="6" max="9"/>
  </cols>
  <sheetData>
    <row r="1" ht="30" customHeight="1" s="54">
      <c r="A1" s="55" t="inlineStr">
        <is>
          <t>4.1.8   OTROS ACTIVOS (CREDITOS TRIBUTARIOS Y OTROS)</t>
        </is>
      </c>
    </row>
    <row r="2">
      <c r="A2" s="99" t="inlineStr">
        <is>
          <t>Declaracion 2025  -  columna 2026 editable   |   PLANTILLA EN BLANCO (este modulo no consta en el XML)</t>
        </is>
      </c>
    </row>
    <row r="3" ht="5" customHeight="1" s="54">
      <c r="A3" s="56" t="n"/>
    </row>
    <row r="5" ht="32" customHeight="1" s="54">
      <c r="A5" s="101" t="inlineStr">
        <is>
          <t>Ubicacion</t>
        </is>
      </c>
      <c r="B5" s="101" t="inlineStr">
        <is>
          <t>Pais</t>
        </is>
      </c>
      <c r="C5" s="101" t="inlineStr">
        <is>
          <t>Descripcion</t>
        </is>
      </c>
      <c r="D5" s="101" t="inlineStr">
        <is>
          <t>Regularizacion activos</t>
        </is>
      </c>
      <c r="E5" s="101" t="inlineStr">
        <is>
          <t>Anio fiscal adquisicion</t>
        </is>
      </c>
      <c r="F5" s="101" t="inlineStr">
        <is>
          <t>Valor 2025</t>
        </is>
      </c>
      <c r="G5" s="101" t="inlineStr">
        <is>
          <t>Valor 2026</t>
        </is>
      </c>
      <c r="H5" s="101" t="inlineStr">
        <is>
          <t>Variacion</t>
        </is>
      </c>
      <c r="I5" s="101" t="inlineStr">
        <is>
          <t>Variacion %</t>
        </is>
      </c>
    </row>
    <row r="6">
      <c r="A6" s="22" t="n"/>
      <c r="B6" s="22" t="n"/>
      <c r="C6" s="22" t="n"/>
      <c r="D6" s="22" t="n"/>
      <c r="E6" s="22" t="n"/>
      <c r="F6" s="24" t="n">
        <v>0</v>
      </c>
      <c r="G6" s="24" t="n">
        <v>0</v>
      </c>
      <c r="H6" s="23">
        <f>G6-F6</f>
        <v/>
      </c>
      <c r="I6" s="25">
        <f>IF(F6=0,"",(G6-F6)/F6)</f>
        <v/>
      </c>
    </row>
    <row r="7">
      <c r="A7" s="26" t="n"/>
      <c r="B7" s="26" t="n"/>
      <c r="C7" s="26" t="n"/>
      <c r="D7" s="26" t="n"/>
      <c r="E7" s="26" t="n"/>
      <c r="F7" s="24" t="n">
        <v>0</v>
      </c>
      <c r="G7" s="24" t="n">
        <v>0</v>
      </c>
      <c r="H7" s="27">
        <f>G7-F7</f>
        <v/>
      </c>
      <c r="I7" s="28">
        <f>IF(F7=0,"",(G7-F7)/F7)</f>
        <v/>
      </c>
    </row>
    <row r="8">
      <c r="A8" s="22" t="n"/>
      <c r="B8" s="22" t="n"/>
      <c r="C8" s="22" t="n"/>
      <c r="D8" s="22" t="n"/>
      <c r="E8" s="22" t="n"/>
      <c r="F8" s="24" t="n">
        <v>0</v>
      </c>
      <c r="G8" s="24" t="n">
        <v>0</v>
      </c>
      <c r="H8" s="23">
        <f>G8-F8</f>
        <v/>
      </c>
      <c r="I8" s="25">
        <f>IF(F8=0,"",(G8-F8)/F8)</f>
        <v/>
      </c>
    </row>
    <row r="9">
      <c r="A9" s="26" t="n"/>
      <c r="B9" s="26" t="n"/>
      <c r="C9" s="26" t="n"/>
      <c r="D9" s="26" t="n"/>
      <c r="E9" s="26" t="n"/>
      <c r="F9" s="24" t="n">
        <v>0</v>
      </c>
      <c r="G9" s="24" t="n">
        <v>0</v>
      </c>
      <c r="H9" s="27">
        <f>G9-F9</f>
        <v/>
      </c>
      <c r="I9" s="28">
        <f>IF(F9=0,"",(G9-F9)/F9)</f>
        <v/>
      </c>
    </row>
    <row r="10">
      <c r="A10" s="22" t="n"/>
      <c r="B10" s="22" t="n"/>
      <c r="C10" s="22" t="n"/>
      <c r="D10" s="22" t="n"/>
      <c r="E10" s="22" t="n"/>
      <c r="F10" s="24" t="n">
        <v>0</v>
      </c>
      <c r="G10" s="24" t="n">
        <v>0</v>
      </c>
      <c r="H10" s="23">
        <f>G10-F10</f>
        <v/>
      </c>
      <c r="I10" s="25">
        <f>IF(F10=0,"",(G10-F10)/F10)</f>
        <v/>
      </c>
    </row>
    <row r="11">
      <c r="A11" s="26" t="n"/>
      <c r="B11" s="26" t="n"/>
      <c r="C11" s="26" t="n"/>
      <c r="D11" s="26" t="n"/>
      <c r="E11" s="26" t="n"/>
      <c r="F11" s="24" t="n">
        <v>0</v>
      </c>
      <c r="G11" s="24" t="n">
        <v>0</v>
      </c>
      <c r="H11" s="27">
        <f>G11-F11</f>
        <v/>
      </c>
      <c r="I11" s="28">
        <f>IF(F11=0,"",(G11-F11)/F11)</f>
        <v/>
      </c>
    </row>
    <row r="12">
      <c r="A12" s="22" t="n"/>
      <c r="B12" s="22" t="n"/>
      <c r="C12" s="22" t="n"/>
      <c r="D12" s="22" t="n"/>
      <c r="E12" s="22" t="n"/>
      <c r="F12" s="24" t="n">
        <v>0</v>
      </c>
      <c r="G12" s="24" t="n">
        <v>0</v>
      </c>
      <c r="H12" s="23">
        <f>G12-F12</f>
        <v/>
      </c>
      <c r="I12" s="25">
        <f>IF(F12=0,"",(G12-F12)/F12)</f>
        <v/>
      </c>
    </row>
    <row r="13">
      <c r="A13" s="26" t="n"/>
      <c r="B13" s="26" t="n"/>
      <c r="C13" s="26" t="n"/>
      <c r="D13" s="26" t="n"/>
      <c r="E13" s="26" t="n"/>
      <c r="F13" s="24" t="n">
        <v>0</v>
      </c>
      <c r="G13" s="24" t="n">
        <v>0</v>
      </c>
      <c r="H13" s="27">
        <f>G13-F13</f>
        <v/>
      </c>
      <c r="I13" s="28">
        <f>IF(F13=0,"",(G13-F13)/F13)</f>
        <v/>
      </c>
    </row>
    <row r="14" ht="22.05" customHeight="1" s="54">
      <c r="A14" s="29" t="inlineStr">
        <is>
          <t>TOTAL</t>
        </is>
      </c>
      <c r="B14" s="29" t="n"/>
      <c r="C14" s="29" t="n"/>
      <c r="D14" s="29" t="n"/>
      <c r="E14" s="29" t="n"/>
      <c r="F14" s="4">
        <f>SUM(F6:F13)</f>
        <v/>
      </c>
      <c r="G14" s="4">
        <f>SUM(G6:G13)</f>
        <v/>
      </c>
      <c r="H14" s="4">
        <f>G14-F14</f>
        <v/>
      </c>
      <c r="I14" s="5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D19" sqref="D19"/>
    </sheetView>
  </sheetViews>
  <sheetFormatPr baseColWidth="10" defaultColWidth="9.06640625" defaultRowHeight="14.25"/>
  <cols>
    <col width="22" customWidth="1" style="54" min="1" max="1"/>
    <col width="18" customWidth="1" style="54" min="2" max="3"/>
    <col width="26" customWidth="1" style="54" min="4" max="4"/>
    <col width="18" customWidth="1" style="54" min="5" max="5"/>
    <col width="20" customWidth="1" style="54" min="6" max="6"/>
    <col width="18" customWidth="1" style="54" min="7" max="7"/>
    <col width="15" customWidth="1" style="54" min="8" max="8"/>
    <col width="16" customWidth="1" style="54" min="9" max="12"/>
  </cols>
  <sheetData>
    <row r="1" ht="30" customHeight="1" s="54">
      <c r="A1" s="55" t="inlineStr">
        <is>
          <t>4.2.1   DEUDAS CONTRAIDAS / PASIVOS</t>
        </is>
      </c>
    </row>
    <row r="2">
      <c r="A2" s="99" t="inlineStr">
        <is>
          <t>Declaracion 2025  -  columna 2026 editable</t>
        </is>
      </c>
    </row>
    <row r="3" ht="5" customHeight="1" s="54">
      <c r="A3" s="56" t="n"/>
    </row>
    <row r="5" ht="32" customHeight="1" s="54">
      <c r="A5" s="101" t="inlineStr">
        <is>
          <t>Tipo de acreedor</t>
        </is>
      </c>
      <c r="B5" s="101" t="inlineStr">
        <is>
          <t>Domicilio del acreedor</t>
        </is>
      </c>
      <c r="C5" s="101" t="inlineStr">
        <is>
          <t>Pais</t>
        </is>
      </c>
      <c r="D5" s="101" t="inlineStr">
        <is>
          <t>Nombre del acreedor</t>
        </is>
      </c>
      <c r="E5" s="101" t="inlineStr">
        <is>
          <t>Tipo de identificacion</t>
        </is>
      </c>
      <c r="F5" s="101" t="inlineStr">
        <is>
          <t>N. de identificacion</t>
        </is>
      </c>
      <c r="G5" s="101" t="inlineStr">
        <is>
          <t>N. registro Banco Central</t>
        </is>
      </c>
      <c r="H5" s="101" t="inlineStr">
        <is>
          <t>Partes relacionadas</t>
        </is>
      </c>
      <c r="I5" s="101" t="inlineStr">
        <is>
          <t>Valor 2025</t>
        </is>
      </c>
      <c r="J5" s="101" t="inlineStr">
        <is>
          <t>Valor 2026</t>
        </is>
      </c>
      <c r="K5" s="101" t="inlineStr">
        <is>
          <t>Variacion</t>
        </is>
      </c>
      <c r="L5" s="101" t="inlineStr">
        <is>
          <t>Variacion %</t>
        </is>
      </c>
    </row>
    <row r="6">
      <c r="A6" s="22" t="inlineStr">
        <is>
          <t>IFI - Instituciones financieras</t>
        </is>
      </c>
      <c r="B6" s="22" t="inlineStr">
        <is>
          <t>ECU - En el Ecuador</t>
        </is>
      </c>
      <c r="C6" s="22" t="inlineStr">
        <is>
          <t>593 - ECUADOR</t>
        </is>
      </c>
      <c r="D6" s="22" t="inlineStr">
        <is>
          <t>DINERS CLUB DEL ECUADOR</t>
        </is>
      </c>
      <c r="E6" s="22" t="inlineStr">
        <is>
          <t>R - RUC</t>
        </is>
      </c>
      <c r="F6" s="22" t="inlineStr">
        <is>
          <t>1792260957001</t>
        </is>
      </c>
      <c r="G6" s="22" t="n"/>
      <c r="H6" s="22" t="inlineStr">
        <is>
          <t>2 - No</t>
        </is>
      </c>
      <c r="I6" s="23" t="n">
        <v>4891.88</v>
      </c>
      <c r="J6" s="24">
        <f>2081.45+4999.32+1100.63+117.62</f>
        <v/>
      </c>
      <c r="K6" s="23">
        <f>J6-I6</f>
        <v/>
      </c>
      <c r="L6" s="25">
        <f>IF(I6=0,"",(J6-I6)/I6)</f>
        <v/>
      </c>
    </row>
    <row r="7">
      <c r="A7" s="26" t="inlineStr">
        <is>
          <t>IFI - Instituciones financieras</t>
        </is>
      </c>
      <c r="B7" s="26" t="inlineStr">
        <is>
          <t>ECU - En el Ecuador</t>
        </is>
      </c>
      <c r="C7" s="26" t="inlineStr">
        <is>
          <t>593 - ECUADOR</t>
        </is>
      </c>
      <c r="D7" s="26" t="inlineStr">
        <is>
          <t>BANCO DEL PICHINCHA</t>
        </is>
      </c>
      <c r="E7" s="26" t="inlineStr">
        <is>
          <t>R - RUC</t>
        </is>
      </c>
      <c r="F7" s="26" t="inlineStr">
        <is>
          <t>1790010937001</t>
        </is>
      </c>
      <c r="G7" s="26" t="n"/>
      <c r="H7" s="26" t="inlineStr">
        <is>
          <t>2 - No</t>
        </is>
      </c>
      <c r="I7" s="27" t="n">
        <v>5547.31</v>
      </c>
      <c r="J7" s="24" t="n">
        <v>2959.97</v>
      </c>
      <c r="K7" s="27">
        <f>J7-I7</f>
        <v/>
      </c>
      <c r="L7" s="28">
        <f>IF(I7=0,"",(J7-I7)/I7)</f>
        <v/>
      </c>
    </row>
    <row r="8" ht="22.05" customHeight="1" s="54">
      <c r="A8" s="30" t="inlineStr">
        <is>
          <t>TOTAL</t>
        </is>
      </c>
      <c r="B8" s="30" t="n"/>
      <c r="C8" s="30" t="n"/>
      <c r="D8" s="30" t="n"/>
      <c r="E8" s="30" t="n"/>
      <c r="F8" s="30" t="n"/>
      <c r="G8" s="30" t="n"/>
      <c r="H8" s="30" t="n"/>
      <c r="I8" s="8">
        <f>SUM(I6:I7)</f>
        <v/>
      </c>
      <c r="J8" s="8">
        <f>SUM(J6:J7)</f>
        <v/>
      </c>
      <c r="K8" s="8">
        <f>J8-I8</f>
        <v/>
      </c>
      <c r="L8" s="9">
        <f>IF(I8=0,"",(J8-I8)/I8)</f>
        <v/>
      </c>
    </row>
  </sheetData>
  <mergeCells count="3">
    <mergeCell ref="A3:L3"/>
    <mergeCell ref="A2:L2"/>
    <mergeCell ref="A1:L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G7" sqref="G7"/>
    </sheetView>
  </sheetViews>
  <sheetFormatPr baseColWidth="10" defaultColWidth="9.06640625" defaultRowHeight="14.25"/>
  <cols>
    <col width="3" customWidth="1" style="54" min="1" max="1"/>
    <col width="32" customWidth="1" style="54" min="2" max="2"/>
    <col width="14" customWidth="1" style="54" min="3" max="4"/>
    <col width="22" customWidth="1" style="54" min="5" max="5"/>
  </cols>
  <sheetData>
    <row r="1" ht="30" customHeight="1" s="54">
      <c r="A1" s="55" t="inlineStr">
        <is>
          <t>JUSTIFICACION DE LA VARIACION PATRIMONIAL</t>
        </is>
      </c>
    </row>
    <row r="2">
      <c r="A2" s="99" t="inlineStr">
        <is>
          <t>Marque 'Si' los conceptos que justifican la variacion patrimonial  -  ejercicio 2025</t>
        </is>
      </c>
    </row>
    <row r="3" ht="5" customHeight="1" s="54">
      <c r="A3" s="56" t="n"/>
    </row>
    <row r="5" ht="20" customHeight="1" s="54">
      <c r="B5" s="102" t="inlineStr">
        <is>
          <t>Incremento patrimonial declarado en el XML</t>
        </is>
      </c>
      <c r="C5" s="112" t="n"/>
      <c r="D5" s="107" t="n"/>
      <c r="E5" s="31" t="n">
        <v>81715.59</v>
      </c>
    </row>
    <row r="7" ht="26" customHeight="1" s="54">
      <c r="B7" s="101" t="inlineStr">
        <is>
          <t>Concepto (Tabla 14 del SRI)</t>
        </is>
      </c>
      <c r="C7" s="112" t="n"/>
      <c r="D7" s="107" t="n"/>
      <c r="E7" s="101" t="inlineStr">
        <is>
          <t>Justifica la variacion</t>
        </is>
      </c>
    </row>
    <row r="8" ht="22.05" customHeight="1" s="54">
      <c r="B8" s="100" t="inlineStr">
        <is>
          <t>1 - Ingresos locales</t>
        </is>
      </c>
      <c r="C8" s="112" t="n"/>
      <c r="D8" s="107" t="n"/>
      <c r="E8" s="32" t="inlineStr">
        <is>
          <t>Si</t>
        </is>
      </c>
    </row>
    <row r="9" ht="22.05" customHeight="1" s="54">
      <c r="B9" s="100" t="inlineStr">
        <is>
          <t>2 - Ingresos exterior</t>
        </is>
      </c>
      <c r="C9" s="112" t="n"/>
      <c r="D9" s="107" t="n"/>
      <c r="E9" s="32" t="inlineStr">
        <is>
          <t>No</t>
        </is>
      </c>
    </row>
    <row r="10" ht="22.05" customHeight="1" s="54">
      <c r="B10" s="100" t="inlineStr">
        <is>
          <t>3 - Herencias, legados o donaciones</t>
        </is>
      </c>
      <c r="C10" s="112" t="n"/>
      <c r="D10" s="107" t="n"/>
      <c r="E10" s="32" t="inlineStr">
        <is>
          <t>No</t>
        </is>
      </c>
    </row>
    <row r="11" ht="22.05" customHeight="1" s="54">
      <c r="B11" s="100" t="inlineStr">
        <is>
          <t>4 - Loterias o rifas</t>
        </is>
      </c>
      <c r="C11" s="112" t="n"/>
      <c r="D11" s="107" t="n"/>
      <c r="E11" s="32" t="inlineStr">
        <is>
          <t>No</t>
        </is>
      </c>
    </row>
    <row r="12" ht="22.05" customHeight="1" s="54">
      <c r="B12" s="100" t="inlineStr">
        <is>
          <t>5 - Ganancias de capital</t>
        </is>
      </c>
      <c r="C12" s="112" t="n"/>
      <c r="D12" s="107" t="n"/>
      <c r="E12" s="32" t="inlineStr">
        <is>
          <t>No</t>
        </is>
      </c>
    </row>
    <row r="13" ht="22.05" customHeight="1" s="54">
      <c r="B13" s="100" t="inlineStr">
        <is>
          <t>6 - Otros</t>
        </is>
      </c>
      <c r="C13" s="112" t="n"/>
      <c r="D13" s="107" t="n"/>
      <c r="E13" s="32" t="inlineStr">
        <is>
          <t>Si</t>
        </is>
      </c>
    </row>
    <row r="15">
      <c r="B15" s="21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H20" sqref="H20"/>
    </sheetView>
  </sheetViews>
  <sheetFormatPr baseColWidth="10" defaultColWidth="9.06640625" defaultRowHeight="14.25"/>
  <cols>
    <col width="3" customWidth="1" style="54" min="1" max="1"/>
    <col width="22" customWidth="1" style="54" min="2" max="5"/>
  </cols>
  <sheetData>
    <row r="1" ht="30" customHeight="1" s="54">
      <c r="A1" s="55" t="inlineStr">
        <is>
          <t>GENERAR XML PARA EL SRI</t>
        </is>
      </c>
    </row>
    <row r="2">
      <c r="A2" s="99" t="inlineStr">
        <is>
          <t>Convierte este libro en el archivo XML de la Declaracion Patrimonial, listo para subir al portal del SRI</t>
        </is>
      </c>
    </row>
    <row r="3" ht="5" customHeight="1" s="54">
      <c r="A3" s="56" t="n"/>
    </row>
    <row r="5">
      <c r="B5" s="104" t="n"/>
      <c r="C5" s="113" t="n"/>
      <c r="D5" s="108" t="n"/>
    </row>
    <row r="6">
      <c r="B6" s="114" t="n"/>
      <c r="C6" s="115" t="n"/>
      <c r="D6" s="116" t="n"/>
    </row>
    <row r="7">
      <c r="B7" s="33" t="inlineStr">
        <is>
          <t>En el archivo .xlsm el boton verde ya esta vinculado a la macro GenerarXmlSRI.</t>
        </is>
      </c>
    </row>
    <row r="9">
      <c r="B9" s="34" t="inlineStr">
        <is>
          <t>COMO USAR ESTE ARCHIVO</t>
        </is>
      </c>
    </row>
    <row r="10">
      <c r="B10" s="35" t="inlineStr">
        <is>
          <t>1. Al abrir el archivo .xlsm, pulse 'Habilitar contenido' en la barra de seguridad de Excel.</t>
        </is>
      </c>
    </row>
    <row r="11">
      <c r="B11" s="35" t="inlineStr">
        <is>
          <t>2. Llene las columnas amarillas de cada modulo (Dinero, Vehiculos, etc.) y la hoja Justificacion.</t>
        </is>
      </c>
    </row>
    <row r="12">
      <c r="B12" s="35" t="inlineStr">
        <is>
          <t>3. Pulse el boton verde GENERAR XML, indique el anio y elija donde guardar el archivo.</t>
        </is>
      </c>
    </row>
    <row r="13">
      <c r="B13" s="35" t="inlineStr">
        <is>
          <t>4. El archivo .xml queda listo para subir al portal del SRI.</t>
        </is>
      </c>
    </row>
    <row r="14">
      <c r="B14" s="35" t="n"/>
    </row>
    <row r="15">
      <c r="B15" s="34" t="inlineStr">
        <is>
          <t>SI EXCEL BLOQUEA LAS MACROS</t>
        </is>
      </c>
    </row>
    <row r="16">
      <c r="B16" s="35" t="inlineStr">
        <is>
          <t>- Cierre Excel. En el Explorador, clic derecho sobre el archivo &gt; Propiedades.</t>
        </is>
      </c>
    </row>
    <row r="17">
      <c r="B17" s="35" t="inlineStr">
        <is>
          <t>- Al final de la pestana General marque 'Desbloquear' y pulse Aceptar.</t>
        </is>
      </c>
    </row>
    <row r="18">
      <c r="B18" s="35" t="inlineStr">
        <is>
          <t>- Vuelva a abrirlo y pulse 'Habilitar contenido'. Conserve siempre la extension .xlsm.</t>
        </is>
      </c>
    </row>
    <row r="19">
      <c r="B19" s="35" t="n"/>
    </row>
    <row r="20">
      <c r="B20" s="35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D9" sqref="D9"/>
    </sheetView>
  </sheetViews>
  <sheetFormatPr baseColWidth="10" defaultColWidth="9.06640625" defaultRowHeight="14.25"/>
  <cols>
    <col width="42" customWidth="1" style="54" min="1" max="1"/>
    <col width="34" customWidth="1" style="54" min="2" max="2"/>
  </cols>
  <sheetData>
    <row r="1" ht="30" customHeight="1" s="54">
      <c r="A1" s="55" t="inlineStr">
        <is>
          <t>DATOS GENERALES DE LA DECLARACION</t>
        </is>
      </c>
    </row>
    <row r="3" ht="5" customHeight="1" s="54">
      <c r="A3" s="56" t="n"/>
    </row>
    <row r="5" ht="20" customHeight="1" s="54">
      <c r="A5" s="53" t="inlineStr">
        <is>
          <t>IDENTIFICACION</t>
        </is>
      </c>
    </row>
    <row r="6">
      <c r="A6" s="36" t="inlineStr">
        <is>
          <t>Anio de la declaracion</t>
        </is>
      </c>
      <c r="B6" s="37" t="n">
        <v>2025</v>
      </c>
    </row>
    <row r="7">
      <c r="A7" s="36" t="inlineStr">
        <is>
          <t>Tipo de declaracion</t>
        </is>
      </c>
      <c r="B7" s="37" t="inlineStr">
        <is>
          <t>SOC - Sociedad conyugal o union de hecho</t>
        </is>
      </c>
    </row>
    <row r="8">
      <c r="A8" s="36" t="inlineStr">
        <is>
          <t>Tipo de identificacion</t>
        </is>
      </c>
      <c r="B8" s="37" t="inlineStr">
        <is>
          <t>R - RUC</t>
        </is>
      </c>
    </row>
    <row r="9">
      <c r="A9" s="36" t="inlineStr">
        <is>
          <t>Numero de identificacion</t>
        </is>
      </c>
      <c r="B9" s="37" t="inlineStr">
        <is>
          <t>1709164899001</t>
        </is>
      </c>
    </row>
    <row r="10">
      <c r="A10" s="36" t="inlineStr">
        <is>
          <t>Nombre del declarante</t>
        </is>
      </c>
      <c r="B10" s="37" t="inlineStr">
        <is>
          <t>GONZALEZ NAVAS MARCO VINICIO</t>
        </is>
      </c>
    </row>
    <row r="11">
      <c r="A11" s="36" t="inlineStr">
        <is>
          <t>Identificacion del conyuge</t>
        </is>
      </c>
      <c r="B11" s="37" t="inlineStr">
        <is>
          <t>C - Cedula</t>
        </is>
      </c>
    </row>
    <row r="12">
      <c r="A12" s="36" t="inlineStr">
        <is>
          <t>Numero ident. conyuge</t>
        </is>
      </c>
      <c r="B12" s="37" t="inlineStr">
        <is>
          <t>1709784225</t>
        </is>
      </c>
    </row>
    <row r="13">
      <c r="A13" s="36" t="inlineStr">
        <is>
          <t>Nombre del conyuge</t>
        </is>
      </c>
      <c r="B13" s="37" t="inlineStr">
        <is>
          <t>HIDALGO LOZA ROSA CONSUELO</t>
        </is>
      </c>
    </row>
    <row r="14">
      <c r="A14" s="36" t="inlineStr">
        <is>
          <t>Total creditos / cuentas por cobrar</t>
        </is>
      </c>
      <c r="B14" s="23" t="n">
        <v>0</v>
      </c>
    </row>
    <row r="16" ht="20" customHeight="1" s="54">
      <c r="A16" s="53" t="inlineStr">
        <is>
          <t>PATRIMONIO NETO (enlazado a la hoja Dashboard)</t>
        </is>
      </c>
    </row>
    <row r="17">
      <c r="A17" s="36" t="inlineStr">
        <is>
          <t>Patrimonio neto 2025</t>
        </is>
      </c>
      <c r="B17" s="23">
        <f>Dashboard!D31</f>
        <v/>
      </c>
    </row>
    <row r="18">
      <c r="A18" s="36" t="inlineStr">
        <is>
          <t>Patrimonio neto 2026 (proyectado)</t>
        </is>
      </c>
      <c r="B18" s="23">
        <f>Dashboard!E31</f>
        <v/>
      </c>
    </row>
    <row r="19">
      <c r="A19" s="36" t="inlineStr">
        <is>
          <t>Variacion proyectada</t>
        </is>
      </c>
      <c r="B19" s="23">
        <f>Dashboard!F31</f>
        <v/>
      </c>
    </row>
    <row r="20">
      <c r="A20" s="36" t="inlineStr">
        <is>
          <t>Variacion % proyectada</t>
        </is>
      </c>
      <c r="B20" s="25">
        <f>Dashboard!G31</f>
        <v/>
      </c>
    </row>
    <row r="22" ht="20" customHeight="1" s="54">
      <c r="A22" s="53" t="inlineStr">
        <is>
          <t>PATRIMONIO DECLARADO EN EL XML</t>
        </is>
      </c>
    </row>
    <row r="23">
      <c r="A23" s="36" t="inlineStr">
        <is>
          <t>Patrimonio total declarado</t>
        </is>
      </c>
      <c r="B23" s="23" t="n">
        <v>883285.5600000001</v>
      </c>
    </row>
    <row r="24">
      <c r="A24" s="36" t="inlineStr">
        <is>
          <t>Atribuible a hijos no emancipados</t>
        </is>
      </c>
      <c r="B24" s="23" t="n">
        <v>0</v>
      </c>
    </row>
    <row r="25">
      <c r="A25" s="36" t="inlineStr">
        <is>
          <t>Patrimonio en la sociedad conyugal</t>
        </is>
      </c>
      <c r="B25" s="23" t="n">
        <v>883285.5600000001</v>
      </c>
    </row>
    <row r="26">
      <c r="A26" s="36" t="inlineStr">
        <is>
          <t>Patrimonio individual del declarante</t>
        </is>
      </c>
      <c r="B26" s="23" t="n">
        <v>0</v>
      </c>
    </row>
    <row r="27">
      <c r="A27" s="36" t="inlineStr">
        <is>
          <t>Patrimonio del anio anterior</t>
        </is>
      </c>
      <c r="B27" s="23" t="n">
        <v>801569.97</v>
      </c>
    </row>
    <row r="28">
      <c r="A28" s="36" t="inlineStr">
        <is>
          <t>Crecimiento / decremento patrimonial</t>
        </is>
      </c>
      <c r="B28" s="23" t="n">
        <v>81715.59</v>
      </c>
    </row>
    <row r="30">
      <c r="A30" s="34" t="inlineStr">
        <is>
          <t>Justificacion de la variacion (ver hoja Justificacion)</t>
        </is>
      </c>
    </row>
    <row r="31">
      <c r="A31" s="35" t="inlineStr">
        <is>
          <t>- 1 - Ingresos locales</t>
        </is>
      </c>
    </row>
    <row r="32">
      <c r="A32" s="35" t="inlineStr">
        <is>
          <t>- 6 - Otros</t>
        </is>
      </c>
    </row>
    <row r="34">
      <c r="A34" s="21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10" defaultColWidth="9.06640625" defaultRowHeight="14.2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10" defaultColWidth="9.06640625" defaultRowHeight="14.25"/>
  <sheetData>
    <row r="1">
      <c r="A1" s="38" t="inlineStr">
        <is>
          <t>DINERO_EN</t>
        </is>
      </c>
      <c r="B1" s="38" t="inlineStr">
        <is>
          <t>TIPO_INVERSION</t>
        </is>
      </c>
      <c r="C1" s="38" t="inlineStr">
        <is>
          <t>UBICACION</t>
        </is>
      </c>
      <c r="D1" s="38" t="inlineStr">
        <is>
          <t>PAIS</t>
        </is>
      </c>
      <c r="E1" s="38" t="inlineStr">
        <is>
          <t>INSTITUCION_FINANCIERA</t>
        </is>
      </c>
      <c r="F1" s="38" t="inlineStr">
        <is>
          <t>PARTES_RELACIONADAS</t>
        </is>
      </c>
      <c r="G1" s="38" t="inlineStr">
        <is>
          <t>TIPO_DRC</t>
        </is>
      </c>
      <c r="H1" s="38" t="inlineStr">
        <is>
          <t>TIPO_PERSONA</t>
        </is>
      </c>
      <c r="I1" s="38" t="inlineStr">
        <is>
          <t>TIPO_BIEN_MUEBLE</t>
        </is>
      </c>
      <c r="J1" s="38" t="inlineStr">
        <is>
          <t>TIPO_VEHICULO</t>
        </is>
      </c>
      <c r="K1" s="38" t="inlineStr">
        <is>
          <t>TIPO_DERECHO</t>
        </is>
      </c>
      <c r="L1" s="38" t="inlineStr">
        <is>
          <t>TIPO_INMUEBLE</t>
        </is>
      </c>
      <c r="M1" s="38" t="inlineStr">
        <is>
          <t>PROVINCIA</t>
        </is>
      </c>
      <c r="N1" s="38" t="inlineStr">
        <is>
          <t>CANTON</t>
        </is>
      </c>
      <c r="O1" s="38" t="inlineStr">
        <is>
          <t>TIPO_ACREEDOR</t>
        </is>
      </c>
      <c r="P1" s="38" t="inlineStr">
        <is>
          <t>TIPO_IDENTIFICACION</t>
        </is>
      </c>
      <c r="Q1" s="38" t="inlineStr">
        <is>
          <t>REGULARIZACION</t>
        </is>
      </c>
      <c r="R1" s="38" t="inlineStr">
        <is>
          <t>JUSTIF_INCREMENTO</t>
        </is>
      </c>
      <c r="S1" s="38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2026-05-21T13:23:17Z</dcterms:created>
  <dcterms:modified xsi:type="dcterms:W3CDTF">2026-05-23T19:26:27Z</dcterms:modified>
  <cp:lastModifiedBy>Jorge Calupiña</cp:lastModifiedBy>
</cp:coreProperties>
</file>