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'Dashboard'!$AA$3:$AA$5</f>
            </strRef>
          </cat>
          <val>
            <numRef>
              <f>'Dashboard'!$AB$3:$AB$5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Vehiculos, naves y aeronaves</t>
        </is>
      </c>
      <c r="AB4" s="4">
        <f>D16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inmuebles</t>
        </is>
      </c>
      <c r="AB5" s="4">
        <f>D18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'Dinero'!J10</f>
        <v/>
      </c>
      <c r="E12" s="28">
        <f>'Dinero'!K10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Cobrar'!J14</f>
        <v/>
      </c>
      <c r="E14" s="28">
        <f>'Cuentas por Cobrar'!K14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Muebles'!F14</f>
        <v/>
      </c>
      <c r="E15" s="28">
        <f>'Bienes Muebles'!G14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'Vehiculos'!G9</f>
        <v/>
      </c>
      <c r="E16" s="28">
        <f>'Vehiculos'!H9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Inmuebles'!J10</f>
        <v/>
      </c>
      <c r="E18" s="28">
        <f>'Bienes Inmuebles'!K10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'Pasivos'!I8</f>
        <v/>
      </c>
      <c r="E24" s="35">
        <f>'Pasivos'!J8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883285.5600000001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801569.97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81715.59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3 - Cuenta de ahorros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0" t="inlineStr">
        <is>
          <t>DOLARES</t>
        </is>
      </c>
      <c r="G6" s="60" t="inlineStr">
        <is>
          <t>2 - No</t>
        </is>
      </c>
      <c r="H6" s="60" t="inlineStr"/>
      <c r="I6" s="60" t="inlineStr"/>
      <c r="J6" s="61" t="n">
        <v>130.2</v>
      </c>
      <c r="K6" s="62" t="n">
        <v>130.2</v>
      </c>
      <c r="L6" s="61">
        <f>K6-J6</f>
        <v/>
      </c>
      <c r="M6" s="63">
        <f>IF(J6=0,"",(K6-J6)/J6)</f>
        <v/>
      </c>
    </row>
    <row r="7">
      <c r="A7" s="64" t="inlineStr">
        <is>
          <t>IFI - Instituciones financieras</t>
        </is>
      </c>
      <c r="B7" s="64" t="inlineStr">
        <is>
          <t>4 - Cuenta corriente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>
        <is>
          <t>1029 - BANCO PICHINCHA C.A.</t>
        </is>
      </c>
      <c r="F7" s="64" t="inlineStr">
        <is>
          <t>DOLARES</t>
        </is>
      </c>
      <c r="G7" s="64" t="inlineStr">
        <is>
          <t>2 - No</t>
        </is>
      </c>
      <c r="H7" s="64" t="inlineStr"/>
      <c r="I7" s="64" t="inlineStr"/>
      <c r="J7" s="65" t="n">
        <v>5590.32</v>
      </c>
      <c r="K7" s="62" t="n">
        <v>5590.32</v>
      </c>
      <c r="L7" s="65">
        <f>K7-J7</f>
        <v/>
      </c>
      <c r="M7" s="66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1418 - BANCO PROMERICA S.A.</t>
        </is>
      </c>
      <c r="F8" s="60" t="inlineStr">
        <is>
          <t>DOLARES</t>
        </is>
      </c>
      <c r="G8" s="60" t="inlineStr">
        <is>
          <t>2 - No</t>
        </is>
      </c>
      <c r="H8" s="60" t="inlineStr"/>
      <c r="I8" s="60" t="inlineStr"/>
      <c r="J8" s="61" t="n">
        <v>53237.31</v>
      </c>
      <c r="K8" s="62" t="n">
        <v>53237.31</v>
      </c>
      <c r="L8" s="61">
        <f>K8-J8</f>
        <v/>
      </c>
      <c r="M8" s="63">
        <f>IF(J8=0,"",(K8-J8)/J8)</f>
        <v/>
      </c>
    </row>
    <row r="9">
      <c r="A9" s="64" t="inlineStr">
        <is>
          <t>IFI - Instituciones financieras</t>
        </is>
      </c>
      <c r="B9" s="64" t="inlineStr">
        <is>
          <t>2 - Inversiones financieras</t>
        </is>
      </c>
      <c r="C9" s="64" t="inlineStr">
        <is>
          <t>EXT - En el exterior</t>
        </is>
      </c>
      <c r="D9" s="64" t="inlineStr">
        <is>
          <t>118 - PANAMA</t>
        </is>
      </c>
      <c r="E9" s="64" t="inlineStr">
        <is>
          <t>BANCO PICHINCHA CA</t>
        </is>
      </c>
      <c r="F9" s="64" t="inlineStr">
        <is>
          <t>DOLARES</t>
        </is>
      </c>
      <c r="G9" s="64" t="inlineStr">
        <is>
          <t>2 - No</t>
        </is>
      </c>
      <c r="H9" s="64" t="inlineStr"/>
      <c r="I9" s="64" t="inlineStr"/>
      <c r="J9" s="65" t="n">
        <v>189049.31</v>
      </c>
      <c r="K9" s="62" t="n">
        <v>189049.31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0" t="inlineStr">
        <is>
          <t>PBO7092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0" t="inlineStr"/>
      <c r="G6" s="61" t="n">
        <v>12000</v>
      </c>
      <c r="H6" s="62" t="n">
        <v>12000</v>
      </c>
      <c r="I6" s="61">
        <f>H6-G6</f>
        <v/>
      </c>
      <c r="J6" s="63">
        <f>IF(G6=0,"",(H6-G6)/G6)</f>
        <v/>
      </c>
    </row>
    <row r="7">
      <c r="A7" s="64" t="inlineStr">
        <is>
          <t>1 - Vehiculos motorizados terrestres</t>
        </is>
      </c>
      <c r="B7" s="64" t="inlineStr">
        <is>
          <t>PBF9690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/>
      <c r="F7" s="64" t="inlineStr"/>
      <c r="G7" s="65" t="n">
        <v>20000</v>
      </c>
      <c r="H7" s="62" t="n">
        <v>20000</v>
      </c>
      <c r="I7" s="65">
        <f>H7-G7</f>
        <v/>
      </c>
      <c r="J7" s="66">
        <f>IF(G7=0,"",(H7-G7)/G7)</f>
        <v/>
      </c>
    </row>
    <row r="8">
      <c r="A8" s="60" t="inlineStr">
        <is>
          <t>1 - Vehiculos motorizados terrestres</t>
        </is>
      </c>
      <c r="B8" s="60" t="inlineStr">
        <is>
          <t>PFC8683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0" t="inlineStr"/>
      <c r="G8" s="61" t="n">
        <v>32000</v>
      </c>
      <c r="H8" s="62" t="n">
        <v>32000</v>
      </c>
      <c r="I8" s="61">
        <f>H8-G8</f>
        <v/>
      </c>
      <c r="J8" s="63">
        <f>IF(G8=0,"",(H8-G8)/G8)</f>
        <v/>
      </c>
    </row>
    <row r="9" ht="22" customHeight="1">
      <c r="A9" s="67" t="inlineStr">
        <is>
          <t>TOTAL</t>
        </is>
      </c>
      <c r="B9" s="67" t="n"/>
      <c r="C9" s="67" t="n"/>
      <c r="D9" s="67" t="n"/>
      <c r="E9" s="67" t="n"/>
      <c r="F9" s="67" t="n"/>
      <c r="G9" s="31">
        <f>SUM(G6:G8)</f>
        <v/>
      </c>
      <c r="H9" s="31">
        <f>SUM(H6:H8)</f>
        <v/>
      </c>
      <c r="I9" s="31">
        <f>H9-G9</f>
        <v/>
      </c>
      <c r="J9" s="32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3 - Terreno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0" t="inlineStr">
        <is>
          <t>22/10/2008</t>
        </is>
      </c>
      <c r="G6" s="60" t="inlineStr">
        <is>
          <t>1042203018</t>
        </is>
      </c>
      <c r="H6" s="60" t="inlineStr"/>
      <c r="I6" s="60" t="inlineStr"/>
      <c r="J6" s="61" t="n">
        <v>267340.8</v>
      </c>
      <c r="K6" s="62" t="n">
        <v>267340.8</v>
      </c>
      <c r="L6" s="61">
        <f>K6-J6</f>
        <v/>
      </c>
      <c r="M6" s="63">
        <f>IF(J6=0,"",(K6-J6)/J6)</f>
        <v/>
      </c>
    </row>
    <row r="7">
      <c r="A7" s="64" t="inlineStr">
        <is>
          <t>1 - Casa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217 - PICHINCHA</t>
        </is>
      </c>
      <c r="E7" s="64" t="inlineStr">
        <is>
          <t>21701 - QUITO</t>
        </is>
      </c>
      <c r="F7" s="64" t="inlineStr">
        <is>
          <t>13/03/1997</t>
        </is>
      </c>
      <c r="G7" s="64" t="inlineStr">
        <is>
          <t>1012005008000000000</t>
        </is>
      </c>
      <c r="H7" s="64" t="inlineStr"/>
      <c r="I7" s="64" t="inlineStr"/>
      <c r="J7" s="65" t="n">
        <v>198118.55</v>
      </c>
      <c r="K7" s="62" t="n">
        <v>198118.55</v>
      </c>
      <c r="L7" s="65">
        <f>K7-J7</f>
        <v/>
      </c>
      <c r="M7" s="66">
        <f>IF(J7=0,"",(K7-J7)/J7)</f>
        <v/>
      </c>
    </row>
    <row r="8">
      <c r="A8" s="60" t="inlineStr">
        <is>
          <t>1 - Casa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217 - PICHINCHA</t>
        </is>
      </c>
      <c r="E8" s="60" t="inlineStr">
        <is>
          <t>21701 - QUITO</t>
        </is>
      </c>
      <c r="F8" s="60" t="inlineStr"/>
      <c r="G8" s="60" t="inlineStr">
        <is>
          <t>1042203018</t>
        </is>
      </c>
      <c r="H8" s="60" t="inlineStr"/>
      <c r="I8" s="60" t="inlineStr"/>
      <c r="J8" s="61" t="n">
        <v>33634.04</v>
      </c>
      <c r="K8" s="62" t="n">
        <v>33634.04</v>
      </c>
      <c r="L8" s="61">
        <f>K8-J8</f>
        <v/>
      </c>
      <c r="M8" s="63">
        <f>IF(J8=0,"",(K8-J8)/J8)</f>
        <v/>
      </c>
    </row>
    <row r="9">
      <c r="A9" s="64" t="inlineStr">
        <is>
          <t>3 - Terreno</t>
        </is>
      </c>
      <c r="B9" s="64" t="inlineStr">
        <is>
          <t>ECU - En el Ecuador</t>
        </is>
      </c>
      <c r="C9" s="64" t="inlineStr">
        <is>
          <t>593 - ECUADOR</t>
        </is>
      </c>
      <c r="D9" s="64" t="inlineStr">
        <is>
          <t>217 - PICHINCHA</t>
        </is>
      </c>
      <c r="E9" s="64" t="inlineStr">
        <is>
          <t>21701 - QUITO</t>
        </is>
      </c>
      <c r="F9" s="64" t="inlineStr"/>
      <c r="G9" s="64" t="inlineStr">
        <is>
          <t>1012005008000000000</t>
        </is>
      </c>
      <c r="H9" s="64" t="inlineStr"/>
      <c r="I9" s="64" t="inlineStr"/>
      <c r="J9" s="65" t="n">
        <v>82624.22</v>
      </c>
      <c r="K9" s="62" t="n">
        <v>82624.22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DINERS CLUB DEL ECUADOR</t>
        </is>
      </c>
      <c r="E6" s="60" t="inlineStr">
        <is>
          <t>R - RUC</t>
        </is>
      </c>
      <c r="F6" s="60" t="inlineStr">
        <is>
          <t>1792260957001</t>
        </is>
      </c>
      <c r="G6" s="60" t="inlineStr"/>
      <c r="H6" s="60" t="inlineStr">
        <is>
          <t>2 - No</t>
        </is>
      </c>
      <c r="I6" s="61" t="n">
        <v>4891.88</v>
      </c>
      <c r="J6" s="62" t="n">
        <v>4891.88</v>
      </c>
      <c r="K6" s="61">
        <f>J6-I6</f>
        <v/>
      </c>
      <c r="L6" s="63">
        <f>IF(I6=0,"",(J6-I6)/I6)</f>
        <v/>
      </c>
    </row>
    <row r="7">
      <c r="A7" s="64" t="inlineStr">
        <is>
          <t>IFI - Instituciones financieras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BANCO DEL PICHINCHA</t>
        </is>
      </c>
      <c r="E7" s="64" t="inlineStr">
        <is>
          <t>R - RUC</t>
        </is>
      </c>
      <c r="F7" s="64" t="inlineStr">
        <is>
          <t>1790010937001</t>
        </is>
      </c>
      <c r="G7" s="64" t="inlineStr"/>
      <c r="H7" s="64" t="inlineStr">
        <is>
          <t>2 - No</t>
        </is>
      </c>
      <c r="I7" s="65" t="n">
        <v>5547.31</v>
      </c>
      <c r="J7" s="62" t="n">
        <v>5547.31</v>
      </c>
      <c r="K7" s="65">
        <f>J7-I7</f>
        <v/>
      </c>
      <c r="L7" s="66">
        <f>IF(I7=0,"",(J7-I7)/I7)</f>
        <v/>
      </c>
    </row>
    <row r="8" ht="22" customHeight="1">
      <c r="A8" s="68" t="inlineStr">
        <is>
          <t>TOTAL</t>
        </is>
      </c>
      <c r="B8" s="68" t="n"/>
      <c r="C8" s="68" t="n"/>
      <c r="D8" s="68" t="n"/>
      <c r="E8" s="68" t="n"/>
      <c r="F8" s="68" t="n"/>
      <c r="G8" s="68" t="n"/>
      <c r="H8" s="68" t="n"/>
      <c r="I8" s="38">
        <f>SUM(I6:I7)</f>
        <v/>
      </c>
      <c r="J8" s="38">
        <f>SUM(J6:J7)</f>
        <v/>
      </c>
      <c r="K8" s="38">
        <f>J8-I8</f>
        <v/>
      </c>
      <c r="L8" s="39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9" t="inlineStr">
        <is>
          <t>Incremento patrimonial declarado en el XML</t>
        </is>
      </c>
      <c r="C5" s="70" t="n"/>
      <c r="D5" s="70" t="n"/>
      <c r="E5" s="71" t="n">
        <v>81715.59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2" t="inlineStr">
        <is>
          <t>1 - Ingresos locales</t>
        </is>
      </c>
      <c r="C8" s="6" t="n"/>
      <c r="D8" s="6" t="n"/>
      <c r="E8" s="73" t="inlineStr">
        <is>
          <t>Si</t>
        </is>
      </c>
    </row>
    <row r="9" ht="22" customHeight="1">
      <c r="B9" s="72" t="inlineStr">
        <is>
          <t>2 - Ingresos exterior</t>
        </is>
      </c>
      <c r="C9" s="6" t="n"/>
      <c r="D9" s="6" t="n"/>
      <c r="E9" s="73" t="inlineStr">
        <is>
          <t>No</t>
        </is>
      </c>
    </row>
    <row r="10" ht="22" customHeight="1">
      <c r="B10" s="72" t="inlineStr">
        <is>
          <t>3 - Herencias, legados o donaciones</t>
        </is>
      </c>
      <c r="C10" s="6" t="n"/>
      <c r="D10" s="6" t="n"/>
      <c r="E10" s="73" t="inlineStr">
        <is>
          <t>No</t>
        </is>
      </c>
    </row>
    <row r="11" ht="22" customHeight="1">
      <c r="B11" s="72" t="inlineStr">
        <is>
          <t>4 - Loterias o rifas</t>
        </is>
      </c>
      <c r="C11" s="6" t="n"/>
      <c r="D11" s="6" t="n"/>
      <c r="E11" s="73" t="inlineStr">
        <is>
          <t>No</t>
        </is>
      </c>
    </row>
    <row r="12" ht="22" customHeight="1">
      <c r="B12" s="72" t="inlineStr">
        <is>
          <t>5 - Ganancias de capital</t>
        </is>
      </c>
      <c r="C12" s="6" t="n"/>
      <c r="D12" s="6" t="n"/>
      <c r="E12" s="73" t="inlineStr">
        <is>
          <t>No</t>
        </is>
      </c>
    </row>
    <row r="13" ht="22" customHeight="1">
      <c r="B13" s="72" t="inlineStr">
        <is>
          <t>6 - Otros</t>
        </is>
      </c>
      <c r="C13" s="6" t="n"/>
      <c r="D13" s="6" t="n"/>
      <c r="E13" s="73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78" t="inlineStr">
        <is>
          <t>IDENTIFICACION DEL DECLARANTE Y CONYUGE  (editable)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1709164899001</t>
        </is>
      </c>
    </row>
    <row r="10">
      <c r="A10" s="79" t="inlineStr">
        <is>
          <t>Nombre del declarante</t>
        </is>
      </c>
      <c r="B10" s="80" t="inlineStr">
        <is>
          <t>GONZALEZ NAVAS MARCO VINICIO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1709784225</t>
        </is>
      </c>
    </row>
    <row r="13">
      <c r="A13" s="79" t="inlineStr">
        <is>
          <t>Nombre del conyuge</t>
        </is>
      </c>
      <c r="B13" s="80" t="inlineStr">
        <is>
          <t>HIDALGO LOZA ROSA CONSUELO</t>
        </is>
      </c>
    </row>
    <row r="14">
      <c r="A14" s="79" t="inlineStr">
        <is>
          <t>Regularizacion de activos</t>
        </is>
      </c>
      <c r="B14" s="80" t="inlineStr"/>
    </row>
    <row r="16" ht="20" customHeight="1">
      <c r="A16" s="78" t="inlineStr">
        <is>
          <t>PATRIMONIO DECLARADO  (editable)</t>
        </is>
      </c>
    </row>
    <row r="17">
      <c r="A17" s="79" t="inlineStr">
        <is>
          <t>Patrimonio total declarado</t>
        </is>
      </c>
      <c r="B17" s="61" t="n">
        <v>883285.5600000001</v>
      </c>
    </row>
    <row r="18">
      <c r="A18" s="79" t="inlineStr">
        <is>
          <t>Atribuible a hijos no emancipados</t>
        </is>
      </c>
      <c r="B18" s="62" t="n">
        <v>0</v>
      </c>
    </row>
    <row r="19">
      <c r="A19" s="79" t="inlineStr">
        <is>
          <t>Patrimonio en la sociedad conyugal</t>
        </is>
      </c>
      <c r="B19" s="62" t="n">
        <v>883285.5600000001</v>
      </c>
    </row>
    <row r="20">
      <c r="A20" s="79" t="inlineStr">
        <is>
          <t>Patrimonio individual del declarante</t>
        </is>
      </c>
      <c r="B20" s="62" t="n">
        <v>0</v>
      </c>
    </row>
    <row r="21">
      <c r="A21" s="79" t="inlineStr">
        <is>
          <t>Patrimonio del anio anterior</t>
        </is>
      </c>
      <c r="B21" s="62" t="n">
        <v>801569.97</v>
      </c>
    </row>
    <row r="22">
      <c r="A22" s="79" t="inlineStr">
        <is>
          <t>Crecimiento / decremento patrimonial</t>
        </is>
      </c>
      <c r="B22" s="61" t="n">
        <v>81715.59</v>
      </c>
    </row>
    <row r="24" ht="20" customHeight="1">
      <c r="A24" s="78" t="inlineStr">
        <is>
          <t>PATRIMONIO NETO  (calculado - enlazado al Dashboard)</t>
        </is>
      </c>
    </row>
    <row r="25">
      <c r="A25" s="79" t="inlineStr">
        <is>
          <t>Patrimonio neto 2025</t>
        </is>
      </c>
      <c r="B25" s="61">
        <f>Dashboard!D31</f>
        <v/>
      </c>
    </row>
    <row r="26">
      <c r="A26" s="79" t="inlineStr">
        <is>
          <t>Patrimonio neto 2026 (proyectado)</t>
        </is>
      </c>
      <c r="B26" s="61">
        <f>Dashboard!E31</f>
        <v/>
      </c>
    </row>
    <row r="27">
      <c r="A27" s="79" t="inlineStr">
        <is>
          <t>Variacion proyectada</t>
        </is>
      </c>
      <c r="B27" s="61">
        <f>Dashboard!F31</f>
        <v/>
      </c>
    </row>
    <row r="28">
      <c r="A28" s="79" t="inlineStr">
        <is>
          <t>Variacion % proyectada</t>
        </is>
      </c>
      <c r="B28" s="63">
        <f>Dashboard!G31</f>
        <v/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2026-05-21T13:57:43Z</dcterms:created>
  <dcterms:modified xsi:type="dcterms:W3CDTF">2026-05-21T13:57:43Z</dcterms:modified>
</cp:coreProperties>
</file>