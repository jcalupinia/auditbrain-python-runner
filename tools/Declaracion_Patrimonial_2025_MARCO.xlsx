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Vehiculos" sheetId="3" state="visible" r:id="rId3"/>
    <sheet name="Bienes Inmuebles" sheetId="4" state="visible" r:id="rId4"/>
    <sheet name="Pasivo" sheetId="5" state="visible" r:id="rId5"/>
    <sheet name="Datos del XM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1F4E78"/>
      <sz val="12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4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4" fillId="4" borderId="1" pivotButton="0" quotePrefix="0" xfId="0"/>
    <xf numFmtId="4" fontId="4" fillId="4" borderId="1" pivotButton="0" quotePrefix="0" xfId="0"/>
    <xf numFmtId="164" fontId="4" fillId="4" borderId="1" pivotButton="0" quotePrefix="0" xfId="0"/>
    <xf numFmtId="0" fontId="4" fillId="5" borderId="1" pivotButton="0" quotePrefix="0" xfId="0"/>
    <xf numFmtId="4" fontId="4" fillId="5" borderId="1" pivotButton="0" quotePrefix="0" xfId="0"/>
    <xf numFmtId="164" fontId="4" fillId="5" borderId="1" pivotButton="0" quotePrefix="0" xfId="0"/>
    <xf numFmtId="0" fontId="5" fillId="0" borderId="0" pivotButton="0" quotePrefix="0" xfId="0"/>
    <xf numFmtId="0" fontId="3" fillId="6" borderId="1" pivotButton="0" quotePrefix="0" xfId="0"/>
    <xf numFmtId="4" fontId="4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right" vertical="center"/>
    </xf>
    <xf numFmtId="0" fontId="0" fillId="4" borderId="1" pivotButton="0" quotePrefix="0" xfId="0"/>
    <xf numFmtId="4" fontId="4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4" fillId="0" borderId="1" pivotButton="0" quotePrefix="0" xfId="0"/>
    <xf numFmtId="4" fontId="3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por grupo: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'Dashboard'!$B$5:$B$8</f>
            </numRef>
          </val>
        </ser>
        <ser>
          <idx val="1"/>
          <order val="1"/>
          <tx>
            <strRef>
              <f>'Dashboard'!C4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'Dashboard'!$A$5:$A$7</f>
            </numRef>
          </cat>
          <val>
            <numRef>
              <f>'Dashboard'!$B$5:$B$7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por grupo (2025-&gt;2026)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38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4" customWidth="1" min="6" max="6"/>
  </cols>
  <sheetData>
    <row r="1" ht="26" customHeight="1">
      <c r="A1" s="1" t="inlineStr">
        <is>
          <t>DASHBOARD - DECLARACION PATRIMONIAL 2025 vs 2026</t>
        </is>
      </c>
    </row>
    <row r="2">
      <c r="A2" s="2" t="inlineStr">
        <is>
          <t>Declarante: GONZALEZ NAVAS MARCO VINICIO  |  R - RUC: 1709164899001  |  SOC - Sociedad conyugal</t>
        </is>
      </c>
    </row>
    <row r="3">
      <c r="A3" s="3" t="inlineStr">
        <is>
          <t>Edite la columna amarilla en cada hoja de grupo; los totales, variaciones y graficos se actualizan solos.</t>
        </is>
      </c>
    </row>
    <row r="4" ht="30" customHeight="1">
      <c r="A4" s="4" t="inlineStr">
        <is>
          <t>Grupo</t>
        </is>
      </c>
      <c r="B4" s="4" t="inlineStr">
        <is>
          <t>Total 2025</t>
        </is>
      </c>
      <c r="C4" s="4" t="inlineStr">
        <is>
          <t>Total 2026</t>
        </is>
      </c>
      <c r="D4" s="4" t="inlineStr">
        <is>
          <t>Variacion</t>
        </is>
      </c>
      <c r="E4" s="4" t="inlineStr">
        <is>
          <t>Variacion %</t>
        </is>
      </c>
    </row>
    <row r="5">
      <c r="A5" s="5" t="inlineStr">
        <is>
          <t>Dinero</t>
        </is>
      </c>
      <c r="B5" s="6">
        <f>'Dinero'!E8</f>
        <v/>
      </c>
      <c r="C5" s="6">
        <f>'Dinero'!F8</f>
        <v/>
      </c>
      <c r="D5" s="6">
        <f>C5-B5</f>
        <v/>
      </c>
      <c r="E5" s="7">
        <f>IF(B5=0,"",(C5-B5)/B5)</f>
        <v/>
      </c>
    </row>
    <row r="6">
      <c r="A6" s="5" t="inlineStr">
        <is>
          <t>Vehiculos</t>
        </is>
      </c>
      <c r="B6" s="6">
        <f>'Vehiculos'!D7</f>
        <v/>
      </c>
      <c r="C6" s="6">
        <f>'Vehiculos'!E7</f>
        <v/>
      </c>
      <c r="D6" s="6">
        <f>C6-B6</f>
        <v/>
      </c>
      <c r="E6" s="7">
        <f>IF(B6=0,"",(C6-B6)/B6)</f>
        <v/>
      </c>
    </row>
    <row r="7">
      <c r="A7" s="5" t="inlineStr">
        <is>
          <t>Bienes Inmuebles</t>
        </is>
      </c>
      <c r="B7" s="6">
        <f>'Bienes Inmuebles'!E8</f>
        <v/>
      </c>
      <c r="C7" s="6">
        <f>'Bienes Inmuebles'!F8</f>
        <v/>
      </c>
      <c r="D7" s="6">
        <f>C7-B7</f>
        <v/>
      </c>
      <c r="E7" s="7">
        <f>IF(B7=0,"",(C7-B7)/B7)</f>
        <v/>
      </c>
    </row>
    <row r="8">
      <c r="A8" s="5" t="inlineStr">
        <is>
          <t>Pasivo</t>
        </is>
      </c>
      <c r="B8" s="6">
        <f>'Pasivo'!E6</f>
        <v/>
      </c>
      <c r="C8" s="6">
        <f>'Pasivo'!F6</f>
        <v/>
      </c>
      <c r="D8" s="6">
        <f>C8-B8</f>
        <v/>
      </c>
      <c r="E8" s="7">
        <f>IF(B8=0,"",(C8-B8)/B8)</f>
        <v/>
      </c>
    </row>
    <row r="9">
      <c r="A9" s="8" t="inlineStr">
        <is>
          <t>TOTAL ACTIVOS</t>
        </is>
      </c>
      <c r="B9" s="9">
        <f>SUM(B5:B7)</f>
        <v/>
      </c>
      <c r="C9" s="9">
        <f>SUM(C5:C7)</f>
        <v/>
      </c>
      <c r="D9" s="9">
        <f>SUM(D5:D7)</f>
        <v/>
      </c>
      <c r="E9" s="10">
        <f>IF(B9=0,"",(C9-B9)/B9)</f>
        <v/>
      </c>
    </row>
    <row r="10">
      <c r="A10" s="11" t="inlineStr">
        <is>
          <t>PATRIMONIO NETO (Activos - Pasivo)</t>
        </is>
      </c>
      <c r="B10" s="12">
        <f>B9-B8</f>
        <v/>
      </c>
      <c r="C10" s="12">
        <f>C9-C8</f>
        <v/>
      </c>
      <c r="D10" s="12">
        <f>D9-D8</f>
        <v/>
      </c>
      <c r="E10" s="13">
        <f>IF(B10=0,"",(C10-B10)/B10)</f>
        <v/>
      </c>
    </row>
    <row r="12">
      <c r="A12" s="14" t="inlineStr">
        <is>
          <t>INDICADORES CLAVE</t>
        </is>
      </c>
    </row>
    <row r="13">
      <c r="A13" s="15" t="inlineStr">
        <is>
          <t>Patrimonio declarado 2025</t>
        </is>
      </c>
      <c r="B13" s="16">
        <f>B10</f>
        <v/>
      </c>
    </row>
    <row r="14">
      <c r="A14" s="15" t="inlineStr">
        <is>
          <t>Patrimonio declarado (XML) 2025</t>
        </is>
      </c>
      <c r="B14" s="16" t="n">
        <v>883285.5600000001</v>
      </c>
    </row>
    <row r="15">
      <c r="A15" s="15" t="inlineStr">
        <is>
          <t>Patrimonio anio anterior</t>
        </is>
      </c>
      <c r="B15" s="16" t="n">
        <v>801569.97</v>
      </c>
    </row>
    <row r="16">
      <c r="A16" s="15" t="inlineStr">
        <is>
          <t>Crecimiento patrimonial (XML)</t>
        </is>
      </c>
      <c r="B16" s="16" t="n">
        <v>81715.59</v>
      </c>
    </row>
    <row r="17">
      <c r="A17" s="15" t="inlineStr">
        <is>
          <t>Variacion proyectada 2025-&gt;2026</t>
        </is>
      </c>
      <c r="B17" s="16">
        <f>D10</f>
        <v/>
      </c>
    </row>
    <row r="18">
      <c r="A18" s="15" t="inlineStr">
        <is>
          <t>Variacion % proyectada 2025-&gt;2026</t>
        </is>
      </c>
      <c r="B18" s="17">
        <f>E10</f>
        <v/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6" customHeight="1">
      <c r="A1" s="1" t="inlineStr">
        <is>
          <t>DINERO E INVERSIONES</t>
        </is>
      </c>
    </row>
    <row r="3" ht="30" customHeight="1">
      <c r="A3" s="4" t="inlineStr">
        <is>
          <t>Ubicacion</t>
        </is>
      </c>
      <c r="B3" s="4" t="inlineStr">
        <is>
          <t>Tipo</t>
        </is>
      </c>
      <c r="C3" s="4" t="inlineStr">
        <is>
          <t>Institucion / detalle</t>
        </is>
      </c>
      <c r="D3" s="4" t="inlineStr">
        <is>
          <t>Moneda</t>
        </is>
      </c>
      <c r="E3" s="4" t="inlineStr">
        <is>
          <t>Valor 2025</t>
        </is>
      </c>
      <c r="F3" s="4" t="inlineStr">
        <is>
          <t>Valor 2026  (editable)</t>
        </is>
      </c>
      <c r="G3" s="4" t="inlineStr">
        <is>
          <t>Variacion</t>
        </is>
      </c>
      <c r="H3" s="4" t="inlineStr">
        <is>
          <t>Variacion %</t>
        </is>
      </c>
    </row>
    <row r="4">
      <c r="A4" s="18" t="inlineStr">
        <is>
          <t>IFI - Institucion financiera / ECU - Ecuador</t>
        </is>
      </c>
      <c r="B4" s="18" t="inlineStr">
        <is>
          <t>3 - Inversion / poliza</t>
        </is>
      </c>
      <c r="C4" s="18" t="inlineStr">
        <is>
          <t>1029</t>
        </is>
      </c>
      <c r="D4" s="18" t="inlineStr">
        <is>
          <t>DOLARES</t>
        </is>
      </c>
      <c r="E4" s="6" t="n">
        <v>130.2</v>
      </c>
      <c r="F4" s="19" t="n">
        <v>130.2</v>
      </c>
      <c r="G4" s="6">
        <f>F4-E4</f>
        <v/>
      </c>
      <c r="H4" s="7">
        <f>IF(E4=0,"",(F4-E4)/E4)</f>
        <v/>
      </c>
    </row>
    <row r="5">
      <c r="A5" s="18" t="inlineStr">
        <is>
          <t>IFI - Institucion financiera / ECU - Ecuador</t>
        </is>
      </c>
      <c r="B5" s="18" t="inlineStr">
        <is>
          <t>4 - Deposito a plazo</t>
        </is>
      </c>
      <c r="C5" s="18" t="inlineStr">
        <is>
          <t>1029</t>
        </is>
      </c>
      <c r="D5" s="18" t="inlineStr">
        <is>
          <t>DOLARES</t>
        </is>
      </c>
      <c r="E5" s="6" t="n">
        <v>5590.32</v>
      </c>
      <c r="F5" s="19" t="n">
        <v>5590.32</v>
      </c>
      <c r="G5" s="6">
        <f>F5-E5</f>
        <v/>
      </c>
      <c r="H5" s="7">
        <f>IF(E5=0,"",(F5-E5)/E5)</f>
        <v/>
      </c>
    </row>
    <row r="6">
      <c r="A6" s="18" t="inlineStr">
        <is>
          <t>IFI - Institucion financiera / ECU - Ecuador</t>
        </is>
      </c>
      <c r="B6" s="18" t="inlineStr">
        <is>
          <t>3 - Inversion / poliza</t>
        </is>
      </c>
      <c r="C6" s="18" t="inlineStr">
        <is>
          <t>1418</t>
        </is>
      </c>
      <c r="D6" s="18" t="inlineStr">
        <is>
          <t>DOLARES</t>
        </is>
      </c>
      <c r="E6" s="6" t="n">
        <v>53237.31</v>
      </c>
      <c r="F6" s="19" t="n">
        <v>53237.31</v>
      </c>
      <c r="G6" s="6">
        <f>F6-E6</f>
        <v/>
      </c>
      <c r="H6" s="7">
        <f>IF(E6=0,"",(F6-E6)/E6)</f>
        <v/>
      </c>
    </row>
    <row r="7">
      <c r="A7" s="18" t="inlineStr">
        <is>
          <t>IFI - Institucion financiera / EXT - Exterior</t>
        </is>
      </c>
      <c r="B7" s="18" t="inlineStr">
        <is>
          <t>2 - Cuenta corriente</t>
        </is>
      </c>
      <c r="C7" s="18" t="inlineStr">
        <is>
          <t>BANCO PICHINCHA CA</t>
        </is>
      </c>
      <c r="D7" s="18" t="inlineStr">
        <is>
          <t>DOLARES</t>
        </is>
      </c>
      <c r="E7" s="6" t="n">
        <v>189049.31</v>
      </c>
      <c r="F7" s="19" t="n">
        <v>189049.31</v>
      </c>
      <c r="G7" s="6">
        <f>F7-E7</f>
        <v/>
      </c>
      <c r="H7" s="7">
        <f>IF(E7=0,"",(F7-E7)/E7)</f>
        <v/>
      </c>
    </row>
    <row r="8" ht="20" customHeight="1">
      <c r="A8" s="8" t="inlineStr">
        <is>
          <t>TOTAL</t>
        </is>
      </c>
      <c r="B8" s="20" t="n"/>
      <c r="C8" s="20" t="n"/>
      <c r="D8" s="20" t="n"/>
      <c r="E8" s="21">
        <f>SUM(E4:E7)</f>
        <v/>
      </c>
      <c r="F8" s="21">
        <f>SUM(F4:F7)</f>
        <v/>
      </c>
      <c r="G8" s="21">
        <f>F8-E8</f>
        <v/>
      </c>
      <c r="H8" s="22">
        <f>IF(E8=0,"",(F8-E8)/E8)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6" customHeight="1">
      <c r="A1" s="1" t="inlineStr">
        <is>
          <t>VEHICULOS</t>
        </is>
      </c>
    </row>
    <row r="3" ht="30" customHeight="1">
      <c r="A3" s="4" t="inlineStr">
        <is>
          <t>Tipo de vehiculo</t>
        </is>
      </c>
      <c r="B3" s="4" t="inlineStr">
        <is>
          <t>Placa</t>
        </is>
      </c>
      <c r="C3" s="4" t="inlineStr">
        <is>
          <t>Ubicacion</t>
        </is>
      </c>
      <c r="D3" s="4" t="inlineStr">
        <is>
          <t>Valor 2025</t>
        </is>
      </c>
      <c r="E3" s="4" t="inlineStr">
        <is>
          <t>Valor 2026  (editable)</t>
        </is>
      </c>
      <c r="F3" s="4" t="inlineStr">
        <is>
          <t>Variacion</t>
        </is>
      </c>
      <c r="G3" s="4" t="inlineStr">
        <is>
          <t>Variacion %</t>
        </is>
      </c>
    </row>
    <row r="4">
      <c r="A4" s="18" t="inlineStr">
        <is>
          <t>1 - Vehiculo terrestre</t>
        </is>
      </c>
      <c r="B4" s="18" t="inlineStr">
        <is>
          <t>PBO7092</t>
        </is>
      </c>
      <c r="C4" s="18" t="inlineStr">
        <is>
          <t>ECU - Ecuador</t>
        </is>
      </c>
      <c r="D4" s="6" t="n">
        <v>12000</v>
      </c>
      <c r="E4" s="19" t="n">
        <v>12000</v>
      </c>
      <c r="F4" s="6">
        <f>E4-D4</f>
        <v/>
      </c>
      <c r="G4" s="7">
        <f>IF(D4=0,"",(E4-D4)/D4)</f>
        <v/>
      </c>
    </row>
    <row r="5">
      <c r="A5" s="18" t="inlineStr">
        <is>
          <t>1 - Vehiculo terrestre</t>
        </is>
      </c>
      <c r="B5" s="18" t="inlineStr">
        <is>
          <t>PBF9690</t>
        </is>
      </c>
      <c r="C5" s="18" t="inlineStr">
        <is>
          <t>ECU - Ecuador</t>
        </is>
      </c>
      <c r="D5" s="6" t="n">
        <v>20000</v>
      </c>
      <c r="E5" s="19" t="n">
        <v>20000</v>
      </c>
      <c r="F5" s="6">
        <f>E5-D5</f>
        <v/>
      </c>
      <c r="G5" s="7">
        <f>IF(D5=0,"",(E5-D5)/D5)</f>
        <v/>
      </c>
    </row>
    <row r="6">
      <c r="A6" s="18" t="inlineStr">
        <is>
          <t>1 - Vehiculo terrestre</t>
        </is>
      </c>
      <c r="B6" s="18" t="inlineStr">
        <is>
          <t>PFC8683</t>
        </is>
      </c>
      <c r="C6" s="18" t="inlineStr">
        <is>
          <t>ECU - Ecuador</t>
        </is>
      </c>
      <c r="D6" s="6" t="n">
        <v>32000</v>
      </c>
      <c r="E6" s="19" t="n">
        <v>32000</v>
      </c>
      <c r="F6" s="6">
        <f>E6-D6</f>
        <v/>
      </c>
      <c r="G6" s="7">
        <f>IF(D6=0,"",(E6-D6)/D6)</f>
        <v/>
      </c>
    </row>
    <row r="7" ht="20" customHeight="1">
      <c r="A7" s="8" t="inlineStr">
        <is>
          <t>TOTAL</t>
        </is>
      </c>
      <c r="B7" s="20" t="n"/>
      <c r="C7" s="20" t="n"/>
      <c r="D7" s="21">
        <f>SUM(D4:D6)</f>
        <v/>
      </c>
      <c r="E7" s="21">
        <f>SUM(E4:E6)</f>
        <v/>
      </c>
      <c r="F7" s="21">
        <f>E7-D7</f>
        <v/>
      </c>
      <c r="G7" s="22">
        <f>IF(D7=0,"",(E7-D7)/D7)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6" customHeight="1">
      <c r="A1" s="1" t="inlineStr">
        <is>
          <t>BIENES INMUEBLES</t>
        </is>
      </c>
    </row>
    <row r="3" ht="30" customHeight="1">
      <c r="A3" s="4" t="inlineStr">
        <is>
          <t>Tipo de inmueble</t>
        </is>
      </c>
      <c r="B3" s="4" t="inlineStr">
        <is>
          <t>Ubicacion</t>
        </is>
      </c>
      <c r="C3" s="4" t="inlineStr">
        <is>
          <t>Clave catastral</t>
        </is>
      </c>
      <c r="D3" s="4" t="inlineStr">
        <is>
          <t>Inscripcion</t>
        </is>
      </c>
      <c r="E3" s="4" t="inlineStr">
        <is>
          <t>Valor 2025</t>
        </is>
      </c>
      <c r="F3" s="4" t="inlineStr">
        <is>
          <t>Valor 2026  (editable)</t>
        </is>
      </c>
      <c r="G3" s="4" t="inlineStr">
        <is>
          <t>Variacion</t>
        </is>
      </c>
      <c r="H3" s="4" t="inlineStr">
        <is>
          <t>Variacion %</t>
        </is>
      </c>
    </row>
    <row r="4">
      <c r="A4" s="18" t="inlineStr">
        <is>
          <t>3 - Terreno</t>
        </is>
      </c>
      <c r="B4" s="18" t="inlineStr">
        <is>
          <t>ECU - Ecuador</t>
        </is>
      </c>
      <c r="C4" s="18" t="inlineStr">
        <is>
          <t>1042203018</t>
        </is>
      </c>
      <c r="D4" s="18" t="inlineStr">
        <is>
          <t>22/10/2008</t>
        </is>
      </c>
      <c r="E4" s="6" t="n">
        <v>267340.8</v>
      </c>
      <c r="F4" s="19" t="n">
        <v>267340.8</v>
      </c>
      <c r="G4" s="6">
        <f>F4-E4</f>
        <v/>
      </c>
      <c r="H4" s="7">
        <f>IF(E4=0,"",(F4-E4)/E4)</f>
        <v/>
      </c>
    </row>
    <row r="5">
      <c r="A5" s="18" t="inlineStr">
        <is>
          <t>1 - Edificacion / casa</t>
        </is>
      </c>
      <c r="B5" s="18" t="inlineStr">
        <is>
          <t>ECU - Ecuador</t>
        </is>
      </c>
      <c r="C5" s="18" t="inlineStr">
        <is>
          <t>1012005008000000000</t>
        </is>
      </c>
      <c r="D5" s="18" t="inlineStr">
        <is>
          <t>13/03/1997</t>
        </is>
      </c>
      <c r="E5" s="6" t="n">
        <v>198118.55</v>
      </c>
      <c r="F5" s="19" t="n">
        <v>198118.55</v>
      </c>
      <c r="G5" s="6">
        <f>F5-E5</f>
        <v/>
      </c>
      <c r="H5" s="7">
        <f>IF(E5=0,"",(F5-E5)/E5)</f>
        <v/>
      </c>
    </row>
    <row r="6">
      <c r="A6" s="18" t="inlineStr">
        <is>
          <t>1 - Edificacion / casa</t>
        </is>
      </c>
      <c r="B6" s="18" t="inlineStr">
        <is>
          <t>ECU - Ecuador</t>
        </is>
      </c>
      <c r="C6" s="18" t="inlineStr">
        <is>
          <t>1042203018</t>
        </is>
      </c>
      <c r="D6" s="18" t="inlineStr"/>
      <c r="E6" s="6" t="n">
        <v>33634.04</v>
      </c>
      <c r="F6" s="19" t="n">
        <v>33634.04</v>
      </c>
      <c r="G6" s="6">
        <f>F6-E6</f>
        <v/>
      </c>
      <c r="H6" s="7">
        <f>IF(E6=0,"",(F6-E6)/E6)</f>
        <v/>
      </c>
    </row>
    <row r="7">
      <c r="A7" s="18" t="inlineStr">
        <is>
          <t>3 - Terreno</t>
        </is>
      </c>
      <c r="B7" s="18" t="inlineStr">
        <is>
          <t>ECU - Ecuador</t>
        </is>
      </c>
      <c r="C7" s="18" t="inlineStr">
        <is>
          <t>1012005008000000000</t>
        </is>
      </c>
      <c r="D7" s="18" t="inlineStr"/>
      <c r="E7" s="6" t="n">
        <v>82624.22</v>
      </c>
      <c r="F7" s="19" t="n">
        <v>82624.22</v>
      </c>
      <c r="G7" s="6">
        <f>F7-E7</f>
        <v/>
      </c>
      <c r="H7" s="7">
        <f>IF(E7=0,"",(F7-E7)/E7)</f>
        <v/>
      </c>
    </row>
    <row r="8" ht="20" customHeight="1">
      <c r="A8" s="8" t="inlineStr">
        <is>
          <t>TOTAL</t>
        </is>
      </c>
      <c r="B8" s="20" t="n"/>
      <c r="C8" s="20" t="n"/>
      <c r="D8" s="20" t="n"/>
      <c r="E8" s="21">
        <f>SUM(E4:E7)</f>
        <v/>
      </c>
      <c r="F8" s="21">
        <f>SUM(F4:F7)</f>
        <v/>
      </c>
      <c r="G8" s="21">
        <f>F8-E8</f>
        <v/>
      </c>
      <c r="H8" s="22">
        <f>IF(E8=0,"",(F8-E8)/E8)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6" customHeight="1">
      <c r="A1" s="1" t="inlineStr">
        <is>
          <t>PASIVOS / DEUDAS</t>
        </is>
      </c>
    </row>
    <row r="3" ht="30" customHeight="1">
      <c r="A3" s="4" t="inlineStr">
        <is>
          <t>Tipo de acreedor</t>
        </is>
      </c>
      <c r="B3" s="4" t="inlineStr">
        <is>
          <t>Acreedor</t>
        </is>
      </c>
      <c r="C3" s="4" t="inlineStr">
        <is>
          <t>Domicilio</t>
        </is>
      </c>
      <c r="D3" s="4" t="inlineStr">
        <is>
          <t>Identificacion</t>
        </is>
      </c>
      <c r="E3" s="4" t="inlineStr">
        <is>
          <t>Valor 2025</t>
        </is>
      </c>
      <c r="F3" s="4" t="inlineStr">
        <is>
          <t>Valor 2026  (editable)</t>
        </is>
      </c>
      <c r="G3" s="4" t="inlineStr">
        <is>
          <t>Variacion</t>
        </is>
      </c>
      <c r="H3" s="4" t="inlineStr">
        <is>
          <t>Variacion %</t>
        </is>
      </c>
    </row>
    <row r="4">
      <c r="A4" s="18" t="inlineStr">
        <is>
          <t>IFI - Institucion financiera</t>
        </is>
      </c>
      <c r="B4" s="18" t="inlineStr">
        <is>
          <t>DINERS CLUB DEL ECUADOR</t>
        </is>
      </c>
      <c r="C4" s="18" t="inlineStr">
        <is>
          <t>ECU - Ecuador</t>
        </is>
      </c>
      <c r="D4" s="18" t="inlineStr">
        <is>
          <t>1792260957001</t>
        </is>
      </c>
      <c r="E4" s="6" t="n">
        <v>4891.88</v>
      </c>
      <c r="F4" s="19" t="n">
        <v>4891.88</v>
      </c>
      <c r="G4" s="6">
        <f>F4-E4</f>
        <v/>
      </c>
      <c r="H4" s="7">
        <f>IF(E4=0,"",(F4-E4)/E4)</f>
        <v/>
      </c>
    </row>
    <row r="5">
      <c r="A5" s="18" t="inlineStr">
        <is>
          <t>IFI - Institucion financiera</t>
        </is>
      </c>
      <c r="B5" s="18" t="inlineStr">
        <is>
          <t>BANCO DEL PICHINCHA</t>
        </is>
      </c>
      <c r="C5" s="18" t="inlineStr">
        <is>
          <t>ECU - Ecuador</t>
        </is>
      </c>
      <c r="D5" s="18" t="inlineStr">
        <is>
          <t>1790010937001</t>
        </is>
      </c>
      <c r="E5" s="6" t="n">
        <v>5547.31</v>
      </c>
      <c r="F5" s="19" t="n">
        <v>5547.31</v>
      </c>
      <c r="G5" s="6">
        <f>F5-E5</f>
        <v/>
      </c>
      <c r="H5" s="7">
        <f>IF(E5=0,"",(F5-E5)/E5)</f>
        <v/>
      </c>
    </row>
    <row r="6" ht="20" customHeight="1">
      <c r="A6" s="8" t="inlineStr">
        <is>
          <t>TOTAL</t>
        </is>
      </c>
      <c r="B6" s="20" t="n"/>
      <c r="C6" s="20" t="n"/>
      <c r="D6" s="20" t="n"/>
      <c r="E6" s="21">
        <f>SUM(E4:E5)</f>
        <v/>
      </c>
      <c r="F6" s="21">
        <f>SUM(F4:F5)</f>
        <v/>
      </c>
      <c r="G6" s="21">
        <f>F6-E6</f>
        <v/>
      </c>
      <c r="H6" s="22">
        <f>IF(E6=0,"",(F6-E6)/E6)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</cols>
  <sheetData>
    <row r="1" ht="26" customHeight="1">
      <c r="A1" s="1" t="inlineStr">
        <is>
          <t>DATOS GENERALES DE LA DECLARACION</t>
        </is>
      </c>
    </row>
    <row r="3">
      <c r="A3" s="23" t="inlineStr">
        <is>
          <t>Anio de la declaracion</t>
        </is>
      </c>
      <c r="B3" s="5" t="n">
        <v>2025</v>
      </c>
    </row>
    <row r="4">
      <c r="A4" s="23" t="inlineStr">
        <is>
          <t>Tipo de declaracion</t>
        </is>
      </c>
      <c r="B4" s="5" t="inlineStr">
        <is>
          <t>SOC - Sociedad conyugal</t>
        </is>
      </c>
    </row>
    <row r="5">
      <c r="A5" s="23" t="inlineStr">
        <is>
          <t>Tipo de identificacion</t>
        </is>
      </c>
      <c r="B5" s="5" t="inlineStr">
        <is>
          <t>R - RUC</t>
        </is>
      </c>
    </row>
    <row r="6">
      <c r="A6" s="23" t="inlineStr">
        <is>
          <t>Numero de identificacion</t>
        </is>
      </c>
      <c r="B6" s="5" t="inlineStr">
        <is>
          <t>1709164899001</t>
        </is>
      </c>
    </row>
    <row r="7">
      <c r="A7" s="23" t="inlineStr">
        <is>
          <t>Nombre del declarante</t>
        </is>
      </c>
      <c r="B7" s="5" t="inlineStr">
        <is>
          <t>GONZALEZ NAVAS MARCO VINICIO</t>
        </is>
      </c>
    </row>
    <row r="8">
      <c r="A8" s="23" t="inlineStr">
        <is>
          <t>Identificacion del conyuge</t>
        </is>
      </c>
      <c r="B8" s="5" t="inlineStr">
        <is>
          <t>C - Cedula</t>
        </is>
      </c>
    </row>
    <row r="9">
      <c r="A9" s="23" t="inlineStr">
        <is>
          <t>Numero ident. conyuge</t>
        </is>
      </c>
      <c r="B9" s="5" t="inlineStr">
        <is>
          <t>1709784225</t>
        </is>
      </c>
    </row>
    <row r="10">
      <c r="A10" s="23" t="inlineStr">
        <is>
          <t>Nombre del conyuge</t>
        </is>
      </c>
      <c r="B10" s="5" t="inlineStr">
        <is>
          <t>HIDALGO LOZA ROSA CONSUELO</t>
        </is>
      </c>
    </row>
    <row r="11">
      <c r="A11" s="23" t="inlineStr">
        <is>
          <t>Total creditos</t>
        </is>
      </c>
      <c r="B11" s="24" t="n">
        <v>0</v>
      </c>
    </row>
    <row r="12">
      <c r="A12" s="23" t="inlineStr"/>
      <c r="B12" s="5" t="inlineStr"/>
    </row>
    <row r="13">
      <c r="A13" s="23" t="inlineStr">
        <is>
          <t>Patrimonio total declarado</t>
        </is>
      </c>
      <c r="B13" s="24" t="n">
        <v>883285.5600000001</v>
      </c>
    </row>
    <row r="14">
      <c r="A14" s="23" t="inlineStr">
        <is>
          <t>Atribuible a hijos</t>
        </is>
      </c>
      <c r="B14" s="24" t="n">
        <v>0</v>
      </c>
    </row>
    <row r="15">
      <c r="A15" s="23" t="inlineStr">
        <is>
          <t>Sociedad conyugal</t>
        </is>
      </c>
      <c r="B15" s="24" t="n">
        <v>883285.5600000001</v>
      </c>
    </row>
    <row r="16">
      <c r="A16" s="23" t="inlineStr">
        <is>
          <t>Individual</t>
        </is>
      </c>
      <c r="B16" s="24" t="n">
        <v>0</v>
      </c>
    </row>
    <row r="17">
      <c r="A17" s="23" t="inlineStr">
        <is>
          <t>Patrimonio anio anterior</t>
        </is>
      </c>
      <c r="B17" s="24" t="n">
        <v>801569.97</v>
      </c>
    </row>
    <row r="18">
      <c r="A18" s="23" t="inlineStr">
        <is>
          <t>Crecimiento patrimonial</t>
        </is>
      </c>
      <c r="B18" s="24" t="n">
        <v>81715.59</v>
      </c>
    </row>
    <row r="20">
      <c r="A20" s="14" t="inlineStr">
        <is>
          <t>Justificacion de la variacion patrimonial</t>
        </is>
      </c>
    </row>
    <row r="21">
      <c r="A21" s="25" t="inlineStr">
        <is>
          <t>- 1 - Ingresos por trabajo en relacion de dependencia</t>
        </is>
      </c>
    </row>
    <row r="22">
      <c r="A22" s="25" t="inlineStr">
        <is>
          <t>- 6 - Otros ingresos / variaciones de mercado</t>
        </is>
      </c>
    </row>
    <row r="24">
      <c r="A24" s="3" t="inlineStr">
        <is>
          <t>Nota: las descripciones de codigos son de referencia; verificar contra el catalogo oficial del SRI.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2026-05-21T03:55:33Z</dcterms:created>
  <dcterms:modified xsi:type="dcterms:W3CDTF">2026-05-21T03:55:33Z</dcterms:modified>
</cp:coreProperties>
</file>