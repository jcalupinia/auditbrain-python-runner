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Vehiculos" sheetId="3" state="visible" r:id="rId3"/>
    <sheet name="Bienes Inmuebles" sheetId="4" state="visible" r:id="rId4"/>
    <sheet name="Pasivo" sheetId="5" state="visible" r:id="rId5"/>
    <sheet name="Datos del XM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1E6B52"/>
      <sz val="10"/>
    </font>
    <font>
      <b val="1"/>
      <color rgb="001A1A1A"/>
      <sz val="18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name val="Calibri"/>
      <b val="1"/>
      <color rgb="001A1A1A"/>
      <sz val="11"/>
    </font>
    <font>
      <b val="1"/>
      <color rgb="0010243E"/>
      <sz val="12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6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9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0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7" fillId="9" borderId="1" applyAlignment="1" pivotButton="0" quotePrefix="0" xfId="0">
      <alignment horizontal="left" vertical="center" indent="1"/>
    </xf>
    <xf numFmtId="164" fontId="7" fillId="10" borderId="1" applyAlignment="1" pivotButton="0" quotePrefix="0" xfId="0">
      <alignment horizontal="left" vertical="center" indent="1"/>
    </xf>
    <xf numFmtId="164" fontId="7" fillId="12" borderId="1" applyAlignment="1" pivotButton="0" quotePrefix="0" xfId="0">
      <alignment horizontal="left" vertical="center" indent="1"/>
    </xf>
    <xf numFmtId="0" fontId="8" fillId="9" borderId="1" applyAlignment="1" pivotButton="0" quotePrefix="0" xfId="0">
      <alignment horizontal="left" vertical="center" indent="1"/>
    </xf>
    <xf numFmtId="165" fontId="6" fillId="9" borderId="1" applyAlignment="1" pivotButton="0" quotePrefix="0" xfId="0">
      <alignment horizontal="right" vertical="center" indent="1"/>
    </xf>
    <xf numFmtId="0" fontId="8" fillId="10" borderId="1" applyAlignment="1" pivotButton="0" quotePrefix="0" xfId="0">
      <alignment horizontal="left" vertical="center" indent="1"/>
    </xf>
    <xf numFmtId="165" fontId="9" fillId="10" borderId="1" applyAlignment="1" pivotButton="0" quotePrefix="0" xfId="0">
      <alignment horizontal="right" vertical="center" indent="1"/>
    </xf>
    <xf numFmtId="0" fontId="8" fillId="12" borderId="1" applyAlignment="1" pivotButton="0" quotePrefix="0" xfId="0">
      <alignment horizontal="left" vertical="center" indent="1"/>
    </xf>
    <xf numFmtId="165" fontId="10" fillId="12" borderId="1" applyAlignment="1" pivotButton="0" quotePrefix="0" xfId="0">
      <alignment horizontal="right" vertical="center" indent="1"/>
    </xf>
    <xf numFmtId="0" fontId="11" fillId="7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indent="1"/>
    </xf>
    <xf numFmtId="164" fontId="12" fillId="9" borderId="1" applyAlignment="1" pivotButton="0" quotePrefix="0" xfId="0">
      <alignment horizontal="right" vertical="center"/>
    </xf>
    <xf numFmtId="165" fontId="12" fillId="9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indent="1"/>
    </xf>
    <xf numFmtId="164" fontId="5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0" fontId="11" fillId="8" borderId="0" applyAlignment="1" pivotButton="0" quotePrefix="0" xfId="0">
      <alignment horizontal="left" vertical="center" indent="1"/>
    </xf>
    <xf numFmtId="0" fontId="12" fillId="10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right" vertical="center"/>
    </xf>
    <xf numFmtId="165" fontId="12" fillId="10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 indent="1"/>
    </xf>
    <xf numFmtId="164" fontId="5" fillId="8" borderId="1" applyAlignment="1" pivotButton="0" quotePrefix="0" xfId="0">
      <alignment horizontal="right" vertical="center"/>
    </xf>
    <xf numFmtId="165" fontId="5" fillId="8" borderId="1" applyAlignment="1" pivotButton="0" quotePrefix="0" xfId="0">
      <alignment horizontal="right" vertical="center"/>
    </xf>
    <xf numFmtId="0" fontId="11" fillId="11" borderId="0" applyAlignment="1" pivotButton="0" quotePrefix="0" xfId="0">
      <alignment horizontal="left" vertical="center" indent="1"/>
    </xf>
    <xf numFmtId="0" fontId="12" fillId="12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left" vertical="center" indent="1"/>
    </xf>
    <xf numFmtId="164" fontId="5" fillId="11" borderId="1" applyAlignment="1" pivotButton="0" quotePrefix="0" xfId="0">
      <alignment horizontal="right" vertical="center"/>
    </xf>
    <xf numFmtId="165" fontId="5" fillId="11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left" vertical="center" indent="1"/>
    </xf>
    <xf numFmtId="164" fontId="13" fillId="0" borderId="1" applyAlignment="1" pivotButton="0" quotePrefix="0" xfId="0">
      <alignment horizontal="right" vertical="center"/>
    </xf>
    <xf numFmtId="0" fontId="11" fillId="4" borderId="0" applyAlignment="1" pivotButton="0" quotePrefix="0" xfId="0">
      <alignment horizontal="left" vertical="center" indent="1"/>
    </xf>
    <xf numFmtId="0" fontId="14" fillId="9" borderId="1" applyAlignment="1" pivotButton="0" quotePrefix="0" xfId="0">
      <alignment horizontal="left" vertical="center" indent="1"/>
    </xf>
    <xf numFmtId="164" fontId="14" fillId="9" borderId="1" applyAlignment="1" pivotButton="0" quotePrefix="0" xfId="0">
      <alignment horizontal="right" vertical="center"/>
    </xf>
    <xf numFmtId="165" fontId="14" fillId="9" borderId="1" applyAlignment="1" pivotButton="0" quotePrefix="0" xfId="0">
      <alignment horizontal="right" vertical="center"/>
    </xf>
    <xf numFmtId="0" fontId="14" fillId="10" borderId="1" applyAlignment="1" pivotButton="0" quotePrefix="0" xfId="0">
      <alignment horizontal="left" vertical="center" indent="1"/>
    </xf>
    <xf numFmtId="164" fontId="14" fillId="10" borderId="1" applyAlignment="1" pivotButton="0" quotePrefix="0" xfId="0">
      <alignment horizontal="right" vertical="center"/>
    </xf>
    <xf numFmtId="165" fontId="14" fillId="10" borderId="1" applyAlignment="1" pivotButton="0" quotePrefix="0" xfId="0">
      <alignment horizontal="right" vertical="center"/>
    </xf>
    <xf numFmtId="0" fontId="14" fillId="12" borderId="1" applyAlignment="1" pivotButton="0" quotePrefix="0" xfId="0">
      <alignment horizontal="left" vertical="center" indent="1"/>
    </xf>
    <xf numFmtId="164" fontId="1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0" fontId="13" fillId="0" borderId="0" pivotButton="0" quotePrefix="0" xfId="0"/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4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1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15" fillId="0" borderId="0" pivotButton="0" quotePrefix="0" xfId="0"/>
    <xf numFmtId="0" fontId="4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'Dashboard'!D35</f>
            </strRef>
          </tx>
          <spPr>
            <a:ln>
              <a:prstDash val="solid"/>
            </a:ln>
          </spPr>
          <cat>
            <numRef>
              <f>'Dashboard'!$B$36:$B$38</f>
            </numRef>
          </cat>
          <val>
            <numRef>
              <f>'Dashboard'!$D$36:$D$38</f>
            </numRef>
          </val>
        </ser>
        <ser>
          <idx val="1"/>
          <order val="1"/>
          <tx>
            <strRef>
              <f>'Dashboard'!E35</f>
            </strRef>
          </tx>
          <spPr>
            <a:ln>
              <a:prstDash val="solid"/>
            </a:ln>
          </spPr>
          <cat>
            <numRef>
              <f>'Dashboard'!$B$36:$B$38</f>
            </numRef>
          </cat>
          <val>
            <numRef>
              <f>'Dashboard'!$E$36:$E$38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 de activos 2025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'Dashboard'!$B$13:$B$15</f>
            </numRef>
          </cat>
          <val>
            <numRef>
              <f>'Dashboard'!$D$13:$D$15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Variacion proyectada (2025 -&gt;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'Dashboard'!F35</f>
            </strRef>
          </tx>
          <spPr>
            <a:ln>
              <a:prstDash val="solid"/>
            </a:ln>
          </spPr>
          <cat>
            <numRef>
              <f>'Dashboard'!$B$36:$B$38</f>
            </numRef>
          </cat>
          <val>
            <numRef>
              <f>'Dashboard'!$F$36:$F$38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0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38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  |   Comparativo 2025 vs 2026</t>
        </is>
      </c>
    </row>
    <row r="3" ht="5" customHeight="1">
      <c r="A3" s="3" t="n"/>
    </row>
    <row r="5" ht="6" customHeight="1">
      <c r="B5" s="4" t="n"/>
      <c r="C5" s="5" t="n"/>
      <c r="D5" s="6" t="n"/>
      <c r="E5" s="5" t="n"/>
      <c r="F5" s="7" t="n"/>
      <c r="G5" s="5" t="n"/>
    </row>
    <row r="6">
      <c r="B6" s="8" t="inlineStr">
        <is>
          <t>TOTAL ACTIVOS</t>
        </is>
      </c>
      <c r="C6" s="9" t="n"/>
      <c r="D6" s="10" t="inlineStr">
        <is>
          <t>TOTAL PASIVOS</t>
        </is>
      </c>
      <c r="E6" s="11" t="n"/>
      <c r="F6" s="12" t="inlineStr">
        <is>
          <t>PATRIMONIO NETO</t>
        </is>
      </c>
      <c r="G6" s="13" t="n"/>
    </row>
    <row r="7" ht="30" customHeight="1">
      <c r="B7" s="14">
        <f>D17</f>
        <v/>
      </c>
      <c r="C7" s="9" t="n"/>
      <c r="D7" s="15">
        <f>D22</f>
        <v/>
      </c>
      <c r="E7" s="11" t="n"/>
      <c r="F7" s="16">
        <f>D28</f>
        <v/>
      </c>
      <c r="G7" s="13" t="n"/>
    </row>
    <row r="8">
      <c r="B8" s="17" t="inlineStr">
        <is>
          <t>Var. proyectada</t>
        </is>
      </c>
      <c r="C8" s="18">
        <f>G17</f>
        <v/>
      </c>
      <c r="D8" s="19" t="inlineStr">
        <is>
          <t>Var. proyectada</t>
        </is>
      </c>
      <c r="E8" s="20">
        <f>G22</f>
        <v/>
      </c>
      <c r="F8" s="21" t="inlineStr">
        <is>
          <t>Var. proyectada</t>
        </is>
      </c>
      <c r="G8" s="22">
        <f>G28</f>
        <v/>
      </c>
    </row>
    <row r="11" ht="22" customHeight="1">
      <c r="B11" s="23" t="inlineStr">
        <is>
          <t>ACTIVOS</t>
        </is>
      </c>
    </row>
    <row r="12" ht="24" customHeight="1">
      <c r="B12" s="24" t="inlineStr">
        <is>
          <t>Concepto</t>
        </is>
      </c>
      <c r="C12" s="25" t="n"/>
      <c r="D12" s="26" t="inlineStr">
        <is>
          <t>Total 2025</t>
        </is>
      </c>
      <c r="E12" s="26" t="inlineStr">
        <is>
          <t>Total 2026</t>
        </is>
      </c>
      <c r="F12" s="26" t="inlineStr">
        <is>
          <t>Variacion</t>
        </is>
      </c>
      <c r="G12" s="26" t="inlineStr">
        <is>
          <t>Variacion %</t>
        </is>
      </c>
    </row>
    <row r="13" ht="20" customHeight="1">
      <c r="B13" s="27" t="inlineStr">
        <is>
          <t>Dinero e inversiones</t>
        </is>
      </c>
      <c r="D13" s="28">
        <f>'Dinero'!E10</f>
        <v/>
      </c>
      <c r="E13" s="28">
        <f>'Dinero'!F10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Vehiculos</t>
        </is>
      </c>
      <c r="D14" s="28">
        <f>'Vehiculos'!D9</f>
        <v/>
      </c>
      <c r="E14" s="28">
        <f>'Vehiculos'!E9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inmuebles</t>
        </is>
      </c>
      <c r="D15" s="28">
        <f>'Bienes Inmuebles'!E10</f>
        <v/>
      </c>
      <c r="E15" s="28">
        <f>'Bienes Inmuebles'!F10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Total bruto de activos</t>
        </is>
      </c>
      <c r="D16" s="28">
        <f>SUM(D13:D15)</f>
        <v/>
      </c>
      <c r="E16" s="28">
        <f>SUM(E13:E15)</f>
        <v/>
      </c>
      <c r="F16" s="28">
        <f>E16-D16</f>
        <v/>
      </c>
      <c r="G16" s="29">
        <f>IF(D16=0,"",(E16-D16)/D16)</f>
        <v/>
      </c>
    </row>
    <row r="17" ht="22" customHeight="1">
      <c r="B17" s="30" t="inlineStr">
        <is>
          <t>TOTAL ACTIVOS</t>
        </is>
      </c>
      <c r="D17" s="31">
        <f>D16</f>
        <v/>
      </c>
      <c r="E17" s="31">
        <f>E16</f>
        <v/>
      </c>
      <c r="F17" s="31">
        <f>E17-D17</f>
        <v/>
      </c>
      <c r="G17" s="32">
        <f>IF(D17=0,"",(E17-D17)/D17)</f>
        <v/>
      </c>
    </row>
    <row r="19" ht="22" customHeight="1">
      <c r="B19" s="33" t="inlineStr">
        <is>
          <t>PASIVOS</t>
        </is>
      </c>
    </row>
    <row r="20" ht="24" customHeight="1">
      <c r="B20" s="24" t="inlineStr">
        <is>
          <t>Concepto</t>
        </is>
      </c>
      <c r="C20" s="25" t="n"/>
      <c r="D20" s="26" t="inlineStr">
        <is>
          <t>Total 2025</t>
        </is>
      </c>
      <c r="E20" s="26" t="inlineStr">
        <is>
          <t>Total 2026</t>
        </is>
      </c>
      <c r="F20" s="26" t="inlineStr">
        <is>
          <t>Variacion</t>
        </is>
      </c>
      <c r="G20" s="26" t="inlineStr">
        <is>
          <t>Variacion %</t>
        </is>
      </c>
    </row>
    <row r="21" ht="20" customHeight="1">
      <c r="B21" s="34" t="inlineStr">
        <is>
          <t>Deudas y obligaciones</t>
        </is>
      </c>
      <c r="D21" s="35">
        <f>'Pasivo'!E8</f>
        <v/>
      </c>
      <c r="E21" s="35">
        <f>'Pasivo'!F8</f>
        <v/>
      </c>
      <c r="F21" s="35">
        <f>E21-D21</f>
        <v/>
      </c>
      <c r="G21" s="36">
        <f>IF(D21=0,"",(E21-D21)/D21)</f>
        <v/>
      </c>
    </row>
    <row r="22" ht="22" customHeight="1">
      <c r="B22" s="37" t="inlineStr">
        <is>
          <t>TOTAL PASIVOS</t>
        </is>
      </c>
      <c r="D22" s="38">
        <f>D21</f>
        <v/>
      </c>
      <c r="E22" s="38">
        <f>E21</f>
        <v/>
      </c>
      <c r="F22" s="38">
        <f>E22-D22</f>
        <v/>
      </c>
      <c r="G22" s="39">
        <f>IF(D22=0,"",(E22-D22)/D22)</f>
        <v/>
      </c>
    </row>
    <row r="24" ht="22" customHeight="1">
      <c r="B24" s="40" t="inlineStr">
        <is>
          <t>PATRIMONIO NETO</t>
        </is>
      </c>
    </row>
    <row r="25" ht="24" customHeight="1">
      <c r="B25" s="24" t="inlineStr">
        <is>
          <t>Concepto</t>
        </is>
      </c>
      <c r="C25" s="25" t="n"/>
      <c r="D25" s="26" t="inlineStr">
        <is>
          <t>Total 2025</t>
        </is>
      </c>
      <c r="E25" s="26" t="inlineStr">
        <is>
          <t>Total 2026</t>
        </is>
      </c>
      <c r="F25" s="26" t="inlineStr">
        <is>
          <t>Variacion</t>
        </is>
      </c>
      <c r="G25" s="26" t="inlineStr">
        <is>
          <t>Variacion %</t>
        </is>
      </c>
    </row>
    <row r="26" ht="20" customHeight="1">
      <c r="B26" s="41" t="inlineStr">
        <is>
          <t>(+) Total activos</t>
        </is>
      </c>
      <c r="D26" s="42">
        <f>D17</f>
        <v/>
      </c>
      <c r="E26" s="42">
        <f>E17</f>
        <v/>
      </c>
      <c r="F26" s="42">
        <f>E26-D26</f>
        <v/>
      </c>
      <c r="G26" s="43">
        <f>IF(D26=0,"",(E26-D26)/D26)</f>
        <v/>
      </c>
    </row>
    <row r="27" ht="20" customHeight="1">
      <c r="B27" s="41" t="inlineStr">
        <is>
          <t>(-) Total pasivos</t>
        </is>
      </c>
      <c r="D27" s="42">
        <f>D22</f>
        <v/>
      </c>
      <c r="E27" s="42">
        <f>E22</f>
        <v/>
      </c>
      <c r="F27" s="42">
        <f>E27-D27</f>
        <v/>
      </c>
      <c r="G27" s="43">
        <f>IF(D27=0,"",(E27-D27)/D27)</f>
        <v/>
      </c>
    </row>
    <row r="28" ht="22" customHeight="1">
      <c r="B28" s="44" t="inlineStr">
        <is>
          <t>(=) PATRIMONIO NETO</t>
        </is>
      </c>
      <c r="D28" s="45">
        <f>D26-D27</f>
        <v/>
      </c>
      <c r="E28" s="45">
        <f>E26-E27</f>
        <v/>
      </c>
      <c r="F28" s="45">
        <f>E28-D28</f>
        <v/>
      </c>
      <c r="G28" s="46">
        <f>IF(D28=0,"",(E28-D28)/D28)</f>
        <v/>
      </c>
    </row>
    <row r="29" ht="16" customHeight="1">
      <c r="B29" s="47" t="inlineStr">
        <is>
          <t>Patrimonio declarado en el XML (2025)</t>
        </is>
      </c>
      <c r="C29" s="5" t="n"/>
      <c r="D29" s="48" t="n">
        <v>883285.5600000001</v>
      </c>
      <c r="E29" s="5" t="n"/>
      <c r="F29" s="5" t="n"/>
      <c r="G29" s="5" t="n"/>
    </row>
    <row r="30" ht="16" customHeight="1">
      <c r="B30" s="47" t="inlineStr">
        <is>
          <t>Patrimonio neto del anio anterior</t>
        </is>
      </c>
      <c r="C30" s="5" t="n"/>
      <c r="D30" s="48" t="n">
        <v>801569.97</v>
      </c>
      <c r="E30" s="5" t="n"/>
      <c r="F30" s="5" t="n"/>
      <c r="G30" s="5" t="n"/>
    </row>
    <row r="31" ht="16" customHeight="1">
      <c r="B31" s="47" t="inlineStr">
        <is>
          <t>Crecimiento patrimonial declarado (XML)</t>
        </is>
      </c>
      <c r="C31" s="5" t="n"/>
      <c r="D31" s="48" t="n">
        <v>81715.59</v>
      </c>
      <c r="E31" s="5" t="n"/>
      <c r="F31" s="5" t="n"/>
      <c r="G31" s="5" t="n"/>
    </row>
    <row r="34" ht="22" customHeight="1">
      <c r="B34" s="49" t="inlineStr">
        <is>
          <t>CONSOLIDADO</t>
        </is>
      </c>
    </row>
    <row r="35" ht="24" customHeight="1">
      <c r="B35" s="24" t="inlineStr">
        <is>
          <t>Concepto</t>
        </is>
      </c>
      <c r="C35" s="25" t="n"/>
      <c r="D35" s="26" t="inlineStr">
        <is>
          <t>Total 2025</t>
        </is>
      </c>
      <c r="E35" s="26" t="inlineStr">
        <is>
          <t>Total 2026</t>
        </is>
      </c>
      <c r="F35" s="26" t="inlineStr">
        <is>
          <t>Variacion</t>
        </is>
      </c>
      <c r="G35" s="26" t="inlineStr">
        <is>
          <t>Variacion %</t>
        </is>
      </c>
    </row>
    <row r="36" ht="20" customHeight="1">
      <c r="B36" s="50" t="inlineStr">
        <is>
          <t>Activos</t>
        </is>
      </c>
      <c r="D36" s="51">
        <f>D17</f>
        <v/>
      </c>
      <c r="E36" s="51">
        <f>E17</f>
        <v/>
      </c>
      <c r="F36" s="51">
        <f>E36-D36</f>
        <v/>
      </c>
      <c r="G36" s="52">
        <f>IF(D36=0,"",(E36-D36)/D36)</f>
        <v/>
      </c>
    </row>
    <row r="37" ht="20" customHeight="1">
      <c r="B37" s="53" t="inlineStr">
        <is>
          <t>Pasivos</t>
        </is>
      </c>
      <c r="D37" s="54">
        <f>D22</f>
        <v/>
      </c>
      <c r="E37" s="54">
        <f>E22</f>
        <v/>
      </c>
      <c r="F37" s="54">
        <f>E37-D37</f>
        <v/>
      </c>
      <c r="G37" s="55">
        <f>IF(D37=0,"",(E37-D37)/D37)</f>
        <v/>
      </c>
    </row>
    <row r="38" ht="20" customHeight="1">
      <c r="B38" s="56" t="inlineStr">
        <is>
          <t>Patrimonio neto</t>
        </is>
      </c>
      <c r="D38" s="57">
        <f>D28</f>
        <v/>
      </c>
      <c r="E38" s="57">
        <f>E28</f>
        <v/>
      </c>
      <c r="F38" s="57">
        <f>E38-D38</f>
        <v/>
      </c>
      <c r="G38" s="58">
        <f>IF(D38=0,"",(E38-D38)/D38)</f>
        <v/>
      </c>
    </row>
    <row r="40">
      <c r="B40" s="59" t="inlineStr">
        <is>
          <t>Edite la columna amarilla en las hojas de cada grupo; las tarjetas, secciones y graficos se recalculan solos.</t>
        </is>
      </c>
    </row>
  </sheetData>
  <mergeCells count="36">
    <mergeCell ref="B16:C16"/>
    <mergeCell ref="B7:C7"/>
    <mergeCell ref="B25:C25"/>
    <mergeCell ref="B22:C22"/>
    <mergeCell ref="F6:G6"/>
    <mergeCell ref="B31:C31"/>
    <mergeCell ref="A1:H1"/>
    <mergeCell ref="B27:C27"/>
    <mergeCell ref="F7:G7"/>
    <mergeCell ref="B12:C12"/>
    <mergeCell ref="D6:E6"/>
    <mergeCell ref="B19:G19"/>
    <mergeCell ref="B21:C21"/>
    <mergeCell ref="B34:G34"/>
    <mergeCell ref="F5:G5"/>
    <mergeCell ref="B14:C14"/>
    <mergeCell ref="B17:C17"/>
    <mergeCell ref="B13:C13"/>
    <mergeCell ref="B24:G24"/>
    <mergeCell ref="A3:H3"/>
    <mergeCell ref="B38:C38"/>
    <mergeCell ref="D7:E7"/>
    <mergeCell ref="B29:C29"/>
    <mergeCell ref="A2:H2"/>
    <mergeCell ref="B37:C37"/>
    <mergeCell ref="B28:C28"/>
    <mergeCell ref="B6:C6"/>
    <mergeCell ref="B30:C30"/>
    <mergeCell ref="B15:C15"/>
    <mergeCell ref="B5:C5"/>
    <mergeCell ref="B20:C20"/>
    <mergeCell ref="D5:E5"/>
    <mergeCell ref="B36:C36"/>
    <mergeCell ref="B26:C26"/>
    <mergeCell ref="B35:C35"/>
    <mergeCell ref="B11:G1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DINERO E INVERSIONES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0" customHeight="1">
      <c r="A5" s="26" t="inlineStr">
        <is>
          <t>Ubicacion</t>
        </is>
      </c>
      <c r="B5" s="26" t="inlineStr">
        <is>
          <t>Tipo</t>
        </is>
      </c>
      <c r="C5" s="26" t="inlineStr">
        <is>
          <t>Institucion / detalle</t>
        </is>
      </c>
      <c r="D5" s="26" t="inlineStr">
        <is>
          <t>Moneda</t>
        </is>
      </c>
      <c r="E5" s="26" t="inlineStr">
        <is>
          <t>Valor 2025</t>
        </is>
      </c>
      <c r="F5" s="26" t="inlineStr">
        <is>
          <t>Valor 2026</t>
        </is>
      </c>
      <c r="G5" s="26" t="inlineStr">
        <is>
          <t>Variacion</t>
        </is>
      </c>
      <c r="H5" s="26" t="inlineStr">
        <is>
          <t>Variacion %</t>
        </is>
      </c>
    </row>
    <row r="6">
      <c r="A6" s="60" t="inlineStr">
        <is>
          <t>IFI - Institucion financiera / ECU - Ecuador</t>
        </is>
      </c>
      <c r="B6" s="60" t="inlineStr">
        <is>
          <t>3 - Inversion / poliza</t>
        </is>
      </c>
      <c r="C6" s="60" t="inlineStr">
        <is>
          <t>1029</t>
        </is>
      </c>
      <c r="D6" s="60" t="inlineStr">
        <is>
          <t>DOLARES</t>
        </is>
      </c>
      <c r="E6" s="61" t="n">
        <v>130.2</v>
      </c>
      <c r="F6" s="62" t="n">
        <v>130.2</v>
      </c>
      <c r="G6" s="61">
        <f>F6-E6</f>
        <v/>
      </c>
      <c r="H6" s="63">
        <f>IF(E6=0,"",(F6-E6)/E6)</f>
        <v/>
      </c>
    </row>
    <row r="7">
      <c r="A7" s="64" t="inlineStr">
        <is>
          <t>IFI - Institucion financiera / ECU - Ecuador</t>
        </is>
      </c>
      <c r="B7" s="64" t="inlineStr">
        <is>
          <t>4 - Deposito a plazo</t>
        </is>
      </c>
      <c r="C7" s="64" t="inlineStr">
        <is>
          <t>1029</t>
        </is>
      </c>
      <c r="D7" s="64" t="inlineStr">
        <is>
          <t>DOLARES</t>
        </is>
      </c>
      <c r="E7" s="65" t="n">
        <v>5590.32</v>
      </c>
      <c r="F7" s="62" t="n">
        <v>5590.32</v>
      </c>
      <c r="G7" s="65">
        <f>F7-E7</f>
        <v/>
      </c>
      <c r="H7" s="66">
        <f>IF(E7=0,"",(F7-E7)/E7)</f>
        <v/>
      </c>
    </row>
    <row r="8">
      <c r="A8" s="60" t="inlineStr">
        <is>
          <t>IFI - Institucion financiera / ECU - Ecuador</t>
        </is>
      </c>
      <c r="B8" s="60" t="inlineStr">
        <is>
          <t>3 - Inversion / poliza</t>
        </is>
      </c>
      <c r="C8" s="60" t="inlineStr">
        <is>
          <t>1418</t>
        </is>
      </c>
      <c r="D8" s="60" t="inlineStr">
        <is>
          <t>DOLARES</t>
        </is>
      </c>
      <c r="E8" s="61" t="n">
        <v>53237.31</v>
      </c>
      <c r="F8" s="62" t="n">
        <v>53237.31</v>
      </c>
      <c r="G8" s="61">
        <f>F8-E8</f>
        <v/>
      </c>
      <c r="H8" s="63">
        <f>IF(E8=0,"",(F8-E8)/E8)</f>
        <v/>
      </c>
    </row>
    <row r="9">
      <c r="A9" s="64" t="inlineStr">
        <is>
          <t>IFI - Institucion financiera / EXT - Exterior</t>
        </is>
      </c>
      <c r="B9" s="64" t="inlineStr">
        <is>
          <t>2 - Cuenta corriente</t>
        </is>
      </c>
      <c r="C9" s="64" t="inlineStr">
        <is>
          <t>BANCO PICHINCHA CA</t>
        </is>
      </c>
      <c r="D9" s="64" t="inlineStr">
        <is>
          <t>DOLARES</t>
        </is>
      </c>
      <c r="E9" s="65" t="n">
        <v>189049.31</v>
      </c>
      <c r="F9" s="62" t="n">
        <v>189049.31</v>
      </c>
      <c r="G9" s="65">
        <f>F9-E9</f>
        <v/>
      </c>
      <c r="H9" s="66">
        <f>IF(E9=0,"",(F9-E9)/E9)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31">
        <f>SUM(E6:E9)</f>
        <v/>
      </c>
      <c r="F10" s="31">
        <f>SUM(F6:F9)</f>
        <v/>
      </c>
      <c r="G10" s="31">
        <f>F10-E10</f>
        <v/>
      </c>
      <c r="H10" s="32">
        <f>IF(E10=0,"",(F10-E10)/E10)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 ht="30" customHeight="1">
      <c r="A1" s="1" t="inlineStr">
        <is>
          <t>VEHICULOS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0" customHeight="1">
      <c r="A5" s="26" t="inlineStr">
        <is>
          <t>Tipo de vehiculo</t>
        </is>
      </c>
      <c r="B5" s="26" t="inlineStr">
        <is>
          <t>Placa</t>
        </is>
      </c>
      <c r="C5" s="26" t="inlineStr">
        <is>
          <t>Ubicacion</t>
        </is>
      </c>
      <c r="D5" s="26" t="inlineStr">
        <is>
          <t>Valor 2025</t>
        </is>
      </c>
      <c r="E5" s="26" t="inlineStr">
        <is>
          <t>Valor 2026</t>
        </is>
      </c>
      <c r="F5" s="26" t="inlineStr">
        <is>
          <t>Variacion</t>
        </is>
      </c>
      <c r="G5" s="26" t="inlineStr">
        <is>
          <t>Variacion %</t>
        </is>
      </c>
    </row>
    <row r="6">
      <c r="A6" s="60" t="inlineStr">
        <is>
          <t>1 - Vehiculo terrestre</t>
        </is>
      </c>
      <c r="B6" s="60" t="inlineStr">
        <is>
          <t>PBO7092</t>
        </is>
      </c>
      <c r="C6" s="60" t="inlineStr">
        <is>
          <t>ECU - Ecuador</t>
        </is>
      </c>
      <c r="D6" s="61" t="n">
        <v>12000</v>
      </c>
      <c r="E6" s="62" t="n">
        <v>12000</v>
      </c>
      <c r="F6" s="61">
        <f>E6-D6</f>
        <v/>
      </c>
      <c r="G6" s="63">
        <f>IF(D6=0,"",(E6-D6)/D6)</f>
        <v/>
      </c>
    </row>
    <row r="7">
      <c r="A7" s="64" t="inlineStr">
        <is>
          <t>1 - Vehiculo terrestre</t>
        </is>
      </c>
      <c r="B7" s="64" t="inlineStr">
        <is>
          <t>PBF9690</t>
        </is>
      </c>
      <c r="C7" s="64" t="inlineStr">
        <is>
          <t>ECU - Ecuador</t>
        </is>
      </c>
      <c r="D7" s="65" t="n">
        <v>20000</v>
      </c>
      <c r="E7" s="62" t="n">
        <v>20000</v>
      </c>
      <c r="F7" s="65">
        <f>E7-D7</f>
        <v/>
      </c>
      <c r="G7" s="66">
        <f>IF(D7=0,"",(E7-D7)/D7)</f>
        <v/>
      </c>
    </row>
    <row r="8">
      <c r="A8" s="60" t="inlineStr">
        <is>
          <t>1 - Vehiculo terrestre</t>
        </is>
      </c>
      <c r="B8" s="60" t="inlineStr">
        <is>
          <t>PFC8683</t>
        </is>
      </c>
      <c r="C8" s="60" t="inlineStr">
        <is>
          <t>ECU - Ecuador</t>
        </is>
      </c>
      <c r="D8" s="61" t="n">
        <v>32000</v>
      </c>
      <c r="E8" s="62" t="n">
        <v>32000</v>
      </c>
      <c r="F8" s="61">
        <f>E8-D8</f>
        <v/>
      </c>
      <c r="G8" s="63">
        <f>IF(D8=0,"",(E8-D8)/D8)</f>
        <v/>
      </c>
    </row>
    <row r="9" ht="22" customHeight="1">
      <c r="A9" s="67" t="inlineStr">
        <is>
          <t>TOTAL</t>
        </is>
      </c>
      <c r="B9" s="67" t="n"/>
      <c r="C9" s="67" t="n"/>
      <c r="D9" s="31">
        <f>SUM(D6:D8)</f>
        <v/>
      </c>
      <c r="E9" s="31">
        <f>SUM(E6:E8)</f>
        <v/>
      </c>
      <c r="F9" s="31">
        <f>E9-D9</f>
        <v/>
      </c>
      <c r="G9" s="32">
        <f>IF(D9=0,"",(E9-D9)/D9)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0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Clave catastral</t>
        </is>
      </c>
      <c r="D5" s="26" t="inlineStr">
        <is>
          <t>Inscripcion</t>
        </is>
      </c>
      <c r="E5" s="26" t="inlineStr">
        <is>
          <t>Valor 2025</t>
        </is>
      </c>
      <c r="F5" s="26" t="inlineStr">
        <is>
          <t>Valor 2026</t>
        </is>
      </c>
      <c r="G5" s="26" t="inlineStr">
        <is>
          <t>Variacion</t>
        </is>
      </c>
      <c r="H5" s="26" t="inlineStr">
        <is>
          <t>Variacion %</t>
        </is>
      </c>
    </row>
    <row r="6">
      <c r="A6" s="60" t="inlineStr">
        <is>
          <t>3 - Terreno</t>
        </is>
      </c>
      <c r="B6" s="60" t="inlineStr">
        <is>
          <t>ECU - Ecuador</t>
        </is>
      </c>
      <c r="C6" s="60" t="inlineStr">
        <is>
          <t>1042203018</t>
        </is>
      </c>
      <c r="D6" s="60" t="inlineStr">
        <is>
          <t>22/10/2008</t>
        </is>
      </c>
      <c r="E6" s="61" t="n">
        <v>267340.8</v>
      </c>
      <c r="F6" s="62" t="n">
        <v>267340.8</v>
      </c>
      <c r="G6" s="61">
        <f>F6-E6</f>
        <v/>
      </c>
      <c r="H6" s="63">
        <f>IF(E6=0,"",(F6-E6)/E6)</f>
        <v/>
      </c>
    </row>
    <row r="7">
      <c r="A7" s="64" t="inlineStr">
        <is>
          <t>1 - Edificacion / casa</t>
        </is>
      </c>
      <c r="B7" s="64" t="inlineStr">
        <is>
          <t>ECU - Ecuador</t>
        </is>
      </c>
      <c r="C7" s="64" t="inlineStr">
        <is>
          <t>1012005008000000000</t>
        </is>
      </c>
      <c r="D7" s="64" t="inlineStr">
        <is>
          <t>13/03/1997</t>
        </is>
      </c>
      <c r="E7" s="65" t="n">
        <v>198118.55</v>
      </c>
      <c r="F7" s="62" t="n">
        <v>198118.55</v>
      </c>
      <c r="G7" s="65">
        <f>F7-E7</f>
        <v/>
      </c>
      <c r="H7" s="66">
        <f>IF(E7=0,"",(F7-E7)/E7)</f>
        <v/>
      </c>
    </row>
    <row r="8">
      <c r="A8" s="60" t="inlineStr">
        <is>
          <t>1 - Edificacion / casa</t>
        </is>
      </c>
      <c r="B8" s="60" t="inlineStr">
        <is>
          <t>ECU - Ecuador</t>
        </is>
      </c>
      <c r="C8" s="60" t="inlineStr">
        <is>
          <t>1042203018</t>
        </is>
      </c>
      <c r="D8" s="60" t="inlineStr"/>
      <c r="E8" s="61" t="n">
        <v>33634.04</v>
      </c>
      <c r="F8" s="62" t="n">
        <v>33634.04</v>
      </c>
      <c r="G8" s="61">
        <f>F8-E8</f>
        <v/>
      </c>
      <c r="H8" s="63">
        <f>IF(E8=0,"",(F8-E8)/E8)</f>
        <v/>
      </c>
    </row>
    <row r="9">
      <c r="A9" s="64" t="inlineStr">
        <is>
          <t>3 - Terreno</t>
        </is>
      </c>
      <c r="B9" s="64" t="inlineStr">
        <is>
          <t>ECU - Ecuador</t>
        </is>
      </c>
      <c r="C9" s="64" t="inlineStr">
        <is>
          <t>1012005008000000000</t>
        </is>
      </c>
      <c r="D9" s="64" t="inlineStr"/>
      <c r="E9" s="65" t="n">
        <v>82624.22</v>
      </c>
      <c r="F9" s="62" t="n">
        <v>82624.22</v>
      </c>
      <c r="G9" s="65">
        <f>F9-E9</f>
        <v/>
      </c>
      <c r="H9" s="66">
        <f>IF(E9=0,"",(F9-E9)/E9)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31">
        <f>SUM(E6:E9)</f>
        <v/>
      </c>
      <c r="F10" s="31">
        <f>SUM(F6:F9)</f>
        <v/>
      </c>
      <c r="G10" s="31">
        <f>F10-E10</f>
        <v/>
      </c>
      <c r="H10" s="32">
        <f>IF(E10=0,"",(F10-E10)/E10)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PASIVOS / DEUDAS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0" customHeight="1">
      <c r="A5" s="26" t="inlineStr">
        <is>
          <t>Tipo de acreedor</t>
        </is>
      </c>
      <c r="B5" s="26" t="inlineStr">
        <is>
          <t>Acreedor</t>
        </is>
      </c>
      <c r="C5" s="26" t="inlineStr">
        <is>
          <t>Domicilio</t>
        </is>
      </c>
      <c r="D5" s="26" t="inlineStr">
        <is>
          <t>Identificacion</t>
        </is>
      </c>
      <c r="E5" s="26" t="inlineStr">
        <is>
          <t>Valor 2025</t>
        </is>
      </c>
      <c r="F5" s="26" t="inlineStr">
        <is>
          <t>Valor 2026</t>
        </is>
      </c>
      <c r="G5" s="26" t="inlineStr">
        <is>
          <t>Variacion</t>
        </is>
      </c>
      <c r="H5" s="26" t="inlineStr">
        <is>
          <t>Variacion %</t>
        </is>
      </c>
    </row>
    <row r="6">
      <c r="A6" s="60" t="inlineStr">
        <is>
          <t>IFI - Institucion financiera</t>
        </is>
      </c>
      <c r="B6" s="60" t="inlineStr">
        <is>
          <t>DINERS CLUB DEL ECUADOR</t>
        </is>
      </c>
      <c r="C6" s="60" t="inlineStr">
        <is>
          <t>ECU - Ecuador</t>
        </is>
      </c>
      <c r="D6" s="60" t="inlineStr">
        <is>
          <t>1792260957001</t>
        </is>
      </c>
      <c r="E6" s="61" t="n">
        <v>4891.88</v>
      </c>
      <c r="F6" s="62" t="n">
        <v>4891.88</v>
      </c>
      <c r="G6" s="61">
        <f>F6-E6</f>
        <v/>
      </c>
      <c r="H6" s="63">
        <f>IF(E6=0,"",(F6-E6)/E6)</f>
        <v/>
      </c>
    </row>
    <row r="7">
      <c r="A7" s="64" t="inlineStr">
        <is>
          <t>IFI - Institucion financiera</t>
        </is>
      </c>
      <c r="B7" s="64" t="inlineStr">
        <is>
          <t>BANCO DEL PICHINCHA</t>
        </is>
      </c>
      <c r="C7" s="64" t="inlineStr">
        <is>
          <t>ECU - Ecuador</t>
        </is>
      </c>
      <c r="D7" s="64" t="inlineStr">
        <is>
          <t>1790010937001</t>
        </is>
      </c>
      <c r="E7" s="65" t="n">
        <v>5547.31</v>
      </c>
      <c r="F7" s="62" t="n">
        <v>5547.31</v>
      </c>
      <c r="G7" s="65">
        <f>F7-E7</f>
        <v/>
      </c>
      <c r="H7" s="66">
        <f>IF(E7=0,"",(F7-E7)/E7)</f>
        <v/>
      </c>
    </row>
    <row r="8" ht="22" customHeight="1">
      <c r="A8" s="68" t="inlineStr">
        <is>
          <t>TOTAL</t>
        </is>
      </c>
      <c r="B8" s="68" t="n"/>
      <c r="C8" s="68" t="n"/>
      <c r="D8" s="68" t="n"/>
      <c r="E8" s="38">
        <f>SUM(E6:E7)</f>
        <v/>
      </c>
      <c r="F8" s="38">
        <f>SUM(F6:F7)</f>
        <v/>
      </c>
      <c r="G8" s="38">
        <f>F8-E8</f>
        <v/>
      </c>
      <c r="H8" s="39">
        <f>IF(E8=0,"",(F8-E8)/E8)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>
      <c r="A5" s="69" t="inlineStr">
        <is>
          <t>Anio de la declaracion</t>
        </is>
      </c>
      <c r="B5" s="70" t="n">
        <v>2025</v>
      </c>
    </row>
    <row r="6">
      <c r="A6" s="69" t="inlineStr">
        <is>
          <t>Tipo de declaracion</t>
        </is>
      </c>
      <c r="B6" s="70" t="inlineStr">
        <is>
          <t>SOC - Sociedad conyugal</t>
        </is>
      </c>
    </row>
    <row r="7">
      <c r="A7" s="69" t="inlineStr">
        <is>
          <t>Tipo de identificacion</t>
        </is>
      </c>
      <c r="B7" s="70" t="inlineStr">
        <is>
          <t>R - RUC</t>
        </is>
      </c>
    </row>
    <row r="8">
      <c r="A8" s="69" t="inlineStr">
        <is>
          <t>Numero de identificacion</t>
        </is>
      </c>
      <c r="B8" s="70" t="inlineStr">
        <is>
          <t>1709164899001</t>
        </is>
      </c>
    </row>
    <row r="9">
      <c r="A9" s="69" t="inlineStr">
        <is>
          <t>Nombre del declarante</t>
        </is>
      </c>
      <c r="B9" s="70" t="inlineStr">
        <is>
          <t>GONZALEZ NAVAS MARCO VINICIO</t>
        </is>
      </c>
    </row>
    <row r="10">
      <c r="A10" s="69" t="inlineStr">
        <is>
          <t>Identificacion del conyuge</t>
        </is>
      </c>
      <c r="B10" s="70" t="inlineStr">
        <is>
          <t>C - Cedula</t>
        </is>
      </c>
    </row>
    <row r="11">
      <c r="A11" s="69" t="inlineStr">
        <is>
          <t>Numero ident. conyuge</t>
        </is>
      </c>
      <c r="B11" s="70" t="inlineStr">
        <is>
          <t>1709784225</t>
        </is>
      </c>
    </row>
    <row r="12">
      <c r="A12" s="69" t="inlineStr">
        <is>
          <t>Nombre del conyuge</t>
        </is>
      </c>
      <c r="B12" s="70" t="inlineStr">
        <is>
          <t>HIDALGO LOZA ROSA CONSUELO</t>
        </is>
      </c>
    </row>
    <row r="13">
      <c r="A13" s="69" t="inlineStr">
        <is>
          <t>Total creditos</t>
        </is>
      </c>
      <c r="B13" s="71" t="n">
        <v>0</v>
      </c>
    </row>
    <row r="14">
      <c r="A14" s="72" t="inlineStr"/>
      <c r="B14" s="73" t="inlineStr"/>
    </row>
    <row r="15">
      <c r="A15" s="69" t="inlineStr">
        <is>
          <t>Patrimonio total declarado</t>
        </is>
      </c>
      <c r="B15" s="71" t="n">
        <v>883285.5600000001</v>
      </c>
    </row>
    <row r="16">
      <c r="A16" s="69" t="inlineStr">
        <is>
          <t>Atribuible a hijos</t>
        </is>
      </c>
      <c r="B16" s="71" t="n">
        <v>0</v>
      </c>
    </row>
    <row r="17">
      <c r="A17" s="69" t="inlineStr">
        <is>
          <t>Sociedad conyugal</t>
        </is>
      </c>
      <c r="B17" s="71" t="n">
        <v>883285.5600000001</v>
      </c>
    </row>
    <row r="18">
      <c r="A18" s="69" t="inlineStr">
        <is>
          <t>Individual</t>
        </is>
      </c>
      <c r="B18" s="71" t="n">
        <v>0</v>
      </c>
    </row>
    <row r="19">
      <c r="A19" s="69" t="inlineStr">
        <is>
          <t>Patrimonio anio anterior</t>
        </is>
      </c>
      <c r="B19" s="71" t="n">
        <v>801569.97</v>
      </c>
    </row>
    <row r="20">
      <c r="A20" s="69" t="inlineStr">
        <is>
          <t>Crecimiento patrimonial</t>
        </is>
      </c>
      <c r="B20" s="71" t="n">
        <v>81715.59</v>
      </c>
    </row>
    <row r="22">
      <c r="A22" s="74" t="inlineStr">
        <is>
          <t>Justificacion de la variacion patrimonial</t>
        </is>
      </c>
    </row>
    <row r="23">
      <c r="A23" s="73" t="inlineStr">
        <is>
          <t>- 1 - Ingresos por trabajo en relacion de dependencia</t>
        </is>
      </c>
    </row>
    <row r="24">
      <c r="A24" s="73" t="inlineStr">
        <is>
          <t>- 6 - Otros ingresos / variaciones de mercado</t>
        </is>
      </c>
    </row>
    <row r="26">
      <c r="A26" s="59" t="inlineStr">
        <is>
          <t>Nota: las descripciones de codigos son de referencia; verificar contra el catalogo oficial del SRI.</t>
        </is>
      </c>
    </row>
  </sheetData>
  <mergeCells count="2">
    <mergeCell ref="A3:B3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2026-05-21T04:16:21Z</dcterms:created>
  <dcterms:modified xsi:type="dcterms:W3CDTF">2026-05-21T04:16:21Z</dcterms:modified>
</cp:coreProperties>
</file>