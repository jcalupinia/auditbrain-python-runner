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Datos del XML" sheetId="12" state="visible" r:id="rId12"/>
    <sheet name="Catalogos" sheetId="13" state="hidden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8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indent="1"/>
    </xf>
    <xf numFmtId="0" fontId="16" fillId="4" borderId="1" applyAlignment="1" pivotButton="0" quotePrefix="0" xfId="0">
      <alignment horizontal="left" vertical="center" indent="1"/>
    </xf>
    <xf numFmtId="164" fontId="16" fillId="4" borderId="1" applyAlignment="1" pivotButton="0" quotePrefix="0" xfId="0">
      <alignment horizontal="right" vertical="center"/>
    </xf>
    <xf numFmtId="165" fontId="16" fillId="4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1" fillId="12" borderId="1" applyAlignment="1" pivotButton="0" quotePrefix="0" xfId="0">
      <alignment horizontal="left" vertical="center" indent="1"/>
    </xf>
    <xf numFmtId="164" fontId="1" fillId="1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7" fillId="0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Activos / Pasivos / Patrimonio: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'Dashboard'!$D$38:$D$40</f>
            </numRef>
          </val>
        </ser>
        <ser>
          <idx val="1"/>
          <order val="1"/>
          <tx>
            <strRef>
              <f>'Dashboard'!E37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'Dashboard'!$E$38:$E$40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 de activos 2025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'Dashboard'!$B$12:$B$19</f>
            </numRef>
          </cat>
          <val>
            <numRef>
              <f>'Dashboard'!$D$12:$D$19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Variacion proyectada (2025 -&gt; 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'Dashboard'!$F$38:$F$40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Distribucion del incremento patrimonial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Monto asignado por concepto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'Justificacion'!E11</f>
            </strRef>
          </tx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</row>
    <row r="5" ht="6" customHeight="1">
      <c r="B5" s="4" t="n"/>
      <c r="C5" s="5" t="n"/>
      <c r="D5" s="6" t="n"/>
      <c r="E5" s="5" t="n"/>
      <c r="F5" s="7" t="n"/>
      <c r="G5" s="5" t="n"/>
    </row>
    <row r="6">
      <c r="B6" s="8" t="inlineStr">
        <is>
          <t>TOTAL ACTIVOS</t>
        </is>
      </c>
      <c r="C6" s="9" t="n"/>
      <c r="D6" s="10" t="inlineStr">
        <is>
          <t>TOTAL PASIVOS</t>
        </is>
      </c>
      <c r="E6" s="11" t="n"/>
      <c r="F6" s="12" t="inlineStr">
        <is>
          <t>PATRIMONIO NETO</t>
        </is>
      </c>
      <c r="G6" s="13" t="n"/>
    </row>
    <row r="7" ht="28" customHeight="1">
      <c r="B7" s="14">
        <f>D20</f>
        <v/>
      </c>
      <c r="C7" s="9" t="n"/>
      <c r="D7" s="15">
        <f>D25</f>
        <v/>
      </c>
      <c r="E7" s="11" t="n"/>
      <c r="F7" s="16">
        <f>D31</f>
        <v/>
      </c>
      <c r="G7" s="13" t="n"/>
    </row>
    <row r="8">
      <c r="B8" s="17" t="inlineStr">
        <is>
          <t>Var. proyectada</t>
        </is>
      </c>
      <c r="C8" s="18">
        <f>G20</f>
        <v/>
      </c>
      <c r="D8" s="19" t="inlineStr">
        <is>
          <t>Var. proyectada</t>
        </is>
      </c>
      <c r="E8" s="20">
        <f>G25</f>
        <v/>
      </c>
      <c r="F8" s="21" t="inlineStr">
        <is>
          <t>Var. proyectada</t>
        </is>
      </c>
      <c r="G8" s="22">
        <f>G31</f>
        <v/>
      </c>
    </row>
    <row r="10" ht="22" customHeight="1">
      <c r="B10" s="23" t="inlineStr">
        <is>
          <t>ACTIVOS</t>
        </is>
      </c>
    </row>
    <row r="11" ht="24" customHeight="1">
      <c r="B11" s="24" t="inlineStr">
        <is>
          <t>Concepto</t>
        </is>
      </c>
      <c r="C11" s="24" t="n"/>
      <c r="D11" s="25" t="inlineStr">
        <is>
          <t>Total 2025</t>
        </is>
      </c>
      <c r="E11" s="25" t="inlineStr">
        <is>
          <t>Total 2026</t>
        </is>
      </c>
      <c r="F11" s="25" t="inlineStr">
        <is>
          <t>Variacion</t>
        </is>
      </c>
      <c r="G11" s="25" t="inlineStr">
        <is>
          <t>Variacion %</t>
        </is>
      </c>
    </row>
    <row r="12" ht="20" customHeight="1">
      <c r="B12" s="26" t="inlineStr">
        <is>
          <t>Dinero e inversiones</t>
        </is>
      </c>
      <c r="D12" s="27">
        <f>'Dinero'!H10</f>
        <v/>
      </c>
      <c r="E12" s="27">
        <f>'Dinero'!I10</f>
        <v/>
      </c>
      <c r="F12" s="27">
        <f>E12-D12</f>
        <v/>
      </c>
      <c r="G12" s="28">
        <f>IF(D12=0,"",(E12-D12)/D12)</f>
        <v/>
      </c>
    </row>
    <row r="13" ht="20" customHeight="1">
      <c r="B13" s="26" t="inlineStr">
        <is>
          <t>Derechos representativos de capital</t>
        </is>
      </c>
      <c r="D13" s="27">
        <f>'Derechos de Capital'!H14</f>
        <v/>
      </c>
      <c r="E13" s="27">
        <f>'Derechos de Capital'!I14</f>
        <v/>
      </c>
      <c r="F13" s="27">
        <f>E13-D13</f>
        <v/>
      </c>
      <c r="G13" s="28">
        <f>IF(D13=0,"",(E13-D13)/D13)</f>
        <v/>
      </c>
    </row>
    <row r="14" ht="20" customHeight="1">
      <c r="B14" s="26" t="inlineStr">
        <is>
          <t>Cuentas por cobrar</t>
        </is>
      </c>
      <c r="D14" s="27">
        <f>'Cuentas por Cobrar'!G14</f>
        <v/>
      </c>
      <c r="E14" s="27">
        <f>'Cuentas por Cobrar'!H14</f>
        <v/>
      </c>
      <c r="F14" s="27">
        <f>E14-D14</f>
        <v/>
      </c>
      <c r="G14" s="28">
        <f>IF(D14=0,"",(E14-D14)/D14)</f>
        <v/>
      </c>
    </row>
    <row r="15" ht="20" customHeight="1">
      <c r="B15" s="26" t="inlineStr">
        <is>
          <t>Bienes muebles</t>
        </is>
      </c>
      <c r="D15" s="27">
        <f>'Bienes Muebles'!E14</f>
        <v/>
      </c>
      <c r="E15" s="27">
        <f>'Bienes Muebles'!F14</f>
        <v/>
      </c>
      <c r="F15" s="27">
        <f>E15-D15</f>
        <v/>
      </c>
      <c r="G15" s="28">
        <f>IF(D15=0,"",(E15-D15)/D15)</f>
        <v/>
      </c>
    </row>
    <row r="16" ht="20" customHeight="1">
      <c r="B16" s="26" t="inlineStr">
        <is>
          <t>Vehiculos, naves y aeronaves</t>
        </is>
      </c>
      <c r="D16" s="27">
        <f>'Vehiculos'!E9</f>
        <v/>
      </c>
      <c r="E16" s="27">
        <f>'Vehiculos'!F9</f>
        <v/>
      </c>
      <c r="F16" s="27">
        <f>E16-D16</f>
        <v/>
      </c>
      <c r="G16" s="28">
        <f>IF(D16=0,"",(E16-D16)/D16)</f>
        <v/>
      </c>
    </row>
    <row r="17" ht="20" customHeight="1">
      <c r="B17" s="26" t="inlineStr">
        <is>
          <t>Derechos (usufructo, uso, etc.)</t>
        </is>
      </c>
      <c r="D17" s="27">
        <f>'Derechos'!E14</f>
        <v/>
      </c>
      <c r="E17" s="27">
        <f>'Derechos'!F14</f>
        <v/>
      </c>
      <c r="F17" s="27">
        <f>E17-D17</f>
        <v/>
      </c>
      <c r="G17" s="28">
        <f>IF(D17=0,"",(E17-D17)/D17)</f>
        <v/>
      </c>
    </row>
    <row r="18" ht="20" customHeight="1">
      <c r="B18" s="26" t="inlineStr">
        <is>
          <t>Bienes inmuebles</t>
        </is>
      </c>
      <c r="D18" s="27">
        <f>'Bienes Inmuebles'!H10</f>
        <v/>
      </c>
      <c r="E18" s="27">
        <f>'Bienes Inmuebles'!I10</f>
        <v/>
      </c>
      <c r="F18" s="27">
        <f>E18-D18</f>
        <v/>
      </c>
      <c r="G18" s="28">
        <f>IF(D18=0,"",(E18-D18)/D18)</f>
        <v/>
      </c>
    </row>
    <row r="19" ht="20" customHeight="1">
      <c r="B19" s="26" t="inlineStr">
        <is>
          <t>Otros activos</t>
        </is>
      </c>
      <c r="D19" s="27">
        <f>'Otros Activos'!D14</f>
        <v/>
      </c>
      <c r="E19" s="27">
        <f>'Otros Activos'!E14</f>
        <v/>
      </c>
      <c r="F19" s="27">
        <f>E19-D19</f>
        <v/>
      </c>
      <c r="G19" s="28">
        <f>IF(D19=0,"",(E19-D19)/D19)</f>
        <v/>
      </c>
    </row>
    <row r="20" ht="22" customHeight="1">
      <c r="B20" s="29" t="inlineStr">
        <is>
          <t>TOTAL ACTIVOS</t>
        </is>
      </c>
      <c r="D20" s="30">
        <f>SUM(D12:D19)</f>
        <v/>
      </c>
      <c r="E20" s="30">
        <f>SUM(E12:E19)</f>
        <v/>
      </c>
      <c r="F20" s="30">
        <f>E20-D20</f>
        <v/>
      </c>
      <c r="G20" s="31">
        <f>IF(D20=0,"",(E20-D20)/D20)</f>
        <v/>
      </c>
    </row>
    <row r="22" ht="22" customHeight="1">
      <c r="B22" s="32" t="inlineStr">
        <is>
          <t>PASIVOS</t>
        </is>
      </c>
    </row>
    <row r="23" ht="24" customHeight="1">
      <c r="B23" s="24" t="inlineStr">
        <is>
          <t>Concepto</t>
        </is>
      </c>
      <c r="C23" s="24" t="n"/>
      <c r="D23" s="25" t="inlineStr">
        <is>
          <t>Total 2025</t>
        </is>
      </c>
      <c r="E23" s="25" t="inlineStr">
        <is>
          <t>Total 2026</t>
        </is>
      </c>
      <c r="F23" s="25" t="inlineStr">
        <is>
          <t>Variacion</t>
        </is>
      </c>
      <c r="G23" s="25" t="inlineStr">
        <is>
          <t>Variacion %</t>
        </is>
      </c>
    </row>
    <row r="24" ht="20" customHeight="1">
      <c r="B24" s="33" t="inlineStr">
        <is>
          <t>Deudas y obligaciones</t>
        </is>
      </c>
      <c r="D24" s="34">
        <f>'Pasivos'!I8</f>
        <v/>
      </c>
      <c r="E24" s="34">
        <f>'Pasivos'!J8</f>
        <v/>
      </c>
      <c r="F24" s="34">
        <f>E24-D24</f>
        <v/>
      </c>
      <c r="G24" s="35">
        <f>IF(D24=0,"",(E24-D24)/D24)</f>
        <v/>
      </c>
    </row>
    <row r="25" ht="22" customHeight="1">
      <c r="B25" s="36" t="inlineStr">
        <is>
          <t>TOTAL PASIVOS</t>
        </is>
      </c>
      <c r="D25" s="37">
        <f>SUM(D24:D24)</f>
        <v/>
      </c>
      <c r="E25" s="37">
        <f>SUM(E24:E24)</f>
        <v/>
      </c>
      <c r="F25" s="37">
        <f>E25-D25</f>
        <v/>
      </c>
      <c r="G25" s="38">
        <f>IF(D25=0,"",(E25-D25)/D25)</f>
        <v/>
      </c>
    </row>
    <row r="27" ht="22" customHeight="1">
      <c r="B27" s="39" t="inlineStr">
        <is>
          <t>PATRIMONIO NETO</t>
        </is>
      </c>
    </row>
    <row r="28" ht="24" customHeight="1">
      <c r="B28" s="24" t="inlineStr">
        <is>
          <t>Concepto</t>
        </is>
      </c>
      <c r="C28" s="24" t="n"/>
      <c r="D28" s="25" t="inlineStr">
        <is>
          <t>Total 2025</t>
        </is>
      </c>
      <c r="E28" s="25" t="inlineStr">
        <is>
          <t>Total 2026</t>
        </is>
      </c>
      <c r="F28" s="25" t="inlineStr">
        <is>
          <t>Variacion</t>
        </is>
      </c>
      <c r="G28" s="25" t="inlineStr">
        <is>
          <t>Variacion %</t>
        </is>
      </c>
    </row>
    <row r="29" ht="20" customHeight="1">
      <c r="B29" s="40" t="inlineStr">
        <is>
          <t>(+) Total activos</t>
        </is>
      </c>
      <c r="D29" s="41">
        <f>D20</f>
        <v/>
      </c>
      <c r="E29" s="41">
        <f>E20</f>
        <v/>
      </c>
      <c r="F29" s="41">
        <f>E29-D29</f>
        <v/>
      </c>
      <c r="G29" s="42">
        <f>IF(D29=0,"",(E29-D29)/D29)</f>
        <v/>
      </c>
    </row>
    <row r="30" ht="20" customHeight="1">
      <c r="B30" s="40" t="inlineStr">
        <is>
          <t>(-) Total pasivos</t>
        </is>
      </c>
      <c r="D30" s="41">
        <f>D25</f>
        <v/>
      </c>
      <c r="E30" s="41">
        <f>E25</f>
        <v/>
      </c>
      <c r="F30" s="41">
        <f>E30-D30</f>
        <v/>
      </c>
      <c r="G30" s="42">
        <f>IF(D30=0,"",(E30-D30)/D30)</f>
        <v/>
      </c>
    </row>
    <row r="31" ht="22" customHeight="1">
      <c r="B31" s="43" t="inlineStr">
        <is>
          <t>(=) PATRIMONIO NETO</t>
        </is>
      </c>
      <c r="D31" s="44">
        <f>D29-D30</f>
        <v/>
      </c>
      <c r="E31" s="44">
        <f>E29-E30</f>
        <v/>
      </c>
      <c r="F31" s="44">
        <f>E31-D31</f>
        <v/>
      </c>
      <c r="G31" s="45">
        <f>IF(D31=0,"",(E31-D31)/D31)</f>
        <v/>
      </c>
    </row>
    <row r="32" ht="16" customHeight="1">
      <c r="B32" s="46" t="inlineStr">
        <is>
          <t>Patrimonio declarado en el XML (2025)</t>
        </is>
      </c>
      <c r="C32" s="5" t="n"/>
      <c r="D32" s="47" t="n">
        <v>883285.5600000001</v>
      </c>
      <c r="E32" s="5" t="n"/>
      <c r="F32" s="5" t="n"/>
      <c r="G32" s="5" t="n"/>
    </row>
    <row r="33" ht="16" customHeight="1">
      <c r="B33" s="46" t="inlineStr">
        <is>
          <t>Patrimonio neto del anio anterior</t>
        </is>
      </c>
      <c r="C33" s="5" t="n"/>
      <c r="D33" s="47" t="n">
        <v>801569.97</v>
      </c>
      <c r="E33" s="5" t="n"/>
      <c r="F33" s="5" t="n"/>
      <c r="G33" s="5" t="n"/>
    </row>
    <row r="34" ht="16" customHeight="1">
      <c r="B34" s="46" t="inlineStr">
        <is>
          <t>Crecimiento / decremento patrimonial (XML)</t>
        </is>
      </c>
      <c r="C34" s="5" t="n"/>
      <c r="D34" s="47" t="n">
        <v>81715.59</v>
      </c>
      <c r="E34" s="5" t="n"/>
      <c r="F34" s="5" t="n"/>
      <c r="G34" s="5" t="n"/>
    </row>
    <row r="36" ht="22" customHeight="1">
      <c r="B36" s="48" t="inlineStr">
        <is>
          <t>CONSOLIDADO</t>
        </is>
      </c>
    </row>
    <row r="37" ht="24" customHeight="1">
      <c r="B37" s="24" t="inlineStr">
        <is>
          <t>Concepto</t>
        </is>
      </c>
      <c r="C37" s="24" t="n"/>
      <c r="D37" s="25" t="inlineStr">
        <is>
          <t>Total 2025</t>
        </is>
      </c>
      <c r="E37" s="25" t="inlineStr">
        <is>
          <t>Total 2026</t>
        </is>
      </c>
      <c r="F37" s="25" t="inlineStr">
        <is>
          <t>Variacion</t>
        </is>
      </c>
      <c r="G37" s="25" t="inlineStr">
        <is>
          <t>Variacion %</t>
        </is>
      </c>
    </row>
    <row r="38" ht="20" customHeight="1">
      <c r="B38" s="49" t="inlineStr">
        <is>
          <t>Activos</t>
        </is>
      </c>
      <c r="D38" s="50">
        <f>D20</f>
        <v/>
      </c>
      <c r="E38" s="50">
        <f>E20</f>
        <v/>
      </c>
      <c r="F38" s="50">
        <f>E38-D38</f>
        <v/>
      </c>
      <c r="G38" s="51">
        <f>IF(D38=0,"",(E38-D38)/D38)</f>
        <v/>
      </c>
    </row>
    <row r="39" ht="20" customHeight="1">
      <c r="B39" s="52" t="inlineStr">
        <is>
          <t>Pasivos</t>
        </is>
      </c>
      <c r="D39" s="53">
        <f>D25</f>
        <v/>
      </c>
      <c r="E39" s="53">
        <f>E25</f>
        <v/>
      </c>
      <c r="F39" s="53">
        <f>E39-D39</f>
        <v/>
      </c>
      <c r="G39" s="54">
        <f>IF(D39=0,"",(E39-D39)/D39)</f>
        <v/>
      </c>
    </row>
    <row r="40" ht="20" customHeight="1">
      <c r="B40" s="55" t="inlineStr">
        <is>
          <t>Patrimonio neto</t>
        </is>
      </c>
      <c r="D40" s="56">
        <f>D31</f>
        <v/>
      </c>
      <c r="E40" s="56">
        <f>E31</f>
        <v/>
      </c>
      <c r="F40" s="56">
        <f>E40-D40</f>
        <v/>
      </c>
      <c r="G40" s="57">
        <f>IF(D40=0,"",(E40-D40)/D40)</f>
        <v/>
      </c>
    </row>
    <row r="42">
      <c r="B42" s="58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20" customWidth="1" min="4" max="4"/>
    <col width="30" customWidth="1" min="5" max="5"/>
    <col width="14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Dinero en</t>
        </is>
      </c>
      <c r="B5" s="25" t="inlineStr">
        <is>
          <t>Tipo de inversion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Institucion financiera</t>
        </is>
      </c>
      <c r="F5" s="25" t="inlineStr">
        <is>
          <t>Tipo de moneda</t>
        </is>
      </c>
      <c r="G5" s="25" t="inlineStr">
        <is>
          <t>Partes relacionadas</t>
        </is>
      </c>
      <c r="H5" s="25" t="inlineStr">
        <is>
          <t>Valor 2025</t>
        </is>
      </c>
      <c r="I5" s="25" t="inlineStr">
        <is>
          <t>Valor 2026</t>
        </is>
      </c>
      <c r="J5" s="25" t="inlineStr">
        <is>
          <t>Variacion</t>
        </is>
      </c>
      <c r="K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3 - Cuenta de ahorros</t>
        </is>
      </c>
      <c r="C6" s="59" t="inlineStr">
        <is>
          <t>ECU - En el Ecuador</t>
        </is>
      </c>
      <c r="D6" s="59" t="inlineStr">
        <is>
          <t>593 - ECUADOR</t>
        </is>
      </c>
      <c r="E6" s="59" t="inlineStr"/>
      <c r="F6" s="59" t="inlineStr">
        <is>
          <t>DOLARES</t>
        </is>
      </c>
      <c r="G6" s="59" t="inlineStr">
        <is>
          <t>2 - No</t>
        </is>
      </c>
      <c r="H6" s="60" t="n">
        <v>130.2</v>
      </c>
      <c r="I6" s="61" t="n">
        <v>130.2</v>
      </c>
      <c r="J6" s="60">
        <f>I6-H6</f>
        <v/>
      </c>
      <c r="K6" s="62">
        <f>IF(H6=0,"",(I6-H6)/H6)</f>
        <v/>
      </c>
    </row>
    <row r="7">
      <c r="A7" s="63" t="inlineStr">
        <is>
          <t>IFI - Instituciones financieras</t>
        </is>
      </c>
      <c r="B7" s="63" t="inlineStr">
        <is>
          <t>4 - Cuenta corriente</t>
        </is>
      </c>
      <c r="C7" s="63" t="inlineStr">
        <is>
          <t>ECU - En el Ecuador</t>
        </is>
      </c>
      <c r="D7" s="63" t="inlineStr">
        <is>
          <t>593 - ECUADOR</t>
        </is>
      </c>
      <c r="E7" s="63" t="inlineStr"/>
      <c r="F7" s="63" t="inlineStr">
        <is>
          <t>DOLARES</t>
        </is>
      </c>
      <c r="G7" s="63" t="inlineStr">
        <is>
          <t>2 - No</t>
        </is>
      </c>
      <c r="H7" s="64" t="n">
        <v>5590.32</v>
      </c>
      <c r="I7" s="61" t="n">
        <v>5590.32</v>
      </c>
      <c r="J7" s="64">
        <f>I7-H7</f>
        <v/>
      </c>
      <c r="K7" s="65">
        <f>IF(H7=0,"",(I7-H7)/H7)</f>
        <v/>
      </c>
    </row>
    <row r="8">
      <c r="A8" s="59" t="inlineStr">
        <is>
          <t>IFI - Instituciones financieras</t>
        </is>
      </c>
      <c r="B8" s="59" t="inlineStr">
        <is>
          <t>3 - Cuenta de ahorros</t>
        </is>
      </c>
      <c r="C8" s="59" t="inlineStr">
        <is>
          <t>ECU - En el Ecuador</t>
        </is>
      </c>
      <c r="D8" s="59" t="inlineStr">
        <is>
          <t>593 - ECUADOR</t>
        </is>
      </c>
      <c r="E8" s="59" t="inlineStr"/>
      <c r="F8" s="59" t="inlineStr">
        <is>
          <t>DOLARES</t>
        </is>
      </c>
      <c r="G8" s="59" t="inlineStr">
        <is>
          <t>2 - No</t>
        </is>
      </c>
      <c r="H8" s="60" t="n">
        <v>53237.31</v>
      </c>
      <c r="I8" s="61" t="n">
        <v>53237.31</v>
      </c>
      <c r="J8" s="60">
        <f>I8-H8</f>
        <v/>
      </c>
      <c r="K8" s="62">
        <f>IF(H8=0,"",(I8-H8)/H8)</f>
        <v/>
      </c>
    </row>
    <row r="9">
      <c r="A9" s="63" t="inlineStr">
        <is>
          <t>IFI - Instituciones financieras</t>
        </is>
      </c>
      <c r="B9" s="63" t="inlineStr">
        <is>
          <t>2 - Inversiones financieras</t>
        </is>
      </c>
      <c r="C9" s="63" t="inlineStr">
        <is>
          <t>EXT - En el exterior</t>
        </is>
      </c>
      <c r="D9" s="63" t="inlineStr">
        <is>
          <t>118 - PANAMA</t>
        </is>
      </c>
      <c r="E9" s="63" t="inlineStr">
        <is>
          <t>BANCO PICHINCHA CA</t>
        </is>
      </c>
      <c r="F9" s="63" t="inlineStr">
        <is>
          <t>DOLARES</t>
        </is>
      </c>
      <c r="G9" s="63" t="inlineStr">
        <is>
          <t>2 - No</t>
        </is>
      </c>
      <c r="H9" s="64" t="n">
        <v>189049.31</v>
      </c>
      <c r="I9" s="61" t="n">
        <v>189049.31</v>
      </c>
      <c r="J9" s="64">
        <f>I9-H9</f>
        <v/>
      </c>
      <c r="K9" s="65">
        <f>IF(H9=0,"",(I9-H9)/H9)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30">
        <f>SUM(H6:H9)</f>
        <v/>
      </c>
      <c r="I10" s="30">
        <f>SUM(I6:I9)</f>
        <v/>
      </c>
      <c r="J10" s="30">
        <f>I10-H10</f>
        <v/>
      </c>
      <c r="K10" s="31">
        <f>IF(H10=0,"",(I10-H10)/H10)</f>
        <v/>
      </c>
    </row>
  </sheetData>
  <mergeCells count="3">
    <mergeCell ref="A2:K2"/>
    <mergeCell ref="A1:K1"/>
    <mergeCell ref="A3:K3"/>
  </mergeCells>
  <dataValidations count="6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32" customWidth="1" min="4" max="4"/>
    <col width="14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inversion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Empresa / Administradora / Fideicomiso</t>
        </is>
      </c>
      <c r="E5" s="25" t="inlineStr">
        <is>
          <t>% de participacion</t>
        </is>
      </c>
      <c r="F5" s="25" t="inlineStr">
        <is>
          <t>N. de acciones / participaciones</t>
        </is>
      </c>
      <c r="G5" s="25" t="inlineStr">
        <is>
          <t>Partes relacionadas</t>
        </is>
      </c>
      <c r="H5" s="25" t="inlineStr">
        <is>
          <t>Valor 2025</t>
        </is>
      </c>
      <c r="I5" s="25" t="inlineStr">
        <is>
          <t>Valor 2026</t>
        </is>
      </c>
      <c r="J5" s="25" t="inlineStr">
        <is>
          <t>Variacion</t>
        </is>
      </c>
      <c r="K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59" t="inlineStr"/>
      <c r="H6" s="61" t="n">
        <v>0</v>
      </c>
      <c r="I6" s="61" t="n">
        <v>0</v>
      </c>
      <c r="J6" s="60">
        <f>I6-H6</f>
        <v/>
      </c>
      <c r="K6" s="62">
        <f>IF(H6=0,"",(I6-H6)/H6)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3" t="inlineStr"/>
      <c r="H7" s="61" t="n">
        <v>0</v>
      </c>
      <c r="I7" s="61" t="n">
        <v>0</v>
      </c>
      <c r="J7" s="64">
        <f>I7-H7</f>
        <v/>
      </c>
      <c r="K7" s="65">
        <f>IF(H7=0,"",(I7-H7)/H7)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59" t="inlineStr"/>
      <c r="H8" s="61" t="n">
        <v>0</v>
      </c>
      <c r="I8" s="61" t="n">
        <v>0</v>
      </c>
      <c r="J8" s="60">
        <f>I8-H8</f>
        <v/>
      </c>
      <c r="K8" s="62">
        <f>IF(H8=0,"",(I8-H8)/H8)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3" t="inlineStr"/>
      <c r="H9" s="61" t="n">
        <v>0</v>
      </c>
      <c r="I9" s="61" t="n">
        <v>0</v>
      </c>
      <c r="J9" s="64">
        <f>I9-H9</f>
        <v/>
      </c>
      <c r="K9" s="65">
        <f>IF(H9=0,"",(I9-H9)/H9)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59" t="inlineStr"/>
      <c r="H10" s="61" t="n">
        <v>0</v>
      </c>
      <c r="I10" s="61" t="n">
        <v>0</v>
      </c>
      <c r="J10" s="60">
        <f>I10-H10</f>
        <v/>
      </c>
      <c r="K10" s="62">
        <f>IF(H10=0,"",(I10-H10)/H10)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3" t="inlineStr"/>
      <c r="H11" s="61" t="n">
        <v>0</v>
      </c>
      <c r="I11" s="61" t="n">
        <v>0</v>
      </c>
      <c r="J11" s="64">
        <f>I11-H11</f>
        <v/>
      </c>
      <c r="K11" s="65">
        <f>IF(H11=0,"",(I11-H11)/H11)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59" t="inlineStr"/>
      <c r="H12" s="61" t="n">
        <v>0</v>
      </c>
      <c r="I12" s="61" t="n">
        <v>0</v>
      </c>
      <c r="J12" s="60">
        <f>I12-H12</f>
        <v/>
      </c>
      <c r="K12" s="62">
        <f>IF(H12=0,"",(I12-H12)/H12)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3" t="inlineStr"/>
      <c r="H13" s="61" t="n">
        <v>0</v>
      </c>
      <c r="I13" s="61" t="n">
        <v>0</v>
      </c>
      <c r="J13" s="64">
        <f>I13-H13</f>
        <v/>
      </c>
      <c r="K13" s="65">
        <f>IF(H13=0,"",(I13-H13)/H13)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66" t="n"/>
      <c r="H14" s="30">
        <f>SUM(H6:H13)</f>
        <v/>
      </c>
      <c r="I14" s="30">
        <f>SUM(I6:I13)</f>
        <v/>
      </c>
      <c r="J14" s="30">
        <f>I14-H14</f>
        <v/>
      </c>
      <c r="K14" s="31">
        <f>IF(H14=0,"",(I14-H14)/H14)</f>
        <v/>
      </c>
    </row>
  </sheetData>
  <mergeCells count="3">
    <mergeCell ref="A2:K2"/>
    <mergeCell ref="A1:K1"/>
    <mergeCell ref="A3:K3"/>
  </mergeCells>
  <dataValidations count="4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4.1.3  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Nombre del deudor</t>
        </is>
      </c>
      <c r="B5" s="25" t="inlineStr">
        <is>
          <t>Tipo de deudor</t>
        </is>
      </c>
      <c r="C5" s="25" t="inlineStr">
        <is>
          <t>N. de identificacion</t>
        </is>
      </c>
      <c r="D5" s="25" t="inlineStr">
        <is>
          <t>Ubicacion</t>
        </is>
      </c>
      <c r="E5" s="25" t="inlineStr">
        <is>
          <t>Pais</t>
        </is>
      </c>
      <c r="F5" s="25" t="inlineStr">
        <is>
          <t>Partes relacionadas</t>
        </is>
      </c>
      <c r="G5" s="25" t="inlineStr">
        <is>
          <t>Valor 2025</t>
        </is>
      </c>
      <c r="H5" s="25" t="inlineStr">
        <is>
          <t>Valor 2026</t>
        </is>
      </c>
      <c r="I5" s="25" t="inlineStr">
        <is>
          <t>Variacion</t>
        </is>
      </c>
      <c r="J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61" t="n">
        <v>0</v>
      </c>
      <c r="H6" s="61" t="n">
        <v>0</v>
      </c>
      <c r="I6" s="60">
        <f>H6-G6</f>
        <v/>
      </c>
      <c r="J6" s="62">
        <f>IF(G6=0,"",(H6-G6)/G6)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1" t="n">
        <v>0</v>
      </c>
      <c r="H7" s="61" t="n">
        <v>0</v>
      </c>
      <c r="I7" s="64">
        <f>H7-G7</f>
        <v/>
      </c>
      <c r="J7" s="65">
        <f>IF(G7=0,"",(H7-G7)/G7)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61" t="n">
        <v>0</v>
      </c>
      <c r="H8" s="61" t="n">
        <v>0</v>
      </c>
      <c r="I8" s="60">
        <f>H8-G8</f>
        <v/>
      </c>
      <c r="J8" s="62">
        <f>IF(G8=0,"",(H8-G8)/G8)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1" t="n">
        <v>0</v>
      </c>
      <c r="H9" s="61" t="n">
        <v>0</v>
      </c>
      <c r="I9" s="64">
        <f>H9-G9</f>
        <v/>
      </c>
      <c r="J9" s="65">
        <f>IF(G9=0,"",(H9-G9)/G9)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61" t="n">
        <v>0</v>
      </c>
      <c r="H10" s="61" t="n">
        <v>0</v>
      </c>
      <c r="I10" s="60">
        <f>H10-G10</f>
        <v/>
      </c>
      <c r="J10" s="62">
        <f>IF(G10=0,"",(H10-G10)/G10)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1" t="n">
        <v>0</v>
      </c>
      <c r="H11" s="61" t="n">
        <v>0</v>
      </c>
      <c r="I11" s="64">
        <f>H11-G11</f>
        <v/>
      </c>
      <c r="J11" s="65">
        <f>IF(G11=0,"",(H11-G11)/G11)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61" t="n">
        <v>0</v>
      </c>
      <c r="H12" s="61" t="n">
        <v>0</v>
      </c>
      <c r="I12" s="60">
        <f>H12-G12</f>
        <v/>
      </c>
      <c r="J12" s="62">
        <f>IF(G12=0,"",(H12-G12)/G12)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1" t="n">
        <v>0</v>
      </c>
      <c r="H13" s="61" t="n">
        <v>0</v>
      </c>
      <c r="I13" s="64">
        <f>H13-G13</f>
        <v/>
      </c>
      <c r="J13" s="65">
        <f>IF(G13=0,"",(H13-G13)/G13)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30">
        <f>SUM(G6:G13)</f>
        <v/>
      </c>
      <c r="H14" s="30">
        <f>SUM(H6:H13)</f>
        <v/>
      </c>
      <c r="I14" s="30">
        <f>H14-G14</f>
        <v/>
      </c>
      <c r="J14" s="31">
        <f>IF(G14=0,"",(H14-G14)/G14)</f>
        <v/>
      </c>
    </row>
  </sheetData>
  <mergeCells count="3">
    <mergeCell ref="A1:J1"/>
    <mergeCell ref="A3:J3"/>
    <mergeCell ref="A2:J2"/>
  </mergeCells>
  <dataValidations count="4">
    <dataValidation sqref="B6:B13" showDropDown="0" showInputMessage="0" showErrorMessage="0" allowBlank="1" type="list">
      <formula1>Catalogos!$H$2:$H$3</formula1>
    </dataValidation>
    <dataValidation sqref="D6:D13" showDropDown="0" showInputMessage="0" showErrorMessage="0" allowBlank="1" type="list">
      <formula1>Catalogos!$C$2:$C$3</formula1>
    </dataValidation>
    <dataValidation sqref="E6:E13" showDropDown="0" showInputMessage="0" showErrorMessage="0" allowBlank="1" type="list">
      <formula1>Catalogos!$D$2:$D$258</formula1>
    </dataValidation>
    <dataValidation sqref="F6:F13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0" customWidth="1" min="3" max="3"/>
    <col width="30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bien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Detalle / observacion</t>
        </is>
      </c>
      <c r="E5" s="25" t="inlineStr">
        <is>
          <t>Valor 2025</t>
        </is>
      </c>
      <c r="F5" s="25" t="inlineStr">
        <is>
          <t>Valor 2026</t>
        </is>
      </c>
      <c r="G5" s="25" t="inlineStr">
        <is>
          <t>Variacion</t>
        </is>
      </c>
      <c r="H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61" t="n">
        <v>0</v>
      </c>
      <c r="F6" s="61" t="n">
        <v>0</v>
      </c>
      <c r="G6" s="60">
        <f>F6-E6</f>
        <v/>
      </c>
      <c r="H6" s="62">
        <f>IF(E6=0,"",(F6-E6)/E6)</f>
        <v/>
      </c>
    </row>
    <row r="7">
      <c r="A7" s="63" t="inlineStr"/>
      <c r="B7" s="63" t="inlineStr"/>
      <c r="C7" s="63" t="inlineStr"/>
      <c r="D7" s="63" t="inlineStr"/>
      <c r="E7" s="61" t="n">
        <v>0</v>
      </c>
      <c r="F7" s="61" t="n">
        <v>0</v>
      </c>
      <c r="G7" s="64">
        <f>F7-E7</f>
        <v/>
      </c>
      <c r="H7" s="65">
        <f>IF(E7=0,"",(F7-E7)/E7)</f>
        <v/>
      </c>
    </row>
    <row r="8">
      <c r="A8" s="59" t="inlineStr"/>
      <c r="B8" s="59" t="inlineStr"/>
      <c r="C8" s="59" t="inlineStr"/>
      <c r="D8" s="59" t="inlineStr"/>
      <c r="E8" s="61" t="n">
        <v>0</v>
      </c>
      <c r="F8" s="61" t="n">
        <v>0</v>
      </c>
      <c r="G8" s="60">
        <f>F8-E8</f>
        <v/>
      </c>
      <c r="H8" s="62">
        <f>IF(E8=0,"",(F8-E8)/E8)</f>
        <v/>
      </c>
    </row>
    <row r="9">
      <c r="A9" s="63" t="inlineStr"/>
      <c r="B9" s="63" t="inlineStr"/>
      <c r="C9" s="63" t="inlineStr"/>
      <c r="D9" s="63" t="inlineStr"/>
      <c r="E9" s="61" t="n">
        <v>0</v>
      </c>
      <c r="F9" s="61" t="n">
        <v>0</v>
      </c>
      <c r="G9" s="64">
        <f>F9-E9</f>
        <v/>
      </c>
      <c r="H9" s="65">
        <f>IF(E9=0,"",(F9-E9)/E9)</f>
        <v/>
      </c>
    </row>
    <row r="10">
      <c r="A10" s="59" t="inlineStr"/>
      <c r="B10" s="59" t="inlineStr"/>
      <c r="C10" s="59" t="inlineStr"/>
      <c r="D10" s="59" t="inlineStr"/>
      <c r="E10" s="61" t="n">
        <v>0</v>
      </c>
      <c r="F10" s="61" t="n">
        <v>0</v>
      </c>
      <c r="G10" s="60">
        <f>F10-E10</f>
        <v/>
      </c>
      <c r="H10" s="62">
        <f>IF(E10=0,"",(F10-E10)/E10)</f>
        <v/>
      </c>
    </row>
    <row r="11">
      <c r="A11" s="63" t="inlineStr"/>
      <c r="B11" s="63" t="inlineStr"/>
      <c r="C11" s="63" t="inlineStr"/>
      <c r="D11" s="63" t="inlineStr"/>
      <c r="E11" s="61" t="n">
        <v>0</v>
      </c>
      <c r="F11" s="61" t="n">
        <v>0</v>
      </c>
      <c r="G11" s="64">
        <f>F11-E11</f>
        <v/>
      </c>
      <c r="H11" s="65">
        <f>IF(E11=0,"",(F11-E11)/E11)</f>
        <v/>
      </c>
    </row>
    <row r="12">
      <c r="A12" s="59" t="inlineStr"/>
      <c r="B12" s="59" t="inlineStr"/>
      <c r="C12" s="59" t="inlineStr"/>
      <c r="D12" s="59" t="inlineStr"/>
      <c r="E12" s="61" t="n">
        <v>0</v>
      </c>
      <c r="F12" s="61" t="n">
        <v>0</v>
      </c>
      <c r="G12" s="60">
        <f>F12-E12</f>
        <v/>
      </c>
      <c r="H12" s="62">
        <f>IF(E12=0,"",(F12-E12)/E12)</f>
        <v/>
      </c>
    </row>
    <row r="13">
      <c r="A13" s="63" t="inlineStr"/>
      <c r="B13" s="63" t="inlineStr"/>
      <c r="C13" s="63" t="inlineStr"/>
      <c r="D13" s="63" t="inlineStr"/>
      <c r="E13" s="61" t="n">
        <v>0</v>
      </c>
      <c r="F13" s="61" t="n">
        <v>0</v>
      </c>
      <c r="G13" s="64">
        <f>F13-E13</f>
        <v/>
      </c>
      <c r="H13" s="65">
        <f>IF(E13=0,"",(F13-E13)/E13)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30">
        <f>SUM(E6:E13)</f>
        <v/>
      </c>
      <c r="F14" s="30">
        <f>SUM(F6:F13)</f>
        <v/>
      </c>
      <c r="G14" s="30">
        <f>F14-E14</f>
        <v/>
      </c>
      <c r="H14" s="31">
        <f>IF(E14=0,"",(F14-E14)/E14)</f>
        <v/>
      </c>
    </row>
  </sheetData>
  <mergeCells count="3">
    <mergeCell ref="A3:H3"/>
    <mergeCell ref="A2:H2"/>
    <mergeCell ref="A1:H1"/>
  </mergeCells>
  <dataValidations count="3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vehiculo</t>
        </is>
      </c>
      <c r="B5" s="25" t="inlineStr">
        <is>
          <t>Registro / placa / chasis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Valor 2025</t>
        </is>
      </c>
      <c r="F5" s="25" t="inlineStr">
        <is>
          <t>Valor 2026</t>
        </is>
      </c>
      <c r="G5" s="25" t="inlineStr">
        <is>
          <t>Variacion</t>
        </is>
      </c>
      <c r="H5" s="25" t="inlineStr">
        <is>
          <t>Variacion %</t>
        </is>
      </c>
    </row>
    <row r="6">
      <c r="A6" s="59" t="inlineStr">
        <is>
          <t>1 - Vehiculos motorizados terrestres</t>
        </is>
      </c>
      <c r="B6" s="59" t="inlineStr">
        <is>
          <t>PBO7092</t>
        </is>
      </c>
      <c r="C6" s="59" t="inlineStr">
        <is>
          <t>ECU - En el Ecuador</t>
        </is>
      </c>
      <c r="D6" s="59" t="inlineStr">
        <is>
          <t>593 - ECUADOR</t>
        </is>
      </c>
      <c r="E6" s="60" t="n">
        <v>12000</v>
      </c>
      <c r="F6" s="61" t="n">
        <v>12000</v>
      </c>
      <c r="G6" s="60">
        <f>F6-E6</f>
        <v/>
      </c>
      <c r="H6" s="62">
        <f>IF(E6=0,"",(F6-E6)/E6)</f>
        <v/>
      </c>
    </row>
    <row r="7">
      <c r="A7" s="63" t="inlineStr">
        <is>
          <t>1 - Vehiculos motorizados terrestres</t>
        </is>
      </c>
      <c r="B7" s="63" t="inlineStr">
        <is>
          <t>PBF9690</t>
        </is>
      </c>
      <c r="C7" s="63" t="inlineStr">
        <is>
          <t>ECU - En el Ecuador</t>
        </is>
      </c>
      <c r="D7" s="63" t="inlineStr">
        <is>
          <t>593 - ECUADOR</t>
        </is>
      </c>
      <c r="E7" s="64" t="n">
        <v>20000</v>
      </c>
      <c r="F7" s="61" t="n">
        <v>20000</v>
      </c>
      <c r="G7" s="64">
        <f>F7-E7</f>
        <v/>
      </c>
      <c r="H7" s="65">
        <f>IF(E7=0,"",(F7-E7)/E7)</f>
        <v/>
      </c>
    </row>
    <row r="8">
      <c r="A8" s="59" t="inlineStr">
        <is>
          <t>1 - Vehiculos motorizados terrestres</t>
        </is>
      </c>
      <c r="B8" s="59" t="inlineStr">
        <is>
          <t>PFC8683</t>
        </is>
      </c>
      <c r="C8" s="59" t="inlineStr">
        <is>
          <t>ECU - En el Ecuador</t>
        </is>
      </c>
      <c r="D8" s="59" t="inlineStr">
        <is>
          <t>593 - ECUADOR</t>
        </is>
      </c>
      <c r="E8" s="60" t="n">
        <v>32000</v>
      </c>
      <c r="F8" s="61" t="n">
        <v>32000</v>
      </c>
      <c r="G8" s="60">
        <f>F8-E8</f>
        <v/>
      </c>
      <c r="H8" s="62">
        <f>IF(E8=0,"",(F8-E8)/E8)</f>
        <v/>
      </c>
    </row>
    <row r="9" ht="22" customHeight="1">
      <c r="A9" s="66" t="inlineStr">
        <is>
          <t>TOTAL</t>
        </is>
      </c>
      <c r="B9" s="66" t="n"/>
      <c r="C9" s="66" t="n"/>
      <c r="D9" s="66" t="n"/>
      <c r="E9" s="30">
        <f>SUM(E6:E8)</f>
        <v/>
      </c>
      <c r="F9" s="30">
        <f>SUM(F6:F8)</f>
        <v/>
      </c>
      <c r="G9" s="30">
        <f>F9-E9</f>
        <v/>
      </c>
      <c r="H9" s="31">
        <f>IF(E9=0,"",(F9-E9)/E9)</f>
        <v/>
      </c>
    </row>
  </sheetData>
  <mergeCells count="3">
    <mergeCell ref="A3:H3"/>
    <mergeCell ref="A2:H2"/>
    <mergeCell ref="A1:H1"/>
  </mergeCells>
  <dataValidations count="3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0" customWidth="1" min="3" max="3"/>
    <col width="30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derecho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Detalle / observacion</t>
        </is>
      </c>
      <c r="E5" s="25" t="inlineStr">
        <is>
          <t>Valor 2025</t>
        </is>
      </c>
      <c r="F5" s="25" t="inlineStr">
        <is>
          <t>Valor 2026</t>
        </is>
      </c>
      <c r="G5" s="25" t="inlineStr">
        <is>
          <t>Variacion</t>
        </is>
      </c>
      <c r="H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61" t="n">
        <v>0</v>
      </c>
      <c r="F6" s="61" t="n">
        <v>0</v>
      </c>
      <c r="G6" s="60">
        <f>F6-E6</f>
        <v/>
      </c>
      <c r="H6" s="62">
        <f>IF(E6=0,"",(F6-E6)/E6)</f>
        <v/>
      </c>
    </row>
    <row r="7">
      <c r="A7" s="63" t="inlineStr"/>
      <c r="B7" s="63" t="inlineStr"/>
      <c r="C7" s="63" t="inlineStr"/>
      <c r="D7" s="63" t="inlineStr"/>
      <c r="E7" s="61" t="n">
        <v>0</v>
      </c>
      <c r="F7" s="61" t="n">
        <v>0</v>
      </c>
      <c r="G7" s="64">
        <f>F7-E7</f>
        <v/>
      </c>
      <c r="H7" s="65">
        <f>IF(E7=0,"",(F7-E7)/E7)</f>
        <v/>
      </c>
    </row>
    <row r="8">
      <c r="A8" s="59" t="inlineStr"/>
      <c r="B8" s="59" t="inlineStr"/>
      <c r="C8" s="59" t="inlineStr"/>
      <c r="D8" s="59" t="inlineStr"/>
      <c r="E8" s="61" t="n">
        <v>0</v>
      </c>
      <c r="F8" s="61" t="n">
        <v>0</v>
      </c>
      <c r="G8" s="60">
        <f>F8-E8</f>
        <v/>
      </c>
      <c r="H8" s="62">
        <f>IF(E8=0,"",(F8-E8)/E8)</f>
        <v/>
      </c>
    </row>
    <row r="9">
      <c r="A9" s="63" t="inlineStr"/>
      <c r="B9" s="63" t="inlineStr"/>
      <c r="C9" s="63" t="inlineStr"/>
      <c r="D9" s="63" t="inlineStr"/>
      <c r="E9" s="61" t="n">
        <v>0</v>
      </c>
      <c r="F9" s="61" t="n">
        <v>0</v>
      </c>
      <c r="G9" s="64">
        <f>F9-E9</f>
        <v/>
      </c>
      <c r="H9" s="65">
        <f>IF(E9=0,"",(F9-E9)/E9)</f>
        <v/>
      </c>
    </row>
    <row r="10">
      <c r="A10" s="59" t="inlineStr"/>
      <c r="B10" s="59" t="inlineStr"/>
      <c r="C10" s="59" t="inlineStr"/>
      <c r="D10" s="59" t="inlineStr"/>
      <c r="E10" s="61" t="n">
        <v>0</v>
      </c>
      <c r="F10" s="61" t="n">
        <v>0</v>
      </c>
      <c r="G10" s="60">
        <f>F10-E10</f>
        <v/>
      </c>
      <c r="H10" s="62">
        <f>IF(E10=0,"",(F10-E10)/E10)</f>
        <v/>
      </c>
    </row>
    <row r="11">
      <c r="A11" s="63" t="inlineStr"/>
      <c r="B11" s="63" t="inlineStr"/>
      <c r="C11" s="63" t="inlineStr"/>
      <c r="D11" s="63" t="inlineStr"/>
      <c r="E11" s="61" t="n">
        <v>0</v>
      </c>
      <c r="F11" s="61" t="n">
        <v>0</v>
      </c>
      <c r="G11" s="64">
        <f>F11-E11</f>
        <v/>
      </c>
      <c r="H11" s="65">
        <f>IF(E11=0,"",(F11-E11)/E11)</f>
        <v/>
      </c>
    </row>
    <row r="12">
      <c r="A12" s="59" t="inlineStr"/>
      <c r="B12" s="59" t="inlineStr"/>
      <c r="C12" s="59" t="inlineStr"/>
      <c r="D12" s="59" t="inlineStr"/>
      <c r="E12" s="61" t="n">
        <v>0</v>
      </c>
      <c r="F12" s="61" t="n">
        <v>0</v>
      </c>
      <c r="G12" s="60">
        <f>F12-E12</f>
        <v/>
      </c>
      <c r="H12" s="62">
        <f>IF(E12=0,"",(F12-E12)/E12)</f>
        <v/>
      </c>
    </row>
    <row r="13">
      <c r="A13" s="63" t="inlineStr"/>
      <c r="B13" s="63" t="inlineStr"/>
      <c r="C13" s="63" t="inlineStr"/>
      <c r="D13" s="63" t="inlineStr"/>
      <c r="E13" s="61" t="n">
        <v>0</v>
      </c>
      <c r="F13" s="61" t="n">
        <v>0</v>
      </c>
      <c r="G13" s="64">
        <f>F13-E13</f>
        <v/>
      </c>
      <c r="H13" s="65">
        <f>IF(E13=0,"",(F13-E13)/E13)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30">
        <f>SUM(E6:E13)</f>
        <v/>
      </c>
      <c r="F14" s="30">
        <f>SUM(F6:F13)</f>
        <v/>
      </c>
      <c r="G14" s="30">
        <f>F14-E14</f>
        <v/>
      </c>
      <c r="H14" s="31">
        <f>IF(E14=0,"",(F14-E14)/E14)</f>
        <v/>
      </c>
    </row>
  </sheetData>
  <mergeCells count="3">
    <mergeCell ref="A3:H3"/>
    <mergeCell ref="A2:H2"/>
    <mergeCell ref="A1:H1"/>
  </mergeCells>
  <dataValidations count="3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22" customWidth="1" min="4" max="4"/>
    <col width="22" customWidth="1" min="5" max="5"/>
    <col width="16" customWidth="1" min="6" max="6"/>
    <col width="24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inmueble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Provincia</t>
        </is>
      </c>
      <c r="E5" s="25" t="inlineStr">
        <is>
          <t>Canton</t>
        </is>
      </c>
      <c r="F5" s="25" t="inlineStr">
        <is>
          <t>Fecha de inscripcion</t>
        </is>
      </c>
      <c r="G5" s="25" t="inlineStr">
        <is>
          <t>Clave catastral</t>
        </is>
      </c>
      <c r="H5" s="25" t="inlineStr">
        <is>
          <t>Valor 2025</t>
        </is>
      </c>
      <c r="I5" s="25" t="inlineStr">
        <is>
          <t>Valor 2026</t>
        </is>
      </c>
      <c r="J5" s="25" t="inlineStr">
        <is>
          <t>Variacion</t>
        </is>
      </c>
      <c r="K5" s="25" t="inlineStr">
        <is>
          <t>Variacion %</t>
        </is>
      </c>
    </row>
    <row r="6">
      <c r="A6" s="59" t="inlineStr">
        <is>
          <t>3 - Terreno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217 - PICHINCHA</t>
        </is>
      </c>
      <c r="E6" s="59" t="inlineStr">
        <is>
          <t>21701 - QUITO</t>
        </is>
      </c>
      <c r="F6" s="59" t="inlineStr">
        <is>
          <t>22/10/2008</t>
        </is>
      </c>
      <c r="G6" s="59" t="inlineStr">
        <is>
          <t>1042203018</t>
        </is>
      </c>
      <c r="H6" s="60" t="n">
        <v>267340.8</v>
      </c>
      <c r="I6" s="61" t="n">
        <v>267340.8</v>
      </c>
      <c r="J6" s="60">
        <f>I6-H6</f>
        <v/>
      </c>
      <c r="K6" s="62">
        <f>IF(H6=0,"",(I6-H6)/H6)</f>
        <v/>
      </c>
    </row>
    <row r="7">
      <c r="A7" s="63" t="inlineStr">
        <is>
          <t>1 - Casa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217 - PICHINCHA</t>
        </is>
      </c>
      <c r="E7" s="63" t="inlineStr">
        <is>
          <t>21701 - QUITO</t>
        </is>
      </c>
      <c r="F7" s="63" t="inlineStr">
        <is>
          <t>13/03/1997</t>
        </is>
      </c>
      <c r="G7" s="63" t="inlineStr">
        <is>
          <t>1012005008000000000</t>
        </is>
      </c>
      <c r="H7" s="64" t="n">
        <v>198118.55</v>
      </c>
      <c r="I7" s="61" t="n">
        <v>198118.55</v>
      </c>
      <c r="J7" s="64">
        <f>I7-H7</f>
        <v/>
      </c>
      <c r="K7" s="65">
        <f>IF(H7=0,"",(I7-H7)/H7)</f>
        <v/>
      </c>
    </row>
    <row r="8">
      <c r="A8" s="59" t="inlineStr">
        <is>
          <t>1 - Casa</t>
        </is>
      </c>
      <c r="B8" s="59" t="inlineStr">
        <is>
          <t>ECU - En el Ecuador</t>
        </is>
      </c>
      <c r="C8" s="59" t="inlineStr">
        <is>
          <t>593 - ECUADOR</t>
        </is>
      </c>
      <c r="D8" s="59" t="inlineStr">
        <is>
          <t>217 - PICHINCHA</t>
        </is>
      </c>
      <c r="E8" s="59" t="inlineStr">
        <is>
          <t>21701 - QUITO</t>
        </is>
      </c>
      <c r="F8" s="59" t="inlineStr"/>
      <c r="G8" s="59" t="inlineStr">
        <is>
          <t>1042203018</t>
        </is>
      </c>
      <c r="H8" s="60" t="n">
        <v>33634.04</v>
      </c>
      <c r="I8" s="61" t="n">
        <v>33634.04</v>
      </c>
      <c r="J8" s="60">
        <f>I8-H8</f>
        <v/>
      </c>
      <c r="K8" s="62">
        <f>IF(H8=0,"",(I8-H8)/H8)</f>
        <v/>
      </c>
    </row>
    <row r="9">
      <c r="A9" s="63" t="inlineStr">
        <is>
          <t>3 - Terreno</t>
        </is>
      </c>
      <c r="B9" s="63" t="inlineStr">
        <is>
          <t>ECU - En el Ecuador</t>
        </is>
      </c>
      <c r="C9" s="63" t="inlineStr">
        <is>
          <t>593 - ECUADOR</t>
        </is>
      </c>
      <c r="D9" s="63" t="inlineStr">
        <is>
          <t>217 - PICHINCHA</t>
        </is>
      </c>
      <c r="E9" s="63" t="inlineStr">
        <is>
          <t>21701 - QUITO</t>
        </is>
      </c>
      <c r="F9" s="63" t="inlineStr"/>
      <c r="G9" s="63" t="inlineStr">
        <is>
          <t>1012005008000000000</t>
        </is>
      </c>
      <c r="H9" s="64" t="n">
        <v>82624.22</v>
      </c>
      <c r="I9" s="61" t="n">
        <v>82624.22</v>
      </c>
      <c r="J9" s="64">
        <f>I9-H9</f>
        <v/>
      </c>
      <c r="K9" s="65">
        <f>IF(H9=0,"",(I9-H9)/H9)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30">
        <f>SUM(H6:H9)</f>
        <v/>
      </c>
      <c r="I10" s="30">
        <f>SUM(I6:I9)</f>
        <v/>
      </c>
      <c r="J10" s="30">
        <f>I10-H10</f>
        <v/>
      </c>
      <c r="K10" s="31">
        <f>IF(H10=0,"",(I10-H10)/H10)</f>
        <v/>
      </c>
    </row>
  </sheetData>
  <mergeCells count="3">
    <mergeCell ref="A2:K2"/>
    <mergeCell ref="A1:K1"/>
    <mergeCell ref="A3:K3"/>
  </mergeCells>
  <dataValidations count="5">
    <dataValidation sqref="A6:A9" showDropDown="0" showInputMessage="0" showErrorMessage="0" allowBlank="1" type="list">
      <formula1>Catalogos!$L$2:$L$9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3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Ubicacion</t>
        </is>
      </c>
      <c r="B5" s="25" t="inlineStr">
        <is>
          <t>Pais</t>
        </is>
      </c>
      <c r="C5" s="25" t="inlineStr">
        <is>
          <t>Detalle / observacion</t>
        </is>
      </c>
      <c r="D5" s="25" t="inlineStr">
        <is>
          <t>Valor 2025</t>
        </is>
      </c>
      <c r="E5" s="25" t="inlineStr">
        <is>
          <t>Valor 2026</t>
        </is>
      </c>
      <c r="F5" s="25" t="inlineStr">
        <is>
          <t>Variacion</t>
        </is>
      </c>
      <c r="G5" s="25" t="inlineStr">
        <is>
          <t>Variacion %</t>
        </is>
      </c>
    </row>
    <row r="6">
      <c r="A6" s="59" t="inlineStr"/>
      <c r="B6" s="59" t="inlineStr"/>
      <c r="C6" s="59" t="inlineStr"/>
      <c r="D6" s="61" t="n">
        <v>0</v>
      </c>
      <c r="E6" s="61" t="n">
        <v>0</v>
      </c>
      <c r="F6" s="60">
        <f>E6-D6</f>
        <v/>
      </c>
      <c r="G6" s="62">
        <f>IF(D6=0,"",(E6-D6)/D6)</f>
        <v/>
      </c>
    </row>
    <row r="7">
      <c r="A7" s="63" t="inlineStr"/>
      <c r="B7" s="63" t="inlineStr"/>
      <c r="C7" s="63" t="inlineStr"/>
      <c r="D7" s="61" t="n">
        <v>0</v>
      </c>
      <c r="E7" s="61" t="n">
        <v>0</v>
      </c>
      <c r="F7" s="64">
        <f>E7-D7</f>
        <v/>
      </c>
      <c r="G7" s="65">
        <f>IF(D7=0,"",(E7-D7)/D7)</f>
        <v/>
      </c>
    </row>
    <row r="8">
      <c r="A8" s="59" t="inlineStr"/>
      <c r="B8" s="59" t="inlineStr"/>
      <c r="C8" s="59" t="inlineStr"/>
      <c r="D8" s="61" t="n">
        <v>0</v>
      </c>
      <c r="E8" s="61" t="n">
        <v>0</v>
      </c>
      <c r="F8" s="60">
        <f>E8-D8</f>
        <v/>
      </c>
      <c r="G8" s="62">
        <f>IF(D8=0,"",(E8-D8)/D8)</f>
        <v/>
      </c>
    </row>
    <row r="9">
      <c r="A9" s="63" t="inlineStr"/>
      <c r="B9" s="63" t="inlineStr"/>
      <c r="C9" s="63" t="inlineStr"/>
      <c r="D9" s="61" t="n">
        <v>0</v>
      </c>
      <c r="E9" s="61" t="n">
        <v>0</v>
      </c>
      <c r="F9" s="64">
        <f>E9-D9</f>
        <v/>
      </c>
      <c r="G9" s="65">
        <f>IF(D9=0,"",(E9-D9)/D9)</f>
        <v/>
      </c>
    </row>
    <row r="10">
      <c r="A10" s="59" t="inlineStr"/>
      <c r="B10" s="59" t="inlineStr"/>
      <c r="C10" s="59" t="inlineStr"/>
      <c r="D10" s="61" t="n">
        <v>0</v>
      </c>
      <c r="E10" s="61" t="n">
        <v>0</v>
      </c>
      <c r="F10" s="60">
        <f>E10-D10</f>
        <v/>
      </c>
      <c r="G10" s="62">
        <f>IF(D10=0,"",(E10-D10)/D10)</f>
        <v/>
      </c>
    </row>
    <row r="11">
      <c r="A11" s="63" t="inlineStr"/>
      <c r="B11" s="63" t="inlineStr"/>
      <c r="C11" s="63" t="inlineStr"/>
      <c r="D11" s="61" t="n">
        <v>0</v>
      </c>
      <c r="E11" s="61" t="n">
        <v>0</v>
      </c>
      <c r="F11" s="64">
        <f>E11-D11</f>
        <v/>
      </c>
      <c r="G11" s="65">
        <f>IF(D11=0,"",(E11-D11)/D11)</f>
        <v/>
      </c>
    </row>
    <row r="12">
      <c r="A12" s="59" t="inlineStr"/>
      <c r="B12" s="59" t="inlineStr"/>
      <c r="C12" s="59" t="inlineStr"/>
      <c r="D12" s="61" t="n">
        <v>0</v>
      </c>
      <c r="E12" s="61" t="n">
        <v>0</v>
      </c>
      <c r="F12" s="60">
        <f>E12-D12</f>
        <v/>
      </c>
      <c r="G12" s="62">
        <f>IF(D12=0,"",(E12-D12)/D12)</f>
        <v/>
      </c>
    </row>
    <row r="13">
      <c r="A13" s="63" t="inlineStr"/>
      <c r="B13" s="63" t="inlineStr"/>
      <c r="C13" s="63" t="inlineStr"/>
      <c r="D13" s="61" t="n">
        <v>0</v>
      </c>
      <c r="E13" s="61" t="n">
        <v>0</v>
      </c>
      <c r="F13" s="64">
        <f>E13-D13</f>
        <v/>
      </c>
      <c r="G13" s="65">
        <f>IF(D13=0,"",(E13-D13)/D13)</f>
        <v/>
      </c>
    </row>
    <row r="14" ht="22" customHeight="1">
      <c r="A14" s="66" t="inlineStr">
        <is>
          <t>TOTAL</t>
        </is>
      </c>
      <c r="B14" s="66" t="n"/>
      <c r="C14" s="66" t="n"/>
      <c r="D14" s="30">
        <f>SUM(D6:D13)</f>
        <v/>
      </c>
      <c r="E14" s="30">
        <f>SUM(E6:E13)</f>
        <v/>
      </c>
      <c r="F14" s="30">
        <f>E14-D14</f>
        <v/>
      </c>
      <c r="G14" s="31">
        <f>IF(D14=0,"",(E14-D14)/D14)</f>
        <v/>
      </c>
    </row>
  </sheetData>
  <mergeCells count="3">
    <mergeCell ref="A3:G3"/>
    <mergeCell ref="A2:G2"/>
    <mergeCell ref="A1:G1"/>
  </mergeCells>
  <dataValidations count="2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28" customWidth="1" min="4" max="4"/>
    <col width="18" customWidth="1" min="5" max="5"/>
    <col width="20" customWidth="1" min="6" max="6"/>
    <col width="1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acreedor</t>
        </is>
      </c>
      <c r="B5" s="25" t="inlineStr">
        <is>
          <t>Domicilio del acreedor</t>
        </is>
      </c>
      <c r="C5" s="25" t="inlineStr">
        <is>
          <t>Pais</t>
        </is>
      </c>
      <c r="D5" s="25" t="inlineStr">
        <is>
          <t>Nombre del acreedor</t>
        </is>
      </c>
      <c r="E5" s="25" t="inlineStr">
        <is>
          <t>Tipo de identificacion</t>
        </is>
      </c>
      <c r="F5" s="25" t="inlineStr">
        <is>
          <t>N. de identificacion</t>
        </is>
      </c>
      <c r="G5" s="25" t="inlineStr">
        <is>
          <t>N. registro Banco Central</t>
        </is>
      </c>
      <c r="H5" s="25" t="inlineStr">
        <is>
          <t>Partes relacionadas</t>
        </is>
      </c>
      <c r="I5" s="25" t="inlineStr">
        <is>
          <t>Valor 2025</t>
        </is>
      </c>
      <c r="J5" s="25" t="inlineStr">
        <is>
          <t>Valor 2026</t>
        </is>
      </c>
      <c r="K5" s="25" t="inlineStr">
        <is>
          <t>Variacion</t>
        </is>
      </c>
      <c r="L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DINERS CLUB DEL ECUADOR</t>
        </is>
      </c>
      <c r="E6" s="59" t="inlineStr">
        <is>
          <t>R - RUC</t>
        </is>
      </c>
      <c r="F6" s="59" t="inlineStr">
        <is>
          <t>1792260957001</t>
        </is>
      </c>
      <c r="G6" s="59" t="inlineStr"/>
      <c r="H6" s="59" t="inlineStr">
        <is>
          <t>2 - No</t>
        </is>
      </c>
      <c r="I6" s="60" t="n">
        <v>4891.88</v>
      </c>
      <c r="J6" s="61" t="n">
        <v>4891.88</v>
      </c>
      <c r="K6" s="60">
        <f>J6-I6</f>
        <v/>
      </c>
      <c r="L6" s="62">
        <f>IF(I6=0,"",(J6-I6)/I6)</f>
        <v/>
      </c>
    </row>
    <row r="7">
      <c r="A7" s="63" t="inlineStr">
        <is>
          <t>IFI - Instituciones financieras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BANCO DEL PICHINCHA</t>
        </is>
      </c>
      <c r="E7" s="63" t="inlineStr">
        <is>
          <t>R - RUC</t>
        </is>
      </c>
      <c r="F7" s="63" t="inlineStr">
        <is>
          <t>1790010937001</t>
        </is>
      </c>
      <c r="G7" s="63" t="inlineStr"/>
      <c r="H7" s="63" t="inlineStr">
        <is>
          <t>2 - No</t>
        </is>
      </c>
      <c r="I7" s="64" t="n">
        <v>5547.31</v>
      </c>
      <c r="J7" s="61" t="n">
        <v>5547.31</v>
      </c>
      <c r="K7" s="64">
        <f>J7-I7</f>
        <v/>
      </c>
      <c r="L7" s="65">
        <f>IF(I7=0,"",(J7-I7)/I7)</f>
        <v/>
      </c>
    </row>
    <row r="8" ht="22" customHeight="1">
      <c r="A8" s="67" t="inlineStr">
        <is>
          <t>TOTAL</t>
        </is>
      </c>
      <c r="B8" s="67" t="n"/>
      <c r="C8" s="67" t="n"/>
      <c r="D8" s="67" t="n"/>
      <c r="E8" s="67" t="n"/>
      <c r="F8" s="67" t="n"/>
      <c r="G8" s="67" t="n"/>
      <c r="H8" s="67" t="n"/>
      <c r="I8" s="37">
        <f>SUM(I6:I7)</f>
        <v/>
      </c>
      <c r="J8" s="37">
        <f>SUM(J6:J7)</f>
        <v/>
      </c>
      <c r="K8" s="37">
        <f>J8-I8</f>
        <v/>
      </c>
      <c r="L8" s="38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Catalogos!$O$2:$O$8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4" customWidth="1" min="4" max="4"/>
    <col width="18" customWidth="1" min="5" max="5"/>
    <col width="14" customWidth="1" min="6" max="6"/>
    <col width="3" customWidth="1" min="7" max="7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Conceptos declarados en el XML  -  ejercicio 2025  (TABLA 14 - incremento)</t>
        </is>
      </c>
    </row>
    <row r="3" ht="5" customHeight="1">
      <c r="A3" s="3" t="n"/>
    </row>
    <row r="5" ht="6" customHeight="1">
      <c r="B5" s="7" t="n"/>
      <c r="C5" s="5" t="n"/>
      <c r="D5" s="4" t="n"/>
      <c r="E5" s="5" t="n"/>
      <c r="F5" s="6" t="n"/>
      <c r="G5" s="5" t="n"/>
    </row>
    <row r="6">
      <c r="B6" s="12" t="inlineStr">
        <is>
          <t>INCREMENTO PATRIMONIAL</t>
        </is>
      </c>
      <c r="C6" s="13" t="n"/>
      <c r="D6" s="8" t="inlineStr">
        <is>
          <t>TOTAL JUSTIFICADO</t>
        </is>
      </c>
      <c r="E6" s="9" t="n"/>
      <c r="F6" s="10" t="inlineStr">
        <is>
          <t>DIFERENCIA</t>
        </is>
      </c>
      <c r="G6" s="11" t="n"/>
    </row>
    <row r="7" ht="28" customHeight="1">
      <c r="B7" s="16">
        <f>E15</f>
        <v/>
      </c>
      <c r="C7" s="13" t="n"/>
      <c r="D7" s="14">
        <f>E14</f>
        <v/>
      </c>
      <c r="E7" s="9" t="n"/>
      <c r="F7" s="15">
        <f>E16</f>
        <v/>
      </c>
      <c r="G7" s="11" t="n"/>
    </row>
    <row r="8">
      <c r="B8" s="21" t="inlineStr">
        <is>
          <t>Declarado en el XML 2025</t>
        </is>
      </c>
      <c r="C8" s="13" t="n"/>
      <c r="D8" s="17" t="inlineStr">
        <is>
          <t>Suma de montos asignados</t>
        </is>
      </c>
      <c r="E8" s="9" t="n"/>
      <c r="F8" s="19" t="inlineStr">
        <is>
          <t>Debe quedar en $0.00</t>
        </is>
      </c>
      <c r="G8" s="11" t="n"/>
    </row>
    <row r="10" ht="22" customHeight="1">
      <c r="B10" s="48" t="inlineStr">
        <is>
          <t>DISTRIBUCION DEL INCREMENTO PATRIMONIAL</t>
        </is>
      </c>
    </row>
    <row r="11" ht="26" customHeight="1">
      <c r="B11" s="25" t="inlineStr">
        <is>
          <t>Concepto declarado (Tabla del SRI)</t>
        </is>
      </c>
      <c r="E11" s="25" t="inlineStr">
        <is>
          <t>Monto asignado</t>
        </is>
      </c>
      <c r="F11" s="25" t="inlineStr">
        <is>
          <t>% del total</t>
        </is>
      </c>
    </row>
    <row r="12">
      <c r="B12" s="68" t="inlineStr">
        <is>
          <t>1 - Ingresos locales</t>
        </is>
      </c>
      <c r="E12" s="61" t="n">
        <v>40857.79</v>
      </c>
      <c r="F12" s="62">
        <f>IF($E$14=0,"",E12/$E$14)</f>
        <v/>
      </c>
    </row>
    <row r="13">
      <c r="B13" s="68" t="inlineStr">
        <is>
          <t>6 - Otros</t>
        </is>
      </c>
      <c r="E13" s="61" t="n">
        <v>40857.79</v>
      </c>
      <c r="F13" s="62">
        <f>IF($E$14=0,"",E13/$E$14)</f>
        <v/>
      </c>
    </row>
    <row r="14">
      <c r="B14" s="69" t="inlineStr">
        <is>
          <t>TOTAL JUSTIFICADO</t>
        </is>
      </c>
      <c r="E14" s="70">
        <f>SUM(E12:E13)</f>
        <v/>
      </c>
      <c r="F14" s="71">
        <f>IF(E14=0,"",1)</f>
        <v/>
      </c>
    </row>
    <row r="15">
      <c r="B15" s="72" t="inlineStr">
        <is>
          <t>Incremento patrimonial declarado (XML)</t>
        </is>
      </c>
      <c r="C15" s="73" t="n"/>
      <c r="D15" s="73" t="n"/>
      <c r="E15" s="74" t="n">
        <v>81715.59</v>
      </c>
      <c r="F15" s="73" t="n"/>
    </row>
    <row r="16">
      <c r="B16" s="75" t="inlineStr">
        <is>
          <t>Diferencia por justificar (debe ser $0.00)</t>
        </is>
      </c>
      <c r="C16" s="13" t="n"/>
      <c r="D16" s="13" t="n"/>
      <c r="E16" s="76">
        <f>E15-E14</f>
        <v/>
      </c>
      <c r="F16" s="13" t="n"/>
    </row>
    <row r="18">
      <c r="B18" s="58" t="inlineStr">
        <is>
          <t>Escoja el concepto en la lista desplegable (catalogo del SRI) y asigne el monto en la columna amarilla.</t>
        </is>
      </c>
    </row>
  </sheetData>
  <mergeCells count="19">
    <mergeCell ref="B11:D11"/>
    <mergeCell ref="B14:D14"/>
    <mergeCell ref="B7:C7"/>
    <mergeCell ref="B13:D13"/>
    <mergeCell ref="F6:G6"/>
    <mergeCell ref="F7:G7"/>
    <mergeCell ref="D6:E6"/>
    <mergeCell ref="B10:G10"/>
    <mergeCell ref="F5:G5"/>
    <mergeCell ref="B15:D15"/>
    <mergeCell ref="A1:G1"/>
    <mergeCell ref="D7:E7"/>
    <mergeCell ref="B16:D16"/>
    <mergeCell ref="B6:C6"/>
    <mergeCell ref="A3:G3"/>
    <mergeCell ref="B5:C5"/>
    <mergeCell ref="D5:E5"/>
    <mergeCell ref="A2:G2"/>
    <mergeCell ref="B12:D12"/>
  </mergeCells>
  <dataValidations count="1">
    <dataValidation sqref="B12:B13" showDropDown="0" showInputMessage="0" showErrorMessage="0" allowBlank="1" type="list">
      <formula1>Catalogos!$Q$2:$Q$7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 ht="30" customHeight="1">
      <c r="A1" s="1" t="inlineStr">
        <is>
          <t>DATOS GENERALES DE LA DECLARACION</t>
        </is>
      </c>
    </row>
    <row r="3" ht="5" customHeight="1">
      <c r="A3" s="3" t="n"/>
    </row>
    <row r="5" ht="20" customHeight="1">
      <c r="A5" s="77" t="inlineStr">
        <is>
          <t>IDENTIFICACION</t>
        </is>
      </c>
    </row>
    <row r="6">
      <c r="A6" s="78" t="inlineStr">
        <is>
          <t>Anio de la declaracion</t>
        </is>
      </c>
      <c r="B6" s="79" t="n">
        <v>2025</v>
      </c>
    </row>
    <row r="7">
      <c r="A7" s="78" t="inlineStr">
        <is>
          <t>Tipo de declaracion</t>
        </is>
      </c>
      <c r="B7" s="79" t="inlineStr">
        <is>
          <t>SOC - Sociedad conyugal o union de hecho</t>
        </is>
      </c>
    </row>
    <row r="8">
      <c r="A8" s="78" t="inlineStr">
        <is>
          <t>Tipo de identificacion</t>
        </is>
      </c>
      <c r="B8" s="79" t="inlineStr">
        <is>
          <t>R - RUC</t>
        </is>
      </c>
    </row>
    <row r="9">
      <c r="A9" s="78" t="inlineStr">
        <is>
          <t>Numero de identificacion</t>
        </is>
      </c>
      <c r="B9" s="79" t="inlineStr">
        <is>
          <t>1709164899001</t>
        </is>
      </c>
    </row>
    <row r="10">
      <c r="A10" s="78" t="inlineStr">
        <is>
          <t>Nombre del declarante</t>
        </is>
      </c>
      <c r="B10" s="79" t="inlineStr">
        <is>
          <t>GONZALEZ NAVAS MARCO VINICIO</t>
        </is>
      </c>
    </row>
    <row r="11">
      <c r="A11" s="78" t="inlineStr">
        <is>
          <t>Identificacion del conyuge</t>
        </is>
      </c>
      <c r="B11" s="79" t="inlineStr">
        <is>
          <t>C - Cedula</t>
        </is>
      </c>
    </row>
    <row r="12">
      <c r="A12" s="78" t="inlineStr">
        <is>
          <t>Numero ident. conyuge</t>
        </is>
      </c>
      <c r="B12" s="79" t="inlineStr">
        <is>
          <t>1709784225</t>
        </is>
      </c>
    </row>
    <row r="13">
      <c r="A13" s="78" t="inlineStr">
        <is>
          <t>Nombre del conyuge</t>
        </is>
      </c>
      <c r="B13" s="79" t="inlineStr">
        <is>
          <t>HIDALGO LOZA ROSA CONSUELO</t>
        </is>
      </c>
    </row>
    <row r="14">
      <c r="A14" s="78" t="inlineStr">
        <is>
          <t>Total creditos</t>
        </is>
      </c>
      <c r="B14" s="60" t="n">
        <v>0</v>
      </c>
    </row>
    <row r="16" ht="20" customHeight="1">
      <c r="A16" s="77" t="inlineStr">
        <is>
          <t>PATRIMONIO NETO (enlazado a la hoja Dashboard)</t>
        </is>
      </c>
    </row>
    <row r="17">
      <c r="A17" s="78" t="inlineStr">
        <is>
          <t>Patrimonio neto 2025</t>
        </is>
      </c>
      <c r="B17" s="60">
        <f>Dashboard!D31</f>
        <v/>
      </c>
    </row>
    <row r="18">
      <c r="A18" s="78" t="inlineStr">
        <is>
          <t>Patrimonio neto 2026 (proyectado)</t>
        </is>
      </c>
      <c r="B18" s="60">
        <f>Dashboard!E31</f>
        <v/>
      </c>
    </row>
    <row r="19">
      <c r="A19" s="78" t="inlineStr">
        <is>
          <t>Variacion proyectada</t>
        </is>
      </c>
      <c r="B19" s="60">
        <f>Dashboard!F31</f>
        <v/>
      </c>
    </row>
    <row r="20">
      <c r="A20" s="78" t="inlineStr">
        <is>
          <t>Variacion % proyectada</t>
        </is>
      </c>
      <c r="B20" s="62">
        <f>Dashboard!G31</f>
        <v/>
      </c>
    </row>
    <row r="22" ht="20" customHeight="1">
      <c r="A22" s="77" t="inlineStr">
        <is>
          <t>PATRIMONIO DECLARADO EN EL XML</t>
        </is>
      </c>
    </row>
    <row r="23">
      <c r="A23" s="78" t="inlineStr">
        <is>
          <t>Patrimonio total declarado</t>
        </is>
      </c>
      <c r="B23" s="60" t="n">
        <v>883285.5600000001</v>
      </c>
    </row>
    <row r="24">
      <c r="A24" s="78" t="inlineStr">
        <is>
          <t>Atribuible a hijos no emancipados</t>
        </is>
      </c>
      <c r="B24" s="60" t="n">
        <v>0</v>
      </c>
    </row>
    <row r="25">
      <c r="A25" s="78" t="inlineStr">
        <is>
          <t>Patrimonio en la sociedad conyugal</t>
        </is>
      </c>
      <c r="B25" s="60" t="n">
        <v>883285.5600000001</v>
      </c>
    </row>
    <row r="26">
      <c r="A26" s="78" t="inlineStr">
        <is>
          <t>Patrimonio individual del declarante</t>
        </is>
      </c>
      <c r="B26" s="60" t="n">
        <v>0</v>
      </c>
    </row>
    <row r="27">
      <c r="A27" s="78" t="inlineStr">
        <is>
          <t>Patrimonio del anio anterior</t>
        </is>
      </c>
      <c r="B27" s="60" t="n">
        <v>801569.97</v>
      </c>
    </row>
    <row r="28">
      <c r="A28" s="78" t="inlineStr">
        <is>
          <t>Crecimiento / decremento patrimonial</t>
        </is>
      </c>
      <c r="B28" s="60" t="n">
        <v>81715.59</v>
      </c>
    </row>
    <row r="30">
      <c r="A30" s="80" t="inlineStr">
        <is>
          <t>Justificacion de la variacion (ver hoja Justificacion)</t>
        </is>
      </c>
    </row>
    <row r="31">
      <c r="A31" s="81" t="inlineStr">
        <is>
          <t>- 1 - Ingresos locales</t>
        </is>
      </c>
    </row>
    <row r="32">
      <c r="A32" s="81" t="inlineStr">
        <is>
          <t>- 6 - Otros</t>
        </is>
      </c>
    </row>
    <row r="34">
      <c r="A34" s="58" t="inlineStr">
        <is>
          <t>Catalogos del SRI integrados (Tablas 1-19 del archivo CATALOGO.xls).</t>
        </is>
      </c>
    </row>
  </sheetData>
  <mergeCells count="5">
    <mergeCell ref="A16:B16"/>
    <mergeCell ref="A5:B5"/>
    <mergeCell ref="A1:B1"/>
    <mergeCell ref="A3:B3"/>
    <mergeCell ref="A22:B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519"/>
  <sheetViews>
    <sheetView workbookViewId="0">
      <selection activeCell="A1" sqref="A1"/>
    </sheetView>
  </sheetViews>
  <sheetFormatPr baseColWidth="8" defaultRowHeight="15"/>
  <sheetData>
    <row r="1">
      <c r="A1" s="82" t="inlineStr">
        <is>
          <t>DINERO_EN</t>
        </is>
      </c>
      <c r="B1" s="82" t="inlineStr">
        <is>
          <t>TIPO_INVERSION</t>
        </is>
      </c>
      <c r="C1" s="82" t="inlineStr">
        <is>
          <t>UBICACION</t>
        </is>
      </c>
      <c r="D1" s="82" t="inlineStr">
        <is>
          <t>PAIS</t>
        </is>
      </c>
      <c r="E1" s="82" t="inlineStr">
        <is>
          <t>INSTITUCION_FINANCIERA</t>
        </is>
      </c>
      <c r="F1" s="82" t="inlineStr">
        <is>
          <t>PARTES_RELACIONADAS</t>
        </is>
      </c>
      <c r="G1" s="82" t="inlineStr">
        <is>
          <t>TIPO_DRC</t>
        </is>
      </c>
      <c r="H1" s="82" t="inlineStr">
        <is>
          <t>TIPO_PERSONA</t>
        </is>
      </c>
      <c r="I1" s="82" t="inlineStr">
        <is>
          <t>TIPO_BIEN_MUEBLE</t>
        </is>
      </c>
      <c r="J1" s="82" t="inlineStr">
        <is>
          <t>TIPO_VEHICULO</t>
        </is>
      </c>
      <c r="K1" s="82" t="inlineStr">
        <is>
          <t>TIPO_DERECHO</t>
        </is>
      </c>
      <c r="L1" s="82" t="inlineStr">
        <is>
          <t>TIPO_INMUEBLE</t>
        </is>
      </c>
      <c r="M1" s="82" t="inlineStr">
        <is>
          <t>PROVINCIA</t>
        </is>
      </c>
      <c r="N1" s="82" t="inlineStr">
        <is>
          <t>CANTON</t>
        </is>
      </c>
      <c r="O1" s="82" t="inlineStr">
        <is>
          <t>TIPO_ACREEDOR</t>
        </is>
      </c>
      <c r="P1" s="82" t="inlineStr">
        <is>
          <t>TIPO_IDENTIFICACION</t>
        </is>
      </c>
      <c r="Q1" s="82" t="inlineStr">
        <is>
          <t>JUSTIF_INCREMENTO</t>
        </is>
      </c>
      <c r="R1" s="82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Ingresos locales</t>
        </is>
      </c>
      <c r="R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Ingresos exterior</t>
        </is>
      </c>
      <c r="R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DIV - Dividendos</t>
        </is>
      </c>
      <c r="P4" t="inlineStr">
        <is>
          <t>P - Pasaporte</t>
        </is>
      </c>
      <c r="Q4" t="inlineStr">
        <is>
          <t>3 - Herencias, legados o donaciones</t>
        </is>
      </c>
      <c r="R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IES - IESS</t>
        </is>
      </c>
      <c r="P5" t="inlineStr">
        <is>
          <t>R - RUC</t>
        </is>
      </c>
      <c r="Q5" t="inlineStr">
        <is>
          <t>4 - Loterias o rifas</t>
        </is>
      </c>
      <c r="R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IFI - Instituciones financieras</t>
        </is>
      </c>
      <c r="Q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OTR - Otros pasivos</t>
        </is>
      </c>
      <c r="Q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TRA - Transferencias casa matriz</t>
        </is>
      </c>
    </row>
    <row r="9">
      <c r="D9" t="inlineStr">
        <is>
          <t>106 - COSTA RICA</t>
        </is>
      </c>
      <c r="E9" t="inlineStr">
        <is>
          <t>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</row>
    <row r="10">
      <c r="D10" t="inlineStr">
        <is>
          <t>107 - CUBA</t>
        </is>
      </c>
      <c r="E10" t="inlineStr">
        <is>
          <t>014 - BANCO DEL LITORAL S.A.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276 - SEVIMAC S.A.</t>
        </is>
      </c>
    </row>
    <row r="224">
      <c r="D224" t="inlineStr">
        <is>
          <t>515 - TUVALU</t>
        </is>
      </c>
      <c r="E224" t="inlineStr">
        <is>
          <t>277 - SICOBRA S.A.</t>
        </is>
      </c>
    </row>
    <row r="225">
      <c r="D225" t="inlineStr">
        <is>
          <t>516 - VANUATU</t>
        </is>
      </c>
      <c r="E225" t="inlineStr">
        <is>
          <t>279 - TECSOFT S.A.</t>
        </is>
      </c>
    </row>
    <row r="226">
      <c r="D226" t="inlineStr">
        <is>
          <t>517 - GUAM</t>
        </is>
      </c>
      <c r="E226" t="inlineStr">
        <is>
          <t>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281 - VIVERO MIÑO VIVEMISA S.A.</t>
        </is>
      </c>
    </row>
    <row r="228">
      <c r="D228" t="inlineStr">
        <is>
          <t>519 - ISLAS COOK</t>
        </is>
      </c>
      <c r="E228" t="inlineStr">
        <is>
          <t>282 - BANCO DE SANTANDER SOCIEDAD ANONIMA DE CREDITO</t>
        </is>
      </c>
    </row>
    <row r="229">
      <c r="D229" t="inlineStr">
        <is>
          <t>520 - ISLAS NAVIDAD</t>
        </is>
      </c>
      <c r="E229" t="inlineStr">
        <is>
          <t>284 - CHASE MANHATTAN BANK N.A.</t>
        </is>
      </c>
    </row>
    <row r="230">
      <c r="D230" t="inlineStr">
        <is>
          <t>521 - MIDWAY ISLAS</t>
        </is>
      </c>
      <c r="E230" t="inlineStr">
        <is>
          <t>287 - BANCO DO BRASIL S.A.</t>
        </is>
      </c>
    </row>
    <row r="231">
      <c r="D231" t="inlineStr">
        <is>
          <t>522 - NIUE ISLA</t>
        </is>
      </c>
      <c r="E231" t="inlineStr">
        <is>
          <t>288 - DRESDNER BANK LATEINAMERIKA AKTIENGESELLSCHAFT</t>
        </is>
      </c>
    </row>
    <row r="232">
      <c r="D232" t="inlineStr">
        <is>
          <t>523 - NORFOLK ISLA</t>
        </is>
      </c>
      <c r="E232" t="inlineStr">
        <is>
          <t>290 - BANCO DE LA NACION ARGENTINA</t>
        </is>
      </c>
    </row>
    <row r="233">
      <c r="D233" t="inlineStr">
        <is>
          <t>524 - NUEVA  CALEDONIA</t>
        </is>
      </c>
      <c r="E233" t="inlineStr">
        <is>
          <t>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303 - COOPERATIVA DE AHORRO Y CREDITO METROPOLITANA</t>
        </is>
      </c>
    </row>
    <row r="236">
      <c r="D236" t="inlineStr">
        <is>
          <t>529 - TIMOR DEL ESTE</t>
        </is>
      </c>
      <c r="E236" t="inlineStr">
        <is>
          <t>304 - COOPERATIVA DE AHORRO Y CREDITO PADRE JULIAN LORENT</t>
        </is>
      </c>
    </row>
    <row r="237">
      <c r="D237" t="inlineStr">
        <is>
          <t>530 - TOKELAI</t>
        </is>
      </c>
      <c r="E237" t="inlineStr">
        <is>
          <t>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330 - CAMBIOSUR S.A.</t>
        </is>
      </c>
    </row>
    <row r="239">
      <c r="D239" t="inlineStr">
        <is>
          <t>532 - WALLIS Y FUTUNA, ISLAS</t>
        </is>
      </c>
      <c r="E239" t="inlineStr">
        <is>
          <t>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364 - COOPERATIVA DE AHORRO Y CREDITO SAN JOSE LIMITADA</t>
        </is>
      </c>
    </row>
    <row r="242">
      <c r="D242" t="inlineStr">
        <is>
          <t>595 - ALTO VOLTA</t>
        </is>
      </c>
      <c r="E242" t="inlineStr">
        <is>
          <t>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409 - PACIFICARD S.A.</t>
        </is>
      </c>
    </row>
    <row r="246">
      <c r="D246" t="inlineStr">
        <is>
          <t>599 - REPUBLICA CHECA</t>
        </is>
      </c>
      <c r="E246" t="inlineStr">
        <is>
          <t>418 - BANCO PROMERICA S.A.</t>
        </is>
      </c>
    </row>
    <row r="247">
      <c r="D247" t="inlineStr">
        <is>
          <t>600 - FALKLAND ISLANDS</t>
        </is>
      </c>
      <c r="E247" t="inlineStr">
        <is>
          <t>422 - BANCO DELBANK S.A.</t>
        </is>
      </c>
    </row>
    <row r="248">
      <c r="D248" t="inlineStr">
        <is>
          <t>601 - LATVIA</t>
        </is>
      </c>
      <c r="E248" t="inlineStr">
        <is>
          <t>501 - BANCO CAPITAL SOCIEDAD ANONIMA</t>
        </is>
      </c>
    </row>
    <row r="249">
      <c r="D249" t="inlineStr">
        <is>
          <t>602 - LIBIA</t>
        </is>
      </c>
      <c r="E249" t="inlineStr">
        <is>
          <t>590 - CASA DE CAMBIOS ARGENTUM S.A.</t>
        </is>
      </c>
    </row>
    <row r="250">
      <c r="D250" t="inlineStr">
        <is>
          <t>603 - NORTHERN MARIANA ISL</t>
        </is>
      </c>
      <c r="E250" t="inlineStr">
        <is>
          <t>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619 - COOPERATIVA DE AHORRO Y CREDITO LA NUEVA JERUSALEN</t>
        </is>
      </c>
    </row>
    <row r="255">
      <c r="D255" t="inlineStr">
        <is>
          <t>688 - SERBIA</t>
        </is>
      </c>
      <c r="E255" t="inlineStr">
        <is>
          <t>620 - COOPERATIVA DE AHORRO Y CREDITO MALCHINGUI LTDA.</t>
        </is>
      </c>
    </row>
    <row r="256">
      <c r="D256" t="inlineStr">
        <is>
          <t>831 - GUERNSEY</t>
        </is>
      </c>
      <c r="E256" t="inlineStr">
        <is>
          <t>621 - COOPERATIVA DE AHORRO Y CREDITO AMAZONAS LTDA.</t>
        </is>
      </c>
    </row>
    <row r="257">
      <c r="D257" t="inlineStr">
        <is>
          <t>832 - JERSEY</t>
        </is>
      </c>
      <c r="E257" t="inlineStr">
        <is>
          <t>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623 - COOPERATIVA DE AHORRO Y CREDITO TENA LTDA.</t>
        </is>
      </c>
    </row>
    <row r="259">
      <c r="E259" t="inlineStr">
        <is>
          <t>624 - COOPERATIVA DE AHORRO Y CREDITO DE LA PEQUEÑA EMPRESA GUALAQUIZA</t>
        </is>
      </c>
    </row>
    <row r="260">
      <c r="E260" t="inlineStr">
        <is>
          <t>625 - COOPERATIVA DE AHORRO Y CREDITO ALIANZA MINAS LTDA.</t>
        </is>
      </c>
    </row>
    <row r="261">
      <c r="E261" t="inlineStr">
        <is>
          <t>626 - COOPERATIVA DE AHORRO Y CREDITO MI TIERRA</t>
        </is>
      </c>
    </row>
    <row r="262">
      <c r="E262" t="inlineStr">
        <is>
          <t>627 - COOPERATIVA DE AHORRO Y CREDITO DE LA PEQUEÑA EMPRESA CACPE YANZATZA LTDA.</t>
        </is>
      </c>
    </row>
    <row r="263">
      <c r="E263" t="inlineStr">
        <is>
          <t>628 - COOPERATIVA DE AHORRO Y CREDITO FUTURO Y DESARROLLO FUNDESARROLLO</t>
        </is>
      </c>
    </row>
    <row r="264">
      <c r="E264" t="inlineStr">
        <is>
          <t>629 - COOPERATIVA DE AHORRO Y CREDITO DE LA PEQUEÑA EMPRESA ZAMORA CHINCHIPE</t>
        </is>
      </c>
    </row>
    <row r="265">
      <c r="E265" t="inlineStr">
        <is>
          <t>630 - COOPERATIVA DE AHORRO Y CREDITO DESARROLLO INTEGRAL</t>
        </is>
      </c>
    </row>
    <row r="266">
      <c r="E266" t="inlineStr">
        <is>
          <t>631 - COOPERATIVA DE AHORRO Y CREDITO EDUCADORES DE PASTAZA LTDA</t>
        </is>
      </c>
    </row>
    <row r="267">
      <c r="E267" t="inlineStr">
        <is>
          <t>632 - COOPERATIVA DE AHORRO Y CREDITO GRAMEEN AMAZONAS LTDA.</t>
        </is>
      </c>
    </row>
    <row r="268">
      <c r="E268" t="inlineStr">
        <is>
          <t>633 - COOP. AHORRO Y CREDITO DE LOS SERVIDORES PUBLICOS DEL MIN DE EDUCACION Y CULTURA</t>
        </is>
      </c>
    </row>
    <row r="269">
      <c r="E269" t="inlineStr">
        <is>
          <t>634 - COOPERATIVA DE AHORRO Y CREDITO PEDRO MONCAYO LTDA.</t>
        </is>
      </c>
    </row>
    <row r="270">
      <c r="E270" t="inlineStr">
        <is>
          <t>635 - COOPERATIVA DE AHORRO Y CREDITO SAN MIGUEL DE LOS BANCOS LTDA.</t>
        </is>
      </c>
    </row>
    <row r="271">
      <c r="E271" t="inlineStr">
        <is>
          <t>636 - COOPERATIVA DE AHORRO Y CREDITO POLICIA NACIONAL LTDA.</t>
        </is>
      </c>
    </row>
    <row r="272">
      <c r="E272" t="inlineStr">
        <is>
          <t>637 - COOPERATIVA DE AHORRO Y CREDITO NUEVA HUANCAVILCA</t>
        </is>
      </c>
    </row>
    <row r="273">
      <c r="E273" t="inlineStr">
        <is>
          <t>638 - COOPERATIVA DE AHORRO Y CREDITO LA MERCED LTDA.</t>
        </is>
      </c>
    </row>
    <row r="274">
      <c r="E274" t="inlineStr">
        <is>
          <t>639 - COOPERATIVA DE AHORRO Y CREDITO PROMOCION DE VIDA ASOCIADA LTDA.</t>
        </is>
      </c>
    </row>
    <row r="275">
      <c r="E275" t="inlineStr">
        <is>
          <t>640 - COOPERATIVA DE AHORRO Y CREDITO SAN JOSE S.J.</t>
        </is>
      </c>
    </row>
    <row r="276">
      <c r="E276" t="inlineStr">
        <is>
          <t>642 - COOPERATIVA DE AHORRO Y CREDITO SEÑOR DE GIRON</t>
        </is>
      </c>
    </row>
    <row r="277">
      <c r="E277" t="inlineStr">
        <is>
          <t>644 - COOPERATIVA DE AHORRO Y CREDITO INTEGRAL</t>
        </is>
      </c>
    </row>
    <row r="278">
      <c r="E278" t="inlineStr">
        <is>
          <t>645 - COOPERATIVA DE AHORRO CREDITO ERCO LTDA.</t>
        </is>
      </c>
    </row>
    <row r="279">
      <c r="E279" t="inlineStr">
        <is>
          <t>646 - COOPERATIVA DE AHORRO Y CREDITO BAÑOS LTDA</t>
        </is>
      </c>
    </row>
    <row r="280">
      <c r="E280" t="inlineStr">
        <is>
          <t>647 - COOPERATIVA DE AHORRO Y CREDITO EDUCADORES DE TUNGURAHUA LTDA</t>
        </is>
      </c>
    </row>
    <row r="281">
      <c r="E281" t="inlineStr">
        <is>
          <t>648 - COOPERATIVA DE AHORRO Y CREDITO AMBATO LTDA.</t>
        </is>
      </c>
    </row>
    <row r="282">
      <c r="E282" t="inlineStr">
        <is>
          <t>649 - COOPERATIVA DE AHORRO Y CREDITO TUNGURAHUA LTDA.</t>
        </is>
      </c>
    </row>
    <row r="283">
      <c r="E283" t="inlineStr">
        <is>
          <t>651 - COOPERATIVA DE AHORRO Y CREDITO LLANGANATES</t>
        </is>
      </c>
    </row>
    <row r="284">
      <c r="E284" t="inlineStr">
        <is>
          <t>652 - COOPERATIVA DE AHORRO Y CREDITO DORADO LTDA</t>
        </is>
      </c>
    </row>
    <row r="285">
      <c r="E285" t="inlineStr">
        <is>
          <t>653 - COOPERATIVA DE AHORRO Y CREDITO EL CALVARIO LTDA.</t>
        </is>
      </c>
    </row>
    <row r="286">
      <c r="E286" t="inlineStr">
        <is>
          <t>654 - COOPERATIVA DE AHORRO Y CREDITO CREDI FACIL LTDA.</t>
        </is>
      </c>
    </row>
    <row r="287">
      <c r="E287" t="inlineStr">
        <is>
          <t>655 - COOPERATIVA DE AHORRO Y CREDITO VENCEDORES DE TUNGURAHUA LTDA.</t>
        </is>
      </c>
    </row>
    <row r="288">
      <c r="E288" t="inlineStr">
        <is>
          <t>656 - COOPERATIVA DE AHORRO Y CREDITO LOS RIOS</t>
        </is>
      </c>
    </row>
    <row r="289">
      <c r="E289" t="inlineStr">
        <is>
          <t>657 - COOPERATIVA DE AHORRO Y CREDITO NUESTROS ABUELOS LTDA</t>
        </is>
      </c>
    </row>
    <row r="290">
      <c r="E290" t="inlineStr">
        <is>
          <t>658 - COOPERATIVA DE AHORRO Y CREDITO JUAN PIO DE MORA LTDA.</t>
        </is>
      </c>
    </row>
    <row r="291">
      <c r="E291" t="inlineStr">
        <is>
          <t>659 - COOPERATIVA DE AHORRO Y CREDITO ARTESANOS LTDA.</t>
        </is>
      </c>
    </row>
    <row r="292">
      <c r="E292" t="inlineStr">
        <is>
          <t>660 - COOPERATIVA DE AHORRO Y CREDITO SANTA ANITA LTDA.</t>
        </is>
      </c>
    </row>
    <row r="293">
      <c r="E293" t="inlineStr">
        <is>
          <t>661 - COOPERATIVA DE AHORRO Y CREDITO MUJERES UNIDAS</t>
        </is>
      </c>
    </row>
    <row r="294">
      <c r="E294" t="inlineStr">
        <is>
          <t>662 - COOPERATIVA DE AHORRO Y CREDITO SAN ANTONIO LTDA. IMBABURA</t>
        </is>
      </c>
    </row>
    <row r="295">
      <c r="E295" t="inlineStr">
        <is>
          <t>663 - COOPERATIVA DE AHORRO Y CREDITO HUAYCO PUNGO</t>
        </is>
      </c>
    </row>
    <row r="296">
      <c r="E296" t="inlineStr">
        <is>
          <t>664 - COOPERATIVA DE AHORRO Y CREDITO ANDINA LTDA.</t>
        </is>
      </c>
    </row>
    <row r="297">
      <c r="E297" t="inlineStr">
        <is>
          <t>665 - COOPERATIVA DE AHORRO Y CREDITO 15 DE AGOSTO DE PILACOTO</t>
        </is>
      </c>
    </row>
    <row r="298">
      <c r="E298" t="inlineStr">
        <is>
          <t>666 - COOPERATIVA DE AHORRO Y CREDITO PILAHUIN</t>
        </is>
      </c>
    </row>
    <row r="299">
      <c r="E299" t="inlineStr">
        <is>
          <t>667 - COOPERATIVA DE AHORRO Y CREDITO PUCARA LTDA.</t>
        </is>
      </c>
    </row>
    <row r="300">
      <c r="E300" t="inlineStr">
        <is>
          <t>668 - COOPERATIVA DE AHORRO Y CREDITO SINCHI RUNA LTDA.</t>
        </is>
      </c>
    </row>
    <row r="301">
      <c r="E301" t="inlineStr">
        <is>
          <t>669 - COOPERATIVA DE AHORRO Y CREDITO CRISTO REY</t>
        </is>
      </c>
    </row>
    <row r="302">
      <c r="E302" t="inlineStr">
        <is>
          <t>670 - COOPERATIVA DE AHORRO Y CREDITO SEMILLA DEL PROGRESO LTDA.</t>
        </is>
      </c>
    </row>
    <row r="303">
      <c r="E303" t="inlineStr">
        <is>
          <t>671 - COOPERATIVA DE AHORRO Y CREDITO CARIAMANGA LTDA.</t>
        </is>
      </c>
    </row>
    <row r="304">
      <c r="E304" t="inlineStr">
        <is>
          <t>672 - COOPERATIVA DE AHORRO Y CREDITO DE LA CAMARA DE COMERCIO DE PINDAL CADECOPI</t>
        </is>
      </c>
    </row>
    <row r="305">
      <c r="E305" t="inlineStr">
        <is>
          <t>673 - COOPERATIVA DE AHORRO Y CREDITO GONZANAMA</t>
        </is>
      </c>
    </row>
    <row r="306">
      <c r="E306" t="inlineStr">
        <is>
          <t>674 - COOPERATIVA DE AHORRO Y CREDITO QUILANGA LTDA.</t>
        </is>
      </c>
    </row>
    <row r="307">
      <c r="E307" t="inlineStr">
        <is>
          <t>675 - COOPERATIVA DE AHORRO Y CREDITO MARCABELI LTDA</t>
        </is>
      </c>
    </row>
    <row r="308">
      <c r="E308" t="inlineStr">
        <is>
          <t>676 - COOPERATIVA DE AHORRO Y CREDITO AGRICOLA JUNIN</t>
        </is>
      </c>
    </row>
    <row r="309">
      <c r="E309" t="inlineStr">
        <is>
          <t>677 - COOPERATIVA DE AHORRO Y CREDITO PUERTO LOPEZ LTDA.</t>
        </is>
      </c>
    </row>
    <row r="310">
      <c r="E310" t="inlineStr">
        <is>
          <t>678 - COOPERATIVA DE AHORRO Y CREDITO CAMARA DE COMERCIO DEL CANTON BOLIVAR LTDA.</t>
        </is>
      </c>
    </row>
    <row r="311">
      <c r="E311" t="inlineStr">
        <is>
          <t>679 - COOPERATIVA DE AHORRO Y CREDITO NUEVA ESPERANZA LTDA</t>
        </is>
      </c>
    </row>
    <row r="312">
      <c r="E312" t="inlineStr">
        <is>
          <t>680 - COOPERATIVA DE AHORRO Y CREDITO SAN JORGE LTDA</t>
        </is>
      </c>
    </row>
    <row r="313">
      <c r="E313" t="inlineStr">
        <is>
          <t>682 - COOPERATIVA DE AHORRO Y CREDITO ACCION Y DESARROLLO LTDA</t>
        </is>
      </c>
    </row>
    <row r="314">
      <c r="E314" t="inlineStr">
        <is>
          <t>683 - COOPERATIVA DE AHORRO Y CREDITO EDUCADORES DE CHIMBORAZO</t>
        </is>
      </c>
    </row>
    <row r="315">
      <c r="E315" t="inlineStr">
        <is>
          <t>684 - COOPERATIVA DE AHORRO Y CREDITO MINGA LTDA</t>
        </is>
      </c>
    </row>
    <row r="316">
      <c r="E316" t="inlineStr">
        <is>
          <t>685 - COOPERATIVA DE AHORRO Y CREDITO 4 DE OCTUBRE</t>
        </is>
      </c>
    </row>
    <row r="317">
      <c r="E317" t="inlineStr">
        <is>
          <t>686 - COOPERATIVA DE AHORRO Y CREDITO CAMARA DE COMERCIO INDIGENA DE GUAMOTE LTDA</t>
        </is>
      </c>
    </row>
    <row r="318">
      <c r="E318" t="inlineStr">
        <is>
          <t>687 - COOPERATIVA DE AHORRO Y CREDITO FERNANDO DAQUILEMA</t>
        </is>
      </c>
    </row>
    <row r="319">
      <c r="E319" t="inlineStr">
        <is>
          <t>688 - COOPERATIVA DE AHORRO Y CREDITO SUMAC LLACTA LTDA.</t>
        </is>
      </c>
    </row>
    <row r="320">
      <c r="E320" t="inlineStr">
        <is>
          <t>689 - COOPERATIVA DE AHORRO Y CREDITO SAN GABRIEL LTDA.</t>
        </is>
      </c>
    </row>
    <row r="321">
      <c r="E321" t="inlineStr">
        <is>
          <t>690 - COOPERATIVA DE AHORRO Y CREDITO CAMARA DE COMERCIO JOYA DE LOS SACHAS LTDA</t>
        </is>
      </c>
    </row>
    <row r="322">
      <c r="E322" t="inlineStr">
        <is>
          <t>691 - COOPERATIVA DE AHORRO Y CREDITO PUERTO FRANCISCO DE ORELLANA</t>
        </is>
      </c>
    </row>
    <row r="323">
      <c r="E323" t="inlineStr">
        <is>
          <t>692 - COOPERATIVA DE AHORRO Y CREDITO CRECIENDO JUNTOS LTDA.</t>
        </is>
      </c>
    </row>
    <row r="324">
      <c r="E324" t="inlineStr">
        <is>
          <t>693 - COOPERATIVA DE AHORRO Y CREDITO EL COMERCIANTE LTDA.</t>
        </is>
      </c>
    </row>
    <row r="325">
      <c r="E325" t="inlineStr">
        <is>
          <t>694 - COOPERATIVA DE AHORRO Y CREDITO EL DISCAPACITADO</t>
        </is>
      </c>
    </row>
    <row r="326">
      <c r="E326" t="inlineStr">
        <is>
          <t>695 - COOPERATIVA DE AHORRO Y CREDITO EL MIGRANTE SOLIDARIO</t>
        </is>
      </c>
    </row>
    <row r="327">
      <c r="E327" t="inlineStr">
        <is>
          <t>696 - COOPERATIVA DE AHORRO Y CREDITO EL TESORO PILLAREÑO</t>
        </is>
      </c>
    </row>
    <row r="328">
      <c r="E328" t="inlineStr">
        <is>
          <t>697 - COOPERATIVA DE AHORRO Y CREDITO EL TRANSPORTISTA CACET</t>
        </is>
      </c>
    </row>
    <row r="329">
      <c r="E329" t="inlineStr">
        <is>
          <t>698 - COOPERATIVA DE AHORRO Y CREDITO EMPLEADOS BANCARIOS DE EL ORO LTDA</t>
        </is>
      </c>
    </row>
    <row r="330">
      <c r="E330" t="inlineStr">
        <is>
          <t>699 - COOPERATIVA DE AHORRO Y CREDITO ESPERANZA Y PROGRESO DEL VALLE</t>
        </is>
      </c>
    </row>
    <row r="331">
      <c r="E331" t="inlineStr">
        <is>
          <t>700 - COOPERATIVA DE AHORRO Y CREDITO FASAYÑAN LTDA.</t>
        </is>
      </c>
    </row>
    <row r="332">
      <c r="E332" t="inlineStr">
        <is>
          <t>701 - COOPERATIVA DE AHORRO Y CREDITO FRANDESC LTDA</t>
        </is>
      </c>
    </row>
    <row r="333">
      <c r="E333" t="inlineStr">
        <is>
          <t>702 - COOP DE AHORRO Y CREDITO FUERZA ENTRE NOSOTROS PARA IMPULSAR EL EXITO FENIX</t>
        </is>
      </c>
    </row>
    <row r="334">
      <c r="E334" t="inlineStr">
        <is>
          <t>703 - COOPERATIVA DE AHORRO Y CREDITO FUNDAR</t>
        </is>
      </c>
    </row>
    <row r="335">
      <c r="E335" t="inlineStr">
        <is>
          <t>704 - COOPERATIVA DE AHORRO Y CREDITO GAÑANSOL LTDA.COOP. GAÑANSOL</t>
        </is>
      </c>
    </row>
    <row r="336">
      <c r="E336" t="inlineStr">
        <is>
          <t>705 - COOPERATIVA DE AHORRO Y CREDITO GENESIS LTDA</t>
        </is>
      </c>
    </row>
    <row r="337">
      <c r="E337" t="inlineStr">
        <is>
          <t>706 - COOPERATIVA DE AHORRO Y CREDITO GUACHAPALA</t>
        </is>
      </c>
    </row>
    <row r="338">
      <c r="E338" t="inlineStr">
        <is>
          <t>707 - COOPERATIVA DE AHORRO Y CREDITO GUARUMAL DEL CENTRO LTDA.</t>
        </is>
      </c>
    </row>
    <row r="339">
      <c r="E339" t="inlineStr">
        <is>
          <t>708 - COOPERATIVA DE AHORRO Y CREDITO GUEL LTDA.</t>
        </is>
      </c>
    </row>
    <row r="340">
      <c r="E340" t="inlineStr">
        <is>
          <t>709 - COOPERATIVA DE AHORRO Y CREDITO HUINARA LTDA.</t>
        </is>
      </c>
    </row>
    <row r="341">
      <c r="E341" t="inlineStr">
        <is>
          <t>710 - COOPERATIVA DE AHORRO Y CREDITO ILINIZA LTDA.</t>
        </is>
      </c>
    </row>
    <row r="342">
      <c r="E342" t="inlineStr">
        <is>
          <t>711 - COOPERATIVA DE AHORRO Y CREDITO INDIGENA SAC PELILEO LTDA.</t>
        </is>
      </c>
    </row>
    <row r="343">
      <c r="E343" t="inlineStr">
        <is>
          <t>712 - COOPERATIVA DE AHORRO Y CREDITO INTERCULTURAL TARPUK RUNA LTDA.</t>
        </is>
      </c>
    </row>
    <row r="344">
      <c r="E344" t="inlineStr">
        <is>
          <t>713 - COOPERATIVA DE AHORRO Y CREDITO INTERCULTURAL TAWANTINSUYU LTDA.</t>
        </is>
      </c>
    </row>
    <row r="345">
      <c r="E345" t="inlineStr">
        <is>
          <t>714 - COOPERATIVA DE AHORRO Y CREDITO INTI WASI LTDA INTICOOP</t>
        </is>
      </c>
    </row>
    <row r="346">
      <c r="E346" t="inlineStr">
        <is>
          <t>715 - COOPERATIVA DE AHORRO Y CREDITO JOYOCOTO LTDA</t>
        </is>
      </c>
    </row>
    <row r="347">
      <c r="E347" t="inlineStr">
        <is>
          <t>716 - COOPERATIVA DE AHORRO Y CREDITO JUVENTUD UNIDA LTDA.</t>
        </is>
      </c>
    </row>
    <row r="348">
      <c r="E348" t="inlineStr">
        <is>
          <t>717 - COOPERATIVA DE AHORRO Y CREDITO MUSHUC RUNA</t>
        </is>
      </c>
    </row>
    <row r="349">
      <c r="E349" t="inlineStr">
        <is>
          <t>718 - COOPERATIVA DE AHORRO Y CREDITO KURI WASI LTDA</t>
        </is>
      </c>
    </row>
    <row r="350">
      <c r="E350" t="inlineStr">
        <is>
          <t>719 - COOPERATIVA DE AHORRO Y CREDITO KURIÑAN</t>
        </is>
      </c>
    </row>
    <row r="351">
      <c r="E351" t="inlineStr">
        <is>
          <t>720 - COOPERATIVA DE AHORRO Y CREDITO LA BENEFICA LTDA.</t>
        </is>
      </c>
    </row>
    <row r="352">
      <c r="E352" t="inlineStr">
        <is>
          <t>721 - COOPERATIVA DE AHORRO Y CREDITO LA FLORESTA LTDA</t>
        </is>
      </c>
    </row>
    <row r="353">
      <c r="E353" t="inlineStr">
        <is>
          <t>722 - COOPERATIVA DE AHORRO Y CREDITO LA FLORIDA</t>
        </is>
      </c>
    </row>
    <row r="354">
      <c r="E354" t="inlineStr">
        <is>
          <t>723 - COOPERATIVA DE AHORRO Y CREDITO LA INMACULADA DE SAN PLACIDO LTDA.</t>
        </is>
      </c>
    </row>
    <row r="355">
      <c r="E355" t="inlineStr">
        <is>
          <t>724 - COOPERATIVA DE AHORRO Y CREDITO LA LIBERTAD LTDA</t>
        </is>
      </c>
    </row>
    <row r="356">
      <c r="E356" t="inlineStr">
        <is>
          <t>725 - COOPERATIVA DE AHORRO Y CREDITO LA UNION LTDA</t>
        </is>
      </c>
    </row>
    <row r="357">
      <c r="E357" t="inlineStr">
        <is>
          <t>726 - COOPERATIVA DE AHORRO Y CREDITO LAS LAGUNAS</t>
        </is>
      </c>
    </row>
    <row r="358">
      <c r="E358" t="inlineStr">
        <is>
          <t>727 - COOPERATIVA DE AHORRO Y CREDITO LOS ANDES LATINOS LTDA.</t>
        </is>
      </c>
    </row>
    <row r="359">
      <c r="E359" t="inlineStr">
        <is>
          <t>728 - COOPERATIVA DE AHORRO Y CREDITO LOS CHASQUIS PASTOCALLE LTDA.</t>
        </is>
      </c>
    </row>
    <row r="360">
      <c r="E360" t="inlineStr">
        <is>
          <t>729 - COOPERATIVA DE AHORRO Y CREDITO LUZ DEL VALLE</t>
        </is>
      </c>
    </row>
    <row r="361">
      <c r="E361" t="inlineStr">
        <is>
          <t>730 - COOPERATIVA DE AHORRO Y CREDITO MACODES LTDA</t>
        </is>
      </c>
    </row>
    <row r="362">
      <c r="E362" t="inlineStr">
        <is>
          <t>731 - COOPERATIVA DE AHORRO Y CREDITO MARIA AUXILIADORA DE QUIROGA LTDA.</t>
        </is>
      </c>
    </row>
    <row r="363">
      <c r="E363" t="inlineStr">
        <is>
          <t>732 - COOPERATIVA DE AHORRO Y CREDITO MICROEMPRESARIAL SUCRE</t>
        </is>
      </c>
    </row>
    <row r="364">
      <c r="E364" t="inlineStr">
        <is>
          <t>733 - COOPERATIVA DE AHORRO Y CREDITO MIGRANTES &amp; EMPRENDEDORES LTDA</t>
        </is>
      </c>
    </row>
    <row r="365">
      <c r="E365" t="inlineStr">
        <is>
          <t>734 - COOPERATIVA DE AHORRO Y CREDITO MULTICULTURAL BANCO INDIGENA LTDA.</t>
        </is>
      </c>
    </row>
    <row r="366">
      <c r="E366" t="inlineStr">
        <is>
          <t>735 - COOPERATIVA DE AHORRO Y CREDITO MUSHUG CAUSAY LTDA</t>
        </is>
      </c>
    </row>
    <row r="367">
      <c r="E367" t="inlineStr">
        <is>
          <t>736 - COOPERATIVA DE AHORRO Y CREDITO MUSHUK PAKARI LTDA</t>
        </is>
      </c>
    </row>
    <row r="368">
      <c r="E368" t="inlineStr">
        <is>
          <t>737 - COOPERATIVA DE AHORRO Y CREDITO MUSHUK PAKARIK LTDA.</t>
        </is>
      </c>
    </row>
    <row r="369">
      <c r="E369" t="inlineStr">
        <is>
          <t>738 - COOPERATIVA DE AHORRO Y CREDITO MUSHUK YUYAY</t>
        </is>
      </c>
    </row>
    <row r="370">
      <c r="E370" t="inlineStr">
        <is>
          <t>739 - COOPERATIVA DE AHORRO Y CREDITO MUSHUKWASI</t>
        </is>
      </c>
    </row>
    <row r="371">
      <c r="E371" t="inlineStr">
        <is>
          <t>740 - COOPERATIVA DE AHORRO Y CREDITO NUEVA FUERZA ALIANZA LTDA</t>
        </is>
      </c>
    </row>
    <row r="372">
      <c r="E372" t="inlineStr">
        <is>
          <t>741 - COOPERATIVA AHORRO Y CREDITO DE LA PEQUEÑA EMPRESA CACPE LOJA LTDA.</t>
        </is>
      </c>
    </row>
    <row r="373">
      <c r="E373" t="inlineStr">
        <is>
          <t>742 - COOPERATIVA DE AHORRO Y CREDITO ÑUKA LLAKTA LTDA</t>
        </is>
      </c>
    </row>
    <row r="374">
      <c r="E374" t="inlineStr">
        <is>
          <t>743 - COOPERATIVA DE AHORRO Y CREDITO OCIPSA</t>
        </is>
      </c>
    </row>
    <row r="375">
      <c r="E375" t="inlineStr">
        <is>
          <t>744 - COOPERATIVA DE AHORRO Y CREDITO OLMEDO LTDA.</t>
        </is>
      </c>
    </row>
    <row r="376">
      <c r="E376" t="inlineStr">
        <is>
          <t>745 - COOPERATIVA DE AHORRO Y CREDITO PADRE VICENTE PONCE RUBIO</t>
        </is>
      </c>
    </row>
    <row r="377">
      <c r="E377" t="inlineStr">
        <is>
          <t>746 - COOPERATIVA DE AHORRO Y CREDITO POPULAR Y SOLIDARIA</t>
        </is>
      </c>
    </row>
    <row r="378">
      <c r="E378" t="inlineStr">
        <is>
          <t>748 - COOP. DE AHORRO Y CREDITO PRODUCCION AHORRO INVERSION SERVICIO P.A.I.S. LTDA</t>
        </is>
      </c>
    </row>
    <row r="379">
      <c r="E379" t="inlineStr">
        <is>
          <t>749 - COOPERATIVA DE AHORRO Y CREDITO PRODUCCION Y DESARROLLO AGRICOLA COOPRODESA LTDA</t>
        </is>
      </c>
    </row>
    <row r="380">
      <c r="E380" t="inlineStr">
        <is>
          <t>750 - COOPERATIVA DE AHORRO Y CREDITO PROFUTURO LTDA</t>
        </is>
      </c>
    </row>
    <row r="381">
      <c r="E381" t="inlineStr">
        <is>
          <t>751 - COOPERATIVA DE AHORRO Y CREDITO PUJILI LTDA.</t>
        </is>
      </c>
    </row>
    <row r="382">
      <c r="E382" t="inlineStr">
        <is>
          <t>752 - COOPERATIVA DE AHORRO Y CREDITO RIOCHICO</t>
        </is>
      </c>
    </row>
    <row r="383">
      <c r="E383" t="inlineStr">
        <is>
          <t>753 - COOPERATIVA DE AHORRO Y CREDITO 9 DE OCTUBRE</t>
        </is>
      </c>
    </row>
    <row r="384">
      <c r="E384" t="inlineStr">
        <is>
          <t>754 - COOPERATIVA DE AHORRO Y CREDITO SALASACA</t>
        </is>
      </c>
    </row>
    <row r="385">
      <c r="E385" t="inlineStr">
        <is>
          <t>755 - COOPERATIVA DE AHORRO Y CREDITO SALATE LTDA.</t>
        </is>
      </c>
    </row>
    <row r="386">
      <c r="E386" t="inlineStr">
        <is>
          <t>756 - COOPERATIVA DE AHORRO Y CREDITO SALINAS LIMITADA</t>
        </is>
      </c>
    </row>
    <row r="387">
      <c r="E387" t="inlineStr">
        <is>
          <t>757 - COOPERATIVA DE AHORRO Y CREDITO SAN ANTONIO DE TOACASO</t>
        </is>
      </c>
    </row>
    <row r="388">
      <c r="E388" t="inlineStr">
        <is>
          <t>758 - COOPERATIVA DE AHORRO Y CREDITO SAN ANTONIO LTDA.</t>
        </is>
      </c>
    </row>
    <row r="389">
      <c r="E389" t="inlineStr">
        <is>
          <t>759 - COOPERATIVA DE AHORRO Y CREDITO SAN BARTOLO LTDA.</t>
        </is>
      </c>
    </row>
    <row r="390">
      <c r="E390" t="inlineStr">
        <is>
          <t>760 - COOPERATIVA DE AHORRO Y CREDITO SAN BARTOLOME LTDA.</t>
        </is>
      </c>
    </row>
    <row r="391">
      <c r="E391" t="inlineStr">
        <is>
          <t>761 - COOPERATIVA DE AHORRO Y CREDITO SAN FERNANDO LIMITADA</t>
        </is>
      </c>
    </row>
    <row r="392">
      <c r="E392" t="inlineStr">
        <is>
          <t>762 - COOPERATIVA DE AHORRO Y CREDITO SAN ISIDRO LTDA.</t>
        </is>
      </c>
    </row>
    <row r="393">
      <c r="E393" t="inlineStr">
        <is>
          <t>763 - COOPERATIVA DE AHORRO Y CREDITO SAN JOSE - AIRO</t>
        </is>
      </c>
    </row>
    <row r="394">
      <c r="E394" t="inlineStr">
        <is>
          <t>764 - COOPERATIVA DE AHORRO Y CREDITO SAN MARCOS</t>
        </is>
      </c>
    </row>
    <row r="395">
      <c r="E395" t="inlineStr">
        <is>
          <t>765 - COOPERATIVA DE AHORRO Y CREDITO SAN MARTIN DE TISALEO LTDA</t>
        </is>
      </c>
    </row>
    <row r="396">
      <c r="E396" t="inlineStr">
        <is>
          <t>766 - COOPERATIVA DE AHORRO Y CREDITO SAN MIGUEL DE PALLATANGA</t>
        </is>
      </c>
    </row>
    <row r="397">
      <c r="E397" t="inlineStr">
        <is>
          <t>767 - COOPERATIVA DE AHORRO Y CREDITO SAN PEDRO DE PELILEO LTDA.</t>
        </is>
      </c>
    </row>
    <row r="398">
      <c r="E398" t="inlineStr">
        <is>
          <t>768 - COOPERATIVA DE AHORRO Y CREDITO SAN PEDRO LTDA.</t>
        </is>
      </c>
    </row>
    <row r="399">
      <c r="E399" t="inlineStr">
        <is>
          <t>769 - COOPERATIVA DE AHORRO Y CREDITO SAN SANTIAGO DE MOLLETURO</t>
        </is>
      </c>
    </row>
    <row r="400">
      <c r="E400" t="inlineStr">
        <is>
          <t>770 - COOPERATIVA DE AHORRO Y CREDITO SAN SEBASTIAN - LOJA</t>
        </is>
      </c>
    </row>
    <row r="401">
      <c r="E401" t="inlineStr">
        <is>
          <t>771 - COOPERATIVA DE AHORRO Y CREDITO SANTA ISABEL LTDA</t>
        </is>
      </c>
    </row>
    <row r="402">
      <c r="E402" t="inlineStr">
        <is>
          <t>772 - COOPERATIVA DE AHORRO Y CREDITO SARAGUROS</t>
        </is>
      </c>
    </row>
    <row r="403">
      <c r="E403" t="inlineStr">
        <is>
          <t>773 - COOPERATIVA DE AHORRO Y CREDITO SERVIDORES MUNICIPALES DE CUENCA</t>
        </is>
      </c>
    </row>
    <row r="404">
      <c r="E404" t="inlineStr">
        <is>
          <t>774 - COOPERATIVA DE AHORRO Y CREDITO SIMON BOLIVAR</t>
        </is>
      </c>
    </row>
    <row r="405">
      <c r="E405" t="inlineStr">
        <is>
          <t>775 - COOPERATIVA DE AHORRO Y CREDITO SOCIO AMIGO COOPSA</t>
        </is>
      </c>
    </row>
    <row r="406">
      <c r="E406" t="inlineStr">
        <is>
          <t>776 - COOPERATIVA DE AHORRO Y CREDITO SOL DE LOS ANDES LTDA</t>
        </is>
      </c>
    </row>
    <row r="407">
      <c r="E407" t="inlineStr">
        <is>
          <t>777 - COOPERATIVA DE AHORRO Y CREDITO SOLIDARIA LTDA</t>
        </is>
      </c>
    </row>
    <row r="408">
      <c r="E408" t="inlineStr">
        <is>
          <t>778 - COOPERATIVA DE AHORRO Y CREDITO SOLIDARIA LTDA. GUALAQUIZA</t>
        </is>
      </c>
    </row>
    <row r="409">
      <c r="E409" t="inlineStr">
        <is>
          <t>779 - COOPERATIVA DE AHORRO Y CREDITO SOLIDARIDAD Y PROGRESO ORIENTAL</t>
        </is>
      </c>
    </row>
    <row r="410">
      <c r="E410" t="inlineStr">
        <is>
          <t>780 - COOPERATIVA DE AHORRO Y CREDITO SUMAK SAMY LTDA.</t>
        </is>
      </c>
    </row>
    <row r="411">
      <c r="E411" t="inlineStr">
        <is>
          <t>781 - COOPERATIVA DE AHORRO Y CREDITO UNIBLOCK Y SERVICIOS LTDA.</t>
        </is>
      </c>
    </row>
    <row r="412">
      <c r="E412" t="inlineStr">
        <is>
          <t>782 - COOPERATIVA DE AHORRO Y CREDITO UNIOTAVALO LTDA</t>
        </is>
      </c>
    </row>
    <row r="413">
      <c r="E413" t="inlineStr">
        <is>
          <t>783 - COOPERATIVA DE AHORRO Y CREDITO WARMIKUNAPAK RIKCHARI LTDA.</t>
        </is>
      </c>
    </row>
    <row r="414">
      <c r="E414" t="inlineStr">
        <is>
          <t>784 - COOPERATIVA DE AHORRO Y CREDITO WUAMANLOMA LTDA.</t>
        </is>
      </c>
    </row>
    <row r="415">
      <c r="E415" t="inlineStr">
        <is>
          <t>785 - COOPERATIVA DE SERVICIOS MULTIPLES AGRO VIDA COOSEMAV</t>
        </is>
      </c>
    </row>
    <row r="416">
      <c r="E416" t="inlineStr">
        <is>
          <t>786 - COOPERTATIVA DE AHORRO Y CREDITO UNION QUISAPINCHA LTDA.</t>
        </is>
      </c>
    </row>
    <row r="417">
      <c r="E417" t="inlineStr">
        <is>
          <t>787 - COOPJADAN LTDA, COOPERATIVA DE AHORRO Y CREDITO JADAN</t>
        </is>
      </c>
    </row>
    <row r="418">
      <c r="E418" t="inlineStr">
        <is>
          <t>788 - COOPERATIVA DE AHORRO Y CREDITO CACPE MANABI</t>
        </is>
      </c>
    </row>
    <row r="419">
      <c r="E419" t="inlineStr">
        <is>
          <t>789 - COOPERATIVA DE AHORRO Y CREDITO CRECER WIÑARI LTDA.</t>
        </is>
      </c>
    </row>
    <row r="420">
      <c r="E420" t="inlineStr">
        <is>
          <t>790 - COOP. AHORRO Y CREDITO DEL SINDICATO DE CHOFERES PROFESIONALES DEL AZUAY LTDA.</t>
        </is>
      </c>
    </row>
    <row r="421">
      <c r="E421" t="inlineStr">
        <is>
          <t>791 - COOPERATIVA DE AHORRO Y CREDITO EMPRENDEDORES 'COOPEMPRENDER' LIMITADA</t>
        </is>
      </c>
    </row>
    <row r="422">
      <c r="E422" t="inlineStr">
        <is>
          <t>792 - COOPERATIVA DE AHORRO Y CREDITO NUEVA LOJA LTDA.</t>
        </is>
      </c>
    </row>
    <row r="423">
      <c r="E423" t="inlineStr">
        <is>
          <t>793 - COOPERATIVA DE AHORRO Y CREDITO SAN JUAN DE COTOGCHOA</t>
        </is>
      </c>
    </row>
    <row r="424">
      <c r="E424" t="inlineStr">
        <is>
          <t>802 - COOPERATIVA DE AHORRO Y CREDITO MAS AHORRO SOLIDARIO MASCOOP</t>
        </is>
      </c>
    </row>
    <row r="425">
      <c r="E425" t="inlineStr">
        <is>
          <t>815 - COOPERATIVA DE AHORRO Y CREDITO TIENDA DE DINERO LTDA.</t>
        </is>
      </c>
    </row>
    <row r="426">
      <c r="E426" t="inlineStr">
        <is>
          <t>816 - COOPERATIVA DE AHORRO Y CREDITO VILCABAMBA CACVIL</t>
        </is>
      </c>
    </row>
    <row r="427">
      <c r="E427" t="inlineStr">
        <is>
          <t>869 - AUSTROBANK OVERSEAS PANAMA S.A</t>
        </is>
      </c>
    </row>
    <row r="428">
      <c r="E428" t="inlineStr">
        <is>
          <t>900 - EXTERNALIZACIÓN DE SERVICIOS S.A. EXSERSA</t>
        </is>
      </c>
    </row>
    <row r="429">
      <c r="E429" t="inlineStr">
        <is>
          <t>901 - BANCO DEL INSTITUTO ECUATORIANO DE SEGURIDAD SOCIAL</t>
        </is>
      </c>
    </row>
    <row r="430">
      <c r="E430" t="inlineStr">
        <is>
          <t>903 - COOPERATIVA DE AHORRO Y CREDITO 23 DE MAYO LTDA.</t>
        </is>
      </c>
    </row>
    <row r="431">
      <c r="E431" t="inlineStr">
        <is>
          <t>904 - COOPERATIVA DE AHORRO Y CRÉDITO COCA LTDA</t>
        </is>
      </c>
    </row>
    <row r="432">
      <c r="E432" t="inlineStr">
        <is>
          <t>905 - COOPERATIVA  DE AHORRO Y CRÉDITO PILAHUIN TIO LTDA</t>
        </is>
      </c>
    </row>
    <row r="433">
      <c r="E433" t="inlineStr">
        <is>
          <t>906 - COOPERATIVA  DE AHORRO Y CRÉDITO HUAICANA LTDA</t>
        </is>
      </c>
    </row>
    <row r="434">
      <c r="E434" t="inlineStr">
        <is>
          <t>907 - COOPERATIVA DE AHORRO Y CREDITO  CREDISUR LTDA.</t>
        </is>
      </c>
    </row>
    <row r="435">
      <c r="E435" t="inlineStr">
        <is>
          <t>908 - COOPERATIVA DE AHORRO Y CREDITO  MAQUITA CUSHUNCHIC LTDA.</t>
        </is>
      </c>
    </row>
    <row r="436">
      <c r="E436" t="inlineStr">
        <is>
          <t>909 - COOPERATIVA DE AHORRO Y CREDITO  GENERAL RUMIÑAHUI</t>
        </is>
      </c>
    </row>
    <row r="437">
      <c r="E437" t="inlineStr">
        <is>
          <t>910 - COOPERATIVA DE AHORRO Y CREDITO  CASAG LTDA</t>
        </is>
      </c>
    </row>
    <row r="438">
      <c r="E438" t="inlineStr">
        <is>
          <t>911 - COOPERATIVA DE AHORRO Y CREDITO  FOCLA</t>
        </is>
      </c>
    </row>
    <row r="439">
      <c r="E439" t="inlineStr">
        <is>
          <t>912 - COOPERATIVA DE AHORRO Y CREDITO  FINANCIERA INDIGENA LTDA.</t>
        </is>
      </c>
    </row>
    <row r="440">
      <c r="E440" t="inlineStr">
        <is>
          <t>913 - SOCIEDAD FINANCIERA VISIONFUND ECUADOR S.A.</t>
        </is>
      </c>
    </row>
    <row r="441">
      <c r="E441" t="inlineStr">
        <is>
          <t>915 - BANCO-D-MIRO S.A.</t>
        </is>
      </c>
    </row>
    <row r="442">
      <c r="E442" t="inlineStr">
        <is>
          <t>916 - COOPERATIVA  DE AHORRO Y CREDITO HUAQUILLAS LTDA.</t>
        </is>
      </c>
    </row>
    <row r="443">
      <c r="E443" t="inlineStr">
        <is>
          <t>917 - COOPERATIVA DE AHORRO Y CREDITO  DEL COL. FISC. EXPER. VICENTE ROCAFUERTE</t>
        </is>
      </c>
    </row>
    <row r="444">
      <c r="E444" t="inlineStr">
        <is>
          <t>918 - BANCO PARA LA ASISTENCIA COMUNITARIA FINCA S.A.</t>
        </is>
      </c>
    </row>
    <row r="445">
      <c r="E445" t="inlineStr">
        <is>
          <t>920 - COOPERATIVA DE AHORRO Y CREDITO  ECUAFUTURO LTDA.</t>
        </is>
      </c>
    </row>
    <row r="446">
      <c r="E446" t="inlineStr">
        <is>
          <t>921 - COOPERATIVA DE AHORRO Y CREDITO  MAQUITA CUSHUN LTDA.</t>
        </is>
      </c>
    </row>
    <row r="447">
      <c r="E447" t="inlineStr">
        <is>
          <t>922 - COOPERATIVA DE AHORRO Y CREDITO  VALLES DEL LIRIO</t>
        </is>
      </c>
    </row>
    <row r="448">
      <c r="E448" t="inlineStr">
        <is>
          <t>923 - COOPERATIVA  ESFUERZO UNIDO PARA EL DESARR. DEL CHILCO LA ESPERANZA</t>
        </is>
      </c>
    </row>
    <row r="449">
      <c r="E449" t="inlineStr">
        <is>
          <t>924 - COOPERATIVA  A. Y C. CARROCEROS DE TUNGURAHUA</t>
        </is>
      </c>
    </row>
    <row r="450">
      <c r="E450" t="inlineStr">
        <is>
          <t>925 - COOPERATIVA DE AHORRO Y CREDITO  INKA KIPU LTDA.</t>
        </is>
      </c>
    </row>
    <row r="451">
      <c r="E451" t="inlineStr">
        <is>
          <t>926 - COOPERATIVA  DE AHORRO Y CRÉDITO 'SIMIATUG LTDA'</t>
        </is>
      </c>
    </row>
    <row r="452">
      <c r="E452" t="inlineStr">
        <is>
          <t>928 - COOPERATIVA DE AHORRO Y CREDITO  PIJAL</t>
        </is>
      </c>
    </row>
    <row r="453">
      <c r="E453" t="inlineStr">
        <is>
          <t>929 - COOPERATIVA DE AHORRO Y CREDITO  ESCENCIA INDIGENA LTDA.</t>
        </is>
      </c>
    </row>
    <row r="454">
      <c r="E454" t="inlineStr">
        <is>
          <t>930 - COOPERATIVA DE AHORRO Y CREDITO  SANTA ROSA DE PATUTAN LTDA.</t>
        </is>
      </c>
    </row>
    <row r="455">
      <c r="E455" t="inlineStr">
        <is>
          <t>931 - COOPERATIVA  DE AHORRO Y CREDITO SAN MIGUEL DE SIGCHOS</t>
        </is>
      </c>
    </row>
    <row r="456">
      <c r="E456" t="inlineStr">
        <is>
          <t>932 - COOPERATIVA DE AHORRO Y CREDITO  SIERRA CENTRO LTDA.</t>
        </is>
      </c>
    </row>
    <row r="457">
      <c r="E457" t="inlineStr">
        <is>
          <t>933 - COOPERATIVA DE AHORRO Y CREDITO  UNION MERCEDARIA LTDA.</t>
        </is>
      </c>
    </row>
    <row r="458">
      <c r="E458" t="inlineStr">
        <is>
          <t>935 - COOPERATIVA  DE AHORRO Y CREDITO CREDIAMIGO LTDA. LOJA (MIES)</t>
        </is>
      </c>
    </row>
    <row r="459">
      <c r="E459" t="inlineStr">
        <is>
          <t>936 - COOPERATIVA DE AHORRO Y CREDITO FORTUNA (MIES)</t>
        </is>
      </c>
    </row>
    <row r="460">
      <c r="E460" t="inlineStr">
        <is>
          <t>937 - COOPERATIVA DE AHORRO Y CREDITO DE LOS PROFESIONALES DEL VOLANTE UNION LTDA</t>
        </is>
      </c>
    </row>
    <row r="461">
      <c r="E461" t="inlineStr">
        <is>
          <t>938 - COOPERATIVA DE AHORRO Y CREDITO CACPE CELICA</t>
        </is>
      </c>
    </row>
    <row r="462">
      <c r="E462" t="inlineStr">
        <is>
          <t>939 - COOPERATIVA DE AHORRO Y CREDITO CATAMAYO LTDA. (MIES)</t>
        </is>
      </c>
    </row>
    <row r="463">
      <c r="E463" t="inlineStr">
        <is>
          <t>940 - COOPERATIVA DE AHORRO Y CREDITO  DE LA PEQ. EMPRESA CACPE MACARÁ</t>
        </is>
      </c>
    </row>
    <row r="464">
      <c r="E464" t="inlineStr">
        <is>
          <t>941 - COOPERATIVA  AHO.Y CRED.NUEVOS HORIZONTES EL ORO LTDA.</t>
        </is>
      </c>
    </row>
    <row r="465">
      <c r="E465" t="inlineStr">
        <is>
          <t>942 - COOPERATIVA DE AHORRO Y CREDITO  16 DE JUNIO</t>
        </is>
      </c>
    </row>
    <row r="466">
      <c r="E466" t="inlineStr">
        <is>
          <t>943 - COOPERATIVA DE AHORRO Y CREDITO  FUTURO Y PROGRESO DE GALAPAGOS LTDA.</t>
        </is>
      </c>
    </row>
    <row r="467">
      <c r="E467" t="inlineStr">
        <is>
          <t>944 - COOPERATIVA DE AHORRO Y CREDITO  LUCHA CAMPESINA LTDA.</t>
        </is>
      </c>
    </row>
    <row r="468">
      <c r="E468" t="inlineStr">
        <is>
          <t>945 - COOPERATIVA DE AHORRO Y CREDITO  GUAMOTE LTDA.</t>
        </is>
      </c>
    </row>
    <row r="469">
      <c r="E469" t="inlineStr">
        <is>
          <t>946 - COOPERATIVA DE AHORRO Y CREDITO  EDUCADORES TULCAN LTDA.</t>
        </is>
      </c>
    </row>
    <row r="470">
      <c r="E470" t="inlineStr">
        <is>
          <t>947 - COOPERATIVA DE AHORRO Y CREDITO COOPAC AUSTRO LTDA</t>
        </is>
      </c>
    </row>
    <row r="471">
      <c r="E471" t="inlineStr">
        <is>
          <t>948 - COOPERATIVA DE AHORRO Y CREDITO INDIGENA ALFA Y OMEGA LTDA</t>
        </is>
      </c>
    </row>
    <row r="472">
      <c r="E472" t="inlineStr">
        <is>
          <t>949 - COOPERATIVA DE AHORRO Y CREDITO CHIBULEO</t>
        </is>
      </c>
    </row>
    <row r="473">
      <c r="E473" t="inlineStr">
        <is>
          <t>950 - COOPERATIVA DE AHORRO Y CREDITO KISAPINCHA LTDA.</t>
        </is>
      </c>
    </row>
    <row r="474">
      <c r="E474" t="inlineStr">
        <is>
          <t>951 - COOPERATIVA DE AHORRO Y CREDITO VIRGEN DEL CISNE</t>
        </is>
      </c>
    </row>
    <row r="475">
      <c r="E475" t="inlineStr">
        <is>
          <t>952 - COOPERATIVA AHORRO Y CREDITO 26 DE SEPTIEMBRE LAZARO CONDO</t>
        </is>
      </c>
    </row>
    <row r="476">
      <c r="E476" t="inlineStr">
        <is>
          <t>953 - COOPERATIVA AHORRO Y CREDITO AFRO ECUATORIANA DE LA PEQUEÑA EMPRESA LTDA CACAEPE</t>
        </is>
      </c>
    </row>
    <row r="477">
      <c r="E477" t="inlineStr">
        <is>
          <t>954 - COOPERATIVA AHORRO Y CREDITO UNION EL EJIDO</t>
        </is>
      </c>
    </row>
    <row r="478">
      <c r="E478" t="inlineStr">
        <is>
          <t>955 - COOPERATIVA DE AHORRO Y CREDITO 13 DE ABRIL</t>
        </is>
      </c>
    </row>
    <row r="479">
      <c r="E479" t="inlineStr">
        <is>
          <t>956 - COOPERATIVA DE AHORRO Y CREDITO 15 DE DICIEMBRE LINDERO LTDA</t>
        </is>
      </c>
    </row>
    <row r="480">
      <c r="E480" t="inlineStr">
        <is>
          <t>957 - COOPERATIVA DE AHORRO Y CREDITO 15 DE MAYO LTDA</t>
        </is>
      </c>
    </row>
    <row r="481">
      <c r="E481" t="inlineStr">
        <is>
          <t>958 - COOPERATIVA DE AHORRO Y CREDITO 20 DE FEBRERO LTDA.</t>
        </is>
      </c>
    </row>
    <row r="482">
      <c r="E482" t="inlineStr">
        <is>
          <t>959 - COOPERATIVA DE AHORRO Y CREDITO 21 DE NOVIEMBRE LTDA.</t>
        </is>
      </c>
    </row>
    <row r="483">
      <c r="E483" t="inlineStr">
        <is>
          <t>960 - COOPERATIVA DE AHORRO Y CREDITO 22 DE JUNIO</t>
        </is>
      </c>
    </row>
    <row r="484">
      <c r="E484" t="inlineStr">
        <is>
          <t>962 - COOPERATIVA DE AHORRO Y CREDITO 27 DE ABRIL</t>
        </is>
      </c>
    </row>
    <row r="485">
      <c r="E485" t="inlineStr">
        <is>
          <t>963 - COOPERATIVA DE AHORRO Y CREDITO 4 DE OCTUBRE SAN FRANCISCO DE CHAMBO</t>
        </is>
      </c>
    </row>
    <row r="486">
      <c r="E486" t="inlineStr">
        <is>
          <t>964 - COOPERATIVA DE AHORRO Y CREDITO ABDON CALDERON LTDA.</t>
        </is>
      </c>
    </row>
    <row r="487">
      <c r="E487" t="inlineStr">
        <is>
          <t>965 - COOPERATIVA DE AHORRO Y CREDITO ACCION TUNGURAHUA LTDA.</t>
        </is>
      </c>
    </row>
    <row r="488">
      <c r="E488" t="inlineStr">
        <is>
          <t>966 - COOPERATIVA DE AHORRO Y CREDITO AGRO PRODUCTIVA MANABI LTDA.</t>
        </is>
      </c>
    </row>
    <row r="489">
      <c r="E489" t="inlineStr">
        <is>
          <t>967 - COOPERATIVA DE AHORRO Y CREDITO AGUILAS DE CRISTO</t>
        </is>
      </c>
    </row>
    <row r="490">
      <c r="E490" t="inlineStr">
        <is>
          <t>968 - COOPERATIVA DE AHORRO Y CREDITO ALLI TARPUC</t>
        </is>
      </c>
    </row>
    <row r="491">
      <c r="E491" t="inlineStr">
        <is>
          <t>969 - COOPERATIVA DE AHORRO Y CREDITO BASHALAN LTDA</t>
        </is>
      </c>
    </row>
    <row r="492">
      <c r="E492" t="inlineStr">
        <is>
          <t>970 - COOPERATIVA DE AHORRO Y CREDITO BUENA FE LTDA.</t>
        </is>
      </c>
    </row>
    <row r="493">
      <c r="E493" t="inlineStr">
        <is>
          <t>971 - COOPERATIVA DE AHORRO Y CREDITO CACIQUE GURITAVE</t>
        </is>
      </c>
    </row>
    <row r="494">
      <c r="E494" t="inlineStr">
        <is>
          <t>972 - COOPERATIVA DE AHORRO Y CREDITO CAMARA DE COMERCIO DE RIOBAMBA LTDA</t>
        </is>
      </c>
    </row>
    <row r="495">
      <c r="E495" t="inlineStr">
        <is>
          <t>973 - COOPERATIVA DE AHORRO Y CREDITO CAMARA DE COMERCIO DE SANTO DOMINGO</t>
        </is>
      </c>
    </row>
    <row r="496">
      <c r="E496" t="inlineStr">
        <is>
          <t>974 - COOPERATIVA DE AHORRO Y CREDITO CAMARA DE COMERCIO DEL CANTON EL CARMEN LTDA.</t>
        </is>
      </c>
    </row>
    <row r="497">
      <c r="E497" t="inlineStr">
        <is>
          <t>975 - COOPERATIVA DE AHORRO Y CREDITO CAÑAR LTDA.</t>
        </is>
      </c>
    </row>
    <row r="498">
      <c r="E498" t="inlineStr">
        <is>
          <t>976 - COOPERATIVA DE AHORRO Y CREDITO CHOCO TUNGURAHUA RUNA LTDA.</t>
        </is>
      </c>
    </row>
    <row r="499">
      <c r="E499" t="inlineStr">
        <is>
          <t>977 - COOPERATIVA DE AHORRO Y CREDITO COLEGIO DE INGENIEROS CIVILES DEL AZUAY C.I.C.A.</t>
        </is>
      </c>
    </row>
    <row r="500">
      <c r="E500" t="inlineStr">
        <is>
          <t>978 - COOPERATIVA DE AHORRO Y CREDITO COOPARTAMOS LTDA.</t>
        </is>
      </c>
    </row>
    <row r="501">
      <c r="E501" t="inlineStr">
        <is>
          <t>979 - COOPERATIVA DE AHORRO Y CREDITO COOPINDIGENA LTDA.</t>
        </is>
      </c>
    </row>
    <row r="502">
      <c r="E502" t="inlineStr">
        <is>
          <t>980 - COOPERATIVA DE AHORRO Y CREDITO COOPTOPAXI LTDA.</t>
        </is>
      </c>
    </row>
    <row r="503">
      <c r="E503" t="inlineStr">
        <is>
          <t>981 - COOPERATIVA DE AHORRO Y CREDITO CORDILLERA DE LOS ANDES LTDA.</t>
        </is>
      </c>
    </row>
    <row r="504">
      <c r="E504" t="inlineStr">
        <is>
          <t>982 - COOPERATIVA DE AHORRO Y CREDITO CORPORACION CENTRO LTDA.</t>
        </is>
      </c>
    </row>
    <row r="505">
      <c r="E505" t="inlineStr">
        <is>
          <t>983 - COOPERATIVA DE AHORRO Y CREDITO CREA LTDA.</t>
        </is>
      </c>
    </row>
    <row r="506">
      <c r="E506" t="inlineStr">
        <is>
          <t>984 - COOPERATIVA DE AHORRO Y CREDITO CREDI UNION LTDA</t>
        </is>
      </c>
    </row>
    <row r="507">
      <c r="E507" t="inlineStr">
        <is>
          <t>985 - COOPERATIVA DE AHORRO Y CREDITO CREDIL LTDA.</t>
        </is>
      </c>
    </row>
    <row r="508">
      <c r="E508" t="inlineStr">
        <is>
          <t>986 - COOPERATIVA DE AHORRO Y CREDITO CUNA DE LA NACIONALIDAD LTDA.</t>
        </is>
      </c>
    </row>
    <row r="509">
      <c r="E509" t="inlineStr">
        <is>
          <t>987 - COOPERATIVA DE AHORRO Y CREDITO DE LA CAMARA DE COMERCIO DE GONZANAMA</t>
        </is>
      </c>
    </row>
    <row r="510">
      <c r="E510" t="inlineStr">
        <is>
          <t>990 - COOPERATIVA DE AHORRO Y CREDITO DE LA MICROEMPRESA DE CHIMBORAZO LTDA</t>
        </is>
      </c>
    </row>
    <row r="511">
      <c r="E511" t="inlineStr">
        <is>
          <t>991 - COOP DE AHORRO Y CREDITO DE LA PEQUEÑA Y MEDIANA EMPRESA COOPYMEC-MACARA</t>
        </is>
      </c>
    </row>
    <row r="512">
      <c r="E512" t="inlineStr">
        <is>
          <t>992 - COOPERATIVA DE AHORRO Y CREDITO DE VIVIENDA Y DESARROLLO CASA FACIL LTDA</t>
        </is>
      </c>
    </row>
    <row r="513">
      <c r="E513" t="inlineStr">
        <is>
          <t>993 - COOPERATIVA DE AHORRO Y CREDITO DEL AZUAY</t>
        </is>
      </c>
    </row>
    <row r="514">
      <c r="E514" t="inlineStr">
        <is>
          <t>994 - COOPERATIVA DE AHORRO Y CREDITO DEL EMIGRANTE ECUATORIANO Y SU FAMILIA LTDA.</t>
        </is>
      </c>
    </row>
    <row r="515">
      <c r="E515" t="inlineStr">
        <is>
          <t>995 - COOPERATIVA DE AHORRO Y CREDITO SAN PEDRO DE TABOADA LTDA.</t>
        </is>
      </c>
    </row>
    <row r="516">
      <c r="E516" t="inlineStr">
        <is>
          <t>996 - COOPERATIVA DE AHORRO Y CREDITO DESARROLLO POPULAR LTDA.</t>
        </is>
      </c>
    </row>
    <row r="517">
      <c r="E517" t="inlineStr">
        <is>
          <t>997 - COOPERATIVA DE AHORRO Y CREDITO ECONOMIA DEL SUR ECOSUR</t>
        </is>
      </c>
    </row>
    <row r="518">
      <c r="E518" t="inlineStr">
        <is>
          <t>998 - COOPERATIVA DE AHORRO Y CREDITO EDUCADORES DE EL ORO LTDA</t>
        </is>
      </c>
    </row>
    <row r="519">
      <c r="E519" t="inlineStr">
        <is>
          <t>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2026-05-21T05:04:41Z</dcterms:created>
  <dcterms:modified xsi:type="dcterms:W3CDTF">2026-05-21T05:04:41Z</dcterms:modified>
</cp:coreProperties>
</file>