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20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164" fontId="16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'Dashboard'!$B$12:$B$19</f>
            </numRef>
          </cat>
          <val>
            <numRef>
              <f>'Dashboard'!$D$12:$D$19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'Dashboard'!$F$38:$F$40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'Dinero'!J10</f>
        <v/>
      </c>
      <c r="E12" s="27">
        <f>'Dinero'!K10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Capital'!J14</f>
        <v/>
      </c>
      <c r="E13" s="27">
        <f>'Derechos de Capital'!K14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Cobrar'!J14</f>
        <v/>
      </c>
      <c r="E14" s="27">
        <f>'Cuentas por Cobrar'!K14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Muebles'!F14</f>
        <v/>
      </c>
      <c r="E15" s="27">
        <f>'Bienes Muebles'!G14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'Vehiculos'!G9</f>
        <v/>
      </c>
      <c r="E16" s="27">
        <f>'Vehiculos'!H9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'Derechos'!F14</f>
        <v/>
      </c>
      <c r="E17" s="27">
        <f>'Derechos'!G14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Inmuebles'!J10</f>
        <v/>
      </c>
      <c r="E18" s="27">
        <f>'Bienes Inmuebles'!K10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Activos'!F14</f>
        <v/>
      </c>
      <c r="E19" s="27">
        <f>'Otros Activos'!G14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>
        <is>
          <t>1029 - BANCO PICHINCHA C.A.</t>
        </is>
      </c>
      <c r="F6" s="59" t="inlineStr">
        <is>
          <t>DOLARES</t>
        </is>
      </c>
      <c r="G6" s="59" t="inlineStr">
        <is>
          <t>2 - No</t>
        </is>
      </c>
      <c r="H6" s="59" t="inlineStr"/>
      <c r="I6" s="59" t="inlineStr"/>
      <c r="J6" s="60" t="n">
        <v>130.2</v>
      </c>
      <c r="K6" s="61" t="n">
        <v>130.2</v>
      </c>
      <c r="L6" s="60">
        <f>K6-J6</f>
        <v/>
      </c>
      <c r="M6" s="62">
        <f>IF(J6=0,"",(K6-J6)/J6)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>
        <is>
          <t>1029 - BANCO PICHINCHA C.A.</t>
        </is>
      </c>
      <c r="F7" s="63" t="inlineStr">
        <is>
          <t>DOLARES</t>
        </is>
      </c>
      <c r="G7" s="63" t="inlineStr">
        <is>
          <t>2 - No</t>
        </is>
      </c>
      <c r="H7" s="63" t="inlineStr"/>
      <c r="I7" s="63" t="inlineStr"/>
      <c r="J7" s="64" t="n">
        <v>5590.32</v>
      </c>
      <c r="K7" s="61" t="n">
        <v>5590.32</v>
      </c>
      <c r="L7" s="64">
        <f>K7-J7</f>
        <v/>
      </c>
      <c r="M7" s="65">
        <f>IF(J7=0,"",(K7-J7)/J7)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>
        <is>
          <t>1418 - BANCO PROMERICA S.A.</t>
        </is>
      </c>
      <c r="F8" s="59" t="inlineStr">
        <is>
          <t>DOLARES</t>
        </is>
      </c>
      <c r="G8" s="59" t="inlineStr">
        <is>
          <t>2 - No</t>
        </is>
      </c>
      <c r="H8" s="59" t="inlineStr"/>
      <c r="I8" s="59" t="inlineStr"/>
      <c r="J8" s="60" t="n">
        <v>53237.31</v>
      </c>
      <c r="K8" s="61" t="n">
        <v>53237.31</v>
      </c>
      <c r="L8" s="60">
        <f>K8-J8</f>
        <v/>
      </c>
      <c r="M8" s="62">
        <f>IF(J8=0,"",(K8-J8)/J8)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3" t="inlineStr"/>
      <c r="I9" s="63" t="inlineStr"/>
      <c r="J9" s="64" t="n">
        <v>189049.31</v>
      </c>
      <c r="K9" s="61" t="n">
        <v>189049.31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Tipo de identificacion</t>
        </is>
      </c>
      <c r="D5" s="25" t="inlineStr">
        <is>
          <t>N. de identificacion</t>
        </is>
      </c>
      <c r="E5" s="25" t="inlineStr">
        <is>
          <t>Ubicacion</t>
        </is>
      </c>
      <c r="F5" s="25" t="inlineStr">
        <is>
          <t>Pais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Regularizacion activos</t>
        </is>
      </c>
      <c r="F5" s="25" t="inlineStr">
        <is>
          <t>Anio fiscal adquisicion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/>
      <c r="F6" s="59" t="inlineStr"/>
      <c r="G6" s="60" t="n">
        <v>12000</v>
      </c>
      <c r="H6" s="61" t="n">
        <v>12000</v>
      </c>
      <c r="I6" s="60">
        <f>H6-G6</f>
        <v/>
      </c>
      <c r="J6" s="62">
        <f>IF(G6=0,"",(H6-G6)/G6)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/>
      <c r="F7" s="63" t="inlineStr"/>
      <c r="G7" s="64" t="n">
        <v>20000</v>
      </c>
      <c r="H7" s="61" t="n">
        <v>20000</v>
      </c>
      <c r="I7" s="64">
        <f>H7-G7</f>
        <v/>
      </c>
      <c r="J7" s="65">
        <f>IF(G7=0,"",(H7-G7)/G7)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/>
      <c r="F8" s="59" t="inlineStr"/>
      <c r="G8" s="60" t="n">
        <v>32000</v>
      </c>
      <c r="H8" s="61" t="n">
        <v>32000</v>
      </c>
      <c r="I8" s="60">
        <f>H8-G8</f>
        <v/>
      </c>
      <c r="J8" s="62">
        <f>IF(G8=0,"",(H8-G8)/G8)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66" t="n"/>
      <c r="F9" s="66" t="n"/>
      <c r="G9" s="30">
        <f>SUM(G6:G8)</f>
        <v/>
      </c>
      <c r="H9" s="30">
        <f>SUM(H6:H8)</f>
        <v/>
      </c>
      <c r="I9" s="30">
        <f>H9-G9</f>
        <v/>
      </c>
      <c r="J9" s="31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59" t="inlineStr"/>
      <c r="I6" s="59" t="inlineStr"/>
      <c r="J6" s="60" t="n">
        <v>267340.8</v>
      </c>
      <c r="K6" s="61" t="n">
        <v>267340.8</v>
      </c>
      <c r="L6" s="60">
        <f>K6-J6</f>
        <v/>
      </c>
      <c r="M6" s="62">
        <f>IF(J6=0,"",(K6-J6)/J6)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3" t="inlineStr"/>
      <c r="I7" s="63" t="inlineStr"/>
      <c r="J7" s="64" t="n">
        <v>198118.55</v>
      </c>
      <c r="K7" s="61" t="n">
        <v>198118.55</v>
      </c>
      <c r="L7" s="64">
        <f>K7-J7</f>
        <v/>
      </c>
      <c r="M7" s="65">
        <f>IF(J7=0,"",(K7-J7)/J7)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59" t="inlineStr"/>
      <c r="I8" s="59" t="inlineStr"/>
      <c r="J8" s="60" t="n">
        <v>33634.04</v>
      </c>
      <c r="K8" s="61" t="n">
        <v>33634.04</v>
      </c>
      <c r="L8" s="60">
        <f>K8-J8</f>
        <v/>
      </c>
      <c r="M8" s="62">
        <f>IF(J8=0,"",(K8-J8)/J8)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3" t="inlineStr"/>
      <c r="I9" s="63" t="inlineStr"/>
      <c r="J9" s="64" t="n">
        <v>82624.22</v>
      </c>
      <c r="K9" s="61" t="n">
        <v>82624.22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Descripcion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7" t="n"/>
      <c r="C5" s="5" t="n"/>
      <c r="D5" s="4" t="n"/>
      <c r="E5" s="5" t="n"/>
      <c r="F5" s="6" t="n"/>
      <c r="G5" s="5" t="n"/>
    </row>
    <row r="6">
      <c r="B6" s="12" t="inlineStr">
        <is>
          <t>INCREMENTO PATRIMONIAL</t>
        </is>
      </c>
      <c r="C6" s="13" t="n"/>
      <c r="D6" s="8" t="inlineStr">
        <is>
          <t>TOTAL JUSTIFICADO</t>
        </is>
      </c>
      <c r="E6" s="9" t="n"/>
      <c r="F6" s="10" t="inlineStr">
        <is>
          <t>DIFERENCIA</t>
        </is>
      </c>
      <c r="G6" s="11" t="n"/>
    </row>
    <row r="7" ht="28" customHeight="1">
      <c r="B7" s="16">
        <f>E15</f>
        <v/>
      </c>
      <c r="C7" s="13" t="n"/>
      <c r="D7" s="14">
        <f>E14</f>
        <v/>
      </c>
      <c r="E7" s="9" t="n"/>
      <c r="F7" s="15">
        <f>E16</f>
        <v/>
      </c>
      <c r="G7" s="11" t="n"/>
    </row>
    <row r="8">
      <c r="B8" s="21" t="inlineStr">
        <is>
          <t>Declarado en el XML 2025</t>
        </is>
      </c>
      <c r="C8" s="13" t="n"/>
      <c r="D8" s="17" t="inlineStr">
        <is>
          <t>Suma de montos asignados</t>
        </is>
      </c>
      <c r="E8" s="9" t="n"/>
      <c r="F8" s="19" t="inlineStr">
        <is>
          <t>Debe quedar en $0.00</t>
        </is>
      </c>
      <c r="G8" s="11" t="n"/>
    </row>
    <row r="10" ht="22" customHeight="1">
      <c r="B10" s="48" t="inlineStr">
        <is>
          <t>DISTRIBUCION DEL INCREMENTO PATRIMONIAL</t>
        </is>
      </c>
    </row>
    <row r="11" ht="26" customHeight="1">
      <c r="B11" s="25" t="inlineStr">
        <is>
          <t>Concepto declarado (Tabla del SRI)</t>
        </is>
      </c>
      <c r="E11" s="25" t="inlineStr">
        <is>
          <t>Monto asignado</t>
        </is>
      </c>
      <c r="F11" s="25" t="inlineStr">
        <is>
          <t>% del total</t>
        </is>
      </c>
    </row>
    <row r="12">
      <c r="B12" s="68" t="inlineStr">
        <is>
          <t>1 - Ingresos locales</t>
        </is>
      </c>
      <c r="E12" s="61" t="n">
        <v>40857.79</v>
      </c>
      <c r="F12" s="62">
        <f>IF($E$14=0,"",E12/$E$14)</f>
        <v/>
      </c>
    </row>
    <row r="13">
      <c r="B13" s="68" t="inlineStr">
        <is>
          <t>6 - Otros</t>
        </is>
      </c>
      <c r="E13" s="61" t="n">
        <v>40857.79</v>
      </c>
      <c r="F13" s="62">
        <f>IF($E$14=0,"",E13/$E$14)</f>
        <v/>
      </c>
    </row>
    <row r="14">
      <c r="B14" s="69" t="inlineStr">
        <is>
          <t>TOTAL JUSTIFICADO</t>
        </is>
      </c>
      <c r="E14" s="70">
        <f>SUM(E12:E13)</f>
        <v/>
      </c>
      <c r="F14" s="71">
        <f>IF(E14=0,"",1)</f>
        <v/>
      </c>
    </row>
    <row r="15">
      <c r="B15" s="72" t="inlineStr">
        <is>
          <t>Incremento patrimonial declarado (XML)</t>
        </is>
      </c>
      <c r="C15" s="73" t="n"/>
      <c r="D15" s="73" t="n"/>
      <c r="E15" s="74" t="n">
        <v>81715.59</v>
      </c>
      <c r="F15" s="73" t="n"/>
    </row>
    <row r="16">
      <c r="B16" s="75" t="inlineStr">
        <is>
          <t>Diferencia por justificar (debe ser $0.00)</t>
        </is>
      </c>
      <c r="C16" s="13" t="n"/>
      <c r="D16" s="13" t="n"/>
      <c r="E16" s="76">
        <f>E15-E14</f>
        <v/>
      </c>
      <c r="F16" s="13" t="n"/>
    </row>
    <row r="18">
      <c r="B18" s="58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Catalogos!$R$2:$R$7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7" t="inlineStr">
        <is>
          <t>►   GENERAR XML</t>
        </is>
      </c>
      <c r="C5" s="5" t="n"/>
      <c r="D5" s="5" t="n"/>
    </row>
    <row r="6">
      <c r="B6" s="5" t="n"/>
      <c r="C6" s="5" t="n"/>
      <c r="D6" s="5" t="n"/>
    </row>
    <row r="7">
      <c r="B7" s="78" t="inlineStr">
        <is>
          <t>Dibuje el boton sobre este recuadro y asignele la macro GenerarXmlSRI</t>
        </is>
      </c>
    </row>
    <row r="9">
      <c r="B9" s="79" t="inlineStr">
        <is>
          <t>CONFIGURACION POR UNICA VEZ (activa el boton)</t>
        </is>
      </c>
    </row>
    <row r="10">
      <c r="B10" s="80" t="inlineStr">
        <is>
          <t>1. Abra el editor de macros con la tecla  Alt + F11.</t>
        </is>
      </c>
    </row>
    <row r="11">
      <c r="B11" s="80" t="inlineStr">
        <is>
          <t>2. Menu Archivo &gt; Importar archivo... y seleccione el archivo GenerarXmlSRI.bas.</t>
        </is>
      </c>
    </row>
    <row r="12">
      <c r="B12" s="80" t="inlineStr">
        <is>
          <t>3. Cierre el editor y guarde este libro como  'Libro de Excel habilitado para macros (*.xlsm)'.</t>
        </is>
      </c>
    </row>
    <row r="13">
      <c r="B13" s="80" t="inlineStr">
        <is>
          <t>4. Active la pestana Programador:  Archivo &gt; Opciones &gt; Personalizar cinta de opciones &gt; marque 'Programador'.</t>
        </is>
      </c>
    </row>
    <row r="14">
      <c r="B14" s="80" t="inlineStr">
        <is>
          <t>5. Programador &gt; Insertar &gt; Boton (control de formulario) y dibujelo sobre el recuadro verde de arriba.</t>
        </is>
      </c>
    </row>
    <row r="15">
      <c r="B15" s="80" t="inlineStr">
        <is>
          <t>6. Cuando Excel lo solicite, asigne la macro  GenerarXmlSRI.</t>
        </is>
      </c>
    </row>
    <row r="16">
      <c r="B16" s="80" t="inlineStr"/>
    </row>
    <row r="17">
      <c r="B17" s="79" t="inlineStr">
        <is>
          <t>USO DIARIO</t>
        </is>
      </c>
    </row>
    <row r="18">
      <c r="B18" s="80" t="inlineStr">
        <is>
          <t>7. Llene las columnas amarillas de cada modulo y la hoja Justificacion.</t>
        </is>
      </c>
    </row>
    <row r="19">
      <c r="B19" s="80" t="inlineStr">
        <is>
          <t>8. Pulse el boton GENERAR XML, indique el anio y elija donde guardar.</t>
        </is>
      </c>
    </row>
    <row r="20">
      <c r="B20" s="80" t="inlineStr">
        <is>
          <t>9. El archivo .xml queda listo para subir al portal del SRI.</t>
        </is>
      </c>
    </row>
    <row r="21">
      <c r="B21" s="80" t="inlineStr"/>
    </row>
    <row r="22">
      <c r="B22" s="80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81" t="inlineStr">
        <is>
          <t>IDENTIFICACION</t>
        </is>
      </c>
    </row>
    <row r="6">
      <c r="A6" s="82" t="inlineStr">
        <is>
          <t>Anio de la declaracion</t>
        </is>
      </c>
      <c r="B6" s="83" t="n">
        <v>2025</v>
      </c>
    </row>
    <row r="7">
      <c r="A7" s="82" t="inlineStr">
        <is>
          <t>Tipo de declaracion</t>
        </is>
      </c>
      <c r="B7" s="83" t="inlineStr">
        <is>
          <t>SOC - Sociedad conyugal o union de hecho</t>
        </is>
      </c>
    </row>
    <row r="8">
      <c r="A8" s="82" t="inlineStr">
        <is>
          <t>Tipo de identificacion</t>
        </is>
      </c>
      <c r="B8" s="83" t="inlineStr">
        <is>
          <t>R - RUC</t>
        </is>
      </c>
    </row>
    <row r="9">
      <c r="A9" s="82" t="inlineStr">
        <is>
          <t>Numero de identificacion</t>
        </is>
      </c>
      <c r="B9" s="83" t="inlineStr">
        <is>
          <t>1709164899001</t>
        </is>
      </c>
    </row>
    <row r="10">
      <c r="A10" s="82" t="inlineStr">
        <is>
          <t>Nombre del declarante</t>
        </is>
      </c>
      <c r="B10" s="83" t="inlineStr">
        <is>
          <t>GONZALEZ NAVAS MARCO VINICIO</t>
        </is>
      </c>
    </row>
    <row r="11">
      <c r="A11" s="82" t="inlineStr">
        <is>
          <t>Identificacion del conyuge</t>
        </is>
      </c>
      <c r="B11" s="83" t="inlineStr">
        <is>
          <t>C - Cedula</t>
        </is>
      </c>
    </row>
    <row r="12">
      <c r="A12" s="82" t="inlineStr">
        <is>
          <t>Numero ident. conyuge</t>
        </is>
      </c>
      <c r="B12" s="83" t="inlineStr">
        <is>
          <t>1709784225</t>
        </is>
      </c>
    </row>
    <row r="13">
      <c r="A13" s="82" t="inlineStr">
        <is>
          <t>Nombre del conyuge</t>
        </is>
      </c>
      <c r="B13" s="83" t="inlineStr">
        <is>
          <t>HIDALGO LOZA ROSA CONSUELO</t>
        </is>
      </c>
    </row>
    <row r="14">
      <c r="A14" s="82" t="inlineStr">
        <is>
          <t>Total creditos / cuentas por cobrar</t>
        </is>
      </c>
      <c r="B14" s="60" t="n">
        <v>0</v>
      </c>
    </row>
    <row r="16" ht="20" customHeight="1">
      <c r="A16" s="81" t="inlineStr">
        <is>
          <t>PATRIMONIO NETO (enlazado a la hoja Dashboard)</t>
        </is>
      </c>
    </row>
    <row r="17">
      <c r="A17" s="82" t="inlineStr">
        <is>
          <t>Patrimonio neto 2025</t>
        </is>
      </c>
      <c r="B17" s="60">
        <f>Dashboard!D31</f>
        <v/>
      </c>
    </row>
    <row r="18">
      <c r="A18" s="82" t="inlineStr">
        <is>
          <t>Patrimonio neto 2026 (proyectado)</t>
        </is>
      </c>
      <c r="B18" s="60">
        <f>Dashboard!E31</f>
        <v/>
      </c>
    </row>
    <row r="19">
      <c r="A19" s="82" t="inlineStr">
        <is>
          <t>Variacion proyectada</t>
        </is>
      </c>
      <c r="B19" s="60">
        <f>Dashboard!F31</f>
        <v/>
      </c>
    </row>
    <row r="20">
      <c r="A20" s="82" t="inlineStr">
        <is>
          <t>Variacion % proyectada</t>
        </is>
      </c>
      <c r="B20" s="62">
        <f>Dashboard!G31</f>
        <v/>
      </c>
    </row>
    <row r="22" ht="20" customHeight="1">
      <c r="A22" s="81" t="inlineStr">
        <is>
          <t>PATRIMONIO DECLARADO EN EL XML</t>
        </is>
      </c>
    </row>
    <row r="23">
      <c r="A23" s="82" t="inlineStr">
        <is>
          <t>Patrimonio total declarado</t>
        </is>
      </c>
      <c r="B23" s="60" t="n">
        <v>883285.5600000001</v>
      </c>
    </row>
    <row r="24">
      <c r="A24" s="82" t="inlineStr">
        <is>
          <t>Atribuible a hijos no emancipados</t>
        </is>
      </c>
      <c r="B24" s="60" t="n">
        <v>0</v>
      </c>
    </row>
    <row r="25">
      <c r="A25" s="82" t="inlineStr">
        <is>
          <t>Patrimonio en la sociedad conyugal</t>
        </is>
      </c>
      <c r="B25" s="60" t="n">
        <v>883285.5600000001</v>
      </c>
    </row>
    <row r="26">
      <c r="A26" s="82" t="inlineStr">
        <is>
          <t>Patrimonio individual del declarante</t>
        </is>
      </c>
      <c r="B26" s="60" t="n">
        <v>0</v>
      </c>
    </row>
    <row r="27">
      <c r="A27" s="82" t="inlineStr">
        <is>
          <t>Patrimonio del anio anterior</t>
        </is>
      </c>
      <c r="B27" s="60" t="n">
        <v>801569.97</v>
      </c>
    </row>
    <row r="28">
      <c r="A28" s="82" t="inlineStr">
        <is>
          <t>Crecimiento / decremento patrimonial</t>
        </is>
      </c>
      <c r="B28" s="60" t="n">
        <v>81715.59</v>
      </c>
    </row>
    <row r="30">
      <c r="A30" s="79" t="inlineStr">
        <is>
          <t>Justificacion de la variacion (ver hoja Justificacion)</t>
        </is>
      </c>
    </row>
    <row r="31">
      <c r="A31" s="80" t="inlineStr">
        <is>
          <t>- 1 - Ingresos locales</t>
        </is>
      </c>
    </row>
    <row r="32">
      <c r="A32" s="80" t="inlineStr">
        <is>
          <t>- 6 - Otros</t>
        </is>
      </c>
    </row>
    <row r="34">
      <c r="A34" s="58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4" t="inlineStr">
        <is>
          <t>DINERO_EN</t>
        </is>
      </c>
      <c r="B1" s="84" t="inlineStr">
        <is>
          <t>TIPO_INVERSION</t>
        </is>
      </c>
      <c r="C1" s="84" t="inlineStr">
        <is>
          <t>UBICACION</t>
        </is>
      </c>
      <c r="D1" s="84" t="inlineStr">
        <is>
          <t>PAIS</t>
        </is>
      </c>
      <c r="E1" s="84" t="inlineStr">
        <is>
          <t>INSTITUCION_FINANCIERA</t>
        </is>
      </c>
      <c r="F1" s="84" t="inlineStr">
        <is>
          <t>PARTES_RELACIONADAS</t>
        </is>
      </c>
      <c r="G1" s="84" t="inlineStr">
        <is>
          <t>TIPO_DRC</t>
        </is>
      </c>
      <c r="H1" s="84" t="inlineStr">
        <is>
          <t>TIPO_PERSONA</t>
        </is>
      </c>
      <c r="I1" s="84" t="inlineStr">
        <is>
          <t>TIPO_BIEN_MUEBLE</t>
        </is>
      </c>
      <c r="J1" s="84" t="inlineStr">
        <is>
          <t>TIPO_VEHICULO</t>
        </is>
      </c>
      <c r="K1" s="84" t="inlineStr">
        <is>
          <t>TIPO_DERECHO</t>
        </is>
      </c>
      <c r="L1" s="84" t="inlineStr">
        <is>
          <t>TIPO_INMUEBLE</t>
        </is>
      </c>
      <c r="M1" s="84" t="inlineStr">
        <is>
          <t>PROVINCIA</t>
        </is>
      </c>
      <c r="N1" s="84" t="inlineStr">
        <is>
          <t>CANTON</t>
        </is>
      </c>
      <c r="O1" s="84" t="inlineStr">
        <is>
          <t>TIPO_ACREEDOR</t>
        </is>
      </c>
      <c r="P1" s="84" t="inlineStr">
        <is>
          <t>TIPO_IDENTIFICACION</t>
        </is>
      </c>
      <c r="Q1" s="84" t="inlineStr">
        <is>
          <t>REGULARIZACION</t>
        </is>
      </c>
      <c r="R1" s="84" t="inlineStr">
        <is>
          <t>JUSTIF_INCREMENTO</t>
        </is>
      </c>
      <c r="S1" s="84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2026-05-21T10:28:05Z</dcterms:created>
  <dcterms:modified xsi:type="dcterms:W3CDTF">2026-05-21T10:28:05Z</dcterms:modified>
</cp:coreProperties>
</file>