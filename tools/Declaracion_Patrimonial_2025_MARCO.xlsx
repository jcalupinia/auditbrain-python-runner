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inero" sheetId="2" state="visible" r:id="rId2"/>
    <sheet name="Derechos de Capital" sheetId="3" state="visible" r:id="rId3"/>
    <sheet name="Cuentas por Cobrar" sheetId="4" state="visible" r:id="rId4"/>
    <sheet name="Bienes Muebles" sheetId="5" state="visible" r:id="rId5"/>
    <sheet name="Vehiculos" sheetId="6" state="visible" r:id="rId6"/>
    <sheet name="Derechos" sheetId="7" state="visible" r:id="rId7"/>
    <sheet name="Bienes Inmuebles" sheetId="8" state="visible" r:id="rId8"/>
    <sheet name="Otros Activos" sheetId="9" state="visible" r:id="rId9"/>
    <sheet name="Pasivos" sheetId="10" state="visible" r:id="rId10"/>
    <sheet name="Justificacion" sheetId="11" state="visible" r:id="rId11"/>
    <sheet name="Generar XML" sheetId="12" state="visible" r:id="rId12"/>
    <sheet name="Datos del XML" sheetId="13" state="visible" r:id="rId13"/>
    <sheet name="_Mapa" sheetId="14" state="hidden" r:id="rId14"/>
    <sheet name="Catalogos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+0.0%;-0.0%;0.0%"/>
  </numFmts>
  <fonts count="19">
    <font>
      <name val="Calibri"/>
      <family val="2"/>
      <color theme="1"/>
      <sz val="11"/>
      <scheme val="minor"/>
    </font>
    <font>
      <name val="Calibri"/>
      <b val="1"/>
      <color rgb="001A1A1A"/>
      <sz val="11"/>
    </font>
    <font>
      <name val="Calibri"/>
      <b val="1"/>
      <color rgb="00FFFFFF"/>
      <sz val="14"/>
    </font>
    <font>
      <i val="1"/>
      <color rgb="007A7A7A"/>
      <sz val="10"/>
    </font>
    <font>
      <name val="Calibri"/>
      <b val="1"/>
      <color rgb="00FFFFFF"/>
      <sz val="10"/>
    </font>
    <font>
      <name val="Calibri"/>
      <color rgb="001A1A1A"/>
      <sz val="11"/>
    </font>
    <font>
      <b val="1"/>
      <color rgb="00FFFFFF"/>
      <sz val="11"/>
    </font>
    <font>
      <b val="1"/>
      <color rgb="00FFFFFF"/>
      <sz val="12"/>
    </font>
    <font>
      <color rgb="001A1A1A"/>
      <sz val="11"/>
    </font>
    <font>
      <i val="1"/>
      <color rgb="007A7A7A"/>
      <sz val="9"/>
    </font>
    <font>
      <b val="1"/>
      <color rgb="001A1A1A"/>
      <sz val="11"/>
    </font>
    <font>
      <b val="1"/>
      <color rgb="001E6B52"/>
      <sz val="10"/>
    </font>
    <font>
      <b val="1"/>
      <color rgb="001A1A1A"/>
      <sz val="17"/>
    </font>
    <font>
      <color rgb="007A7A7A"/>
      <sz val="8"/>
    </font>
    <font>
      <b val="1"/>
      <color rgb="00A23B3B"/>
      <sz val="10"/>
    </font>
    <font>
      <b val="1"/>
      <color rgb="0020507D"/>
      <sz val="10"/>
    </font>
    <font>
      <b val="1"/>
      <color rgb="00FFFFFF"/>
      <sz val="14"/>
    </font>
    <font>
      <i val="1"/>
      <color rgb="007A7A7A"/>
      <sz val="8"/>
    </font>
    <font>
      <b val="1"/>
      <color rgb="0010243E"/>
      <sz val="11"/>
    </font>
  </fonts>
  <fills count="13">
    <fill>
      <patternFill/>
    </fill>
    <fill>
      <patternFill patternType="gray125"/>
    </fill>
    <fill>
      <patternFill patternType="solid">
        <fgColor rgb="0010243E"/>
      </patternFill>
    </fill>
    <fill>
      <patternFill patternType="solid">
        <fgColor rgb="00C8A24B"/>
      </patternFill>
    </fill>
    <fill>
      <patternFill patternType="solid">
        <fgColor rgb="001F3B5C"/>
      </patternFill>
    </fill>
    <fill>
      <patternFill patternType="solid">
        <fgColor rgb="00FCEFC9"/>
      </patternFill>
    </fill>
    <fill>
      <patternFill patternType="solid">
        <fgColor rgb="00F3F4F6"/>
      </patternFill>
    </fill>
    <fill>
      <patternFill patternType="solid">
        <fgColor rgb="001E6B52"/>
      </patternFill>
    </fill>
    <fill>
      <patternFill patternType="solid">
        <fgColor rgb="00A23B3B"/>
      </patternFill>
    </fill>
    <fill>
      <patternFill patternType="solid">
        <fgColor rgb="00E6F0EB"/>
      </patternFill>
    </fill>
    <fill>
      <patternFill patternType="solid">
        <fgColor rgb="00F4E6E6"/>
      </patternFill>
    </fill>
    <fill>
      <patternFill patternType="solid">
        <fgColor rgb="0020507D"/>
      </patternFill>
    </fill>
    <fill>
      <patternFill patternType="solid">
        <fgColor rgb="00E2EAF2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0" fillId="7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11" borderId="1" pivotButton="0" quotePrefix="0" xfId="0"/>
    <xf numFmtId="0" fontId="11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14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1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64" fontId="12" fillId="9" borderId="1" applyAlignment="1" pivotButton="0" quotePrefix="0" xfId="0">
      <alignment horizontal="left" vertical="center" indent="1"/>
    </xf>
    <xf numFmtId="164" fontId="12" fillId="10" borderId="1" applyAlignment="1" pivotButton="0" quotePrefix="0" xfId="0">
      <alignment horizontal="left" vertical="center" indent="1"/>
    </xf>
    <xf numFmtId="164" fontId="12" fillId="12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left" vertical="center" indent="1"/>
    </xf>
    <xf numFmtId="165" fontId="11" fillId="9" borderId="1" applyAlignment="1" pivotButton="0" quotePrefix="0" xfId="0">
      <alignment horizontal="right" vertical="center" indent="1"/>
    </xf>
    <xf numFmtId="0" fontId="13" fillId="10" borderId="1" applyAlignment="1" pivotButton="0" quotePrefix="0" xfId="0">
      <alignment horizontal="left" vertical="center" indent="1"/>
    </xf>
    <xf numFmtId="165" fontId="14" fillId="10" borderId="1" applyAlignment="1" pivotButton="0" quotePrefix="0" xfId="0">
      <alignment horizontal="right" vertical="center" indent="1"/>
    </xf>
    <xf numFmtId="0" fontId="13" fillId="12" borderId="1" applyAlignment="1" pivotButton="0" quotePrefix="0" xfId="0">
      <alignment horizontal="left" vertical="center" indent="1"/>
    </xf>
    <xf numFmtId="165" fontId="15" fillId="12" borderId="1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indent="1"/>
    </xf>
    <xf numFmtId="164" fontId="8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left" vertical="center" indent="1"/>
    </xf>
    <xf numFmtId="164" fontId="8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indent="1"/>
    </xf>
    <xf numFmtId="164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 indent="1"/>
    </xf>
    <xf numFmtId="164" fontId="6" fillId="11" borderId="1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left" vertical="center" indent="1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 indent="1"/>
    </xf>
    <xf numFmtId="164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 indent="1"/>
    </xf>
    <xf numFmtId="164" fontId="10" fillId="12" borderId="1" applyAlignment="1" pivotButton="0" quotePrefix="0" xfId="0">
      <alignment horizontal="right" vertical="center"/>
    </xf>
    <xf numFmtId="165" fontId="10" fillId="12" borderId="1" applyAlignment="1" pivotButton="0" quotePrefix="0" xfId="0">
      <alignment horizontal="right" vertical="center"/>
    </xf>
    <xf numFmtId="0" fontId="9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indent="1"/>
    </xf>
    <xf numFmtId="0" fontId="1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Concentracion de activos: 2025 vs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'Dashboard'!D11</f>
            </strRef>
          </tx>
          <spPr>
            <a:ln>
              <a:prstDash val="solid"/>
            </a:ln>
          </spPr>
          <cat>
            <numRef>
              <f>'Dashboard'!$B$12:$B$19</f>
            </numRef>
          </cat>
          <val>
            <numRef>
              <f>'Dashboard'!$D$12:$D$19</f>
            </numRef>
          </val>
        </ser>
        <ser>
          <idx val="1"/>
          <order val="1"/>
          <tx>
            <strRef>
              <f>'Dashboard'!E11</f>
            </strRef>
          </tx>
          <spPr>
            <a:ln>
              <a:prstDash val="solid"/>
            </a:ln>
          </spPr>
          <cat>
            <numRef>
              <f>'Dashboard'!$B$12:$B$19</f>
            </numRef>
          </cat>
          <val>
            <numRef>
              <f>'Dashboard'!$E$12:$E$19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Composicion: activos, pasivos y patrimonio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'Dashboard'!$B$38:$B$40</f>
            </numRef>
          </cat>
          <val>
            <numRef>
              <f>'Dashboard'!$D$38:$D$40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8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22</row>
      <rowOff>0</rowOff>
    </from>
    <ext cx="504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30" customHeight="1">
      <c r="A1" s="1" t="inlineStr">
        <is>
          <t>DECLARACION PATRIMONIAL  -  TABLERO EJECUTIVO</t>
        </is>
      </c>
    </row>
    <row r="2">
      <c r="A2" s="2" t="inlineStr">
        <is>
          <t>GONZALEZ NAVAS MARCO VINICIO   |   R - RUC: 1709164899001   |   SOC - Sociedad conyugal o union de hecho   |   Comparativo 2025 vs 2026</t>
        </is>
      </c>
    </row>
    <row r="3" ht="5" customHeight="1">
      <c r="A3" s="3" t="n"/>
    </row>
    <row r="5" ht="6" customHeight="1">
      <c r="B5" s="4" t="n"/>
      <c r="C5" s="5" t="n"/>
      <c r="D5" s="6" t="n"/>
      <c r="E5" s="5" t="n"/>
      <c r="F5" s="7" t="n"/>
      <c r="G5" s="5" t="n"/>
    </row>
    <row r="6">
      <c r="B6" s="8" t="inlineStr">
        <is>
          <t>TOTAL ACTIVOS</t>
        </is>
      </c>
      <c r="C6" s="9" t="n"/>
      <c r="D6" s="10" t="inlineStr">
        <is>
          <t>TOTAL PASIVOS</t>
        </is>
      </c>
      <c r="E6" s="11" t="n"/>
      <c r="F6" s="12" t="inlineStr">
        <is>
          <t>PATRIMONIO NETO</t>
        </is>
      </c>
      <c r="G6" s="13" t="n"/>
    </row>
    <row r="7" ht="28" customHeight="1">
      <c r="B7" s="14">
        <f>D20</f>
        <v/>
      </c>
      <c r="C7" s="9" t="n"/>
      <c r="D7" s="15">
        <f>D25</f>
        <v/>
      </c>
      <c r="E7" s="11" t="n"/>
      <c r="F7" s="16">
        <f>D31</f>
        <v/>
      </c>
      <c r="G7" s="13" t="n"/>
    </row>
    <row r="8">
      <c r="B8" s="17" t="inlineStr">
        <is>
          <t>Var. proyectada</t>
        </is>
      </c>
      <c r="C8" s="18">
        <f>G20</f>
        <v/>
      </c>
      <c r="D8" s="19" t="inlineStr">
        <is>
          <t>Var. proyectada</t>
        </is>
      </c>
      <c r="E8" s="20">
        <f>G25</f>
        <v/>
      </c>
      <c r="F8" s="21" t="inlineStr">
        <is>
          <t>Var. proyectada</t>
        </is>
      </c>
      <c r="G8" s="22">
        <f>G31</f>
        <v/>
      </c>
    </row>
    <row r="10" ht="22" customHeight="1">
      <c r="B10" s="23" t="inlineStr">
        <is>
          <t>ACTIVOS</t>
        </is>
      </c>
    </row>
    <row r="11" ht="24" customHeight="1">
      <c r="B11" s="24" t="inlineStr">
        <is>
          <t>Concepto</t>
        </is>
      </c>
      <c r="C11" s="24" t="n"/>
      <c r="D11" s="25" t="inlineStr">
        <is>
          <t>Total 2025</t>
        </is>
      </c>
      <c r="E11" s="25" t="inlineStr">
        <is>
          <t>Total 2026</t>
        </is>
      </c>
      <c r="F11" s="25" t="inlineStr">
        <is>
          <t>Variacion</t>
        </is>
      </c>
      <c r="G11" s="25" t="inlineStr">
        <is>
          <t>Variacion %</t>
        </is>
      </c>
    </row>
    <row r="12" ht="20" customHeight="1">
      <c r="B12" s="26" t="inlineStr">
        <is>
          <t>Dinero e inversiones</t>
        </is>
      </c>
      <c r="D12" s="27">
        <f>'Dinero'!J10</f>
        <v/>
      </c>
      <c r="E12" s="27">
        <f>'Dinero'!K10</f>
        <v/>
      </c>
      <c r="F12" s="27">
        <f>E12-D12</f>
        <v/>
      </c>
      <c r="G12" s="28">
        <f>IF(D12=0,"",(E12-D12)/D12)</f>
        <v/>
      </c>
    </row>
    <row r="13" ht="20" customHeight="1">
      <c r="B13" s="26" t="inlineStr">
        <is>
          <t>Derechos representativos de capital</t>
        </is>
      </c>
      <c r="D13" s="27">
        <f>'Derechos de Capital'!J14</f>
        <v/>
      </c>
      <c r="E13" s="27">
        <f>'Derechos de Capital'!K14</f>
        <v/>
      </c>
      <c r="F13" s="27">
        <f>E13-D13</f>
        <v/>
      </c>
      <c r="G13" s="28">
        <f>IF(D13=0,"",(E13-D13)/D13)</f>
        <v/>
      </c>
    </row>
    <row r="14" ht="20" customHeight="1">
      <c r="B14" s="26" t="inlineStr">
        <is>
          <t>Cuentas por cobrar</t>
        </is>
      </c>
      <c r="D14" s="27">
        <f>'Cuentas por Cobrar'!J14</f>
        <v/>
      </c>
      <c r="E14" s="27">
        <f>'Cuentas por Cobrar'!K14</f>
        <v/>
      </c>
      <c r="F14" s="27">
        <f>E14-D14</f>
        <v/>
      </c>
      <c r="G14" s="28">
        <f>IF(D14=0,"",(E14-D14)/D14)</f>
        <v/>
      </c>
    </row>
    <row r="15" ht="20" customHeight="1">
      <c r="B15" s="26" t="inlineStr">
        <is>
          <t>Bienes muebles</t>
        </is>
      </c>
      <c r="D15" s="27">
        <f>'Bienes Muebles'!F14</f>
        <v/>
      </c>
      <c r="E15" s="27">
        <f>'Bienes Muebles'!G14</f>
        <v/>
      </c>
      <c r="F15" s="27">
        <f>E15-D15</f>
        <v/>
      </c>
      <c r="G15" s="28">
        <f>IF(D15=0,"",(E15-D15)/D15)</f>
        <v/>
      </c>
    </row>
    <row r="16" ht="20" customHeight="1">
      <c r="B16" s="26" t="inlineStr">
        <is>
          <t>Vehiculos, naves y aeronaves</t>
        </is>
      </c>
      <c r="D16" s="27">
        <f>'Vehiculos'!G9</f>
        <v/>
      </c>
      <c r="E16" s="27">
        <f>'Vehiculos'!H9</f>
        <v/>
      </c>
      <c r="F16" s="27">
        <f>E16-D16</f>
        <v/>
      </c>
      <c r="G16" s="28">
        <f>IF(D16=0,"",(E16-D16)/D16)</f>
        <v/>
      </c>
    </row>
    <row r="17" ht="20" customHeight="1">
      <c r="B17" s="26" t="inlineStr">
        <is>
          <t>Derechos (usufructo, uso, etc.)</t>
        </is>
      </c>
      <c r="D17" s="27">
        <f>'Derechos'!F14</f>
        <v/>
      </c>
      <c r="E17" s="27">
        <f>'Derechos'!G14</f>
        <v/>
      </c>
      <c r="F17" s="27">
        <f>E17-D17</f>
        <v/>
      </c>
      <c r="G17" s="28">
        <f>IF(D17=0,"",(E17-D17)/D17)</f>
        <v/>
      </c>
    </row>
    <row r="18" ht="20" customHeight="1">
      <c r="B18" s="26" t="inlineStr">
        <is>
          <t>Bienes inmuebles</t>
        </is>
      </c>
      <c r="D18" s="27">
        <f>'Bienes Inmuebles'!J10</f>
        <v/>
      </c>
      <c r="E18" s="27">
        <f>'Bienes Inmuebles'!K10</f>
        <v/>
      </c>
      <c r="F18" s="27">
        <f>E18-D18</f>
        <v/>
      </c>
      <c r="G18" s="28">
        <f>IF(D18=0,"",(E18-D18)/D18)</f>
        <v/>
      </c>
    </row>
    <row r="19" ht="20" customHeight="1">
      <c r="B19" s="26" t="inlineStr">
        <is>
          <t>Otros activos</t>
        </is>
      </c>
      <c r="D19" s="27">
        <f>'Otros Activos'!F14</f>
        <v/>
      </c>
      <c r="E19" s="27">
        <f>'Otros Activos'!G14</f>
        <v/>
      </c>
      <c r="F19" s="27">
        <f>E19-D19</f>
        <v/>
      </c>
      <c r="G19" s="28">
        <f>IF(D19=0,"",(E19-D19)/D19)</f>
        <v/>
      </c>
    </row>
    <row r="20" ht="22" customHeight="1">
      <c r="B20" s="29" t="inlineStr">
        <is>
          <t>TOTAL ACTIVOS</t>
        </is>
      </c>
      <c r="D20" s="30">
        <f>SUM(D12:D19)</f>
        <v/>
      </c>
      <c r="E20" s="30">
        <f>SUM(E12:E19)</f>
        <v/>
      </c>
      <c r="F20" s="30">
        <f>E20-D20</f>
        <v/>
      </c>
      <c r="G20" s="31">
        <f>IF(D20=0,"",(E20-D20)/D20)</f>
        <v/>
      </c>
    </row>
    <row r="22" ht="22" customHeight="1">
      <c r="B22" s="32" t="inlineStr">
        <is>
          <t>PASIVOS</t>
        </is>
      </c>
    </row>
    <row r="23" ht="24" customHeight="1">
      <c r="B23" s="24" t="inlineStr">
        <is>
          <t>Concepto</t>
        </is>
      </c>
      <c r="C23" s="24" t="n"/>
      <c r="D23" s="25" t="inlineStr">
        <is>
          <t>Total 2025</t>
        </is>
      </c>
      <c r="E23" s="25" t="inlineStr">
        <is>
          <t>Total 2026</t>
        </is>
      </c>
      <c r="F23" s="25" t="inlineStr">
        <is>
          <t>Variacion</t>
        </is>
      </c>
      <c r="G23" s="25" t="inlineStr">
        <is>
          <t>Variacion %</t>
        </is>
      </c>
    </row>
    <row r="24" ht="20" customHeight="1">
      <c r="B24" s="33" t="inlineStr">
        <is>
          <t>Deudas y obligaciones</t>
        </is>
      </c>
      <c r="D24" s="34">
        <f>'Pasivos'!I8</f>
        <v/>
      </c>
      <c r="E24" s="34">
        <f>'Pasivos'!J8</f>
        <v/>
      </c>
      <c r="F24" s="34">
        <f>E24-D24</f>
        <v/>
      </c>
      <c r="G24" s="35">
        <f>IF(D24=0,"",(E24-D24)/D24)</f>
        <v/>
      </c>
    </row>
    <row r="25" ht="22" customHeight="1">
      <c r="B25" s="36" t="inlineStr">
        <is>
          <t>TOTAL PASIVOS</t>
        </is>
      </c>
      <c r="D25" s="37">
        <f>SUM(D24:D24)</f>
        <v/>
      </c>
      <c r="E25" s="37">
        <f>SUM(E24:E24)</f>
        <v/>
      </c>
      <c r="F25" s="37">
        <f>E25-D25</f>
        <v/>
      </c>
      <c r="G25" s="38">
        <f>IF(D25=0,"",(E25-D25)/D25)</f>
        <v/>
      </c>
    </row>
    <row r="27" ht="22" customHeight="1">
      <c r="B27" s="39" t="inlineStr">
        <is>
          <t>PATRIMONIO NETO</t>
        </is>
      </c>
    </row>
    <row r="28" ht="24" customHeight="1">
      <c r="B28" s="24" t="inlineStr">
        <is>
          <t>Concepto</t>
        </is>
      </c>
      <c r="C28" s="24" t="n"/>
      <c r="D28" s="25" t="inlineStr">
        <is>
          <t>Total 2025</t>
        </is>
      </c>
      <c r="E28" s="25" t="inlineStr">
        <is>
          <t>Total 2026</t>
        </is>
      </c>
      <c r="F28" s="25" t="inlineStr">
        <is>
          <t>Variacion</t>
        </is>
      </c>
      <c r="G28" s="25" t="inlineStr">
        <is>
          <t>Variacion %</t>
        </is>
      </c>
    </row>
    <row r="29" ht="20" customHeight="1">
      <c r="B29" s="40" t="inlineStr">
        <is>
          <t>(+) Total activos</t>
        </is>
      </c>
      <c r="D29" s="41">
        <f>D20</f>
        <v/>
      </c>
      <c r="E29" s="41">
        <f>E20</f>
        <v/>
      </c>
      <c r="F29" s="41">
        <f>E29-D29</f>
        <v/>
      </c>
      <c r="G29" s="42">
        <f>IF(D29=0,"",(E29-D29)/D29)</f>
        <v/>
      </c>
    </row>
    <row r="30" ht="20" customHeight="1">
      <c r="B30" s="40" t="inlineStr">
        <is>
          <t>(-) Total pasivos</t>
        </is>
      </c>
      <c r="D30" s="41">
        <f>D25</f>
        <v/>
      </c>
      <c r="E30" s="41">
        <f>E25</f>
        <v/>
      </c>
      <c r="F30" s="41">
        <f>E30-D30</f>
        <v/>
      </c>
      <c r="G30" s="42">
        <f>IF(D30=0,"",(E30-D30)/D30)</f>
        <v/>
      </c>
    </row>
    <row r="31" ht="22" customHeight="1">
      <c r="B31" s="43" t="inlineStr">
        <is>
          <t>(=) PATRIMONIO NETO</t>
        </is>
      </c>
      <c r="D31" s="44">
        <f>D29-D30</f>
        <v/>
      </c>
      <c r="E31" s="44">
        <f>E29-E30</f>
        <v/>
      </c>
      <c r="F31" s="44">
        <f>E31-D31</f>
        <v/>
      </c>
      <c r="G31" s="45">
        <f>IF(D31=0,"",(E31-D31)/D31)</f>
        <v/>
      </c>
    </row>
    <row r="32" ht="16" customHeight="1">
      <c r="B32" s="46" t="inlineStr">
        <is>
          <t>Patrimonio declarado en el XML (2025)</t>
        </is>
      </c>
      <c r="C32" s="5" t="n"/>
      <c r="D32" s="47" t="n">
        <v>883285.5600000001</v>
      </c>
      <c r="E32" s="5" t="n"/>
      <c r="F32" s="5" t="n"/>
      <c r="G32" s="5" t="n"/>
    </row>
    <row r="33" ht="16" customHeight="1">
      <c r="B33" s="46" t="inlineStr">
        <is>
          <t>Patrimonio neto del anio anterior</t>
        </is>
      </c>
      <c r="C33" s="5" t="n"/>
      <c r="D33" s="47" t="n">
        <v>801569.97</v>
      </c>
      <c r="E33" s="5" t="n"/>
      <c r="F33" s="5" t="n"/>
      <c r="G33" s="5" t="n"/>
    </row>
    <row r="34" ht="16" customHeight="1">
      <c r="B34" s="46" t="inlineStr">
        <is>
          <t>Crecimiento / decremento patrimonial (XML)</t>
        </is>
      </c>
      <c r="C34" s="5" t="n"/>
      <c r="D34" s="47" t="n">
        <v>81715.59</v>
      </c>
      <c r="E34" s="5" t="n"/>
      <c r="F34" s="5" t="n"/>
      <c r="G34" s="5" t="n"/>
    </row>
    <row r="36" ht="22" customHeight="1">
      <c r="B36" s="48" t="inlineStr">
        <is>
          <t>CONSOLIDADO</t>
        </is>
      </c>
    </row>
    <row r="37" ht="24" customHeight="1">
      <c r="B37" s="24" t="inlineStr">
        <is>
          <t>Concepto</t>
        </is>
      </c>
      <c r="C37" s="24" t="n"/>
      <c r="D37" s="25" t="inlineStr">
        <is>
          <t>Total 2025</t>
        </is>
      </c>
      <c r="E37" s="25" t="inlineStr">
        <is>
          <t>Total 2026</t>
        </is>
      </c>
      <c r="F37" s="25" t="inlineStr">
        <is>
          <t>Variacion</t>
        </is>
      </c>
      <c r="G37" s="25" t="inlineStr">
        <is>
          <t>Variacion %</t>
        </is>
      </c>
    </row>
    <row r="38" ht="20" customHeight="1">
      <c r="B38" s="49" t="inlineStr">
        <is>
          <t>Activos</t>
        </is>
      </c>
      <c r="D38" s="50">
        <f>D20</f>
        <v/>
      </c>
      <c r="E38" s="50">
        <f>E20</f>
        <v/>
      </c>
      <c r="F38" s="50">
        <f>E38-D38</f>
        <v/>
      </c>
      <c r="G38" s="51">
        <f>IF(D38=0,"",(E38-D38)/D38)</f>
        <v/>
      </c>
    </row>
    <row r="39" ht="20" customHeight="1">
      <c r="B39" s="52" t="inlineStr">
        <is>
          <t>Pasivos</t>
        </is>
      </c>
      <c r="D39" s="53">
        <f>D25</f>
        <v/>
      </c>
      <c r="E39" s="53">
        <f>E25</f>
        <v/>
      </c>
      <c r="F39" s="53">
        <f>E39-D39</f>
        <v/>
      </c>
      <c r="G39" s="54">
        <f>IF(D39=0,"",(E39-D39)/D39)</f>
        <v/>
      </c>
    </row>
    <row r="40" ht="20" customHeight="1">
      <c r="B40" s="55" t="inlineStr">
        <is>
          <t>Patrimonio neto</t>
        </is>
      </c>
      <c r="D40" s="56">
        <f>D31</f>
        <v/>
      </c>
      <c r="E40" s="56">
        <f>E31</f>
        <v/>
      </c>
      <c r="F40" s="56">
        <f>E40-D40</f>
        <v/>
      </c>
      <c r="G40" s="57">
        <f>IF(D40=0,"",(E40-D40)/D40)</f>
        <v/>
      </c>
    </row>
    <row r="42">
      <c r="B42" s="58" t="inlineStr">
        <is>
          <t>Edite las columnas amarillas en las hojas de cada modulo; las tarjetas, secciones y graficos se recalculan solos.</t>
        </is>
      </c>
    </row>
  </sheetData>
  <mergeCells count="40">
    <mergeCell ref="B16:C16"/>
    <mergeCell ref="B7:C7"/>
    <mergeCell ref="B25:C25"/>
    <mergeCell ref="F6:G6"/>
    <mergeCell ref="B31:C31"/>
    <mergeCell ref="A1:H1"/>
    <mergeCell ref="B18:C18"/>
    <mergeCell ref="F7:G7"/>
    <mergeCell ref="B12:C12"/>
    <mergeCell ref="B39:C39"/>
    <mergeCell ref="D6:E6"/>
    <mergeCell ref="B10:G10"/>
    <mergeCell ref="B11:C11"/>
    <mergeCell ref="F5:G5"/>
    <mergeCell ref="B23:C23"/>
    <mergeCell ref="B14:C14"/>
    <mergeCell ref="B17:C17"/>
    <mergeCell ref="B13:C13"/>
    <mergeCell ref="A3:H3"/>
    <mergeCell ref="B38:C38"/>
    <mergeCell ref="B29:C29"/>
    <mergeCell ref="D7:E7"/>
    <mergeCell ref="B36:G36"/>
    <mergeCell ref="B19:C19"/>
    <mergeCell ref="A2:H2"/>
    <mergeCell ref="B34:C34"/>
    <mergeCell ref="B37:C37"/>
    <mergeCell ref="B28:C28"/>
    <mergeCell ref="B40:C40"/>
    <mergeCell ref="B6:C6"/>
    <mergeCell ref="B24:C24"/>
    <mergeCell ref="B30:C30"/>
    <mergeCell ref="B15:C15"/>
    <mergeCell ref="B33:C33"/>
    <mergeCell ref="B22:G22"/>
    <mergeCell ref="B5:C5"/>
    <mergeCell ref="B20:C20"/>
    <mergeCell ref="B27:G27"/>
    <mergeCell ref="D5:E5"/>
    <mergeCell ref="B32:C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  <col width="18" customWidth="1" min="4" max="4"/>
    <col width="28" customWidth="1" min="5" max="5"/>
    <col width="13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4.1.1   DINERO E INVERSIONES EN INSTITUCIONES FINANCIERAS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5" t="inlineStr">
        <is>
          <t>Dinero en</t>
        </is>
      </c>
      <c r="B5" s="25" t="inlineStr">
        <is>
          <t>Tipo de inversion</t>
        </is>
      </c>
      <c r="C5" s="25" t="inlineStr">
        <is>
          <t>Ubicacion</t>
        </is>
      </c>
      <c r="D5" s="25" t="inlineStr">
        <is>
          <t>Pais</t>
        </is>
      </c>
      <c r="E5" s="25" t="inlineStr">
        <is>
          <t>Institucion financiera</t>
        </is>
      </c>
      <c r="F5" s="25" t="inlineStr">
        <is>
          <t>Tipo de moneda</t>
        </is>
      </c>
      <c r="G5" s="25" t="inlineStr">
        <is>
          <t>Partes relacionadas</t>
        </is>
      </c>
      <c r="H5" s="25" t="inlineStr">
        <is>
          <t>Regularizacion activos</t>
        </is>
      </c>
      <c r="I5" s="25" t="inlineStr">
        <is>
          <t>Anio fiscal adquisicion</t>
        </is>
      </c>
      <c r="J5" s="25" t="inlineStr">
        <is>
          <t>Valor 2025</t>
        </is>
      </c>
      <c r="K5" s="25" t="inlineStr">
        <is>
          <t>Valor 2026</t>
        </is>
      </c>
      <c r="L5" s="25" t="inlineStr">
        <is>
          <t>Variacion</t>
        </is>
      </c>
      <c r="M5" s="25" t="inlineStr">
        <is>
          <t>Variacion %</t>
        </is>
      </c>
    </row>
    <row r="6">
      <c r="A6" s="59" t="inlineStr">
        <is>
          <t>IFI - Instituciones financieras</t>
        </is>
      </c>
      <c r="B6" s="59" t="inlineStr">
        <is>
          <t>3 - Cuenta de ahorros</t>
        </is>
      </c>
      <c r="C6" s="59" t="inlineStr">
        <is>
          <t>ECU - En el Ecuador</t>
        </is>
      </c>
      <c r="D6" s="59" t="inlineStr">
        <is>
          <t>593 - ECUADOR</t>
        </is>
      </c>
      <c r="E6" s="59" t="inlineStr">
        <is>
          <t>1029 - BANCO PICHINCHA C.A.</t>
        </is>
      </c>
      <c r="F6" s="59" t="inlineStr">
        <is>
          <t>DOLARES</t>
        </is>
      </c>
      <c r="G6" s="59" t="inlineStr">
        <is>
          <t>2 - No</t>
        </is>
      </c>
      <c r="H6" s="59" t="inlineStr"/>
      <c r="I6" s="59" t="inlineStr"/>
      <c r="J6" s="60" t="n">
        <v>130.2</v>
      </c>
      <c r="K6" s="61" t="n">
        <v>130.2</v>
      </c>
      <c r="L6" s="60">
        <f>K6-J6</f>
        <v/>
      </c>
      <c r="M6" s="62">
        <f>IF(J6=0,"",(K6-J6)/J6)</f>
        <v/>
      </c>
    </row>
    <row r="7">
      <c r="A7" s="63" t="inlineStr">
        <is>
          <t>IFI - Instituciones financieras</t>
        </is>
      </c>
      <c r="B7" s="63" t="inlineStr">
        <is>
          <t>4 - Cuenta corriente</t>
        </is>
      </c>
      <c r="C7" s="63" t="inlineStr">
        <is>
          <t>ECU - En el Ecuador</t>
        </is>
      </c>
      <c r="D7" s="63" t="inlineStr">
        <is>
          <t>593 - ECUADOR</t>
        </is>
      </c>
      <c r="E7" s="63" t="inlineStr">
        <is>
          <t>1029 - BANCO PICHINCHA C.A.</t>
        </is>
      </c>
      <c r="F7" s="63" t="inlineStr">
        <is>
          <t>DOLARES</t>
        </is>
      </c>
      <c r="G7" s="63" t="inlineStr">
        <is>
          <t>2 - No</t>
        </is>
      </c>
      <c r="H7" s="63" t="inlineStr"/>
      <c r="I7" s="63" t="inlineStr"/>
      <c r="J7" s="64" t="n">
        <v>5590.32</v>
      </c>
      <c r="K7" s="61" t="n">
        <v>5590.32</v>
      </c>
      <c r="L7" s="64">
        <f>K7-J7</f>
        <v/>
      </c>
      <c r="M7" s="65">
        <f>IF(J7=0,"",(K7-J7)/J7)</f>
        <v/>
      </c>
    </row>
    <row r="8">
      <c r="A8" s="59" t="inlineStr">
        <is>
          <t>IFI - Instituciones financieras</t>
        </is>
      </c>
      <c r="B8" s="59" t="inlineStr">
        <is>
          <t>3 - Cuenta de ahorros</t>
        </is>
      </c>
      <c r="C8" s="59" t="inlineStr">
        <is>
          <t>ECU - En el Ecuador</t>
        </is>
      </c>
      <c r="D8" s="59" t="inlineStr">
        <is>
          <t>593 - ECUADOR</t>
        </is>
      </c>
      <c r="E8" s="59" t="inlineStr">
        <is>
          <t>1418 - BANCO PROMERICA S.A.</t>
        </is>
      </c>
      <c r="F8" s="59" t="inlineStr">
        <is>
          <t>DOLARES</t>
        </is>
      </c>
      <c r="G8" s="59" t="inlineStr">
        <is>
          <t>2 - No</t>
        </is>
      </c>
      <c r="H8" s="59" t="inlineStr"/>
      <c r="I8" s="59" t="inlineStr"/>
      <c r="J8" s="60" t="n">
        <v>53237.31</v>
      </c>
      <c r="K8" s="61" t="n">
        <v>53237.31</v>
      </c>
      <c r="L8" s="60">
        <f>K8-J8</f>
        <v/>
      </c>
      <c r="M8" s="62">
        <f>IF(J8=0,"",(K8-J8)/J8)</f>
        <v/>
      </c>
    </row>
    <row r="9">
      <c r="A9" s="63" t="inlineStr">
        <is>
          <t>IFI - Instituciones financieras</t>
        </is>
      </c>
      <c r="B9" s="63" t="inlineStr">
        <is>
          <t>2 - Inversiones financieras</t>
        </is>
      </c>
      <c r="C9" s="63" t="inlineStr">
        <is>
          <t>EXT - En el exterior</t>
        </is>
      </c>
      <c r="D9" s="63" t="inlineStr">
        <is>
          <t>118 - PANAMA</t>
        </is>
      </c>
      <c r="E9" s="63" t="inlineStr">
        <is>
          <t>BANCO PICHINCHA CA</t>
        </is>
      </c>
      <c r="F9" s="63" t="inlineStr">
        <is>
          <t>DOLARES</t>
        </is>
      </c>
      <c r="G9" s="63" t="inlineStr">
        <is>
          <t>2 - No</t>
        </is>
      </c>
      <c r="H9" s="63" t="inlineStr"/>
      <c r="I9" s="63" t="inlineStr"/>
      <c r="J9" s="64" t="n">
        <v>189049.31</v>
      </c>
      <c r="K9" s="61" t="n">
        <v>189049.31</v>
      </c>
      <c r="L9" s="64">
        <f>K9-J9</f>
        <v/>
      </c>
      <c r="M9" s="65">
        <f>IF(J9=0,"",(K9-J9)/J9)</f>
        <v/>
      </c>
    </row>
    <row r="10" ht="22" customHeight="1">
      <c r="A10" s="66" t="inlineStr">
        <is>
          <t>TOTAL</t>
        </is>
      </c>
      <c r="B10" s="66" t="n"/>
      <c r="C10" s="66" t="n"/>
      <c r="D10" s="66" t="n"/>
      <c r="E10" s="66" t="n"/>
      <c r="F10" s="66" t="n"/>
      <c r="G10" s="66" t="n"/>
      <c r="H10" s="66" t="n"/>
      <c r="I10" s="66" t="n"/>
      <c r="J10" s="30">
        <f>SUM(J6:J9)</f>
        <v/>
      </c>
      <c r="K10" s="30">
        <f>SUM(K6:K9)</f>
        <v/>
      </c>
      <c r="L10" s="30">
        <f>K10-J10</f>
        <v/>
      </c>
      <c r="M10" s="31">
        <f>IF(J10=0,"",(K10-J10)/J10)</f>
        <v/>
      </c>
    </row>
  </sheetData>
  <mergeCells count="3">
    <mergeCell ref="A3:M3"/>
    <mergeCell ref="A2:M2"/>
    <mergeCell ref="A1:M1"/>
  </mergeCells>
  <dataValidations count="7">
    <dataValidation sqref="A6:A9" showDropDown="0" showInputMessage="0" showErrorMessage="0" allowBlank="1" type="list">
      <formula1>Catalogos!$A$2:$A$4</formula1>
    </dataValidation>
    <dataValidation sqref="B6:B9" showDropDown="0" showInputMessage="0" showErrorMessage="0" allowBlank="1" type="list">
      <formula1>Catalogos!$B$2:$B$8</formula1>
    </dataValidation>
    <dataValidation sqref="C6:C9" showDropDown="0" showInputMessage="0" showErrorMessage="0" allowBlank="1" type="list">
      <formula1>Catalogos!$C$2:$C$3</formula1>
    </dataValidation>
    <dataValidation sqref="D6:D9" showDropDown="0" showInputMessage="0" showErrorMessage="0" allowBlank="1" type="list">
      <formula1>Catalogos!$D$2:$D$258</formula1>
    </dataValidation>
    <dataValidation sqref="E6:E9" showDropDown="0" showInputMessage="0" showErrorMessage="0" allowBlank="1" type="list">
      <formula1>Catalogos!$E$2:$E$519</formula1>
    </dataValidation>
    <dataValidation sqref="G6:G9" showDropDown="0" showInputMessage="0" showErrorMessage="0" allowBlank="1" type="list">
      <formula1>Catalogos!$F$2:$F$3</formula1>
    </dataValidation>
    <dataValidation sqref="H6:H9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30" customWidth="1" min="4" max="4"/>
    <col width="14" customWidth="1" min="5" max="5"/>
    <col width="16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4.1.2   INVERSIONES EN DERECHOS REPRESENTATIVOS DE CAPITAL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5" t="inlineStr">
        <is>
          <t>Tipo de inversion</t>
        </is>
      </c>
      <c r="B5" s="25" t="inlineStr">
        <is>
          <t>Ubicacion</t>
        </is>
      </c>
      <c r="C5" s="25" t="inlineStr">
        <is>
          <t>Pais</t>
        </is>
      </c>
      <c r="D5" s="25" t="inlineStr">
        <is>
          <t>Empresa / Administradora / Fideicomiso</t>
        </is>
      </c>
      <c r="E5" s="25" t="inlineStr">
        <is>
          <t>% de participacion</t>
        </is>
      </c>
      <c r="F5" s="25" t="inlineStr">
        <is>
          <t>N. de acciones / participaciones</t>
        </is>
      </c>
      <c r="G5" s="25" t="inlineStr">
        <is>
          <t>Partes relacionadas</t>
        </is>
      </c>
      <c r="H5" s="25" t="inlineStr">
        <is>
          <t>Regularizacion activos</t>
        </is>
      </c>
      <c r="I5" s="25" t="inlineStr">
        <is>
          <t>Anio fiscal adquisicion</t>
        </is>
      </c>
      <c r="J5" s="25" t="inlineStr">
        <is>
          <t>Valor 2025</t>
        </is>
      </c>
      <c r="K5" s="25" t="inlineStr">
        <is>
          <t>Valor 2026</t>
        </is>
      </c>
      <c r="L5" s="25" t="inlineStr">
        <is>
          <t>Variacion</t>
        </is>
      </c>
      <c r="M5" s="25" t="inlineStr">
        <is>
          <t>Variacion %</t>
        </is>
      </c>
    </row>
    <row r="6">
      <c r="A6" s="59" t="inlineStr"/>
      <c r="B6" s="59" t="inlineStr"/>
      <c r="C6" s="59" t="inlineStr"/>
      <c r="D6" s="59" t="inlineStr"/>
      <c r="E6" s="59" t="inlineStr"/>
      <c r="F6" s="59" t="inlineStr"/>
      <c r="G6" s="59" t="inlineStr"/>
      <c r="H6" s="59" t="inlineStr"/>
      <c r="I6" s="59" t="inlineStr"/>
      <c r="J6" s="61" t="n">
        <v>0</v>
      </c>
      <c r="K6" s="61" t="n">
        <v>0</v>
      </c>
      <c r="L6" s="60">
        <f>K6-J6</f>
        <v/>
      </c>
      <c r="M6" s="62">
        <f>IF(J6=0,"",(K6-J6)/J6)</f>
        <v/>
      </c>
    </row>
    <row r="7">
      <c r="A7" s="63" t="inlineStr"/>
      <c r="B7" s="63" t="inlineStr"/>
      <c r="C7" s="63" t="inlineStr"/>
      <c r="D7" s="63" t="inlineStr"/>
      <c r="E7" s="63" t="inlineStr"/>
      <c r="F7" s="63" t="inlineStr"/>
      <c r="G7" s="63" t="inlineStr"/>
      <c r="H7" s="63" t="inlineStr"/>
      <c r="I7" s="63" t="inlineStr"/>
      <c r="J7" s="61" t="n">
        <v>0</v>
      </c>
      <c r="K7" s="61" t="n">
        <v>0</v>
      </c>
      <c r="L7" s="64">
        <f>K7-J7</f>
        <v/>
      </c>
      <c r="M7" s="65">
        <f>IF(J7=0,"",(K7-J7)/J7)</f>
        <v/>
      </c>
    </row>
    <row r="8">
      <c r="A8" s="59" t="inlineStr"/>
      <c r="B8" s="59" t="inlineStr"/>
      <c r="C8" s="59" t="inlineStr"/>
      <c r="D8" s="59" t="inlineStr"/>
      <c r="E8" s="59" t="inlineStr"/>
      <c r="F8" s="59" t="inlineStr"/>
      <c r="G8" s="59" t="inlineStr"/>
      <c r="H8" s="59" t="inlineStr"/>
      <c r="I8" s="59" t="inlineStr"/>
      <c r="J8" s="61" t="n">
        <v>0</v>
      </c>
      <c r="K8" s="61" t="n">
        <v>0</v>
      </c>
      <c r="L8" s="60">
        <f>K8-J8</f>
        <v/>
      </c>
      <c r="M8" s="62">
        <f>IF(J8=0,"",(K8-J8)/J8)</f>
        <v/>
      </c>
    </row>
    <row r="9">
      <c r="A9" s="63" t="inlineStr"/>
      <c r="B9" s="63" t="inlineStr"/>
      <c r="C9" s="63" t="inlineStr"/>
      <c r="D9" s="63" t="inlineStr"/>
      <c r="E9" s="63" t="inlineStr"/>
      <c r="F9" s="63" t="inlineStr"/>
      <c r="G9" s="63" t="inlineStr"/>
      <c r="H9" s="63" t="inlineStr"/>
      <c r="I9" s="63" t="inlineStr"/>
      <c r="J9" s="61" t="n">
        <v>0</v>
      </c>
      <c r="K9" s="61" t="n">
        <v>0</v>
      </c>
      <c r="L9" s="64">
        <f>K9-J9</f>
        <v/>
      </c>
      <c r="M9" s="65">
        <f>IF(J9=0,"",(K9-J9)/J9)</f>
        <v/>
      </c>
    </row>
    <row r="10">
      <c r="A10" s="59" t="inlineStr"/>
      <c r="B10" s="59" t="inlineStr"/>
      <c r="C10" s="59" t="inlineStr"/>
      <c r="D10" s="59" t="inlineStr"/>
      <c r="E10" s="59" t="inlineStr"/>
      <c r="F10" s="59" t="inlineStr"/>
      <c r="G10" s="59" t="inlineStr"/>
      <c r="H10" s="59" t="inlineStr"/>
      <c r="I10" s="59" t="inlineStr"/>
      <c r="J10" s="61" t="n">
        <v>0</v>
      </c>
      <c r="K10" s="61" t="n">
        <v>0</v>
      </c>
      <c r="L10" s="60">
        <f>K10-J10</f>
        <v/>
      </c>
      <c r="M10" s="62">
        <f>IF(J10=0,"",(K10-J10)/J10)</f>
        <v/>
      </c>
    </row>
    <row r="11">
      <c r="A11" s="63" t="inlineStr"/>
      <c r="B11" s="63" t="inlineStr"/>
      <c r="C11" s="63" t="inlineStr"/>
      <c r="D11" s="63" t="inlineStr"/>
      <c r="E11" s="63" t="inlineStr"/>
      <c r="F11" s="63" t="inlineStr"/>
      <c r="G11" s="63" t="inlineStr"/>
      <c r="H11" s="63" t="inlineStr"/>
      <c r="I11" s="63" t="inlineStr"/>
      <c r="J11" s="61" t="n">
        <v>0</v>
      </c>
      <c r="K11" s="61" t="n">
        <v>0</v>
      </c>
      <c r="L11" s="64">
        <f>K11-J11</f>
        <v/>
      </c>
      <c r="M11" s="65">
        <f>IF(J11=0,"",(K11-J11)/J11)</f>
        <v/>
      </c>
    </row>
    <row r="12">
      <c r="A12" s="59" t="inlineStr"/>
      <c r="B12" s="59" t="inlineStr"/>
      <c r="C12" s="59" t="inlineStr"/>
      <c r="D12" s="59" t="inlineStr"/>
      <c r="E12" s="59" t="inlineStr"/>
      <c r="F12" s="59" t="inlineStr"/>
      <c r="G12" s="59" t="inlineStr"/>
      <c r="H12" s="59" t="inlineStr"/>
      <c r="I12" s="59" t="inlineStr"/>
      <c r="J12" s="61" t="n">
        <v>0</v>
      </c>
      <c r="K12" s="61" t="n">
        <v>0</v>
      </c>
      <c r="L12" s="60">
        <f>K12-J12</f>
        <v/>
      </c>
      <c r="M12" s="62">
        <f>IF(J12=0,"",(K12-J12)/J12)</f>
        <v/>
      </c>
    </row>
    <row r="13">
      <c r="A13" s="63" t="inlineStr"/>
      <c r="B13" s="63" t="inlineStr"/>
      <c r="C13" s="63" t="inlineStr"/>
      <c r="D13" s="63" t="inlineStr"/>
      <c r="E13" s="63" t="inlineStr"/>
      <c r="F13" s="63" t="inlineStr"/>
      <c r="G13" s="63" t="inlineStr"/>
      <c r="H13" s="63" t="inlineStr"/>
      <c r="I13" s="63" t="inlineStr"/>
      <c r="J13" s="61" t="n">
        <v>0</v>
      </c>
      <c r="K13" s="61" t="n">
        <v>0</v>
      </c>
      <c r="L13" s="64">
        <f>K13-J13</f>
        <v/>
      </c>
      <c r="M13" s="65">
        <f>IF(J13=0,"",(K13-J13)/J13)</f>
        <v/>
      </c>
    </row>
    <row r="14" ht="22" customHeight="1">
      <c r="A14" s="66" t="inlineStr">
        <is>
          <t>TOTAL</t>
        </is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30">
        <f>SUM(J6:J13)</f>
        <v/>
      </c>
      <c r="K14" s="30">
        <f>SUM(K6:K13)</f>
        <v/>
      </c>
      <c r="L14" s="30">
        <f>K14-J14</f>
        <v/>
      </c>
      <c r="M14" s="31">
        <f>IF(J14=0,"",(K14-J14)/J14)</f>
        <v/>
      </c>
    </row>
  </sheetData>
  <mergeCells count="3">
    <mergeCell ref="A3:M3"/>
    <mergeCell ref="A2:M2"/>
    <mergeCell ref="A1:M1"/>
  </mergeCells>
  <dataValidations count="5">
    <dataValidation sqref="A6:A13" showDropDown="0" showInputMessage="0" showErrorMessage="0" allowBlank="1" type="list">
      <formula1>Catalogos!$G$2:$G$4</formula1>
    </dataValidation>
    <dataValidation sqref="B6:B13" showDropDown="0" showInputMessage="0" showErrorMessage="0" allowBlank="1" type="list">
      <formula1>Catalogos!$C$2:$C$3</formula1>
    </dataValidation>
    <dataValidation sqref="C6:C13" showDropDown="0" showInputMessage="0" showErrorMessage="0" allowBlank="1" type="list">
      <formula1>Catalogos!$D$2:$D$258</formula1>
    </dataValidation>
    <dataValidation sqref="G6:G13" showDropDown="0" showInputMessage="0" showErrorMessage="0" allowBlank="1" type="list">
      <formula1>Catalogos!$F$2:$F$3</formula1>
    </dataValidation>
    <dataValidation sqref="H6:H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0" customWidth="1" min="4" max="4"/>
    <col width="15" customWidth="1" min="5" max="5"/>
    <col width="18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4.1.3   CREDITOS, DOCUMENTOS Y CUENTAS POR COBRAR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5" t="inlineStr">
        <is>
          <t>Nombre del deudor</t>
        </is>
      </c>
      <c r="B5" s="25" t="inlineStr">
        <is>
          <t>Tipo de deudor</t>
        </is>
      </c>
      <c r="C5" s="25" t="inlineStr">
        <is>
          <t>Tipo de identificacion</t>
        </is>
      </c>
      <c r="D5" s="25" t="inlineStr">
        <is>
          <t>N. de identificacion</t>
        </is>
      </c>
      <c r="E5" s="25" t="inlineStr">
        <is>
          <t>Ubicacion</t>
        </is>
      </c>
      <c r="F5" s="25" t="inlineStr">
        <is>
          <t>Pais</t>
        </is>
      </c>
      <c r="G5" s="25" t="inlineStr">
        <is>
          <t>Partes relacionadas</t>
        </is>
      </c>
      <c r="H5" s="25" t="inlineStr">
        <is>
          <t>Regularizacion activos</t>
        </is>
      </c>
      <c r="I5" s="25" t="inlineStr">
        <is>
          <t>Anio fiscal adquisicion</t>
        </is>
      </c>
      <c r="J5" s="25" t="inlineStr">
        <is>
          <t>Valor 2025</t>
        </is>
      </c>
      <c r="K5" s="25" t="inlineStr">
        <is>
          <t>Valor 2026</t>
        </is>
      </c>
      <c r="L5" s="25" t="inlineStr">
        <is>
          <t>Variacion</t>
        </is>
      </c>
      <c r="M5" s="25" t="inlineStr">
        <is>
          <t>Variacion %</t>
        </is>
      </c>
    </row>
    <row r="6">
      <c r="A6" s="59" t="inlineStr"/>
      <c r="B6" s="59" t="inlineStr"/>
      <c r="C6" s="59" t="inlineStr"/>
      <c r="D6" s="59" t="inlineStr"/>
      <c r="E6" s="59" t="inlineStr"/>
      <c r="F6" s="59" t="inlineStr"/>
      <c r="G6" s="59" t="inlineStr"/>
      <c r="H6" s="59" t="inlineStr"/>
      <c r="I6" s="59" t="inlineStr"/>
      <c r="J6" s="61" t="n">
        <v>0</v>
      </c>
      <c r="K6" s="61" t="n">
        <v>0</v>
      </c>
      <c r="L6" s="60">
        <f>K6-J6</f>
        <v/>
      </c>
      <c r="M6" s="62">
        <f>IF(J6=0,"",(K6-J6)/J6)</f>
        <v/>
      </c>
    </row>
    <row r="7">
      <c r="A7" s="63" t="inlineStr"/>
      <c r="B7" s="63" t="inlineStr"/>
      <c r="C7" s="63" t="inlineStr"/>
      <c r="D7" s="63" t="inlineStr"/>
      <c r="E7" s="63" t="inlineStr"/>
      <c r="F7" s="63" t="inlineStr"/>
      <c r="G7" s="63" t="inlineStr"/>
      <c r="H7" s="63" t="inlineStr"/>
      <c r="I7" s="63" t="inlineStr"/>
      <c r="J7" s="61" t="n">
        <v>0</v>
      </c>
      <c r="K7" s="61" t="n">
        <v>0</v>
      </c>
      <c r="L7" s="64">
        <f>K7-J7</f>
        <v/>
      </c>
      <c r="M7" s="65">
        <f>IF(J7=0,"",(K7-J7)/J7)</f>
        <v/>
      </c>
    </row>
    <row r="8">
      <c r="A8" s="59" t="inlineStr"/>
      <c r="B8" s="59" t="inlineStr"/>
      <c r="C8" s="59" t="inlineStr"/>
      <c r="D8" s="59" t="inlineStr"/>
      <c r="E8" s="59" t="inlineStr"/>
      <c r="F8" s="59" t="inlineStr"/>
      <c r="G8" s="59" t="inlineStr"/>
      <c r="H8" s="59" t="inlineStr"/>
      <c r="I8" s="59" t="inlineStr"/>
      <c r="J8" s="61" t="n">
        <v>0</v>
      </c>
      <c r="K8" s="61" t="n">
        <v>0</v>
      </c>
      <c r="L8" s="60">
        <f>K8-J8</f>
        <v/>
      </c>
      <c r="M8" s="62">
        <f>IF(J8=0,"",(K8-J8)/J8)</f>
        <v/>
      </c>
    </row>
    <row r="9">
      <c r="A9" s="63" t="inlineStr"/>
      <c r="B9" s="63" t="inlineStr"/>
      <c r="C9" s="63" t="inlineStr"/>
      <c r="D9" s="63" t="inlineStr"/>
      <c r="E9" s="63" t="inlineStr"/>
      <c r="F9" s="63" t="inlineStr"/>
      <c r="G9" s="63" t="inlineStr"/>
      <c r="H9" s="63" t="inlineStr"/>
      <c r="I9" s="63" t="inlineStr"/>
      <c r="J9" s="61" t="n">
        <v>0</v>
      </c>
      <c r="K9" s="61" t="n">
        <v>0</v>
      </c>
      <c r="L9" s="64">
        <f>K9-J9</f>
        <v/>
      </c>
      <c r="M9" s="65">
        <f>IF(J9=0,"",(K9-J9)/J9)</f>
        <v/>
      </c>
    </row>
    <row r="10">
      <c r="A10" s="59" t="inlineStr"/>
      <c r="B10" s="59" t="inlineStr"/>
      <c r="C10" s="59" t="inlineStr"/>
      <c r="D10" s="59" t="inlineStr"/>
      <c r="E10" s="59" t="inlineStr"/>
      <c r="F10" s="59" t="inlineStr"/>
      <c r="G10" s="59" t="inlineStr"/>
      <c r="H10" s="59" t="inlineStr"/>
      <c r="I10" s="59" t="inlineStr"/>
      <c r="J10" s="61" t="n">
        <v>0</v>
      </c>
      <c r="K10" s="61" t="n">
        <v>0</v>
      </c>
      <c r="L10" s="60">
        <f>K10-J10</f>
        <v/>
      </c>
      <c r="M10" s="62">
        <f>IF(J10=0,"",(K10-J10)/J10)</f>
        <v/>
      </c>
    </row>
    <row r="11">
      <c r="A11" s="63" t="inlineStr"/>
      <c r="B11" s="63" t="inlineStr"/>
      <c r="C11" s="63" t="inlineStr"/>
      <c r="D11" s="63" t="inlineStr"/>
      <c r="E11" s="63" t="inlineStr"/>
      <c r="F11" s="63" t="inlineStr"/>
      <c r="G11" s="63" t="inlineStr"/>
      <c r="H11" s="63" t="inlineStr"/>
      <c r="I11" s="63" t="inlineStr"/>
      <c r="J11" s="61" t="n">
        <v>0</v>
      </c>
      <c r="K11" s="61" t="n">
        <v>0</v>
      </c>
      <c r="L11" s="64">
        <f>K11-J11</f>
        <v/>
      </c>
      <c r="M11" s="65">
        <f>IF(J11=0,"",(K11-J11)/J11)</f>
        <v/>
      </c>
    </row>
    <row r="12">
      <c r="A12" s="59" t="inlineStr"/>
      <c r="B12" s="59" t="inlineStr"/>
      <c r="C12" s="59" t="inlineStr"/>
      <c r="D12" s="59" t="inlineStr"/>
      <c r="E12" s="59" t="inlineStr"/>
      <c r="F12" s="59" t="inlineStr"/>
      <c r="G12" s="59" t="inlineStr"/>
      <c r="H12" s="59" t="inlineStr"/>
      <c r="I12" s="59" t="inlineStr"/>
      <c r="J12" s="61" t="n">
        <v>0</v>
      </c>
      <c r="K12" s="61" t="n">
        <v>0</v>
      </c>
      <c r="L12" s="60">
        <f>K12-J12</f>
        <v/>
      </c>
      <c r="M12" s="62">
        <f>IF(J12=0,"",(K12-J12)/J12)</f>
        <v/>
      </c>
    </row>
    <row r="13">
      <c r="A13" s="63" t="inlineStr"/>
      <c r="B13" s="63" t="inlineStr"/>
      <c r="C13" s="63" t="inlineStr"/>
      <c r="D13" s="63" t="inlineStr"/>
      <c r="E13" s="63" t="inlineStr"/>
      <c r="F13" s="63" t="inlineStr"/>
      <c r="G13" s="63" t="inlineStr"/>
      <c r="H13" s="63" t="inlineStr"/>
      <c r="I13" s="63" t="inlineStr"/>
      <c r="J13" s="61" t="n">
        <v>0</v>
      </c>
      <c r="K13" s="61" t="n">
        <v>0</v>
      </c>
      <c r="L13" s="64">
        <f>K13-J13</f>
        <v/>
      </c>
      <c r="M13" s="65">
        <f>IF(J13=0,"",(K13-J13)/J13)</f>
        <v/>
      </c>
    </row>
    <row r="14" ht="22" customHeight="1">
      <c r="A14" s="66" t="inlineStr">
        <is>
          <t>TOTAL</t>
        </is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30">
        <f>SUM(J6:J13)</f>
        <v/>
      </c>
      <c r="K14" s="30">
        <f>SUM(K6:K13)</f>
        <v/>
      </c>
      <c r="L14" s="30">
        <f>K14-J14</f>
        <v/>
      </c>
      <c r="M14" s="31">
        <f>IF(J14=0,"",(K14-J14)/J14)</f>
        <v/>
      </c>
    </row>
  </sheetData>
  <mergeCells count="3">
    <mergeCell ref="A3:M3"/>
    <mergeCell ref="A2:M2"/>
    <mergeCell ref="A1:M1"/>
  </mergeCells>
  <dataValidations count="6">
    <dataValidation sqref="B6:B13" showDropDown="0" showInputMessage="0" showErrorMessage="0" allowBlank="1" type="list">
      <formula1>Catalogos!$H$2:$H$3</formula1>
    </dataValidation>
    <dataValidation sqref="C6:C13" showDropDown="0" showInputMessage="0" showErrorMessage="0" allowBlank="1" type="list">
      <formula1>Catalogos!$P$2:$P$5</formula1>
    </dataValidation>
    <dataValidation sqref="E6:E13" showDropDown="0" showInputMessage="0" showErrorMessage="0" allowBlank="1" type="list">
      <formula1>Catalogos!$C$2:$C$3</formula1>
    </dataValidation>
    <dataValidation sqref="F6:F13" showDropDown="0" showInputMessage="0" showErrorMessage="0" allowBlank="1" type="list">
      <formula1>Catalogos!$D$2:$D$258</formula1>
    </dataValidation>
    <dataValidation sqref="G6:G13" showDropDown="0" showInputMessage="0" showErrorMessage="0" allowBlank="1" type="list">
      <formula1>Catalogos!$F$2:$F$3</formula1>
    </dataValidation>
    <dataValidation sqref="H6:H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8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4.1.4   BIENES MUEBLES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5" t="inlineStr">
        <is>
          <t>Tipo de bien</t>
        </is>
      </c>
      <c r="B5" s="25" t="inlineStr">
        <is>
          <t>Ubicacion</t>
        </is>
      </c>
      <c r="C5" s="25" t="inlineStr">
        <is>
          <t>Pais</t>
        </is>
      </c>
      <c r="D5" s="25" t="inlineStr">
        <is>
          <t>Regularizacion activos</t>
        </is>
      </c>
      <c r="E5" s="25" t="inlineStr">
        <is>
          <t>Anio fiscal adquisicion</t>
        </is>
      </c>
      <c r="F5" s="25" t="inlineStr">
        <is>
          <t>Valor 2025</t>
        </is>
      </c>
      <c r="G5" s="25" t="inlineStr">
        <is>
          <t>Valor 2026</t>
        </is>
      </c>
      <c r="H5" s="25" t="inlineStr">
        <is>
          <t>Variacion</t>
        </is>
      </c>
      <c r="I5" s="25" t="inlineStr">
        <is>
          <t>Variacion %</t>
        </is>
      </c>
    </row>
    <row r="6">
      <c r="A6" s="59" t="inlineStr"/>
      <c r="B6" s="59" t="inlineStr"/>
      <c r="C6" s="59" t="inlineStr"/>
      <c r="D6" s="59" t="inlineStr"/>
      <c r="E6" s="59" t="inlineStr"/>
      <c r="F6" s="61" t="n">
        <v>0</v>
      </c>
      <c r="G6" s="61" t="n">
        <v>0</v>
      </c>
      <c r="H6" s="60">
        <f>G6-F6</f>
        <v/>
      </c>
      <c r="I6" s="62">
        <f>IF(F6=0,"",(G6-F6)/F6)</f>
        <v/>
      </c>
    </row>
    <row r="7">
      <c r="A7" s="63" t="inlineStr"/>
      <c r="B7" s="63" t="inlineStr"/>
      <c r="C7" s="63" t="inlineStr"/>
      <c r="D7" s="63" t="inlineStr"/>
      <c r="E7" s="63" t="inlineStr"/>
      <c r="F7" s="61" t="n">
        <v>0</v>
      </c>
      <c r="G7" s="61" t="n">
        <v>0</v>
      </c>
      <c r="H7" s="64">
        <f>G7-F7</f>
        <v/>
      </c>
      <c r="I7" s="65">
        <f>IF(F7=0,"",(G7-F7)/F7)</f>
        <v/>
      </c>
    </row>
    <row r="8">
      <c r="A8" s="59" t="inlineStr"/>
      <c r="B8" s="59" t="inlineStr"/>
      <c r="C8" s="59" t="inlineStr"/>
      <c r="D8" s="59" t="inlineStr"/>
      <c r="E8" s="59" t="inlineStr"/>
      <c r="F8" s="61" t="n">
        <v>0</v>
      </c>
      <c r="G8" s="61" t="n">
        <v>0</v>
      </c>
      <c r="H8" s="60">
        <f>G8-F8</f>
        <v/>
      </c>
      <c r="I8" s="62">
        <f>IF(F8=0,"",(G8-F8)/F8)</f>
        <v/>
      </c>
    </row>
    <row r="9">
      <c r="A9" s="63" t="inlineStr"/>
      <c r="B9" s="63" t="inlineStr"/>
      <c r="C9" s="63" t="inlineStr"/>
      <c r="D9" s="63" t="inlineStr"/>
      <c r="E9" s="63" t="inlineStr"/>
      <c r="F9" s="61" t="n">
        <v>0</v>
      </c>
      <c r="G9" s="61" t="n">
        <v>0</v>
      </c>
      <c r="H9" s="64">
        <f>G9-F9</f>
        <v/>
      </c>
      <c r="I9" s="65">
        <f>IF(F9=0,"",(G9-F9)/F9)</f>
        <v/>
      </c>
    </row>
    <row r="10">
      <c r="A10" s="59" t="inlineStr"/>
      <c r="B10" s="59" t="inlineStr"/>
      <c r="C10" s="59" t="inlineStr"/>
      <c r="D10" s="59" t="inlineStr"/>
      <c r="E10" s="59" t="inlineStr"/>
      <c r="F10" s="61" t="n">
        <v>0</v>
      </c>
      <c r="G10" s="61" t="n">
        <v>0</v>
      </c>
      <c r="H10" s="60">
        <f>G10-F10</f>
        <v/>
      </c>
      <c r="I10" s="62">
        <f>IF(F10=0,"",(G10-F10)/F10)</f>
        <v/>
      </c>
    </row>
    <row r="11">
      <c r="A11" s="63" t="inlineStr"/>
      <c r="B11" s="63" t="inlineStr"/>
      <c r="C11" s="63" t="inlineStr"/>
      <c r="D11" s="63" t="inlineStr"/>
      <c r="E11" s="63" t="inlineStr"/>
      <c r="F11" s="61" t="n">
        <v>0</v>
      </c>
      <c r="G11" s="61" t="n">
        <v>0</v>
      </c>
      <c r="H11" s="64">
        <f>G11-F11</f>
        <v/>
      </c>
      <c r="I11" s="65">
        <f>IF(F11=0,"",(G11-F11)/F11)</f>
        <v/>
      </c>
    </row>
    <row r="12">
      <c r="A12" s="59" t="inlineStr"/>
      <c r="B12" s="59" t="inlineStr"/>
      <c r="C12" s="59" t="inlineStr"/>
      <c r="D12" s="59" t="inlineStr"/>
      <c r="E12" s="59" t="inlineStr"/>
      <c r="F12" s="61" t="n">
        <v>0</v>
      </c>
      <c r="G12" s="61" t="n">
        <v>0</v>
      </c>
      <c r="H12" s="60">
        <f>G12-F12</f>
        <v/>
      </c>
      <c r="I12" s="62">
        <f>IF(F12=0,"",(G12-F12)/F12)</f>
        <v/>
      </c>
    </row>
    <row r="13">
      <c r="A13" s="63" t="inlineStr"/>
      <c r="B13" s="63" t="inlineStr"/>
      <c r="C13" s="63" t="inlineStr"/>
      <c r="D13" s="63" t="inlineStr"/>
      <c r="E13" s="63" t="inlineStr"/>
      <c r="F13" s="61" t="n">
        <v>0</v>
      </c>
      <c r="G13" s="61" t="n">
        <v>0</v>
      </c>
      <c r="H13" s="64">
        <f>G13-F13</f>
        <v/>
      </c>
      <c r="I13" s="65">
        <f>IF(F13=0,"",(G13-F13)/F13)</f>
        <v/>
      </c>
    </row>
    <row r="14" ht="22" customHeight="1">
      <c r="A14" s="66" t="inlineStr">
        <is>
          <t>TOTAL</t>
        </is>
      </c>
      <c r="B14" s="66" t="n"/>
      <c r="C14" s="66" t="n"/>
      <c r="D14" s="66" t="n"/>
      <c r="E14" s="66" t="n"/>
      <c r="F14" s="30">
        <f>SUM(F6:F13)</f>
        <v/>
      </c>
      <c r="G14" s="30">
        <f>SUM(G6:G13)</f>
        <v/>
      </c>
      <c r="H14" s="30">
        <f>G14-F14</f>
        <v/>
      </c>
      <c r="I14" s="31">
        <f>IF(F14=0,"",(G14-F14)/F14)</f>
        <v/>
      </c>
    </row>
  </sheetData>
  <mergeCells count="3">
    <mergeCell ref="A1:I1"/>
    <mergeCell ref="A3:I3"/>
    <mergeCell ref="A2:I2"/>
  </mergeCells>
  <dataValidations count="4">
    <dataValidation sqref="A6:A13" showDropDown="0" showInputMessage="0" showErrorMessage="0" allowBlank="1" type="list">
      <formula1>Catalogos!$I$2:$I$7</formula1>
    </dataValidation>
    <dataValidation sqref="B6:B13" showDropDown="0" showInputMessage="0" showErrorMessage="0" allowBlank="1" type="list">
      <formula1>Catalogos!$C$2:$C$3</formula1>
    </dataValidation>
    <dataValidation sqref="C6:C13" showDropDown="0" showInputMessage="0" showErrorMessage="0" allowBlank="1" type="list">
      <formula1>Catalogos!$D$2:$D$258</formula1>
    </dataValidation>
    <dataValidation sqref="D6:D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8" customWidth="1" min="4" max="4"/>
    <col width="16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4.1.5   VEHICULOS MOTORIZADOS TERRESTRES, NAVES Y AERONAVES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5" t="inlineStr">
        <is>
          <t>Tipo de vehiculo</t>
        </is>
      </c>
      <c r="B5" s="25" t="inlineStr">
        <is>
          <t>Registro / placa / chasis</t>
        </is>
      </c>
      <c r="C5" s="25" t="inlineStr">
        <is>
          <t>Ubicacion</t>
        </is>
      </c>
      <c r="D5" s="25" t="inlineStr">
        <is>
          <t>Pais</t>
        </is>
      </c>
      <c r="E5" s="25" t="inlineStr">
        <is>
          <t>Regularizacion activos</t>
        </is>
      </c>
      <c r="F5" s="25" t="inlineStr">
        <is>
          <t>Anio fiscal adquisicion</t>
        </is>
      </c>
      <c r="G5" s="25" t="inlineStr">
        <is>
          <t>Valor 2025</t>
        </is>
      </c>
      <c r="H5" s="25" t="inlineStr">
        <is>
          <t>Valor 2026</t>
        </is>
      </c>
      <c r="I5" s="25" t="inlineStr">
        <is>
          <t>Variacion</t>
        </is>
      </c>
      <c r="J5" s="25" t="inlineStr">
        <is>
          <t>Variacion %</t>
        </is>
      </c>
    </row>
    <row r="6">
      <c r="A6" s="59" t="inlineStr">
        <is>
          <t>1 - Vehiculos motorizados terrestres</t>
        </is>
      </c>
      <c r="B6" s="59" t="inlineStr">
        <is>
          <t>PBO7092</t>
        </is>
      </c>
      <c r="C6" s="59" t="inlineStr">
        <is>
          <t>ECU - En el Ecuador</t>
        </is>
      </c>
      <c r="D6" s="59" t="inlineStr">
        <is>
          <t>593 - ECUADOR</t>
        </is>
      </c>
      <c r="E6" s="59" t="inlineStr"/>
      <c r="F6" s="59" t="inlineStr"/>
      <c r="G6" s="60" t="n">
        <v>12000</v>
      </c>
      <c r="H6" s="61" t="n">
        <v>12000</v>
      </c>
      <c r="I6" s="60">
        <f>H6-G6</f>
        <v/>
      </c>
      <c r="J6" s="62">
        <f>IF(G6=0,"",(H6-G6)/G6)</f>
        <v/>
      </c>
    </row>
    <row r="7">
      <c r="A7" s="63" t="inlineStr">
        <is>
          <t>1 - Vehiculos motorizados terrestres</t>
        </is>
      </c>
      <c r="B7" s="63" t="inlineStr">
        <is>
          <t>PBF9690</t>
        </is>
      </c>
      <c r="C7" s="63" t="inlineStr">
        <is>
          <t>ECU - En el Ecuador</t>
        </is>
      </c>
      <c r="D7" s="63" t="inlineStr">
        <is>
          <t>593 - ECUADOR</t>
        </is>
      </c>
      <c r="E7" s="63" t="inlineStr"/>
      <c r="F7" s="63" t="inlineStr"/>
      <c r="G7" s="64" t="n">
        <v>20000</v>
      </c>
      <c r="H7" s="61" t="n">
        <v>20000</v>
      </c>
      <c r="I7" s="64">
        <f>H7-G7</f>
        <v/>
      </c>
      <c r="J7" s="65">
        <f>IF(G7=0,"",(H7-G7)/G7)</f>
        <v/>
      </c>
    </row>
    <row r="8">
      <c r="A8" s="59" t="inlineStr">
        <is>
          <t>1 - Vehiculos motorizados terrestres</t>
        </is>
      </c>
      <c r="B8" s="59" t="inlineStr">
        <is>
          <t>PFC8683</t>
        </is>
      </c>
      <c r="C8" s="59" t="inlineStr">
        <is>
          <t>ECU - En el Ecuador</t>
        </is>
      </c>
      <c r="D8" s="59" t="inlineStr">
        <is>
          <t>593 - ECUADOR</t>
        </is>
      </c>
      <c r="E8" s="59" t="inlineStr"/>
      <c r="F8" s="59" t="inlineStr"/>
      <c r="G8" s="60" t="n">
        <v>32000</v>
      </c>
      <c r="H8" s="61" t="n">
        <v>32000</v>
      </c>
      <c r="I8" s="60">
        <f>H8-G8</f>
        <v/>
      </c>
      <c r="J8" s="62">
        <f>IF(G8=0,"",(H8-G8)/G8)</f>
        <v/>
      </c>
    </row>
    <row r="9" ht="22" customHeight="1">
      <c r="A9" s="66" t="inlineStr">
        <is>
          <t>TOTAL</t>
        </is>
      </c>
      <c r="B9" s="66" t="n"/>
      <c r="C9" s="66" t="n"/>
      <c r="D9" s="66" t="n"/>
      <c r="E9" s="66" t="n"/>
      <c r="F9" s="66" t="n"/>
      <c r="G9" s="30">
        <f>SUM(G6:G8)</f>
        <v/>
      </c>
      <c r="H9" s="30">
        <f>SUM(H6:H8)</f>
        <v/>
      </c>
      <c r="I9" s="30">
        <f>H9-G9</f>
        <v/>
      </c>
      <c r="J9" s="31">
        <f>IF(G9=0,"",(H9-G9)/G9)</f>
        <v/>
      </c>
    </row>
  </sheetData>
  <mergeCells count="3">
    <mergeCell ref="A1:J1"/>
    <mergeCell ref="A3:J3"/>
    <mergeCell ref="A2:J2"/>
  </mergeCells>
  <dataValidations count="4">
    <dataValidation sqref="A6:A8" showDropDown="0" showInputMessage="0" showErrorMessage="0" allowBlank="1" type="list">
      <formula1>Catalogos!$J$2:$J$4</formula1>
    </dataValidation>
    <dataValidation sqref="C6:C8" showDropDown="0" showInputMessage="0" showErrorMessage="0" allowBlank="1" type="list">
      <formula1>Catalogos!$C$2:$C$3</formula1>
    </dataValidation>
    <dataValidation sqref="D6:D8" showDropDown="0" showInputMessage="0" showErrorMessage="0" allowBlank="1" type="list">
      <formula1>Catalogos!$D$2:$D$258</formula1>
    </dataValidation>
    <dataValidation sqref="E6:E8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4.1.6   DERECHOS (USUFRUCTO, USO, HABITACION, MARCAS, ETC.)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5" t="inlineStr">
        <is>
          <t>Tipo de derecho</t>
        </is>
      </c>
      <c r="B5" s="25" t="inlineStr">
        <is>
          <t>Ubicacion</t>
        </is>
      </c>
      <c r="C5" s="25" t="inlineStr">
        <is>
          <t>Pais</t>
        </is>
      </c>
      <c r="D5" s="25" t="inlineStr">
        <is>
          <t>Regularizacion activos</t>
        </is>
      </c>
      <c r="E5" s="25" t="inlineStr">
        <is>
          <t>Anio fiscal adquisicion</t>
        </is>
      </c>
      <c r="F5" s="25" t="inlineStr">
        <is>
          <t>Valor 2025</t>
        </is>
      </c>
      <c r="G5" s="25" t="inlineStr">
        <is>
          <t>Valor 2026</t>
        </is>
      </c>
      <c r="H5" s="25" t="inlineStr">
        <is>
          <t>Variacion</t>
        </is>
      </c>
      <c r="I5" s="25" t="inlineStr">
        <is>
          <t>Variacion %</t>
        </is>
      </c>
    </row>
    <row r="6">
      <c r="A6" s="59" t="inlineStr"/>
      <c r="B6" s="59" t="inlineStr"/>
      <c r="C6" s="59" t="inlineStr"/>
      <c r="D6" s="59" t="inlineStr"/>
      <c r="E6" s="59" t="inlineStr"/>
      <c r="F6" s="61" t="n">
        <v>0</v>
      </c>
      <c r="G6" s="61" t="n">
        <v>0</v>
      </c>
      <c r="H6" s="60">
        <f>G6-F6</f>
        <v/>
      </c>
      <c r="I6" s="62">
        <f>IF(F6=0,"",(G6-F6)/F6)</f>
        <v/>
      </c>
    </row>
    <row r="7">
      <c r="A7" s="63" t="inlineStr"/>
      <c r="B7" s="63" t="inlineStr"/>
      <c r="C7" s="63" t="inlineStr"/>
      <c r="D7" s="63" t="inlineStr"/>
      <c r="E7" s="63" t="inlineStr"/>
      <c r="F7" s="61" t="n">
        <v>0</v>
      </c>
      <c r="G7" s="61" t="n">
        <v>0</v>
      </c>
      <c r="H7" s="64">
        <f>G7-F7</f>
        <v/>
      </c>
      <c r="I7" s="65">
        <f>IF(F7=0,"",(G7-F7)/F7)</f>
        <v/>
      </c>
    </row>
    <row r="8">
      <c r="A8" s="59" t="inlineStr"/>
      <c r="B8" s="59" t="inlineStr"/>
      <c r="C8" s="59" t="inlineStr"/>
      <c r="D8" s="59" t="inlineStr"/>
      <c r="E8" s="59" t="inlineStr"/>
      <c r="F8" s="61" t="n">
        <v>0</v>
      </c>
      <c r="G8" s="61" t="n">
        <v>0</v>
      </c>
      <c r="H8" s="60">
        <f>G8-F8</f>
        <v/>
      </c>
      <c r="I8" s="62">
        <f>IF(F8=0,"",(G8-F8)/F8)</f>
        <v/>
      </c>
    </row>
    <row r="9">
      <c r="A9" s="63" t="inlineStr"/>
      <c r="B9" s="63" t="inlineStr"/>
      <c r="C9" s="63" t="inlineStr"/>
      <c r="D9" s="63" t="inlineStr"/>
      <c r="E9" s="63" t="inlineStr"/>
      <c r="F9" s="61" t="n">
        <v>0</v>
      </c>
      <c r="G9" s="61" t="n">
        <v>0</v>
      </c>
      <c r="H9" s="64">
        <f>G9-F9</f>
        <v/>
      </c>
      <c r="I9" s="65">
        <f>IF(F9=0,"",(G9-F9)/F9)</f>
        <v/>
      </c>
    </row>
    <row r="10">
      <c r="A10" s="59" t="inlineStr"/>
      <c r="B10" s="59" t="inlineStr"/>
      <c r="C10" s="59" t="inlineStr"/>
      <c r="D10" s="59" t="inlineStr"/>
      <c r="E10" s="59" t="inlineStr"/>
      <c r="F10" s="61" t="n">
        <v>0</v>
      </c>
      <c r="G10" s="61" t="n">
        <v>0</v>
      </c>
      <c r="H10" s="60">
        <f>G10-F10</f>
        <v/>
      </c>
      <c r="I10" s="62">
        <f>IF(F10=0,"",(G10-F10)/F10)</f>
        <v/>
      </c>
    </row>
    <row r="11">
      <c r="A11" s="63" t="inlineStr"/>
      <c r="B11" s="63" t="inlineStr"/>
      <c r="C11" s="63" t="inlineStr"/>
      <c r="D11" s="63" t="inlineStr"/>
      <c r="E11" s="63" t="inlineStr"/>
      <c r="F11" s="61" t="n">
        <v>0</v>
      </c>
      <c r="G11" s="61" t="n">
        <v>0</v>
      </c>
      <c r="H11" s="64">
        <f>G11-F11</f>
        <v/>
      </c>
      <c r="I11" s="65">
        <f>IF(F11=0,"",(G11-F11)/F11)</f>
        <v/>
      </c>
    </row>
    <row r="12">
      <c r="A12" s="59" t="inlineStr"/>
      <c r="B12" s="59" t="inlineStr"/>
      <c r="C12" s="59" t="inlineStr"/>
      <c r="D12" s="59" t="inlineStr"/>
      <c r="E12" s="59" t="inlineStr"/>
      <c r="F12" s="61" t="n">
        <v>0</v>
      </c>
      <c r="G12" s="61" t="n">
        <v>0</v>
      </c>
      <c r="H12" s="60">
        <f>G12-F12</f>
        <v/>
      </c>
      <c r="I12" s="62">
        <f>IF(F12=0,"",(G12-F12)/F12)</f>
        <v/>
      </c>
    </row>
    <row r="13">
      <c r="A13" s="63" t="inlineStr"/>
      <c r="B13" s="63" t="inlineStr"/>
      <c r="C13" s="63" t="inlineStr"/>
      <c r="D13" s="63" t="inlineStr"/>
      <c r="E13" s="63" t="inlineStr"/>
      <c r="F13" s="61" t="n">
        <v>0</v>
      </c>
      <c r="G13" s="61" t="n">
        <v>0</v>
      </c>
      <c r="H13" s="64">
        <f>G13-F13</f>
        <v/>
      </c>
      <c r="I13" s="65">
        <f>IF(F13=0,"",(G13-F13)/F13)</f>
        <v/>
      </c>
    </row>
    <row r="14" ht="22" customHeight="1">
      <c r="A14" s="66" t="inlineStr">
        <is>
          <t>TOTAL</t>
        </is>
      </c>
      <c r="B14" s="66" t="n"/>
      <c r="C14" s="66" t="n"/>
      <c r="D14" s="66" t="n"/>
      <c r="E14" s="66" t="n"/>
      <c r="F14" s="30">
        <f>SUM(F6:F13)</f>
        <v/>
      </c>
      <c r="G14" s="30">
        <f>SUM(G6:G13)</f>
        <v/>
      </c>
      <c r="H14" s="30">
        <f>G14-F14</f>
        <v/>
      </c>
      <c r="I14" s="31">
        <f>IF(F14=0,"",(G14-F14)/F14)</f>
        <v/>
      </c>
    </row>
  </sheetData>
  <mergeCells count="3">
    <mergeCell ref="A1:I1"/>
    <mergeCell ref="A3:I3"/>
    <mergeCell ref="A2:I2"/>
  </mergeCells>
  <dataValidations count="4">
    <dataValidation sqref="A6:A13" showDropDown="0" showInputMessage="0" showErrorMessage="0" allowBlank="1" type="list">
      <formula1>Catalogos!$K$2:$K$9</formula1>
    </dataValidation>
    <dataValidation sqref="B6:B13" showDropDown="0" showInputMessage="0" showErrorMessage="0" allowBlank="1" type="list">
      <formula1>Catalogos!$C$2:$C$3</formula1>
    </dataValidation>
    <dataValidation sqref="C6:C13" showDropDown="0" showInputMessage="0" showErrorMessage="0" allowBlank="1" type="list">
      <formula1>Catalogos!$D$2:$D$258</formula1>
    </dataValidation>
    <dataValidation sqref="D6:D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22" customWidth="1" min="4" max="4"/>
    <col width="22" customWidth="1" min="5" max="5"/>
    <col width="16" customWidth="1" min="6" max="6"/>
    <col width="22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4.1.7   BIENES INMUEBLES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5" t="inlineStr">
        <is>
          <t>Tipo de inmueble</t>
        </is>
      </c>
      <c r="B5" s="25" t="inlineStr">
        <is>
          <t>Ubicacion</t>
        </is>
      </c>
      <c r="C5" s="25" t="inlineStr">
        <is>
          <t>Pais</t>
        </is>
      </c>
      <c r="D5" s="25" t="inlineStr">
        <is>
          <t>Provincia</t>
        </is>
      </c>
      <c r="E5" s="25" t="inlineStr">
        <is>
          <t>Canton</t>
        </is>
      </c>
      <c r="F5" s="25" t="inlineStr">
        <is>
          <t>Fecha de inscripcion</t>
        </is>
      </c>
      <c r="G5" s="25" t="inlineStr">
        <is>
          <t>Clave catastral</t>
        </is>
      </c>
      <c r="H5" s="25" t="inlineStr">
        <is>
          <t>Regularizacion activos</t>
        </is>
      </c>
      <c r="I5" s="25" t="inlineStr">
        <is>
          <t>Anio fiscal adquisicion</t>
        </is>
      </c>
      <c r="J5" s="25" t="inlineStr">
        <is>
          <t>Valor 2025</t>
        </is>
      </c>
      <c r="K5" s="25" t="inlineStr">
        <is>
          <t>Valor 2026</t>
        </is>
      </c>
      <c r="L5" s="25" t="inlineStr">
        <is>
          <t>Variacion</t>
        </is>
      </c>
      <c r="M5" s="25" t="inlineStr">
        <is>
          <t>Variacion %</t>
        </is>
      </c>
    </row>
    <row r="6">
      <c r="A6" s="59" t="inlineStr">
        <is>
          <t>3 - Terreno</t>
        </is>
      </c>
      <c r="B6" s="59" t="inlineStr">
        <is>
          <t>ECU - En el Ecuador</t>
        </is>
      </c>
      <c r="C6" s="59" t="inlineStr">
        <is>
          <t>593 - ECUADOR</t>
        </is>
      </c>
      <c r="D6" s="59" t="inlineStr">
        <is>
          <t>217 - PICHINCHA</t>
        </is>
      </c>
      <c r="E6" s="59" t="inlineStr">
        <is>
          <t>21701 - QUITO</t>
        </is>
      </c>
      <c r="F6" s="59" t="inlineStr">
        <is>
          <t>22/10/2008</t>
        </is>
      </c>
      <c r="G6" s="59" t="inlineStr">
        <is>
          <t>1042203018</t>
        </is>
      </c>
      <c r="H6" s="59" t="inlineStr"/>
      <c r="I6" s="59" t="inlineStr"/>
      <c r="J6" s="60" t="n">
        <v>267340.8</v>
      </c>
      <c r="K6" s="61" t="n">
        <v>267340.8</v>
      </c>
      <c r="L6" s="60">
        <f>K6-J6</f>
        <v/>
      </c>
      <c r="M6" s="62">
        <f>IF(J6=0,"",(K6-J6)/J6)</f>
        <v/>
      </c>
    </row>
    <row r="7">
      <c r="A7" s="63" t="inlineStr">
        <is>
          <t>1 - Casa</t>
        </is>
      </c>
      <c r="B7" s="63" t="inlineStr">
        <is>
          <t>ECU - En el Ecuador</t>
        </is>
      </c>
      <c r="C7" s="63" t="inlineStr">
        <is>
          <t>593 - ECUADOR</t>
        </is>
      </c>
      <c r="D7" s="63" t="inlineStr">
        <is>
          <t>217 - PICHINCHA</t>
        </is>
      </c>
      <c r="E7" s="63" t="inlineStr">
        <is>
          <t>21701 - QUITO</t>
        </is>
      </c>
      <c r="F7" s="63" t="inlineStr">
        <is>
          <t>13/03/1997</t>
        </is>
      </c>
      <c r="G7" s="63" t="inlineStr">
        <is>
          <t>1012005008000000000</t>
        </is>
      </c>
      <c r="H7" s="63" t="inlineStr"/>
      <c r="I7" s="63" t="inlineStr"/>
      <c r="J7" s="64" t="n">
        <v>198118.55</v>
      </c>
      <c r="K7" s="61" t="n">
        <v>198118.55</v>
      </c>
      <c r="L7" s="64">
        <f>K7-J7</f>
        <v/>
      </c>
      <c r="M7" s="65">
        <f>IF(J7=0,"",(K7-J7)/J7)</f>
        <v/>
      </c>
    </row>
    <row r="8">
      <c r="A8" s="59" t="inlineStr">
        <is>
          <t>1 - Casa</t>
        </is>
      </c>
      <c r="B8" s="59" t="inlineStr">
        <is>
          <t>ECU - En el Ecuador</t>
        </is>
      </c>
      <c r="C8" s="59" t="inlineStr">
        <is>
          <t>593 - ECUADOR</t>
        </is>
      </c>
      <c r="D8" s="59" t="inlineStr">
        <is>
          <t>217 - PICHINCHA</t>
        </is>
      </c>
      <c r="E8" s="59" t="inlineStr">
        <is>
          <t>21701 - QUITO</t>
        </is>
      </c>
      <c r="F8" s="59" t="inlineStr"/>
      <c r="G8" s="59" t="inlineStr">
        <is>
          <t>1042203018</t>
        </is>
      </c>
      <c r="H8" s="59" t="inlineStr"/>
      <c r="I8" s="59" t="inlineStr"/>
      <c r="J8" s="60" t="n">
        <v>33634.04</v>
      </c>
      <c r="K8" s="61" t="n">
        <v>33634.04</v>
      </c>
      <c r="L8" s="60">
        <f>K8-J8</f>
        <v/>
      </c>
      <c r="M8" s="62">
        <f>IF(J8=0,"",(K8-J8)/J8)</f>
        <v/>
      </c>
    </row>
    <row r="9">
      <c r="A9" s="63" t="inlineStr">
        <is>
          <t>3 - Terreno</t>
        </is>
      </c>
      <c r="B9" s="63" t="inlineStr">
        <is>
          <t>ECU - En el Ecuador</t>
        </is>
      </c>
      <c r="C9" s="63" t="inlineStr">
        <is>
          <t>593 - ECUADOR</t>
        </is>
      </c>
      <c r="D9" s="63" t="inlineStr">
        <is>
          <t>217 - PICHINCHA</t>
        </is>
      </c>
      <c r="E9" s="63" t="inlineStr">
        <is>
          <t>21701 - QUITO</t>
        </is>
      </c>
      <c r="F9" s="63" t="inlineStr"/>
      <c r="G9" s="63" t="inlineStr">
        <is>
          <t>1012005008000000000</t>
        </is>
      </c>
      <c r="H9" s="63" t="inlineStr"/>
      <c r="I9" s="63" t="inlineStr"/>
      <c r="J9" s="64" t="n">
        <v>82624.22</v>
      </c>
      <c r="K9" s="61" t="n">
        <v>82624.22</v>
      </c>
      <c r="L9" s="64">
        <f>K9-J9</f>
        <v/>
      </c>
      <c r="M9" s="65">
        <f>IF(J9=0,"",(K9-J9)/J9)</f>
        <v/>
      </c>
    </row>
    <row r="10" ht="22" customHeight="1">
      <c r="A10" s="66" t="inlineStr">
        <is>
          <t>TOTAL</t>
        </is>
      </c>
      <c r="B10" s="66" t="n"/>
      <c r="C10" s="66" t="n"/>
      <c r="D10" s="66" t="n"/>
      <c r="E10" s="66" t="n"/>
      <c r="F10" s="66" t="n"/>
      <c r="G10" s="66" t="n"/>
      <c r="H10" s="66" t="n"/>
      <c r="I10" s="66" t="n"/>
      <c r="J10" s="30">
        <f>SUM(J6:J9)</f>
        <v/>
      </c>
      <c r="K10" s="30">
        <f>SUM(K6:K9)</f>
        <v/>
      </c>
      <c r="L10" s="30">
        <f>K10-J10</f>
        <v/>
      </c>
      <c r="M10" s="31">
        <f>IF(J10=0,"",(K10-J10)/J10)</f>
        <v/>
      </c>
    </row>
  </sheetData>
  <mergeCells count="3">
    <mergeCell ref="A3:M3"/>
    <mergeCell ref="A2:M2"/>
    <mergeCell ref="A1:M1"/>
  </mergeCells>
  <dataValidations count="6">
    <dataValidation sqref="A6:A9" showDropDown="0" showInputMessage="0" showErrorMessage="0" allowBlank="1" type="list">
      <formula1>Catalogos!$L$2:$L$10</formula1>
    </dataValidation>
    <dataValidation sqref="B6:B9" showDropDown="0" showInputMessage="0" showErrorMessage="0" allowBlank="1" type="list">
      <formula1>Catalogos!$C$2:$C$3</formula1>
    </dataValidation>
    <dataValidation sqref="C6:C9" showDropDown="0" showInputMessage="0" showErrorMessage="0" allowBlank="1" type="list">
      <formula1>Catalogos!$D$2:$D$258</formula1>
    </dataValidation>
    <dataValidation sqref="D6:D9" showDropDown="0" showInputMessage="0" showErrorMessage="0" allowBlank="1" type="list">
      <formula1>Catalogos!$M$2:$M$25</formula1>
    </dataValidation>
    <dataValidation sqref="E6:E9" showDropDown="0" showInputMessage="0" showErrorMessage="0" allowBlank="1" type="list">
      <formula1>Catalogos!$N$2:$N$222</formula1>
    </dataValidation>
    <dataValidation sqref="H6:H9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4.1.8   OTROS ACTIVOS (CREDITOS TRIBUTARIOS Y OTROS)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5" t="inlineStr">
        <is>
          <t>Ubicacion</t>
        </is>
      </c>
      <c r="B5" s="25" t="inlineStr">
        <is>
          <t>Pais</t>
        </is>
      </c>
      <c r="C5" s="25" t="inlineStr">
        <is>
          <t>Descripcion</t>
        </is>
      </c>
      <c r="D5" s="25" t="inlineStr">
        <is>
          <t>Regularizacion activos</t>
        </is>
      </c>
      <c r="E5" s="25" t="inlineStr">
        <is>
          <t>Anio fiscal adquisicion</t>
        </is>
      </c>
      <c r="F5" s="25" t="inlineStr">
        <is>
          <t>Valor 2025</t>
        </is>
      </c>
      <c r="G5" s="25" t="inlineStr">
        <is>
          <t>Valor 2026</t>
        </is>
      </c>
      <c r="H5" s="25" t="inlineStr">
        <is>
          <t>Variacion</t>
        </is>
      </c>
      <c r="I5" s="25" t="inlineStr">
        <is>
          <t>Variacion %</t>
        </is>
      </c>
    </row>
    <row r="6">
      <c r="A6" s="59" t="inlineStr"/>
      <c r="B6" s="59" t="inlineStr"/>
      <c r="C6" s="59" t="inlineStr"/>
      <c r="D6" s="59" t="inlineStr"/>
      <c r="E6" s="59" t="inlineStr"/>
      <c r="F6" s="61" t="n">
        <v>0</v>
      </c>
      <c r="G6" s="61" t="n">
        <v>0</v>
      </c>
      <c r="H6" s="60">
        <f>G6-F6</f>
        <v/>
      </c>
      <c r="I6" s="62">
        <f>IF(F6=0,"",(G6-F6)/F6)</f>
        <v/>
      </c>
    </row>
    <row r="7">
      <c r="A7" s="63" t="inlineStr"/>
      <c r="B7" s="63" t="inlineStr"/>
      <c r="C7" s="63" t="inlineStr"/>
      <c r="D7" s="63" t="inlineStr"/>
      <c r="E7" s="63" t="inlineStr"/>
      <c r="F7" s="61" t="n">
        <v>0</v>
      </c>
      <c r="G7" s="61" t="n">
        <v>0</v>
      </c>
      <c r="H7" s="64">
        <f>G7-F7</f>
        <v/>
      </c>
      <c r="I7" s="65">
        <f>IF(F7=0,"",(G7-F7)/F7)</f>
        <v/>
      </c>
    </row>
    <row r="8">
      <c r="A8" s="59" t="inlineStr"/>
      <c r="B8" s="59" t="inlineStr"/>
      <c r="C8" s="59" t="inlineStr"/>
      <c r="D8" s="59" t="inlineStr"/>
      <c r="E8" s="59" t="inlineStr"/>
      <c r="F8" s="61" t="n">
        <v>0</v>
      </c>
      <c r="G8" s="61" t="n">
        <v>0</v>
      </c>
      <c r="H8" s="60">
        <f>G8-F8</f>
        <v/>
      </c>
      <c r="I8" s="62">
        <f>IF(F8=0,"",(G8-F8)/F8)</f>
        <v/>
      </c>
    </row>
    <row r="9">
      <c r="A9" s="63" t="inlineStr"/>
      <c r="B9" s="63" t="inlineStr"/>
      <c r="C9" s="63" t="inlineStr"/>
      <c r="D9" s="63" t="inlineStr"/>
      <c r="E9" s="63" t="inlineStr"/>
      <c r="F9" s="61" t="n">
        <v>0</v>
      </c>
      <c r="G9" s="61" t="n">
        <v>0</v>
      </c>
      <c r="H9" s="64">
        <f>G9-F9</f>
        <v/>
      </c>
      <c r="I9" s="65">
        <f>IF(F9=0,"",(G9-F9)/F9)</f>
        <v/>
      </c>
    </row>
    <row r="10">
      <c r="A10" s="59" t="inlineStr"/>
      <c r="B10" s="59" t="inlineStr"/>
      <c r="C10" s="59" t="inlineStr"/>
      <c r="D10" s="59" t="inlineStr"/>
      <c r="E10" s="59" t="inlineStr"/>
      <c r="F10" s="61" t="n">
        <v>0</v>
      </c>
      <c r="G10" s="61" t="n">
        <v>0</v>
      </c>
      <c r="H10" s="60">
        <f>G10-F10</f>
        <v/>
      </c>
      <c r="I10" s="62">
        <f>IF(F10=0,"",(G10-F10)/F10)</f>
        <v/>
      </c>
    </row>
    <row r="11">
      <c r="A11" s="63" t="inlineStr"/>
      <c r="B11" s="63" t="inlineStr"/>
      <c r="C11" s="63" t="inlineStr"/>
      <c r="D11" s="63" t="inlineStr"/>
      <c r="E11" s="63" t="inlineStr"/>
      <c r="F11" s="61" t="n">
        <v>0</v>
      </c>
      <c r="G11" s="61" t="n">
        <v>0</v>
      </c>
      <c r="H11" s="64">
        <f>G11-F11</f>
        <v/>
      </c>
      <c r="I11" s="65">
        <f>IF(F11=0,"",(G11-F11)/F11)</f>
        <v/>
      </c>
    </row>
    <row r="12">
      <c r="A12" s="59" t="inlineStr"/>
      <c r="B12" s="59" t="inlineStr"/>
      <c r="C12" s="59" t="inlineStr"/>
      <c r="D12" s="59" t="inlineStr"/>
      <c r="E12" s="59" t="inlineStr"/>
      <c r="F12" s="61" t="n">
        <v>0</v>
      </c>
      <c r="G12" s="61" t="n">
        <v>0</v>
      </c>
      <c r="H12" s="60">
        <f>G12-F12</f>
        <v/>
      </c>
      <c r="I12" s="62">
        <f>IF(F12=0,"",(G12-F12)/F12)</f>
        <v/>
      </c>
    </row>
    <row r="13">
      <c r="A13" s="63" t="inlineStr"/>
      <c r="B13" s="63" t="inlineStr"/>
      <c r="C13" s="63" t="inlineStr"/>
      <c r="D13" s="63" t="inlineStr"/>
      <c r="E13" s="63" t="inlineStr"/>
      <c r="F13" s="61" t="n">
        <v>0</v>
      </c>
      <c r="G13" s="61" t="n">
        <v>0</v>
      </c>
      <c r="H13" s="64">
        <f>G13-F13</f>
        <v/>
      </c>
      <c r="I13" s="65">
        <f>IF(F13=0,"",(G13-F13)/F13)</f>
        <v/>
      </c>
    </row>
    <row r="14" ht="22" customHeight="1">
      <c r="A14" s="66" t="inlineStr">
        <is>
          <t>TOTAL</t>
        </is>
      </c>
      <c r="B14" s="66" t="n"/>
      <c r="C14" s="66" t="n"/>
      <c r="D14" s="66" t="n"/>
      <c r="E14" s="66" t="n"/>
      <c r="F14" s="30">
        <f>SUM(F6:F13)</f>
        <v/>
      </c>
      <c r="G14" s="30">
        <f>SUM(G6:G13)</f>
        <v/>
      </c>
      <c r="H14" s="30">
        <f>G14-F14</f>
        <v/>
      </c>
      <c r="I14" s="31">
        <f>IF(F14=0,"",(G14-F14)/F14)</f>
        <v/>
      </c>
    </row>
  </sheetData>
  <mergeCells count="3">
    <mergeCell ref="A1:I1"/>
    <mergeCell ref="A3:I3"/>
    <mergeCell ref="A2:I2"/>
  </mergeCells>
  <dataValidations count="3">
    <dataValidation sqref="A6:A13" showDropDown="0" showInputMessage="0" showErrorMessage="0" allowBlank="1" type="list">
      <formula1>Catalogos!$C$2:$C$3</formula1>
    </dataValidation>
    <dataValidation sqref="B6:B13" showDropDown="0" showInputMessage="0" showErrorMessage="0" allowBlank="1" type="list">
      <formula1>Catalogos!$D$2:$D$258</formula1>
    </dataValidation>
    <dataValidation sqref="D6:D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6" customWidth="1" min="4" max="4"/>
    <col width="18" customWidth="1" min="5" max="5"/>
    <col width="20" customWidth="1" min="6" max="6"/>
    <col width="18" customWidth="1" min="7" max="7"/>
    <col width="15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4.2.1   DEUDAS CONTRAIDAS / PASIVOS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5" t="inlineStr">
        <is>
          <t>Tipo de acreedor</t>
        </is>
      </c>
      <c r="B5" s="25" t="inlineStr">
        <is>
          <t>Domicilio del acreedor</t>
        </is>
      </c>
      <c r="C5" s="25" t="inlineStr">
        <is>
          <t>Pais</t>
        </is>
      </c>
      <c r="D5" s="25" t="inlineStr">
        <is>
          <t>Nombre del acreedor</t>
        </is>
      </c>
      <c r="E5" s="25" t="inlineStr">
        <is>
          <t>Tipo de identificacion</t>
        </is>
      </c>
      <c r="F5" s="25" t="inlineStr">
        <is>
          <t>N. de identificacion</t>
        </is>
      </c>
      <c r="G5" s="25" t="inlineStr">
        <is>
          <t>N. registro Banco Central</t>
        </is>
      </c>
      <c r="H5" s="25" t="inlineStr">
        <is>
          <t>Partes relacionadas</t>
        </is>
      </c>
      <c r="I5" s="25" t="inlineStr">
        <is>
          <t>Valor 2025</t>
        </is>
      </c>
      <c r="J5" s="25" t="inlineStr">
        <is>
          <t>Valor 2026</t>
        </is>
      </c>
      <c r="K5" s="25" t="inlineStr">
        <is>
          <t>Variacion</t>
        </is>
      </c>
      <c r="L5" s="25" t="inlineStr">
        <is>
          <t>Variacion %</t>
        </is>
      </c>
    </row>
    <row r="6">
      <c r="A6" s="59" t="inlineStr">
        <is>
          <t>IFI - Instituciones financieras</t>
        </is>
      </c>
      <c r="B6" s="59" t="inlineStr">
        <is>
          <t>ECU - En el Ecuador</t>
        </is>
      </c>
      <c r="C6" s="59" t="inlineStr">
        <is>
          <t>593 - ECUADOR</t>
        </is>
      </c>
      <c r="D6" s="59" t="inlineStr">
        <is>
          <t>DINERS CLUB DEL ECUADOR</t>
        </is>
      </c>
      <c r="E6" s="59" t="inlineStr">
        <is>
          <t>R - RUC</t>
        </is>
      </c>
      <c r="F6" s="59" t="inlineStr">
        <is>
          <t>1792260957001</t>
        </is>
      </c>
      <c r="G6" s="59" t="inlineStr"/>
      <c r="H6" s="59" t="inlineStr">
        <is>
          <t>2 - No</t>
        </is>
      </c>
      <c r="I6" s="60" t="n">
        <v>4891.88</v>
      </c>
      <c r="J6" s="61" t="n">
        <v>4891.88</v>
      </c>
      <c r="K6" s="60">
        <f>J6-I6</f>
        <v/>
      </c>
      <c r="L6" s="62">
        <f>IF(I6=0,"",(J6-I6)/I6)</f>
        <v/>
      </c>
    </row>
    <row r="7">
      <c r="A7" s="63" t="inlineStr">
        <is>
          <t>IFI - Instituciones financieras</t>
        </is>
      </c>
      <c r="B7" s="63" t="inlineStr">
        <is>
          <t>ECU - En el Ecuador</t>
        </is>
      </c>
      <c r="C7" s="63" t="inlineStr">
        <is>
          <t>593 - ECUADOR</t>
        </is>
      </c>
      <c r="D7" s="63" t="inlineStr">
        <is>
          <t>BANCO DEL PICHINCHA</t>
        </is>
      </c>
      <c r="E7" s="63" t="inlineStr">
        <is>
          <t>R - RUC</t>
        </is>
      </c>
      <c r="F7" s="63" t="inlineStr">
        <is>
          <t>1790010937001</t>
        </is>
      </c>
      <c r="G7" s="63" t="inlineStr"/>
      <c r="H7" s="63" t="inlineStr">
        <is>
          <t>2 - No</t>
        </is>
      </c>
      <c r="I7" s="64" t="n">
        <v>5547.31</v>
      </c>
      <c r="J7" s="61" t="n">
        <v>5547.31</v>
      </c>
      <c r="K7" s="64">
        <f>J7-I7</f>
        <v/>
      </c>
      <c r="L7" s="65">
        <f>IF(I7=0,"",(J7-I7)/I7)</f>
        <v/>
      </c>
    </row>
    <row r="8" ht="22" customHeight="1">
      <c r="A8" s="67" t="inlineStr">
        <is>
          <t>TOTAL</t>
        </is>
      </c>
      <c r="B8" s="67" t="n"/>
      <c r="C8" s="67" t="n"/>
      <c r="D8" s="67" t="n"/>
      <c r="E8" s="67" t="n"/>
      <c r="F8" s="67" t="n"/>
      <c r="G8" s="67" t="n"/>
      <c r="H8" s="67" t="n"/>
      <c r="I8" s="37">
        <f>SUM(I6:I7)</f>
        <v/>
      </c>
      <c r="J8" s="37">
        <f>SUM(J6:J7)</f>
        <v/>
      </c>
      <c r="K8" s="37">
        <f>J8-I8</f>
        <v/>
      </c>
      <c r="L8" s="38">
        <f>IF(I8=0,"",(J8-I8)/I8)</f>
        <v/>
      </c>
    </row>
  </sheetData>
  <mergeCells count="3">
    <mergeCell ref="A3:L3"/>
    <mergeCell ref="A2:L2"/>
    <mergeCell ref="A1:L1"/>
  </mergeCells>
  <dataValidations count="5">
    <dataValidation sqref="A6:A7" showDropDown="0" showInputMessage="0" showErrorMessage="0" allowBlank="1" type="list">
      <formula1>Catalogos!$O$2:$O$9</formula1>
    </dataValidation>
    <dataValidation sqref="B6:B7" showDropDown="0" showInputMessage="0" showErrorMessage="0" allowBlank="1" type="list">
      <formula1>Catalogos!$C$2:$C$3</formula1>
    </dataValidation>
    <dataValidation sqref="C6:C7" showDropDown="0" showInputMessage="0" showErrorMessage="0" allowBlank="1" type="list">
      <formula1>Catalogos!$D$2:$D$258</formula1>
    </dataValidation>
    <dataValidation sqref="E6:E7" showDropDown="0" showInputMessage="0" showErrorMessage="0" allowBlank="1" type="list">
      <formula1>Catalogos!$P$2:$P$5</formula1>
    </dataValidation>
    <dataValidation sqref="H6:H7" showDropDown="0" showInputMessage="0" showErrorMessage="0" allowBlank="1" type="list">
      <formula1>Catalogos!$F$2:$F$3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22" customWidth="1" min="5" max="5"/>
  </cols>
  <sheetData>
    <row r="1" ht="30" customHeight="1">
      <c r="A1" s="1" t="inlineStr">
        <is>
          <t>JUSTIFICACION DE LA VARIACION PATRIMONIAL</t>
        </is>
      </c>
    </row>
    <row r="2">
      <c r="A2" s="2" t="inlineStr">
        <is>
          <t>Marque 'Si' los conceptos que justifican la variacion patrimonial  -  ejercicio 2025</t>
        </is>
      </c>
    </row>
    <row r="3" ht="5" customHeight="1">
      <c r="A3" s="3" t="n"/>
    </row>
    <row r="5" ht="20" customHeight="1">
      <c r="B5" s="68" t="inlineStr">
        <is>
          <t>Incremento patrimonial declarado en el XML</t>
        </is>
      </c>
      <c r="C5" s="69" t="n"/>
      <c r="D5" s="69" t="n"/>
      <c r="E5" s="70" t="n">
        <v>81715.59</v>
      </c>
    </row>
    <row r="7" ht="26" customHeight="1">
      <c r="B7" s="25" t="inlineStr">
        <is>
          <t>Concepto (Tabla 14 del SRI)</t>
        </is>
      </c>
      <c r="E7" s="25" t="inlineStr">
        <is>
          <t>Justifica la variacion</t>
        </is>
      </c>
    </row>
    <row r="8" ht="22" customHeight="1">
      <c r="B8" s="71" t="inlineStr">
        <is>
          <t>1 - Ingresos locales</t>
        </is>
      </c>
      <c r="C8" s="5" t="n"/>
      <c r="D8" s="5" t="n"/>
      <c r="E8" s="72" t="inlineStr">
        <is>
          <t>Si</t>
        </is>
      </c>
    </row>
    <row r="9" ht="22" customHeight="1">
      <c r="B9" s="71" t="inlineStr">
        <is>
          <t>2 - Ingresos exterior</t>
        </is>
      </c>
      <c r="C9" s="5" t="n"/>
      <c r="D9" s="5" t="n"/>
      <c r="E9" s="72" t="inlineStr">
        <is>
          <t>No</t>
        </is>
      </c>
    </row>
    <row r="10" ht="22" customHeight="1">
      <c r="B10" s="71" t="inlineStr">
        <is>
          <t>3 - Herencias, legados o donaciones</t>
        </is>
      </c>
      <c r="C10" s="5" t="n"/>
      <c r="D10" s="5" t="n"/>
      <c r="E10" s="72" t="inlineStr">
        <is>
          <t>No</t>
        </is>
      </c>
    </row>
    <row r="11" ht="22" customHeight="1">
      <c r="B11" s="71" t="inlineStr">
        <is>
          <t>4 - Loterias o rifas</t>
        </is>
      </c>
      <c r="C11" s="5" t="n"/>
      <c r="D11" s="5" t="n"/>
      <c r="E11" s="72" t="inlineStr">
        <is>
          <t>No</t>
        </is>
      </c>
    </row>
    <row r="12" ht="22" customHeight="1">
      <c r="B12" s="71" t="inlineStr">
        <is>
          <t>5 - Ganancias de capital</t>
        </is>
      </c>
      <c r="C12" s="5" t="n"/>
      <c r="D12" s="5" t="n"/>
      <c r="E12" s="72" t="inlineStr">
        <is>
          <t>No</t>
        </is>
      </c>
    </row>
    <row r="13" ht="22" customHeight="1">
      <c r="B13" s="71" t="inlineStr">
        <is>
          <t>6 - Otros</t>
        </is>
      </c>
      <c r="C13" s="5" t="n"/>
      <c r="D13" s="5" t="n"/>
      <c r="E13" s="72" t="inlineStr">
        <is>
          <t>Si</t>
        </is>
      </c>
    </row>
    <row r="15">
      <c r="B15" s="58" t="inlineStr">
        <is>
          <t>Esta hoja reproduce la seccion Justificacion del formulario del SRI. Marque 'Si' en los conceptos que apliquen; el generador de XML los toma de aqui.</t>
        </is>
      </c>
    </row>
  </sheetData>
  <mergeCells count="11">
    <mergeCell ref="B10:D10"/>
    <mergeCell ref="B11:D11"/>
    <mergeCell ref="B5:D5"/>
    <mergeCell ref="A2:E2"/>
    <mergeCell ref="B8:D8"/>
    <mergeCell ref="B9:D9"/>
    <mergeCell ref="B13:D13"/>
    <mergeCell ref="A1:E1"/>
    <mergeCell ref="B12:D12"/>
    <mergeCell ref="B7:D7"/>
    <mergeCell ref="A3:E3"/>
  </mergeCells>
  <dataValidations count="1">
    <dataValidation sqref="E8:E13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GENERAR XML PARA EL SRI</t>
        </is>
      </c>
    </row>
    <row r="2">
      <c r="A2" s="2" t="inlineStr">
        <is>
          <t>Convierte este libro en el archivo XML de la Declaracion Patrimonial, listo para subir al portal del SRI</t>
        </is>
      </c>
    </row>
    <row r="3" ht="5" customHeight="1">
      <c r="A3" s="3" t="n"/>
    </row>
    <row r="5">
      <c r="B5" s="73" t="inlineStr">
        <is>
          <t>►   GENERAR XML</t>
        </is>
      </c>
      <c r="C5" s="5" t="n"/>
      <c r="D5" s="5" t="n"/>
    </row>
    <row r="6">
      <c r="B6" s="5" t="n"/>
      <c r="C6" s="5" t="n"/>
      <c r="D6" s="5" t="n"/>
    </row>
    <row r="7">
      <c r="B7" s="74" t="inlineStr">
        <is>
          <t>En el archivo .xlsm el boton verde ya esta vinculado a la macro GenerarXmlSRI.</t>
        </is>
      </c>
    </row>
    <row r="9">
      <c r="B9" s="75" t="inlineStr">
        <is>
          <t>COMO USAR ESTE ARCHIVO</t>
        </is>
      </c>
    </row>
    <row r="10">
      <c r="B10" s="76" t="inlineStr">
        <is>
          <t>1. Al abrir el archivo .xlsm, pulse 'Habilitar contenido' en la barra de seguridad de Excel.</t>
        </is>
      </c>
    </row>
    <row r="11">
      <c r="B11" s="76" t="inlineStr">
        <is>
          <t>2. Llene las columnas amarillas de cada modulo (Dinero, Vehiculos, etc.) y la hoja Justificacion.</t>
        </is>
      </c>
    </row>
    <row r="12">
      <c r="B12" s="76" t="inlineStr">
        <is>
          <t>3. Pulse el boton verde GENERAR XML, indique el anio y elija donde guardar el archivo.</t>
        </is>
      </c>
    </row>
    <row r="13">
      <c r="B13" s="76" t="inlineStr">
        <is>
          <t>4. El archivo .xml queda listo para subir al portal del SRI.</t>
        </is>
      </c>
    </row>
    <row r="14">
      <c r="B14" s="76" t="inlineStr"/>
    </row>
    <row r="15">
      <c r="B15" s="75" t="inlineStr">
        <is>
          <t>SI EXCEL BLOQUEA LAS MACROS</t>
        </is>
      </c>
    </row>
    <row r="16">
      <c r="B16" s="76" t="inlineStr">
        <is>
          <t>- Cierre Excel. En el Explorador, clic derecho sobre el archivo &gt; Propiedades.</t>
        </is>
      </c>
    </row>
    <row r="17">
      <c r="B17" s="76" t="inlineStr">
        <is>
          <t>- Al final de la pestana General marque 'Desbloquear' y pulse Aceptar.</t>
        </is>
      </c>
    </row>
    <row r="18">
      <c r="B18" s="76" t="inlineStr">
        <is>
          <t>- Vuelva a abrirlo y pulse 'Habilitar contenido'. Conserve siempre la extension .xlsm.</t>
        </is>
      </c>
    </row>
    <row r="19">
      <c r="B19" s="76" t="inlineStr"/>
    </row>
    <row r="20">
      <c r="B20" s="76" t="inlineStr">
        <is>
          <t>Alternativa sin macros:  ejecutar  python tools/generar_xml_sri.py  desde la terminal.</t>
        </is>
      </c>
    </row>
  </sheetData>
  <mergeCells count="4">
    <mergeCell ref="A3:F3"/>
    <mergeCell ref="A2:F2"/>
    <mergeCell ref="A1:F1"/>
    <mergeCell ref="B5:D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 ht="30" customHeight="1">
      <c r="A1" s="1" t="inlineStr">
        <is>
          <t>DATOS GENERALES DE LA DECLARACION</t>
        </is>
      </c>
    </row>
    <row r="3" ht="5" customHeight="1">
      <c r="A3" s="3" t="n"/>
    </row>
    <row r="5" ht="20" customHeight="1">
      <c r="A5" s="77" t="inlineStr">
        <is>
          <t>IDENTIFICACION</t>
        </is>
      </c>
    </row>
    <row r="6">
      <c r="A6" s="78" t="inlineStr">
        <is>
          <t>Anio de la declaracion</t>
        </is>
      </c>
      <c r="B6" s="79" t="n">
        <v>2025</v>
      </c>
    </row>
    <row r="7">
      <c r="A7" s="78" t="inlineStr">
        <is>
          <t>Tipo de declaracion</t>
        </is>
      </c>
      <c r="B7" s="79" t="inlineStr">
        <is>
          <t>SOC - Sociedad conyugal o union de hecho</t>
        </is>
      </c>
    </row>
    <row r="8">
      <c r="A8" s="78" t="inlineStr">
        <is>
          <t>Tipo de identificacion</t>
        </is>
      </c>
      <c r="B8" s="79" t="inlineStr">
        <is>
          <t>R - RUC</t>
        </is>
      </c>
    </row>
    <row r="9">
      <c r="A9" s="78" t="inlineStr">
        <is>
          <t>Numero de identificacion</t>
        </is>
      </c>
      <c r="B9" s="79" t="inlineStr">
        <is>
          <t>1709164899001</t>
        </is>
      </c>
    </row>
    <row r="10">
      <c r="A10" s="78" t="inlineStr">
        <is>
          <t>Nombre del declarante</t>
        </is>
      </c>
      <c r="B10" s="79" t="inlineStr">
        <is>
          <t>GONZALEZ NAVAS MARCO VINICIO</t>
        </is>
      </c>
    </row>
    <row r="11">
      <c r="A11" s="78" t="inlineStr">
        <is>
          <t>Identificacion del conyuge</t>
        </is>
      </c>
      <c r="B11" s="79" t="inlineStr">
        <is>
          <t>C - Cedula</t>
        </is>
      </c>
    </row>
    <row r="12">
      <c r="A12" s="78" t="inlineStr">
        <is>
          <t>Numero ident. conyuge</t>
        </is>
      </c>
      <c r="B12" s="79" t="inlineStr">
        <is>
          <t>1709784225</t>
        </is>
      </c>
    </row>
    <row r="13">
      <c r="A13" s="78" t="inlineStr">
        <is>
          <t>Nombre del conyuge</t>
        </is>
      </c>
      <c r="B13" s="79" t="inlineStr">
        <is>
          <t>HIDALGO LOZA ROSA CONSUELO</t>
        </is>
      </c>
    </row>
    <row r="14">
      <c r="A14" s="78" t="inlineStr">
        <is>
          <t>Total creditos / cuentas por cobrar</t>
        </is>
      </c>
      <c r="B14" s="60" t="n">
        <v>0</v>
      </c>
    </row>
    <row r="16" ht="20" customHeight="1">
      <c r="A16" s="77" t="inlineStr">
        <is>
          <t>PATRIMONIO NETO (enlazado a la hoja Dashboard)</t>
        </is>
      </c>
    </row>
    <row r="17">
      <c r="A17" s="78" t="inlineStr">
        <is>
          <t>Patrimonio neto 2025</t>
        </is>
      </c>
      <c r="B17" s="60">
        <f>Dashboard!D31</f>
        <v/>
      </c>
    </row>
    <row r="18">
      <c r="A18" s="78" t="inlineStr">
        <is>
          <t>Patrimonio neto 2026 (proyectado)</t>
        </is>
      </c>
      <c r="B18" s="60">
        <f>Dashboard!E31</f>
        <v/>
      </c>
    </row>
    <row r="19">
      <c r="A19" s="78" t="inlineStr">
        <is>
          <t>Variacion proyectada</t>
        </is>
      </c>
      <c r="B19" s="60">
        <f>Dashboard!F31</f>
        <v/>
      </c>
    </row>
    <row r="20">
      <c r="A20" s="78" t="inlineStr">
        <is>
          <t>Variacion % proyectada</t>
        </is>
      </c>
      <c r="B20" s="62">
        <f>Dashboard!G31</f>
        <v/>
      </c>
    </row>
    <row r="22" ht="20" customHeight="1">
      <c r="A22" s="77" t="inlineStr">
        <is>
          <t>PATRIMONIO DECLARADO EN EL XML</t>
        </is>
      </c>
    </row>
    <row r="23">
      <c r="A23" s="78" t="inlineStr">
        <is>
          <t>Patrimonio total declarado</t>
        </is>
      </c>
      <c r="B23" s="60" t="n">
        <v>883285.5600000001</v>
      </c>
    </row>
    <row r="24">
      <c r="A24" s="78" t="inlineStr">
        <is>
          <t>Atribuible a hijos no emancipados</t>
        </is>
      </c>
      <c r="B24" s="60" t="n">
        <v>0</v>
      </c>
    </row>
    <row r="25">
      <c r="A25" s="78" t="inlineStr">
        <is>
          <t>Patrimonio en la sociedad conyugal</t>
        </is>
      </c>
      <c r="B25" s="60" t="n">
        <v>883285.5600000001</v>
      </c>
    </row>
    <row r="26">
      <c r="A26" s="78" t="inlineStr">
        <is>
          <t>Patrimonio individual del declarante</t>
        </is>
      </c>
      <c r="B26" s="60" t="n">
        <v>0</v>
      </c>
    </row>
    <row r="27">
      <c r="A27" s="78" t="inlineStr">
        <is>
          <t>Patrimonio del anio anterior</t>
        </is>
      </c>
      <c r="B27" s="60" t="n">
        <v>801569.97</v>
      </c>
    </row>
    <row r="28">
      <c r="A28" s="78" t="inlineStr">
        <is>
          <t>Crecimiento / decremento patrimonial</t>
        </is>
      </c>
      <c r="B28" s="60" t="n">
        <v>81715.59</v>
      </c>
    </row>
    <row r="30">
      <c r="A30" s="75" t="inlineStr">
        <is>
          <t>Justificacion de la variacion (ver hoja Justificacion)</t>
        </is>
      </c>
    </row>
    <row r="31">
      <c r="A31" s="76" t="inlineStr">
        <is>
          <t>- 1 - Ingresos locales</t>
        </is>
      </c>
    </row>
    <row r="32">
      <c r="A32" s="76" t="inlineStr">
        <is>
          <t>- 6 - Otros</t>
        </is>
      </c>
    </row>
    <row r="34">
      <c r="A34" s="58" t="inlineStr">
        <is>
          <t>Catalogos del SRI integrados (Tablas 1-19 del archivo CATALOGO.xls). El XML se genera con generar_xml_sri.py.</t>
        </is>
      </c>
    </row>
  </sheetData>
  <mergeCells count="5">
    <mergeCell ref="A16:B16"/>
    <mergeCell ref="A5:B5"/>
    <mergeCell ref="A1:B1"/>
    <mergeCell ref="A3:B3"/>
    <mergeCell ref="A22:B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hoja</t>
        </is>
      </c>
      <c r="C1" t="inlineStr">
        <is>
          <t>contenedor</t>
        </is>
      </c>
      <c r="D1" t="inlineStr">
        <is>
          <t>detalle</t>
        </is>
      </c>
      <c r="E1" t="inlineStr">
        <is>
          <t>clase</t>
        </is>
      </c>
      <c r="F1" t="inlineStr">
        <is>
          <t>ordenXml</t>
        </is>
      </c>
      <c r="G1" t="inlineStr">
        <is>
          <t>tipo</t>
        </is>
      </c>
      <c r="H1" t="inlineStr">
        <is>
          <t>xmlTag</t>
        </is>
      </c>
      <c r="I1" t="inlineStr">
        <is>
          <t>descIndex</t>
        </is>
      </c>
    </row>
    <row r="2">
      <c r="A2" t="inlineStr">
        <is>
          <t>dinero</t>
        </is>
      </c>
      <c r="B2" t="inlineStr">
        <is>
          <t>Dinero</t>
        </is>
      </c>
      <c r="C2" t="inlineStr">
        <is>
          <t>dinero</t>
        </is>
      </c>
      <c r="D2" t="inlineStr">
        <is>
          <t>detalleDinero</t>
        </is>
      </c>
      <c r="E2" t="inlineStr">
        <is>
          <t>activo</t>
        </is>
      </c>
      <c r="F2" t="n">
        <v>0</v>
      </c>
      <c r="G2" t="inlineStr">
        <is>
          <t>cod</t>
        </is>
      </c>
      <c r="H2" t="inlineStr">
        <is>
          <t>dineroEn</t>
        </is>
      </c>
      <c r="I2" t="n">
        <v>1</v>
      </c>
    </row>
    <row r="3">
      <c r="A3" t="inlineStr">
        <is>
          <t>dinero</t>
        </is>
      </c>
      <c r="B3" t="inlineStr">
        <is>
          <t>Dinero</t>
        </is>
      </c>
      <c r="C3" t="inlineStr">
        <is>
          <t>dinero</t>
        </is>
      </c>
      <c r="D3" t="inlineStr">
        <is>
          <t>detalleDinero</t>
        </is>
      </c>
      <c r="E3" t="inlineStr">
        <is>
          <t>activo</t>
        </is>
      </c>
      <c r="F3" t="n">
        <v>0</v>
      </c>
      <c r="G3" t="inlineStr">
        <is>
          <t>cod</t>
        </is>
      </c>
      <c r="H3" t="inlineStr">
        <is>
          <t>tipoInversion</t>
        </is>
      </c>
      <c r="I3" t="n">
        <v>2</v>
      </c>
    </row>
    <row r="4">
      <c r="A4" t="inlineStr">
        <is>
          <t>dinero</t>
        </is>
      </c>
      <c r="B4" t="inlineStr">
        <is>
          <t>Dinero</t>
        </is>
      </c>
      <c r="C4" t="inlineStr">
        <is>
          <t>dinero</t>
        </is>
      </c>
      <c r="D4" t="inlineStr">
        <is>
          <t>detalleDinero</t>
        </is>
      </c>
      <c r="E4" t="inlineStr">
        <is>
          <t>activo</t>
        </is>
      </c>
      <c r="F4" t="n">
        <v>0</v>
      </c>
      <c r="G4" t="inlineStr">
        <is>
          <t>cod</t>
        </is>
      </c>
      <c r="H4" t="inlineStr">
        <is>
          <t>ubicacion</t>
        </is>
      </c>
      <c r="I4" t="n">
        <v>3</v>
      </c>
    </row>
    <row r="5">
      <c r="A5" t="inlineStr">
        <is>
          <t>dinero</t>
        </is>
      </c>
      <c r="B5" t="inlineStr">
        <is>
          <t>Dinero</t>
        </is>
      </c>
      <c r="C5" t="inlineStr">
        <is>
          <t>dinero</t>
        </is>
      </c>
      <c r="D5" t="inlineStr">
        <is>
          <t>detalleDinero</t>
        </is>
      </c>
      <c r="E5" t="inlineStr">
        <is>
          <t>activo</t>
        </is>
      </c>
      <c r="F5" t="n">
        <v>0</v>
      </c>
      <c r="G5" t="inlineStr">
        <is>
          <t>cod</t>
        </is>
      </c>
      <c r="H5" t="inlineStr">
        <is>
          <t>pais</t>
        </is>
      </c>
      <c r="I5" t="n">
        <v>4</v>
      </c>
    </row>
    <row r="6">
      <c r="A6" t="inlineStr">
        <is>
          <t>dinero</t>
        </is>
      </c>
      <c r="B6" t="inlineStr">
        <is>
          <t>Dinero</t>
        </is>
      </c>
      <c r="C6" t="inlineStr">
        <is>
          <t>dinero</t>
        </is>
      </c>
      <c r="D6" t="inlineStr">
        <is>
          <t>detalleDinero</t>
        </is>
      </c>
      <c r="E6" t="inlineStr">
        <is>
          <t>activo</t>
        </is>
      </c>
      <c r="F6" t="n">
        <v>0</v>
      </c>
      <c r="G6" t="inlineStr">
        <is>
          <t>cod</t>
        </is>
      </c>
      <c r="H6" t="inlineStr">
        <is>
          <t>_ifi</t>
        </is>
      </c>
      <c r="I6" t="n">
        <v>5</v>
      </c>
    </row>
    <row r="7">
      <c r="A7" t="inlineStr">
        <is>
          <t>dinero</t>
        </is>
      </c>
      <c r="B7" t="inlineStr">
        <is>
          <t>Dinero</t>
        </is>
      </c>
      <c r="C7" t="inlineStr">
        <is>
          <t>dinero</t>
        </is>
      </c>
      <c r="D7" t="inlineStr">
        <is>
          <t>detalleDinero</t>
        </is>
      </c>
      <c r="E7" t="inlineStr">
        <is>
          <t>activo</t>
        </is>
      </c>
      <c r="F7" t="n">
        <v>0</v>
      </c>
      <c r="G7" t="inlineStr">
        <is>
          <t>txt</t>
        </is>
      </c>
      <c r="H7" t="inlineStr">
        <is>
          <t>tipoMoneda</t>
        </is>
      </c>
      <c r="I7" t="n">
        <v>6</v>
      </c>
    </row>
    <row r="8">
      <c r="A8" t="inlineStr">
        <is>
          <t>dinero</t>
        </is>
      </c>
      <c r="B8" t="inlineStr">
        <is>
          <t>Dinero</t>
        </is>
      </c>
      <c r="C8" t="inlineStr">
        <is>
          <t>dinero</t>
        </is>
      </c>
      <c r="D8" t="inlineStr">
        <is>
          <t>detalleDinero</t>
        </is>
      </c>
      <c r="E8" t="inlineStr">
        <is>
          <t>activo</t>
        </is>
      </c>
      <c r="F8" t="n">
        <v>0</v>
      </c>
      <c r="G8" t="inlineStr">
        <is>
          <t>val</t>
        </is>
      </c>
      <c r="H8" t="inlineStr">
        <is>
          <t>saldo</t>
        </is>
      </c>
      <c r="I8" t="n">
        <v>0</v>
      </c>
    </row>
    <row r="9">
      <c r="A9" t="inlineStr">
        <is>
          <t>dinero</t>
        </is>
      </c>
      <c r="B9" t="inlineStr">
        <is>
          <t>Dinero</t>
        </is>
      </c>
      <c r="C9" t="inlineStr">
        <is>
          <t>dinero</t>
        </is>
      </c>
      <c r="D9" t="inlineStr">
        <is>
          <t>detalleDinero</t>
        </is>
      </c>
      <c r="E9" t="inlineStr">
        <is>
          <t>activo</t>
        </is>
      </c>
      <c r="F9" t="n">
        <v>0</v>
      </c>
      <c r="G9" t="inlineStr">
        <is>
          <t>cod</t>
        </is>
      </c>
      <c r="H9" t="inlineStr">
        <is>
          <t>partesRelacionadas</t>
        </is>
      </c>
      <c r="I9" t="n">
        <v>7</v>
      </c>
    </row>
    <row r="10">
      <c r="A10" t="inlineStr">
        <is>
          <t>dinero</t>
        </is>
      </c>
      <c r="B10" t="inlineStr">
        <is>
          <t>Dinero</t>
        </is>
      </c>
      <c r="C10" t="inlineStr">
        <is>
          <t>dinero</t>
        </is>
      </c>
      <c r="D10" t="inlineStr">
        <is>
          <t>detalleDinero</t>
        </is>
      </c>
      <c r="E10" t="inlineStr">
        <is>
          <t>activo</t>
        </is>
      </c>
      <c r="F10" t="n">
        <v>0</v>
      </c>
      <c r="G10" t="inlineStr">
        <is>
          <t>cod</t>
        </is>
      </c>
      <c r="H10" t="inlineStr">
        <is>
          <t>regularizacionActivos</t>
        </is>
      </c>
      <c r="I10" t="n">
        <v>8</v>
      </c>
    </row>
    <row r="11">
      <c r="A11" t="inlineStr">
        <is>
          <t>dinero</t>
        </is>
      </c>
      <c r="B11" t="inlineStr">
        <is>
          <t>Dinero</t>
        </is>
      </c>
      <c r="C11" t="inlineStr">
        <is>
          <t>dinero</t>
        </is>
      </c>
      <c r="D11" t="inlineStr">
        <is>
          <t>detalleDinero</t>
        </is>
      </c>
      <c r="E11" t="inlineStr">
        <is>
          <t>activo</t>
        </is>
      </c>
      <c r="F11" t="n">
        <v>0</v>
      </c>
      <c r="G11" t="inlineStr">
        <is>
          <t>txt</t>
        </is>
      </c>
      <c r="H11" t="inlineStr">
        <is>
          <t>anioFiscalAdquisicion</t>
        </is>
      </c>
      <c r="I11" t="n">
        <v>9</v>
      </c>
    </row>
    <row r="12">
      <c r="A12" t="inlineStr">
        <is>
          <t>drc</t>
        </is>
      </c>
      <c r="B12" t="inlineStr">
        <is>
          <t>Derechos de Capital</t>
        </is>
      </c>
      <c r="C12" t="inlineStr">
        <is>
          <t>inversiones</t>
        </is>
      </c>
      <c r="D12" t="inlineStr">
        <is>
          <t>detalleInversiones</t>
        </is>
      </c>
      <c r="E12" t="inlineStr">
        <is>
          <t>activo</t>
        </is>
      </c>
      <c r="F12" t="n">
        <v>1</v>
      </c>
      <c r="G12" t="inlineStr">
        <is>
          <t>cod</t>
        </is>
      </c>
      <c r="H12" t="inlineStr">
        <is>
          <t>tipoInversion</t>
        </is>
      </c>
      <c r="I12" t="n">
        <v>1</v>
      </c>
    </row>
    <row r="13">
      <c r="A13" t="inlineStr">
        <is>
          <t>drc</t>
        </is>
      </c>
      <c r="B13" t="inlineStr">
        <is>
          <t>Derechos de Capital</t>
        </is>
      </c>
      <c r="C13" t="inlineStr">
        <is>
          <t>inversiones</t>
        </is>
      </c>
      <c r="D13" t="inlineStr">
        <is>
          <t>detalleInversiones</t>
        </is>
      </c>
      <c r="E13" t="inlineStr">
        <is>
          <t>activo</t>
        </is>
      </c>
      <c r="F13" t="n">
        <v>1</v>
      </c>
      <c r="G13" t="inlineStr">
        <is>
          <t>cod</t>
        </is>
      </c>
      <c r="H13" t="inlineStr">
        <is>
          <t>ubicacion</t>
        </is>
      </c>
      <c r="I13" t="n">
        <v>2</v>
      </c>
    </row>
    <row r="14">
      <c r="A14" t="inlineStr">
        <is>
          <t>drc</t>
        </is>
      </c>
      <c r="B14" t="inlineStr">
        <is>
          <t>Derechos de Capital</t>
        </is>
      </c>
      <c r="C14" t="inlineStr">
        <is>
          <t>inversiones</t>
        </is>
      </c>
      <c r="D14" t="inlineStr">
        <is>
          <t>detalleInversiones</t>
        </is>
      </c>
      <c r="E14" t="inlineStr">
        <is>
          <t>activo</t>
        </is>
      </c>
      <c r="F14" t="n">
        <v>1</v>
      </c>
      <c r="G14" t="inlineStr">
        <is>
          <t>val</t>
        </is>
      </c>
      <c r="H14" t="inlineStr">
        <is>
          <t>valor</t>
        </is>
      </c>
      <c r="I14" t="n">
        <v>0</v>
      </c>
    </row>
    <row r="15">
      <c r="A15" t="inlineStr">
        <is>
          <t>drc</t>
        </is>
      </c>
      <c r="B15" t="inlineStr">
        <is>
          <t>Derechos de Capital</t>
        </is>
      </c>
      <c r="C15" t="inlineStr">
        <is>
          <t>inversiones</t>
        </is>
      </c>
      <c r="D15" t="inlineStr">
        <is>
          <t>detalleInversiones</t>
        </is>
      </c>
      <c r="E15" t="inlineStr">
        <is>
          <t>activo</t>
        </is>
      </c>
      <c r="F15" t="n">
        <v>1</v>
      </c>
      <c r="G15" t="inlineStr">
        <is>
          <t>cod</t>
        </is>
      </c>
      <c r="H15" t="inlineStr">
        <is>
          <t>codpais</t>
        </is>
      </c>
      <c r="I15" t="n">
        <v>3</v>
      </c>
    </row>
    <row r="16">
      <c r="A16" t="inlineStr">
        <is>
          <t>drc</t>
        </is>
      </c>
      <c r="B16" t="inlineStr">
        <is>
          <t>Derechos de Capital</t>
        </is>
      </c>
      <c r="C16" t="inlineStr">
        <is>
          <t>inversiones</t>
        </is>
      </c>
      <c r="D16" t="inlineStr">
        <is>
          <t>detalleInversiones</t>
        </is>
      </c>
      <c r="E16" t="inlineStr">
        <is>
          <t>activo</t>
        </is>
      </c>
      <c r="F16" t="n">
        <v>1</v>
      </c>
      <c r="G16" t="inlineStr">
        <is>
          <t>txt</t>
        </is>
      </c>
      <c r="H16" t="inlineStr">
        <is>
          <t>nombempresa</t>
        </is>
      </c>
      <c r="I16" t="n">
        <v>4</v>
      </c>
    </row>
    <row r="17">
      <c r="A17" t="inlineStr">
        <is>
          <t>drc</t>
        </is>
      </c>
      <c r="B17" t="inlineStr">
        <is>
          <t>Derechos de Capital</t>
        </is>
      </c>
      <c r="C17" t="inlineStr">
        <is>
          <t>inversiones</t>
        </is>
      </c>
      <c r="D17" t="inlineStr">
        <is>
          <t>detalleInversiones</t>
        </is>
      </c>
      <c r="E17" t="inlineStr">
        <is>
          <t>activo</t>
        </is>
      </c>
      <c r="F17" t="n">
        <v>1</v>
      </c>
      <c r="G17" t="inlineStr">
        <is>
          <t>txt</t>
        </is>
      </c>
      <c r="H17" t="inlineStr">
        <is>
          <t>porcentpart</t>
        </is>
      </c>
      <c r="I17" t="n">
        <v>5</v>
      </c>
    </row>
    <row r="18">
      <c r="A18" t="inlineStr">
        <is>
          <t>drc</t>
        </is>
      </c>
      <c r="B18" t="inlineStr">
        <is>
          <t>Derechos de Capital</t>
        </is>
      </c>
      <c r="C18" t="inlineStr">
        <is>
          <t>inversiones</t>
        </is>
      </c>
      <c r="D18" t="inlineStr">
        <is>
          <t>detalleInversiones</t>
        </is>
      </c>
      <c r="E18" t="inlineStr">
        <is>
          <t>activo</t>
        </is>
      </c>
      <c r="F18" t="n">
        <v>1</v>
      </c>
      <c r="G18" t="inlineStr">
        <is>
          <t>txt</t>
        </is>
      </c>
      <c r="H18" t="inlineStr">
        <is>
          <t>numAcc</t>
        </is>
      </c>
      <c r="I18" t="n">
        <v>6</v>
      </c>
    </row>
    <row r="19">
      <c r="A19" t="inlineStr">
        <is>
          <t>drc</t>
        </is>
      </c>
      <c r="B19" t="inlineStr">
        <is>
          <t>Derechos de Capital</t>
        </is>
      </c>
      <c r="C19" t="inlineStr">
        <is>
          <t>inversiones</t>
        </is>
      </c>
      <c r="D19" t="inlineStr">
        <is>
          <t>detalleInversiones</t>
        </is>
      </c>
      <c r="E19" t="inlineStr">
        <is>
          <t>activo</t>
        </is>
      </c>
      <c r="F19" t="n">
        <v>1</v>
      </c>
      <c r="G19" t="inlineStr">
        <is>
          <t>cod</t>
        </is>
      </c>
      <c r="H19" t="inlineStr">
        <is>
          <t>relacionadas</t>
        </is>
      </c>
      <c r="I19" t="n">
        <v>7</v>
      </c>
    </row>
    <row r="20">
      <c r="A20" t="inlineStr">
        <is>
          <t>drc</t>
        </is>
      </c>
      <c r="B20" t="inlineStr">
        <is>
          <t>Derechos de Capital</t>
        </is>
      </c>
      <c r="C20" t="inlineStr">
        <is>
          <t>inversiones</t>
        </is>
      </c>
      <c r="D20" t="inlineStr">
        <is>
          <t>detalleInversiones</t>
        </is>
      </c>
      <c r="E20" t="inlineStr">
        <is>
          <t>activo</t>
        </is>
      </c>
      <c r="F20" t="n">
        <v>1</v>
      </c>
      <c r="G20" t="inlineStr">
        <is>
          <t>cod</t>
        </is>
      </c>
      <c r="H20" t="inlineStr">
        <is>
          <t>regularizacionActivos</t>
        </is>
      </c>
      <c r="I20" t="n">
        <v>8</v>
      </c>
    </row>
    <row r="21">
      <c r="A21" t="inlineStr">
        <is>
          <t>drc</t>
        </is>
      </c>
      <c r="B21" t="inlineStr">
        <is>
          <t>Derechos de Capital</t>
        </is>
      </c>
      <c r="C21" t="inlineStr">
        <is>
          <t>inversiones</t>
        </is>
      </c>
      <c r="D21" t="inlineStr">
        <is>
          <t>detalleInversiones</t>
        </is>
      </c>
      <c r="E21" t="inlineStr">
        <is>
          <t>activo</t>
        </is>
      </c>
      <c r="F21" t="n">
        <v>1</v>
      </c>
      <c r="G21" t="inlineStr">
        <is>
          <t>txt</t>
        </is>
      </c>
      <c r="H21" t="inlineStr">
        <is>
          <t>anioFiscalAdquisicion</t>
        </is>
      </c>
      <c r="I21" t="n">
        <v>9</v>
      </c>
    </row>
    <row r="22">
      <c r="A22" t="inlineStr">
        <is>
          <t>cxc</t>
        </is>
      </c>
      <c r="B22" t="inlineStr">
        <is>
          <t>Cuentas por Cobrar</t>
        </is>
      </c>
      <c r="C22" t="inlineStr">
        <is>
          <t>ctasXCobrar</t>
        </is>
      </c>
      <c r="D22" t="inlineStr">
        <is>
          <t>detalleCtasXCobrar</t>
        </is>
      </c>
      <c r="E22" t="inlineStr">
        <is>
          <t>activo</t>
        </is>
      </c>
      <c r="F22" t="n">
        <v>2</v>
      </c>
      <c r="G22" t="inlineStr">
        <is>
          <t>txt</t>
        </is>
      </c>
      <c r="H22" t="inlineStr">
        <is>
          <t>nombreDeudor</t>
        </is>
      </c>
      <c r="I22" t="n">
        <v>1</v>
      </c>
    </row>
    <row r="23">
      <c r="A23" t="inlineStr">
        <is>
          <t>cxc</t>
        </is>
      </c>
      <c r="B23" t="inlineStr">
        <is>
          <t>Cuentas por Cobrar</t>
        </is>
      </c>
      <c r="C23" t="inlineStr">
        <is>
          <t>ctasXCobrar</t>
        </is>
      </c>
      <c r="D23" t="inlineStr">
        <is>
          <t>detalleCtasXCobrar</t>
        </is>
      </c>
      <c r="E23" t="inlineStr">
        <is>
          <t>activo</t>
        </is>
      </c>
      <c r="F23" t="n">
        <v>2</v>
      </c>
      <c r="G23" t="inlineStr">
        <is>
          <t>cod</t>
        </is>
      </c>
      <c r="H23" t="inlineStr">
        <is>
          <t>tipoDeudor</t>
        </is>
      </c>
      <c r="I23" t="n">
        <v>2</v>
      </c>
    </row>
    <row r="24">
      <c r="A24" t="inlineStr">
        <is>
          <t>cxc</t>
        </is>
      </c>
      <c r="B24" t="inlineStr">
        <is>
          <t>Cuentas por Cobrar</t>
        </is>
      </c>
      <c r="C24" t="inlineStr">
        <is>
          <t>ctasXCobrar</t>
        </is>
      </c>
      <c r="D24" t="inlineStr">
        <is>
          <t>detalleCtasXCobrar</t>
        </is>
      </c>
      <c r="E24" t="inlineStr">
        <is>
          <t>activo</t>
        </is>
      </c>
      <c r="F24" t="n">
        <v>2</v>
      </c>
      <c r="G24" t="inlineStr">
        <is>
          <t>cod</t>
        </is>
      </c>
      <c r="H24" t="inlineStr">
        <is>
          <t>tipoIdentificacion</t>
        </is>
      </c>
      <c r="I24" t="n">
        <v>3</v>
      </c>
    </row>
    <row r="25">
      <c r="A25" t="inlineStr">
        <is>
          <t>cxc</t>
        </is>
      </c>
      <c r="B25" t="inlineStr">
        <is>
          <t>Cuentas por Cobrar</t>
        </is>
      </c>
      <c r="C25" t="inlineStr">
        <is>
          <t>ctasXCobrar</t>
        </is>
      </c>
      <c r="D25" t="inlineStr">
        <is>
          <t>detalleCtasXCobrar</t>
        </is>
      </c>
      <c r="E25" t="inlineStr">
        <is>
          <t>activo</t>
        </is>
      </c>
      <c r="F25" t="n">
        <v>2</v>
      </c>
      <c r="G25" t="inlineStr">
        <is>
          <t>txt</t>
        </is>
      </c>
      <c r="H25" t="inlineStr">
        <is>
          <t>numeroIdentificacion</t>
        </is>
      </c>
      <c r="I25" t="n">
        <v>4</v>
      </c>
    </row>
    <row r="26">
      <c r="A26" t="inlineStr">
        <is>
          <t>cxc</t>
        </is>
      </c>
      <c r="B26" t="inlineStr">
        <is>
          <t>Cuentas por Cobrar</t>
        </is>
      </c>
      <c r="C26" t="inlineStr">
        <is>
          <t>ctasXCobrar</t>
        </is>
      </c>
      <c r="D26" t="inlineStr">
        <is>
          <t>detalleCtasXCobrar</t>
        </is>
      </c>
      <c r="E26" t="inlineStr">
        <is>
          <t>activo</t>
        </is>
      </c>
      <c r="F26" t="n">
        <v>2</v>
      </c>
      <c r="G26" t="inlineStr">
        <is>
          <t>cod</t>
        </is>
      </c>
      <c r="H26" t="inlineStr">
        <is>
          <t>ubicacion</t>
        </is>
      </c>
      <c r="I26" t="n">
        <v>5</v>
      </c>
    </row>
    <row r="27">
      <c r="A27" t="inlineStr">
        <is>
          <t>cxc</t>
        </is>
      </c>
      <c r="B27" t="inlineStr">
        <is>
          <t>Cuentas por Cobrar</t>
        </is>
      </c>
      <c r="C27" t="inlineStr">
        <is>
          <t>ctasXCobrar</t>
        </is>
      </c>
      <c r="D27" t="inlineStr">
        <is>
          <t>detalleCtasXCobrar</t>
        </is>
      </c>
      <c r="E27" t="inlineStr">
        <is>
          <t>activo</t>
        </is>
      </c>
      <c r="F27" t="n">
        <v>2</v>
      </c>
      <c r="G27" t="inlineStr">
        <is>
          <t>cod</t>
        </is>
      </c>
      <c r="H27" t="inlineStr">
        <is>
          <t>pais</t>
        </is>
      </c>
      <c r="I27" t="n">
        <v>6</v>
      </c>
    </row>
    <row r="28">
      <c r="A28" t="inlineStr">
        <is>
          <t>cxc</t>
        </is>
      </c>
      <c r="B28" t="inlineStr">
        <is>
          <t>Cuentas por Cobrar</t>
        </is>
      </c>
      <c r="C28" t="inlineStr">
        <is>
          <t>ctasXCobrar</t>
        </is>
      </c>
      <c r="D28" t="inlineStr">
        <is>
          <t>detalleCtasXCobrar</t>
        </is>
      </c>
      <c r="E28" t="inlineStr">
        <is>
          <t>activo</t>
        </is>
      </c>
      <c r="F28" t="n">
        <v>2</v>
      </c>
      <c r="G28" t="inlineStr">
        <is>
          <t>cod</t>
        </is>
      </c>
      <c r="H28" t="inlineStr">
        <is>
          <t>partesRelacionadas</t>
        </is>
      </c>
      <c r="I28" t="n">
        <v>7</v>
      </c>
    </row>
    <row r="29">
      <c r="A29" t="inlineStr">
        <is>
          <t>cxc</t>
        </is>
      </c>
      <c r="B29" t="inlineStr">
        <is>
          <t>Cuentas por Cobrar</t>
        </is>
      </c>
      <c r="C29" t="inlineStr">
        <is>
          <t>ctasXCobrar</t>
        </is>
      </c>
      <c r="D29" t="inlineStr">
        <is>
          <t>detalleCtasXCobrar</t>
        </is>
      </c>
      <c r="E29" t="inlineStr">
        <is>
          <t>activo</t>
        </is>
      </c>
      <c r="F29" t="n">
        <v>2</v>
      </c>
      <c r="G29" t="inlineStr">
        <is>
          <t>val</t>
        </is>
      </c>
      <c r="H29" t="inlineStr">
        <is>
          <t>saldo</t>
        </is>
      </c>
      <c r="I29" t="n">
        <v>0</v>
      </c>
    </row>
    <row r="30">
      <c r="A30" t="inlineStr">
        <is>
          <t>cxc</t>
        </is>
      </c>
      <c r="B30" t="inlineStr">
        <is>
          <t>Cuentas por Cobrar</t>
        </is>
      </c>
      <c r="C30" t="inlineStr">
        <is>
          <t>ctasXCobrar</t>
        </is>
      </c>
      <c r="D30" t="inlineStr">
        <is>
          <t>detalleCtasXCobrar</t>
        </is>
      </c>
      <c r="E30" t="inlineStr">
        <is>
          <t>activo</t>
        </is>
      </c>
      <c r="F30" t="n">
        <v>2</v>
      </c>
      <c r="G30" t="inlineStr">
        <is>
          <t>cod</t>
        </is>
      </c>
      <c r="H30" t="inlineStr">
        <is>
          <t>regularizacionActivos</t>
        </is>
      </c>
      <c r="I30" t="n">
        <v>8</v>
      </c>
    </row>
    <row r="31">
      <c r="A31" t="inlineStr">
        <is>
          <t>cxc</t>
        </is>
      </c>
      <c r="B31" t="inlineStr">
        <is>
          <t>Cuentas por Cobrar</t>
        </is>
      </c>
      <c r="C31" t="inlineStr">
        <is>
          <t>ctasXCobrar</t>
        </is>
      </c>
      <c r="D31" t="inlineStr">
        <is>
          <t>detalleCtasXCobrar</t>
        </is>
      </c>
      <c r="E31" t="inlineStr">
        <is>
          <t>activo</t>
        </is>
      </c>
      <c r="F31" t="n">
        <v>2</v>
      </c>
      <c r="G31" t="inlineStr">
        <is>
          <t>txt</t>
        </is>
      </c>
      <c r="H31" t="inlineStr">
        <is>
          <t>anioFiscalAdquisicion</t>
        </is>
      </c>
      <c r="I31" t="n">
        <v>9</v>
      </c>
    </row>
    <row r="32">
      <c r="A32" t="inlineStr">
        <is>
          <t>muebles</t>
        </is>
      </c>
      <c r="B32" t="inlineStr">
        <is>
          <t>Bienes Muebles</t>
        </is>
      </c>
      <c r="C32" t="inlineStr">
        <is>
          <t>otrosBienes</t>
        </is>
      </c>
      <c r="D32" t="inlineStr">
        <is>
          <t>detalleOtrosBienes</t>
        </is>
      </c>
      <c r="E32" t="inlineStr">
        <is>
          <t>activo</t>
        </is>
      </c>
      <c r="F32" t="n">
        <v>4</v>
      </c>
      <c r="G32" t="inlineStr">
        <is>
          <t>cod</t>
        </is>
      </c>
      <c r="H32" t="inlineStr">
        <is>
          <t>tipoBien</t>
        </is>
      </c>
      <c r="I32" t="n">
        <v>1</v>
      </c>
    </row>
    <row r="33">
      <c r="A33" t="inlineStr">
        <is>
          <t>muebles</t>
        </is>
      </c>
      <c r="B33" t="inlineStr">
        <is>
          <t>Bienes Muebles</t>
        </is>
      </c>
      <c r="C33" t="inlineStr">
        <is>
          <t>otrosBienes</t>
        </is>
      </c>
      <c r="D33" t="inlineStr">
        <is>
          <t>detalleOtrosBienes</t>
        </is>
      </c>
      <c r="E33" t="inlineStr">
        <is>
          <t>activo</t>
        </is>
      </c>
      <c r="F33" t="n">
        <v>4</v>
      </c>
      <c r="G33" t="inlineStr">
        <is>
          <t>cod</t>
        </is>
      </c>
      <c r="H33" t="inlineStr">
        <is>
          <t>ubicacion</t>
        </is>
      </c>
      <c r="I33" t="n">
        <v>2</v>
      </c>
    </row>
    <row r="34">
      <c r="A34" t="inlineStr">
        <is>
          <t>muebles</t>
        </is>
      </c>
      <c r="B34" t="inlineStr">
        <is>
          <t>Bienes Muebles</t>
        </is>
      </c>
      <c r="C34" t="inlineStr">
        <is>
          <t>otrosBienes</t>
        </is>
      </c>
      <c r="D34" t="inlineStr">
        <is>
          <t>detalleOtrosBienes</t>
        </is>
      </c>
      <c r="E34" t="inlineStr">
        <is>
          <t>activo</t>
        </is>
      </c>
      <c r="F34" t="n">
        <v>4</v>
      </c>
      <c r="G34" t="inlineStr">
        <is>
          <t>cod</t>
        </is>
      </c>
      <c r="H34" t="inlineStr">
        <is>
          <t>pais</t>
        </is>
      </c>
      <c r="I34" t="n">
        <v>3</v>
      </c>
    </row>
    <row r="35">
      <c r="A35" t="inlineStr">
        <is>
          <t>muebles</t>
        </is>
      </c>
      <c r="B35" t="inlineStr">
        <is>
          <t>Bienes Muebles</t>
        </is>
      </c>
      <c r="C35" t="inlineStr">
        <is>
          <t>otrosBienes</t>
        </is>
      </c>
      <c r="D35" t="inlineStr">
        <is>
          <t>detalleOtrosBienes</t>
        </is>
      </c>
      <c r="E35" t="inlineStr">
        <is>
          <t>activo</t>
        </is>
      </c>
      <c r="F35" t="n">
        <v>4</v>
      </c>
      <c r="G35" t="inlineStr">
        <is>
          <t>val</t>
        </is>
      </c>
      <c r="H35" t="inlineStr">
        <is>
          <t>valor</t>
        </is>
      </c>
      <c r="I35" t="n">
        <v>0</v>
      </c>
    </row>
    <row r="36">
      <c r="A36" t="inlineStr">
        <is>
          <t>muebles</t>
        </is>
      </c>
      <c r="B36" t="inlineStr">
        <is>
          <t>Bienes Muebles</t>
        </is>
      </c>
      <c r="C36" t="inlineStr">
        <is>
          <t>otrosBienes</t>
        </is>
      </c>
      <c r="D36" t="inlineStr">
        <is>
          <t>detalleOtrosBienes</t>
        </is>
      </c>
      <c r="E36" t="inlineStr">
        <is>
          <t>activo</t>
        </is>
      </c>
      <c r="F36" t="n">
        <v>4</v>
      </c>
      <c r="G36" t="inlineStr">
        <is>
          <t>cod</t>
        </is>
      </c>
      <c r="H36" t="inlineStr">
        <is>
          <t>regularizacionActivos</t>
        </is>
      </c>
      <c r="I36" t="n">
        <v>4</v>
      </c>
    </row>
    <row r="37">
      <c r="A37" t="inlineStr">
        <is>
          <t>muebles</t>
        </is>
      </c>
      <c r="B37" t="inlineStr">
        <is>
          <t>Bienes Muebles</t>
        </is>
      </c>
      <c r="C37" t="inlineStr">
        <is>
          <t>otrosBienes</t>
        </is>
      </c>
      <c r="D37" t="inlineStr">
        <is>
          <t>detalleOtrosBienes</t>
        </is>
      </c>
      <c r="E37" t="inlineStr">
        <is>
          <t>activo</t>
        </is>
      </c>
      <c r="F37" t="n">
        <v>4</v>
      </c>
      <c r="G37" t="inlineStr">
        <is>
          <t>txt</t>
        </is>
      </c>
      <c r="H37" t="inlineStr">
        <is>
          <t>anioFiscalAdquisicion</t>
        </is>
      </c>
      <c r="I37" t="n">
        <v>5</v>
      </c>
    </row>
    <row r="38">
      <c r="A38" t="inlineStr">
        <is>
          <t>vehiculos</t>
        </is>
      </c>
      <c r="B38" t="inlineStr">
        <is>
          <t>Vehiculos</t>
        </is>
      </c>
      <c r="C38" t="inlineStr">
        <is>
          <t>vehiculos</t>
        </is>
      </c>
      <c r="D38" t="inlineStr">
        <is>
          <t>detalleVehiculos</t>
        </is>
      </c>
      <c r="E38" t="inlineStr">
        <is>
          <t>activo</t>
        </is>
      </c>
      <c r="F38" t="n">
        <v>3</v>
      </c>
      <c r="G38" t="inlineStr">
        <is>
          <t>cod</t>
        </is>
      </c>
      <c r="H38" t="inlineStr">
        <is>
          <t>tipoVehiculo</t>
        </is>
      </c>
      <c r="I38" t="n">
        <v>1</v>
      </c>
    </row>
    <row r="39">
      <c r="A39" t="inlineStr">
        <is>
          <t>vehiculos</t>
        </is>
      </c>
      <c r="B39" t="inlineStr">
        <is>
          <t>Vehiculos</t>
        </is>
      </c>
      <c r="C39" t="inlineStr">
        <is>
          <t>vehiculos</t>
        </is>
      </c>
      <c r="D39" t="inlineStr">
        <is>
          <t>detalleVehiculos</t>
        </is>
      </c>
      <c r="E39" t="inlineStr">
        <is>
          <t>activo</t>
        </is>
      </c>
      <c r="F39" t="n">
        <v>3</v>
      </c>
      <c r="G39" t="inlineStr">
        <is>
          <t>txt</t>
        </is>
      </c>
      <c r="H39" t="inlineStr">
        <is>
          <t>placa</t>
        </is>
      </c>
      <c r="I39" t="n">
        <v>2</v>
      </c>
    </row>
    <row r="40">
      <c r="A40" t="inlineStr">
        <is>
          <t>vehiculos</t>
        </is>
      </c>
      <c r="B40" t="inlineStr">
        <is>
          <t>Vehiculos</t>
        </is>
      </c>
      <c r="C40" t="inlineStr">
        <is>
          <t>vehiculos</t>
        </is>
      </c>
      <c r="D40" t="inlineStr">
        <is>
          <t>detalleVehiculos</t>
        </is>
      </c>
      <c r="E40" t="inlineStr">
        <is>
          <t>activo</t>
        </is>
      </c>
      <c r="F40" t="n">
        <v>3</v>
      </c>
      <c r="G40" t="inlineStr">
        <is>
          <t>cod</t>
        </is>
      </c>
      <c r="H40" t="inlineStr">
        <is>
          <t>ubicacion</t>
        </is>
      </c>
      <c r="I40" t="n">
        <v>3</v>
      </c>
    </row>
    <row r="41">
      <c r="A41" t="inlineStr">
        <is>
          <t>vehiculos</t>
        </is>
      </c>
      <c r="B41" t="inlineStr">
        <is>
          <t>Vehiculos</t>
        </is>
      </c>
      <c r="C41" t="inlineStr">
        <is>
          <t>vehiculos</t>
        </is>
      </c>
      <c r="D41" t="inlineStr">
        <is>
          <t>detalleVehiculos</t>
        </is>
      </c>
      <c r="E41" t="inlineStr">
        <is>
          <t>activo</t>
        </is>
      </c>
      <c r="F41" t="n">
        <v>3</v>
      </c>
      <c r="G41" t="inlineStr">
        <is>
          <t>cod</t>
        </is>
      </c>
      <c r="H41" t="inlineStr">
        <is>
          <t>pais</t>
        </is>
      </c>
      <c r="I41" t="n">
        <v>4</v>
      </c>
    </row>
    <row r="42">
      <c r="A42" t="inlineStr">
        <is>
          <t>vehiculos</t>
        </is>
      </c>
      <c r="B42" t="inlineStr">
        <is>
          <t>Vehiculos</t>
        </is>
      </c>
      <c r="C42" t="inlineStr">
        <is>
          <t>vehiculos</t>
        </is>
      </c>
      <c r="D42" t="inlineStr">
        <is>
          <t>detalleVehiculos</t>
        </is>
      </c>
      <c r="E42" t="inlineStr">
        <is>
          <t>activo</t>
        </is>
      </c>
      <c r="F42" t="n">
        <v>3</v>
      </c>
      <c r="G42" t="inlineStr">
        <is>
          <t>val</t>
        </is>
      </c>
      <c r="H42" t="inlineStr">
        <is>
          <t>valor</t>
        </is>
      </c>
      <c r="I42" t="n">
        <v>0</v>
      </c>
    </row>
    <row r="43">
      <c r="A43" t="inlineStr">
        <is>
          <t>vehiculos</t>
        </is>
      </c>
      <c r="B43" t="inlineStr">
        <is>
          <t>Vehiculos</t>
        </is>
      </c>
      <c r="C43" t="inlineStr">
        <is>
          <t>vehiculos</t>
        </is>
      </c>
      <c r="D43" t="inlineStr">
        <is>
          <t>detalleVehiculos</t>
        </is>
      </c>
      <c r="E43" t="inlineStr">
        <is>
          <t>activo</t>
        </is>
      </c>
      <c r="F43" t="n">
        <v>3</v>
      </c>
      <c r="G43" t="inlineStr">
        <is>
          <t>cod</t>
        </is>
      </c>
      <c r="H43" t="inlineStr">
        <is>
          <t>regularizacionActivos</t>
        </is>
      </c>
      <c r="I43" t="n">
        <v>5</v>
      </c>
    </row>
    <row r="44">
      <c r="A44" t="inlineStr">
        <is>
          <t>vehiculos</t>
        </is>
      </c>
      <c r="B44" t="inlineStr">
        <is>
          <t>Vehiculos</t>
        </is>
      </c>
      <c r="C44" t="inlineStr">
        <is>
          <t>vehiculos</t>
        </is>
      </c>
      <c r="D44" t="inlineStr">
        <is>
          <t>detalleVehiculos</t>
        </is>
      </c>
      <c r="E44" t="inlineStr">
        <is>
          <t>activo</t>
        </is>
      </c>
      <c r="F44" t="n">
        <v>3</v>
      </c>
      <c r="G44" t="inlineStr">
        <is>
          <t>txt</t>
        </is>
      </c>
      <c r="H44" t="inlineStr">
        <is>
          <t>anioFiscalAdquisicion</t>
        </is>
      </c>
      <c r="I44" t="n">
        <v>6</v>
      </c>
    </row>
    <row r="45">
      <c r="A45" t="inlineStr">
        <is>
          <t>derechos</t>
        </is>
      </c>
      <c r="B45" t="inlineStr">
        <is>
          <t>Derechos</t>
        </is>
      </c>
      <c r="C45" t="inlineStr">
        <is>
          <t>derechos</t>
        </is>
      </c>
      <c r="D45" t="inlineStr">
        <is>
          <t>detalleDerechos</t>
        </is>
      </c>
      <c r="E45" t="inlineStr">
        <is>
          <t>activo</t>
        </is>
      </c>
      <c r="F45" t="n">
        <v>8</v>
      </c>
      <c r="G45" t="inlineStr">
        <is>
          <t>cod</t>
        </is>
      </c>
      <c r="H45" t="inlineStr">
        <is>
          <t>tipoDerecho</t>
        </is>
      </c>
      <c r="I45" t="n">
        <v>1</v>
      </c>
    </row>
    <row r="46">
      <c r="A46" t="inlineStr">
        <is>
          <t>derechos</t>
        </is>
      </c>
      <c r="B46" t="inlineStr">
        <is>
          <t>Derechos</t>
        </is>
      </c>
      <c r="C46" t="inlineStr">
        <is>
          <t>derechos</t>
        </is>
      </c>
      <c r="D46" t="inlineStr">
        <is>
          <t>detalleDerechos</t>
        </is>
      </c>
      <c r="E46" t="inlineStr">
        <is>
          <t>activo</t>
        </is>
      </c>
      <c r="F46" t="n">
        <v>8</v>
      </c>
      <c r="G46" t="inlineStr">
        <is>
          <t>cod</t>
        </is>
      </c>
      <c r="H46" t="inlineStr">
        <is>
          <t>ubicacion</t>
        </is>
      </c>
      <c r="I46" t="n">
        <v>2</v>
      </c>
    </row>
    <row r="47">
      <c r="A47" t="inlineStr">
        <is>
          <t>derechos</t>
        </is>
      </c>
      <c r="B47" t="inlineStr">
        <is>
          <t>Derechos</t>
        </is>
      </c>
      <c r="C47" t="inlineStr">
        <is>
          <t>derechos</t>
        </is>
      </c>
      <c r="D47" t="inlineStr">
        <is>
          <t>detalleDerechos</t>
        </is>
      </c>
      <c r="E47" t="inlineStr">
        <is>
          <t>activo</t>
        </is>
      </c>
      <c r="F47" t="n">
        <v>8</v>
      </c>
      <c r="G47" t="inlineStr">
        <is>
          <t>cod</t>
        </is>
      </c>
      <c r="H47" t="inlineStr">
        <is>
          <t>pais</t>
        </is>
      </c>
      <c r="I47" t="n">
        <v>3</v>
      </c>
    </row>
    <row r="48">
      <c r="A48" t="inlineStr">
        <is>
          <t>derechos</t>
        </is>
      </c>
      <c r="B48" t="inlineStr">
        <is>
          <t>Derechos</t>
        </is>
      </c>
      <c r="C48" t="inlineStr">
        <is>
          <t>derechos</t>
        </is>
      </c>
      <c r="D48" t="inlineStr">
        <is>
          <t>detalleDerechos</t>
        </is>
      </c>
      <c r="E48" t="inlineStr">
        <is>
          <t>activo</t>
        </is>
      </c>
      <c r="F48" t="n">
        <v>8</v>
      </c>
      <c r="G48" t="inlineStr">
        <is>
          <t>val</t>
        </is>
      </c>
      <c r="H48" t="inlineStr">
        <is>
          <t>valor</t>
        </is>
      </c>
      <c r="I48" t="n">
        <v>0</v>
      </c>
    </row>
    <row r="49">
      <c r="A49" t="inlineStr">
        <is>
          <t>derechos</t>
        </is>
      </c>
      <c r="B49" t="inlineStr">
        <is>
          <t>Derechos</t>
        </is>
      </c>
      <c r="C49" t="inlineStr">
        <is>
          <t>derechos</t>
        </is>
      </c>
      <c r="D49" t="inlineStr">
        <is>
          <t>detalleDerechos</t>
        </is>
      </c>
      <c r="E49" t="inlineStr">
        <is>
          <t>activo</t>
        </is>
      </c>
      <c r="F49" t="n">
        <v>8</v>
      </c>
      <c r="G49" t="inlineStr">
        <is>
          <t>cod</t>
        </is>
      </c>
      <c r="H49" t="inlineStr">
        <is>
          <t>regularizacionActivos</t>
        </is>
      </c>
      <c r="I49" t="n">
        <v>4</v>
      </c>
    </row>
    <row r="50">
      <c r="A50" t="inlineStr">
        <is>
          <t>derechos</t>
        </is>
      </c>
      <c r="B50" t="inlineStr">
        <is>
          <t>Derechos</t>
        </is>
      </c>
      <c r="C50" t="inlineStr">
        <is>
          <t>derechos</t>
        </is>
      </c>
      <c r="D50" t="inlineStr">
        <is>
          <t>detalleDerechos</t>
        </is>
      </c>
      <c r="E50" t="inlineStr">
        <is>
          <t>activo</t>
        </is>
      </c>
      <c r="F50" t="n">
        <v>8</v>
      </c>
      <c r="G50" t="inlineStr">
        <is>
          <t>txt</t>
        </is>
      </c>
      <c r="H50" t="inlineStr">
        <is>
          <t>anioFiscalAdquisicion</t>
        </is>
      </c>
      <c r="I50" t="n">
        <v>5</v>
      </c>
    </row>
    <row r="51">
      <c r="A51" t="inlineStr">
        <is>
          <t>inmuebles</t>
        </is>
      </c>
      <c r="B51" t="inlineStr">
        <is>
          <t>Bienes Inmuebles</t>
        </is>
      </c>
      <c r="C51" t="inlineStr">
        <is>
          <t>bienesInmuebles</t>
        </is>
      </c>
      <c r="D51" t="inlineStr">
        <is>
          <t>detalleBienesInmuebles</t>
        </is>
      </c>
      <c r="E51" t="inlineStr">
        <is>
          <t>activo</t>
        </is>
      </c>
      <c r="F51" t="n">
        <v>5</v>
      </c>
      <c r="G51" t="inlineStr">
        <is>
          <t>cod</t>
        </is>
      </c>
      <c r="H51" t="inlineStr">
        <is>
          <t>tipoInmueble</t>
        </is>
      </c>
      <c r="I51" t="n">
        <v>1</v>
      </c>
    </row>
    <row r="52">
      <c r="A52" t="inlineStr">
        <is>
          <t>inmuebles</t>
        </is>
      </c>
      <c r="B52" t="inlineStr">
        <is>
          <t>Bienes Inmuebles</t>
        </is>
      </c>
      <c r="C52" t="inlineStr">
        <is>
          <t>bienesInmuebles</t>
        </is>
      </c>
      <c r="D52" t="inlineStr">
        <is>
          <t>detalleBienesInmuebles</t>
        </is>
      </c>
      <c r="E52" t="inlineStr">
        <is>
          <t>activo</t>
        </is>
      </c>
      <c r="F52" t="n">
        <v>5</v>
      </c>
      <c r="G52" t="inlineStr">
        <is>
          <t>cod</t>
        </is>
      </c>
      <c r="H52" t="inlineStr">
        <is>
          <t>ubicacion</t>
        </is>
      </c>
      <c r="I52" t="n">
        <v>2</v>
      </c>
    </row>
    <row r="53">
      <c r="A53" t="inlineStr">
        <is>
          <t>inmuebles</t>
        </is>
      </c>
      <c r="B53" t="inlineStr">
        <is>
          <t>Bienes Inmuebles</t>
        </is>
      </c>
      <c r="C53" t="inlineStr">
        <is>
          <t>bienesInmuebles</t>
        </is>
      </c>
      <c r="D53" t="inlineStr">
        <is>
          <t>detalleBienesInmuebles</t>
        </is>
      </c>
      <c r="E53" t="inlineStr">
        <is>
          <t>activo</t>
        </is>
      </c>
      <c r="F53" t="n">
        <v>5</v>
      </c>
      <c r="G53" t="inlineStr">
        <is>
          <t>cod</t>
        </is>
      </c>
      <c r="H53" t="inlineStr">
        <is>
          <t>codPais</t>
        </is>
      </c>
      <c r="I53" t="n">
        <v>3</v>
      </c>
    </row>
    <row r="54">
      <c r="A54" t="inlineStr">
        <is>
          <t>inmuebles</t>
        </is>
      </c>
      <c r="B54" t="inlineStr">
        <is>
          <t>Bienes Inmuebles</t>
        </is>
      </c>
      <c r="C54" t="inlineStr">
        <is>
          <t>bienesInmuebles</t>
        </is>
      </c>
      <c r="D54" t="inlineStr">
        <is>
          <t>detalleBienesInmuebles</t>
        </is>
      </c>
      <c r="E54" t="inlineStr">
        <is>
          <t>activo</t>
        </is>
      </c>
      <c r="F54" t="n">
        <v>5</v>
      </c>
      <c r="G54" t="inlineStr">
        <is>
          <t>cod</t>
        </is>
      </c>
      <c r="H54" t="inlineStr">
        <is>
          <t>provincia</t>
        </is>
      </c>
      <c r="I54" t="n">
        <v>4</v>
      </c>
    </row>
    <row r="55">
      <c r="A55" t="inlineStr">
        <is>
          <t>inmuebles</t>
        </is>
      </c>
      <c r="B55" t="inlineStr">
        <is>
          <t>Bienes Inmuebles</t>
        </is>
      </c>
      <c r="C55" t="inlineStr">
        <is>
          <t>bienesInmuebles</t>
        </is>
      </c>
      <c r="D55" t="inlineStr">
        <is>
          <t>detalleBienesInmuebles</t>
        </is>
      </c>
      <c r="E55" t="inlineStr">
        <is>
          <t>activo</t>
        </is>
      </c>
      <c r="F55" t="n">
        <v>5</v>
      </c>
      <c r="G55" t="inlineStr">
        <is>
          <t>cod</t>
        </is>
      </c>
      <c r="H55" t="inlineStr">
        <is>
          <t>canton</t>
        </is>
      </c>
      <c r="I55" t="n">
        <v>5</v>
      </c>
    </row>
    <row r="56">
      <c r="A56" t="inlineStr">
        <is>
          <t>inmuebles</t>
        </is>
      </c>
      <c r="B56" t="inlineStr">
        <is>
          <t>Bienes Inmuebles</t>
        </is>
      </c>
      <c r="C56" t="inlineStr">
        <is>
          <t>bienesInmuebles</t>
        </is>
      </c>
      <c r="D56" t="inlineStr">
        <is>
          <t>detalleBienesInmuebles</t>
        </is>
      </c>
      <c r="E56" t="inlineStr">
        <is>
          <t>activo</t>
        </is>
      </c>
      <c r="F56" t="n">
        <v>5</v>
      </c>
      <c r="G56" t="inlineStr">
        <is>
          <t>txt</t>
        </is>
      </c>
      <c r="H56" t="inlineStr">
        <is>
          <t>fechaInscripcion</t>
        </is>
      </c>
      <c r="I56" t="n">
        <v>6</v>
      </c>
    </row>
    <row r="57">
      <c r="A57" t="inlineStr">
        <is>
          <t>inmuebles</t>
        </is>
      </c>
      <c r="B57" t="inlineStr">
        <is>
          <t>Bienes Inmuebles</t>
        </is>
      </c>
      <c r="C57" t="inlineStr">
        <is>
          <t>bienesInmuebles</t>
        </is>
      </c>
      <c r="D57" t="inlineStr">
        <is>
          <t>detalleBienesInmuebles</t>
        </is>
      </c>
      <c r="E57" t="inlineStr">
        <is>
          <t>activo</t>
        </is>
      </c>
      <c r="F57" t="n">
        <v>5</v>
      </c>
      <c r="G57" t="inlineStr">
        <is>
          <t>txt</t>
        </is>
      </c>
      <c r="H57" t="inlineStr">
        <is>
          <t>claveCat</t>
        </is>
      </c>
      <c r="I57" t="n">
        <v>7</v>
      </c>
    </row>
    <row r="58">
      <c r="A58" t="inlineStr">
        <is>
          <t>inmuebles</t>
        </is>
      </c>
      <c r="B58" t="inlineStr">
        <is>
          <t>Bienes Inmuebles</t>
        </is>
      </c>
      <c r="C58" t="inlineStr">
        <is>
          <t>bienesInmuebles</t>
        </is>
      </c>
      <c r="D58" t="inlineStr">
        <is>
          <t>detalleBienesInmuebles</t>
        </is>
      </c>
      <c r="E58" t="inlineStr">
        <is>
          <t>activo</t>
        </is>
      </c>
      <c r="F58" t="n">
        <v>5</v>
      </c>
      <c r="G58" t="inlineStr">
        <is>
          <t>val</t>
        </is>
      </c>
      <c r="H58" t="inlineStr">
        <is>
          <t>valor</t>
        </is>
      </c>
      <c r="I58" t="n">
        <v>0</v>
      </c>
    </row>
    <row r="59">
      <c r="A59" t="inlineStr">
        <is>
          <t>inmuebles</t>
        </is>
      </c>
      <c r="B59" t="inlineStr">
        <is>
          <t>Bienes Inmuebles</t>
        </is>
      </c>
      <c r="C59" t="inlineStr">
        <is>
          <t>bienesInmuebles</t>
        </is>
      </c>
      <c r="D59" t="inlineStr">
        <is>
          <t>detalleBienesInmuebles</t>
        </is>
      </c>
      <c r="E59" t="inlineStr">
        <is>
          <t>activo</t>
        </is>
      </c>
      <c r="F59" t="n">
        <v>5</v>
      </c>
      <c r="G59" t="inlineStr">
        <is>
          <t>cod</t>
        </is>
      </c>
      <c r="H59" t="inlineStr">
        <is>
          <t>regularizacionActivos</t>
        </is>
      </c>
      <c r="I59" t="n">
        <v>8</v>
      </c>
    </row>
    <row r="60">
      <c r="A60" t="inlineStr">
        <is>
          <t>inmuebles</t>
        </is>
      </c>
      <c r="B60" t="inlineStr">
        <is>
          <t>Bienes Inmuebles</t>
        </is>
      </c>
      <c r="C60" t="inlineStr">
        <is>
          <t>bienesInmuebles</t>
        </is>
      </c>
      <c r="D60" t="inlineStr">
        <is>
          <t>detalleBienesInmuebles</t>
        </is>
      </c>
      <c r="E60" t="inlineStr">
        <is>
          <t>activo</t>
        </is>
      </c>
      <c r="F60" t="n">
        <v>5</v>
      </c>
      <c r="G60" t="inlineStr">
        <is>
          <t>txt</t>
        </is>
      </c>
      <c r="H60" t="inlineStr">
        <is>
          <t>anioFiscalAdquisicion</t>
        </is>
      </c>
      <c r="I60" t="n">
        <v>9</v>
      </c>
    </row>
    <row r="61">
      <c r="A61" t="inlineStr">
        <is>
          <t>otros</t>
        </is>
      </c>
      <c r="B61" t="inlineStr">
        <is>
          <t>Otros Activos</t>
        </is>
      </c>
      <c r="C61" t="inlineStr">
        <is>
          <t>otrosActivos</t>
        </is>
      </c>
      <c r="D61" t="inlineStr">
        <is>
          <t>detalleOtrosActivos</t>
        </is>
      </c>
      <c r="E61" t="inlineStr">
        <is>
          <t>activo</t>
        </is>
      </c>
      <c r="F61" t="n">
        <v>7</v>
      </c>
      <c r="G61" t="inlineStr">
        <is>
          <t>cod</t>
        </is>
      </c>
      <c r="H61" t="inlineStr">
        <is>
          <t>ubicacion</t>
        </is>
      </c>
      <c r="I61" t="n">
        <v>1</v>
      </c>
    </row>
    <row r="62">
      <c r="A62" t="inlineStr">
        <is>
          <t>otros</t>
        </is>
      </c>
      <c r="B62" t="inlineStr">
        <is>
          <t>Otros Activos</t>
        </is>
      </c>
      <c r="C62" t="inlineStr">
        <is>
          <t>otrosActivos</t>
        </is>
      </c>
      <c r="D62" t="inlineStr">
        <is>
          <t>detalleOtrosActivos</t>
        </is>
      </c>
      <c r="E62" t="inlineStr">
        <is>
          <t>activo</t>
        </is>
      </c>
      <c r="F62" t="n">
        <v>7</v>
      </c>
      <c r="G62" t="inlineStr">
        <is>
          <t>cod</t>
        </is>
      </c>
      <c r="H62" t="inlineStr">
        <is>
          <t>pais</t>
        </is>
      </c>
      <c r="I62" t="n">
        <v>2</v>
      </c>
    </row>
    <row r="63">
      <c r="A63" t="inlineStr">
        <is>
          <t>otros</t>
        </is>
      </c>
      <c r="B63" t="inlineStr">
        <is>
          <t>Otros Activos</t>
        </is>
      </c>
      <c r="C63" t="inlineStr">
        <is>
          <t>otrosActivos</t>
        </is>
      </c>
      <c r="D63" t="inlineStr">
        <is>
          <t>detalleOtrosActivos</t>
        </is>
      </c>
      <c r="E63" t="inlineStr">
        <is>
          <t>activo</t>
        </is>
      </c>
      <c r="F63" t="n">
        <v>7</v>
      </c>
      <c r="G63" t="inlineStr">
        <is>
          <t>txt</t>
        </is>
      </c>
      <c r="H63" t="inlineStr">
        <is>
          <t>descripcion</t>
        </is>
      </c>
      <c r="I63" t="n">
        <v>3</v>
      </c>
    </row>
    <row r="64">
      <c r="A64" t="inlineStr">
        <is>
          <t>otros</t>
        </is>
      </c>
      <c r="B64" t="inlineStr">
        <is>
          <t>Otros Activos</t>
        </is>
      </c>
      <c r="C64" t="inlineStr">
        <is>
          <t>otrosActivos</t>
        </is>
      </c>
      <c r="D64" t="inlineStr">
        <is>
          <t>detalleOtrosActivos</t>
        </is>
      </c>
      <c r="E64" t="inlineStr">
        <is>
          <t>activo</t>
        </is>
      </c>
      <c r="F64" t="n">
        <v>7</v>
      </c>
      <c r="G64" t="inlineStr">
        <is>
          <t>val</t>
        </is>
      </c>
      <c r="H64" t="inlineStr">
        <is>
          <t>valorTotal</t>
        </is>
      </c>
      <c r="I64" t="n">
        <v>0</v>
      </c>
    </row>
    <row r="65">
      <c r="A65" t="inlineStr">
        <is>
          <t>otros</t>
        </is>
      </c>
      <c r="B65" t="inlineStr">
        <is>
          <t>Otros Activos</t>
        </is>
      </c>
      <c r="C65" t="inlineStr">
        <is>
          <t>otrosActivos</t>
        </is>
      </c>
      <c r="D65" t="inlineStr">
        <is>
          <t>detalleOtrosActivos</t>
        </is>
      </c>
      <c r="E65" t="inlineStr">
        <is>
          <t>activo</t>
        </is>
      </c>
      <c r="F65" t="n">
        <v>7</v>
      </c>
      <c r="G65" t="inlineStr">
        <is>
          <t>cod</t>
        </is>
      </c>
      <c r="H65" t="inlineStr">
        <is>
          <t>regularizacionActivos</t>
        </is>
      </c>
      <c r="I65" t="n">
        <v>4</v>
      </c>
    </row>
    <row r="66">
      <c r="A66" t="inlineStr">
        <is>
          <t>otros</t>
        </is>
      </c>
      <c r="B66" t="inlineStr">
        <is>
          <t>Otros Activos</t>
        </is>
      </c>
      <c r="C66" t="inlineStr">
        <is>
          <t>otrosActivos</t>
        </is>
      </c>
      <c r="D66" t="inlineStr">
        <is>
          <t>detalleOtrosActivos</t>
        </is>
      </c>
      <c r="E66" t="inlineStr">
        <is>
          <t>activo</t>
        </is>
      </c>
      <c r="F66" t="n">
        <v>7</v>
      </c>
      <c r="G66" t="inlineStr">
        <is>
          <t>txt</t>
        </is>
      </c>
      <c r="H66" t="inlineStr">
        <is>
          <t>anioFiscalAdquisicion</t>
        </is>
      </c>
      <c r="I66" t="n">
        <v>5</v>
      </c>
    </row>
    <row r="67">
      <c r="A67" t="inlineStr">
        <is>
          <t>pasivo</t>
        </is>
      </c>
      <c r="B67" t="inlineStr">
        <is>
          <t>Pasivos</t>
        </is>
      </c>
      <c r="C67" t="inlineStr">
        <is>
          <t>pasivo</t>
        </is>
      </c>
      <c r="D67" t="inlineStr">
        <is>
          <t>detallePasivo</t>
        </is>
      </c>
      <c r="E67" t="inlineStr">
        <is>
          <t>pasivo</t>
        </is>
      </c>
      <c r="F67" t="n">
        <v>6</v>
      </c>
      <c r="G67" t="inlineStr">
        <is>
          <t>cod</t>
        </is>
      </c>
      <c r="H67" t="inlineStr">
        <is>
          <t>tipoAcreedor</t>
        </is>
      </c>
      <c r="I67" t="n">
        <v>1</v>
      </c>
    </row>
    <row r="68">
      <c r="A68" t="inlineStr">
        <is>
          <t>pasivo</t>
        </is>
      </c>
      <c r="B68" t="inlineStr">
        <is>
          <t>Pasivos</t>
        </is>
      </c>
      <c r="C68" t="inlineStr">
        <is>
          <t>pasivo</t>
        </is>
      </c>
      <c r="D68" t="inlineStr">
        <is>
          <t>detallePasivo</t>
        </is>
      </c>
      <c r="E68" t="inlineStr">
        <is>
          <t>pasivo</t>
        </is>
      </c>
      <c r="F68" t="n">
        <v>6</v>
      </c>
      <c r="G68" t="inlineStr">
        <is>
          <t>cod</t>
        </is>
      </c>
      <c r="H68" t="inlineStr">
        <is>
          <t>domicilioAcreedor</t>
        </is>
      </c>
      <c r="I68" t="n">
        <v>2</v>
      </c>
    </row>
    <row r="69">
      <c r="A69" t="inlineStr">
        <is>
          <t>pasivo</t>
        </is>
      </c>
      <c r="B69" t="inlineStr">
        <is>
          <t>Pasivos</t>
        </is>
      </c>
      <c r="C69" t="inlineStr">
        <is>
          <t>pasivo</t>
        </is>
      </c>
      <c r="D69" t="inlineStr">
        <is>
          <t>detallePasivo</t>
        </is>
      </c>
      <c r="E69" t="inlineStr">
        <is>
          <t>pasivo</t>
        </is>
      </c>
      <c r="F69" t="n">
        <v>6</v>
      </c>
      <c r="G69" t="inlineStr">
        <is>
          <t>val</t>
        </is>
      </c>
      <c r="H69" t="inlineStr">
        <is>
          <t>valorDeuda</t>
        </is>
      </c>
      <c r="I69" t="n">
        <v>0</v>
      </c>
    </row>
    <row r="70">
      <c r="A70" t="inlineStr">
        <is>
          <t>pasivo</t>
        </is>
      </c>
      <c r="B70" t="inlineStr">
        <is>
          <t>Pasivos</t>
        </is>
      </c>
      <c r="C70" t="inlineStr">
        <is>
          <t>pasivo</t>
        </is>
      </c>
      <c r="D70" t="inlineStr">
        <is>
          <t>detallePasivo</t>
        </is>
      </c>
      <c r="E70" t="inlineStr">
        <is>
          <t>pasivo</t>
        </is>
      </c>
      <c r="F70" t="n">
        <v>6</v>
      </c>
      <c r="G70" t="inlineStr">
        <is>
          <t>cod</t>
        </is>
      </c>
      <c r="H70" t="inlineStr">
        <is>
          <t>paisAcreedor</t>
        </is>
      </c>
      <c r="I70" t="n">
        <v>3</v>
      </c>
    </row>
    <row r="71">
      <c r="A71" t="inlineStr">
        <is>
          <t>pasivo</t>
        </is>
      </c>
      <c r="B71" t="inlineStr">
        <is>
          <t>Pasivos</t>
        </is>
      </c>
      <c r="C71" t="inlineStr">
        <is>
          <t>pasivo</t>
        </is>
      </c>
      <c r="D71" t="inlineStr">
        <is>
          <t>detallePasivo</t>
        </is>
      </c>
      <c r="E71" t="inlineStr">
        <is>
          <t>pasivo</t>
        </is>
      </c>
      <c r="F71" t="n">
        <v>6</v>
      </c>
      <c r="G71" t="inlineStr">
        <is>
          <t>txt</t>
        </is>
      </c>
      <c r="H71" t="inlineStr">
        <is>
          <t>nombreAcreedor</t>
        </is>
      </c>
      <c r="I71" t="n">
        <v>4</v>
      </c>
    </row>
    <row r="72">
      <c r="A72" t="inlineStr">
        <is>
          <t>pasivo</t>
        </is>
      </c>
      <c r="B72" t="inlineStr">
        <is>
          <t>Pasivos</t>
        </is>
      </c>
      <c r="C72" t="inlineStr">
        <is>
          <t>pasivo</t>
        </is>
      </c>
      <c r="D72" t="inlineStr">
        <is>
          <t>detallePasivo</t>
        </is>
      </c>
      <c r="E72" t="inlineStr">
        <is>
          <t>pasivo</t>
        </is>
      </c>
      <c r="F72" t="n">
        <v>6</v>
      </c>
      <c r="G72" t="inlineStr">
        <is>
          <t>cod</t>
        </is>
      </c>
      <c r="H72" t="inlineStr">
        <is>
          <t>tipoIdentificacionAcreedor</t>
        </is>
      </c>
      <c r="I72" t="n">
        <v>5</v>
      </c>
    </row>
    <row r="73">
      <c r="A73" t="inlineStr">
        <is>
          <t>pasivo</t>
        </is>
      </c>
      <c r="B73" t="inlineStr">
        <is>
          <t>Pasivos</t>
        </is>
      </c>
      <c r="C73" t="inlineStr">
        <is>
          <t>pasivo</t>
        </is>
      </c>
      <c r="D73" t="inlineStr">
        <is>
          <t>detallePasivo</t>
        </is>
      </c>
      <c r="E73" t="inlineStr">
        <is>
          <t>pasivo</t>
        </is>
      </c>
      <c r="F73" t="n">
        <v>6</v>
      </c>
      <c r="G73" t="inlineStr">
        <is>
          <t>txt</t>
        </is>
      </c>
      <c r="H73" t="inlineStr">
        <is>
          <t>numeroIdentificacionAcreedor</t>
        </is>
      </c>
      <c r="I73" t="n">
        <v>6</v>
      </c>
    </row>
    <row r="74">
      <c r="A74" t="inlineStr">
        <is>
          <t>pasivo</t>
        </is>
      </c>
      <c r="B74" t="inlineStr">
        <is>
          <t>Pasivos</t>
        </is>
      </c>
      <c r="C74" t="inlineStr">
        <is>
          <t>pasivo</t>
        </is>
      </c>
      <c r="D74" t="inlineStr">
        <is>
          <t>detallePasivo</t>
        </is>
      </c>
      <c r="E74" t="inlineStr">
        <is>
          <t>pasivo</t>
        </is>
      </c>
      <c r="F74" t="n">
        <v>6</v>
      </c>
      <c r="G74" t="inlineStr">
        <is>
          <t>txt</t>
        </is>
      </c>
      <c r="H74" t="inlineStr">
        <is>
          <t>numeroRegistroBancoCentral</t>
        </is>
      </c>
      <c r="I74" t="n">
        <v>7</v>
      </c>
    </row>
    <row r="75">
      <c r="A75" t="inlineStr">
        <is>
          <t>pasivo</t>
        </is>
      </c>
      <c r="B75" t="inlineStr">
        <is>
          <t>Pasivos</t>
        </is>
      </c>
      <c r="C75" t="inlineStr">
        <is>
          <t>pasivo</t>
        </is>
      </c>
      <c r="D75" t="inlineStr">
        <is>
          <t>detallePasivo</t>
        </is>
      </c>
      <c r="E75" t="inlineStr">
        <is>
          <t>pasivo</t>
        </is>
      </c>
      <c r="F75" t="n">
        <v>6</v>
      </c>
      <c r="G75" t="inlineStr">
        <is>
          <t>cod</t>
        </is>
      </c>
      <c r="H75" t="inlineStr">
        <is>
          <t>partesRelacionadas</t>
        </is>
      </c>
      <c r="I75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A1" s="80" t="inlineStr">
        <is>
          <t>DINERO_EN</t>
        </is>
      </c>
      <c r="B1" s="80" t="inlineStr">
        <is>
          <t>TIPO_INVERSION</t>
        </is>
      </c>
      <c r="C1" s="80" t="inlineStr">
        <is>
          <t>UBICACION</t>
        </is>
      </c>
      <c r="D1" s="80" t="inlineStr">
        <is>
          <t>PAIS</t>
        </is>
      </c>
      <c r="E1" s="80" t="inlineStr">
        <is>
          <t>INSTITUCION_FINANCIERA</t>
        </is>
      </c>
      <c r="F1" s="80" t="inlineStr">
        <is>
          <t>PARTES_RELACIONADAS</t>
        </is>
      </c>
      <c r="G1" s="80" t="inlineStr">
        <is>
          <t>TIPO_DRC</t>
        </is>
      </c>
      <c r="H1" s="80" t="inlineStr">
        <is>
          <t>TIPO_PERSONA</t>
        </is>
      </c>
      <c r="I1" s="80" t="inlineStr">
        <is>
          <t>TIPO_BIEN_MUEBLE</t>
        </is>
      </c>
      <c r="J1" s="80" t="inlineStr">
        <is>
          <t>TIPO_VEHICULO</t>
        </is>
      </c>
      <c r="K1" s="80" t="inlineStr">
        <is>
          <t>TIPO_DERECHO</t>
        </is>
      </c>
      <c r="L1" s="80" t="inlineStr">
        <is>
          <t>TIPO_INMUEBLE</t>
        </is>
      </c>
      <c r="M1" s="80" t="inlineStr">
        <is>
          <t>PROVINCIA</t>
        </is>
      </c>
      <c r="N1" s="80" t="inlineStr">
        <is>
          <t>CANTON</t>
        </is>
      </c>
      <c r="O1" s="80" t="inlineStr">
        <is>
          <t>TIPO_ACREEDOR</t>
        </is>
      </c>
      <c r="P1" s="80" t="inlineStr">
        <is>
          <t>TIPO_IDENTIFICACION</t>
        </is>
      </c>
      <c r="Q1" s="80" t="inlineStr">
        <is>
          <t>REGULARIZACION</t>
        </is>
      </c>
      <c r="R1" s="80" t="inlineStr">
        <is>
          <t>JUSTIF_INCREMENTO</t>
        </is>
      </c>
      <c r="S1" s="80" t="inlineStr">
        <is>
          <t>JUSTIF_DECREMENTO</t>
        </is>
      </c>
    </row>
    <row r="2">
      <c r="A2" t="inlineStr">
        <is>
          <t>EFE - Efectivo</t>
        </is>
      </c>
      <c r="B2" t="inlineStr">
        <is>
          <t>1 - Efectivo</t>
        </is>
      </c>
      <c r="C2" t="inlineStr">
        <is>
          <t>ECU - En el Ecuador</t>
        </is>
      </c>
      <c r="D2" t="inlineStr">
        <is>
          <t>16 - AMERICAN SAMOA</t>
        </is>
      </c>
      <c r="E2" t="inlineStr">
        <is>
          <t>1002 - BANCO AMAZONAS S.A.</t>
        </is>
      </c>
      <c r="F2" t="inlineStr">
        <is>
          <t>1 - Si</t>
        </is>
      </c>
      <c r="G2" t="inlineStr">
        <is>
          <t>2 - Acciones o participaciones en sociedades</t>
        </is>
      </c>
      <c r="H2" t="inlineStr">
        <is>
          <t>1 - Persona natural</t>
        </is>
      </c>
      <c r="I2" t="inlineStr">
        <is>
          <t>1 - Maquinaria y equipo</t>
        </is>
      </c>
      <c r="J2" t="inlineStr">
        <is>
          <t>1 - Vehiculos motorizados terrestres</t>
        </is>
      </c>
      <c r="K2" t="inlineStr">
        <is>
          <t>1 - Usufructo</t>
        </is>
      </c>
      <c r="L2" t="inlineStr">
        <is>
          <t>1 - Casa</t>
        </is>
      </c>
      <c r="M2" t="inlineStr">
        <is>
          <t>107 - EL ORO</t>
        </is>
      </c>
      <c r="N2" t="inlineStr">
        <is>
          <t>10701 - MACHALA</t>
        </is>
      </c>
      <c r="O2" t="inlineStr">
        <is>
          <t>ACC - Accionistas, participes o socios</t>
        </is>
      </c>
      <c r="P2" t="inlineStr">
        <is>
          <t>C - Cedula</t>
        </is>
      </c>
      <c r="Q2" t="inlineStr">
        <is>
          <t>1 - Si</t>
        </is>
      </c>
      <c r="R2" t="inlineStr">
        <is>
          <t>1 - Ingresos locales</t>
        </is>
      </c>
      <c r="S2" t="inlineStr">
        <is>
          <t>1 - Compra de bienes</t>
        </is>
      </c>
    </row>
    <row r="3">
      <c r="A3" t="inlineStr">
        <is>
          <t>IFI - Instituciones financieras</t>
        </is>
      </c>
      <c r="B3" t="inlineStr">
        <is>
          <t>2 - Inversiones financieras</t>
        </is>
      </c>
      <c r="C3" t="inlineStr">
        <is>
          <t>EXT - En el exterior</t>
        </is>
      </c>
      <c r="D3" t="inlineStr">
        <is>
          <t>74 - BOUVET ISLAND</t>
        </is>
      </c>
      <c r="E3" t="inlineStr">
        <is>
          <t>1004 - BANCO DEL AUSTRO S.A.</t>
        </is>
      </c>
      <c r="F3" t="inlineStr">
        <is>
          <t>2 - No</t>
        </is>
      </c>
      <c r="G3" t="inlineStr">
        <is>
          <t>5 - Fondos de inversion</t>
        </is>
      </c>
      <c r="H3" t="inlineStr">
        <is>
          <t>2 - Persona juridica</t>
        </is>
      </c>
      <c r="I3" t="inlineStr">
        <is>
          <t>2 - Inventario de mercaderias</t>
        </is>
      </c>
      <c r="J3" t="inlineStr">
        <is>
          <t>2 - Naves</t>
        </is>
      </c>
      <c r="K3" t="inlineStr">
        <is>
          <t>2 - Uso</t>
        </is>
      </c>
      <c r="L3" t="inlineStr">
        <is>
          <t>2 - Departamento</t>
        </is>
      </c>
      <c r="M3" t="inlineStr">
        <is>
          <t>108 - ESMERALDAS</t>
        </is>
      </c>
      <c r="N3" t="inlineStr">
        <is>
          <t>10702 - ARENILLAS</t>
        </is>
      </c>
      <c r="O3" t="inlineStr">
        <is>
          <t>CRD - Credito a mutuo</t>
        </is>
      </c>
      <c r="P3" t="inlineStr">
        <is>
          <t>E - Identificacion del exterior</t>
        </is>
      </c>
      <c r="Q3" t="inlineStr">
        <is>
          <t>2 - No</t>
        </is>
      </c>
      <c r="R3" t="inlineStr">
        <is>
          <t>2 - Ingresos exterior</t>
        </is>
      </c>
      <c r="S3" t="inlineStr">
        <is>
          <t>2 - Pago de servicios</t>
        </is>
      </c>
    </row>
    <row r="4">
      <c r="A4" t="inlineStr">
        <is>
          <t>OTR - Otros depositarios</t>
        </is>
      </c>
      <c r="B4" t="inlineStr">
        <is>
          <t>3 - Cuenta de ahorros</t>
        </is>
      </c>
      <c r="D4" t="inlineStr">
        <is>
          <t>101 - ARGENTINA</t>
        </is>
      </c>
      <c r="E4" t="inlineStr">
        <is>
          <t>1006 - BANCO DE GUAYAQUIL S.A.</t>
        </is>
      </c>
      <c r="G4" t="inlineStr">
        <is>
          <t>6 - Fideicomisos</t>
        </is>
      </c>
      <c r="I4" t="inlineStr">
        <is>
          <t>3 - Activo biologico (incluye semovientes)</t>
        </is>
      </c>
      <c r="J4" t="inlineStr">
        <is>
          <t>3 - Aeronaves</t>
        </is>
      </c>
      <c r="K4" t="inlineStr">
        <is>
          <t>3 - Habitacion</t>
        </is>
      </c>
      <c r="L4" t="inlineStr">
        <is>
          <t>3 - Terreno</t>
        </is>
      </c>
      <c r="M4" t="inlineStr">
        <is>
          <t>109 - GUAYAS</t>
        </is>
      </c>
      <c r="N4" t="inlineStr">
        <is>
          <t>10703 - ATAHUALPA</t>
        </is>
      </c>
      <c r="O4" t="inlineStr">
        <is>
          <t>CRE - Credito a mutuo</t>
        </is>
      </c>
      <c r="P4" t="inlineStr">
        <is>
          <t>P - Pasaporte</t>
        </is>
      </c>
      <c r="R4" t="inlineStr">
        <is>
          <t>3 - Herencias, legados o donaciones</t>
        </is>
      </c>
      <c r="S4" t="inlineStr">
        <is>
          <t>3 - Nuevas inversiones</t>
        </is>
      </c>
    </row>
    <row r="5">
      <c r="B5" t="inlineStr">
        <is>
          <t>4 - Cuenta corriente</t>
        </is>
      </c>
      <c r="D5" t="inlineStr">
        <is>
          <t>102 - BOLIVIA</t>
        </is>
      </c>
      <c r="E5" t="inlineStr">
        <is>
          <t>1007 - BANCO BOLIVARIANO C.A.</t>
        </is>
      </c>
      <c r="I5" t="inlineStr">
        <is>
          <t>4 - Muebles, enseres y otros (incluye obras de arte y joyas)</t>
        </is>
      </c>
      <c r="K5" t="inlineStr">
        <is>
          <t>4 - Propiedad intelectual</t>
        </is>
      </c>
      <c r="L5" t="inlineStr">
        <is>
          <t>4 - Oficina</t>
        </is>
      </c>
      <c r="M5" t="inlineStr">
        <is>
          <t>112 - LOS RIOS</t>
        </is>
      </c>
      <c r="N5" t="inlineStr">
        <is>
          <t>10704 - BALSAS</t>
        </is>
      </c>
      <c r="O5" t="inlineStr">
        <is>
          <t>DIV - Dividendos</t>
        </is>
      </c>
      <c r="P5" t="inlineStr">
        <is>
          <t>R - RUC</t>
        </is>
      </c>
      <c r="R5" t="inlineStr">
        <is>
          <t>4 - Loterias o rifas</t>
        </is>
      </c>
      <c r="S5" t="inlineStr">
        <is>
          <t>4 - Otros</t>
        </is>
      </c>
    </row>
    <row r="6">
      <c r="B6" t="inlineStr">
        <is>
          <t>5 - Inversiones financieras (bonos, obligaciones y otros)</t>
        </is>
      </c>
      <c r="D6" t="inlineStr">
        <is>
          <t>103 - BRASIL</t>
        </is>
      </c>
      <c r="E6" t="inlineStr">
        <is>
          <t>1008 - BANCO CENTRO MUNDO S.A.</t>
        </is>
      </c>
      <c r="I6" t="inlineStr">
        <is>
          <t>5 - Plantas productoras</t>
        </is>
      </c>
      <c r="K6" t="inlineStr">
        <is>
          <t>5 - Plusvalia o goodwill</t>
        </is>
      </c>
      <c r="L6" t="inlineStr">
        <is>
          <t>5 - Local comercial</t>
        </is>
      </c>
      <c r="M6" t="inlineStr">
        <is>
          <t>113 - MANABI</t>
        </is>
      </c>
      <c r="N6" t="inlineStr">
        <is>
          <t>10705 - CHILLA</t>
        </is>
      </c>
      <c r="O6" t="inlineStr">
        <is>
          <t>IES - IESS</t>
        </is>
      </c>
      <c r="R6" t="inlineStr">
        <is>
          <t>5 - Ganancias de capital</t>
        </is>
      </c>
    </row>
    <row r="7">
      <c r="B7" t="inlineStr">
        <is>
          <t>6 - Fondos complementarios previsionales cerrados</t>
        </is>
      </c>
      <c r="D7" t="inlineStr">
        <is>
          <t>104 - CANADA</t>
        </is>
      </c>
      <c r="E7" t="inlineStr">
        <is>
          <t>1009 - CITIBANK N.A.</t>
        </is>
      </c>
      <c r="I7" t="inlineStr">
        <is>
          <t>6 - Construcciones en curso</t>
        </is>
      </c>
      <c r="K7" t="inlineStr">
        <is>
          <t>6 - Marcas, patentes</t>
        </is>
      </c>
      <c r="L7" t="inlineStr">
        <is>
          <t>6 - Almacenera o bodega</t>
        </is>
      </c>
      <c r="M7" t="inlineStr">
        <is>
          <t>124 - SANTA ELENA</t>
        </is>
      </c>
      <c r="N7" t="inlineStr">
        <is>
          <t>10706 - EL GUABO</t>
        </is>
      </c>
      <c r="O7" t="inlineStr">
        <is>
          <t>IFI - Instituciones financieras</t>
        </is>
      </c>
      <c r="R7" t="inlineStr">
        <is>
          <t>6 - Otros</t>
        </is>
      </c>
    </row>
    <row r="8">
      <c r="B8" t="inlineStr">
        <is>
          <t>7 - En sociedades sin fines de lucro</t>
        </is>
      </c>
      <c r="D8" t="inlineStr">
        <is>
          <t>105 - COLOMBIA</t>
        </is>
      </c>
      <c r="E8" t="inlineStr">
        <is>
          <t>1010 - BANCO COFIEC C.A.</t>
        </is>
      </c>
      <c r="K8" t="inlineStr">
        <is>
          <t>7 - Derechos en acuerdos de concesion</t>
        </is>
      </c>
      <c r="L8" t="inlineStr">
        <is>
          <t>7 - Propiedad rural</t>
        </is>
      </c>
      <c r="M8" t="inlineStr">
        <is>
          <t>201 - AZUAY</t>
        </is>
      </c>
      <c r="N8" t="inlineStr">
        <is>
          <t>10707 - HUAQUILLAS</t>
        </is>
      </c>
      <c r="O8" t="inlineStr">
        <is>
          <t>OTR - Otros pasivos</t>
        </is>
      </c>
    </row>
    <row r="9">
      <c r="D9" t="inlineStr">
        <is>
          <t>106 - COSTA RICA</t>
        </is>
      </c>
      <c r="E9" t="inlineStr">
        <is>
          <t>1011 - BANCO COMERCIAL DE MANABI C.A.</t>
        </is>
      </c>
      <c r="K9" t="inlineStr">
        <is>
          <t>8 - Otros</t>
        </is>
      </c>
      <c r="L9" t="inlineStr">
        <is>
          <t>8 - Otros</t>
        </is>
      </c>
      <c r="M9" t="inlineStr">
        <is>
          <t>202 - BOLIVAR</t>
        </is>
      </c>
      <c r="N9" t="inlineStr">
        <is>
          <t>10708 - MARCABELI</t>
        </is>
      </c>
      <c r="O9" t="inlineStr">
        <is>
          <t>TRA - Transferencias casa matriz</t>
        </is>
      </c>
    </row>
    <row r="10">
      <c r="D10" t="inlineStr">
        <is>
          <t>107 - CUBA</t>
        </is>
      </c>
      <c r="E10" t="inlineStr">
        <is>
          <t>1014 - BANCO DEL LITORAL S.A.</t>
        </is>
      </c>
      <c r="L10" t="inlineStr">
        <is>
          <t>9 - Otros</t>
        </is>
      </c>
      <c r="M10" t="inlineStr">
        <is>
          <t>203 - CAÑAR</t>
        </is>
      </c>
      <c r="N10" t="inlineStr">
        <is>
          <t>10709 - PASAJE</t>
        </is>
      </c>
    </row>
    <row r="11">
      <c r="D11" t="inlineStr">
        <is>
          <t>108 - CHILE</t>
        </is>
      </c>
      <c r="E11" t="inlineStr">
        <is>
          <t>1016 - RED BANCARIA</t>
        </is>
      </c>
      <c r="M11" t="inlineStr">
        <is>
          <t>204 - CARCHI</t>
        </is>
      </c>
      <c r="N11" t="inlineStr">
        <is>
          <t>10710 - PIÑAS</t>
        </is>
      </c>
    </row>
    <row r="12">
      <c r="D12" t="inlineStr">
        <is>
          <t>109 - ANGUILA</t>
        </is>
      </c>
      <c r="E12" t="inlineStr">
        <is>
          <t>1020 - BANCO GENERAL RUMIÑAHUI S.A.</t>
        </is>
      </c>
      <c r="M12" t="inlineStr">
        <is>
          <t>205 - COTOPAXI</t>
        </is>
      </c>
      <c r="N12" t="inlineStr">
        <is>
          <t>10711 - PORTOVELO</t>
        </is>
      </c>
    </row>
    <row r="13">
      <c r="D13" t="inlineStr">
        <is>
          <t>110 - ESTADOS UNIDOS</t>
        </is>
      </c>
      <c r="E13" t="inlineStr">
        <is>
          <t>1022 - ING BANK N.V.</t>
        </is>
      </c>
      <c r="M13" t="inlineStr">
        <is>
          <t>206 - CHIMBORAZO</t>
        </is>
      </c>
      <c r="N13" t="inlineStr">
        <is>
          <t>10712 - SANTA ROSA</t>
        </is>
      </c>
    </row>
    <row r="14">
      <c r="D14" t="inlineStr">
        <is>
          <t>111 - GUATEMALA</t>
        </is>
      </c>
      <c r="E14" t="inlineStr">
        <is>
          <t>1023 - BANCO INTERNACIONAL S.A.</t>
        </is>
      </c>
      <c r="M14" t="inlineStr">
        <is>
          <t>210 - IMBABURA</t>
        </is>
      </c>
      <c r="N14" t="inlineStr">
        <is>
          <t>10713 - ZARUMA</t>
        </is>
      </c>
    </row>
    <row r="15">
      <c r="D15" t="inlineStr">
        <is>
          <t>112 - HAITI</t>
        </is>
      </c>
      <c r="E15" t="inlineStr">
        <is>
          <t>1024 - LLOYDS BANK BLSA LIMITED</t>
        </is>
      </c>
      <c r="M15" t="inlineStr">
        <is>
          <t>211 - LOJA</t>
        </is>
      </c>
      <c r="N15" t="inlineStr">
        <is>
          <t>10714 - LAS LAJAS</t>
        </is>
      </c>
    </row>
    <row r="16">
      <c r="D16" t="inlineStr">
        <is>
          <t>113 - HONDURAS</t>
        </is>
      </c>
      <c r="E16" t="inlineStr">
        <is>
          <t>1025 - BANCO DE LOJA S.A.</t>
        </is>
      </c>
      <c r="M16" t="inlineStr">
        <is>
          <t>217 - PICHINCHA</t>
        </is>
      </c>
      <c r="N16" t="inlineStr">
        <is>
          <t>10801 - ESMERALDAS</t>
        </is>
      </c>
    </row>
    <row r="17">
      <c r="D17" t="inlineStr">
        <is>
          <t>114 - JAMAICA</t>
        </is>
      </c>
      <c r="E17" t="inlineStr">
        <is>
          <t>1026 - BANCO DE MACHALA S.A.</t>
        </is>
      </c>
      <c r="M17" t="inlineStr">
        <is>
          <t>218 - TUNGURAHUA</t>
        </is>
      </c>
      <c r="N17" t="inlineStr">
        <is>
          <t>10802 - ELOY ALFARO</t>
        </is>
      </c>
    </row>
    <row r="18">
      <c r="D18" t="inlineStr">
        <is>
          <t>115 - MALVINAS  ISLAS</t>
        </is>
      </c>
      <c r="E18" t="inlineStr">
        <is>
          <t>1027 - TRUST FIDUCIARIA S.A.</t>
        </is>
      </c>
      <c r="M18" t="inlineStr">
        <is>
          <t>223 - SANTO DOMINGO DE LOS TSÁCHILAS</t>
        </is>
      </c>
      <c r="N18" t="inlineStr">
        <is>
          <t>10803 - MUISNE</t>
        </is>
      </c>
    </row>
    <row r="19">
      <c r="D19" t="inlineStr">
        <is>
          <t>116 - MEXICO</t>
        </is>
      </c>
      <c r="E19" t="inlineStr">
        <is>
          <t>1028 - BANCO DEL PACIFICO S.A.</t>
        </is>
      </c>
      <c r="M19" t="inlineStr">
        <is>
          <t>314 - MORONA SANTIAGO</t>
        </is>
      </c>
      <c r="N19" t="inlineStr">
        <is>
          <t>10804 - QUININDE</t>
        </is>
      </c>
    </row>
    <row r="20">
      <c r="D20" t="inlineStr">
        <is>
          <t>117 - NICARAGUA</t>
        </is>
      </c>
      <c r="E20" t="inlineStr">
        <is>
          <t>1029 - BANCO PICHINCHA C.A.</t>
        </is>
      </c>
      <c r="M20" t="inlineStr">
        <is>
          <t>315 - NAPO</t>
        </is>
      </c>
      <c r="N20" t="inlineStr">
        <is>
          <t>10805 - SAN LORENZO</t>
        </is>
      </c>
    </row>
    <row r="21">
      <c r="D21" t="inlineStr">
        <is>
          <t>118 - PANAMA</t>
        </is>
      </c>
      <c r="E21" t="inlineStr">
        <is>
          <t>1033 - BANCO DE LA PRODUCCION S.A. PRODUBANCO</t>
        </is>
      </c>
      <c r="M21" t="inlineStr">
        <is>
          <t>316 - PASTAZA</t>
        </is>
      </c>
      <c r="N21" t="inlineStr">
        <is>
          <t>10806 - ATACAMES</t>
        </is>
      </c>
    </row>
    <row r="22">
      <c r="D22" t="inlineStr">
        <is>
          <t>119 - PARAGUAY</t>
        </is>
      </c>
      <c r="E22" t="inlineStr">
        <is>
          <t>1035 - BANCO DE DESARROLLO ECONOMICO Y SOCIAL DE VENEZUELA</t>
        </is>
      </c>
      <c r="M22" t="inlineStr">
        <is>
          <t>319 - ZAMORA CHINCHIPE</t>
        </is>
      </c>
      <c r="N22" t="inlineStr">
        <is>
          <t>10807 - RIO VERDE</t>
        </is>
      </c>
    </row>
    <row r="23">
      <c r="D23" t="inlineStr">
        <is>
          <t>120 - PERU</t>
        </is>
      </c>
      <c r="E23" t="inlineStr">
        <is>
          <t>1037 - BANCO SOLIDARIO S.A.</t>
        </is>
      </c>
      <c r="M23" t="inlineStr">
        <is>
          <t>321 - SUCUMBIOS</t>
        </is>
      </c>
      <c r="N23" t="inlineStr">
        <is>
          <t>10808 - LA CONCORDIA</t>
        </is>
      </c>
    </row>
    <row r="24">
      <c r="D24" t="inlineStr">
        <is>
          <t>121 - PUERTO RICO</t>
        </is>
      </c>
      <c r="E24" t="inlineStr">
        <is>
          <t>1038 - BANCO SUDAMERICANO S.A.</t>
        </is>
      </c>
      <c r="M24" t="inlineStr">
        <is>
          <t>322 - ORELLANA</t>
        </is>
      </c>
      <c r="N24" t="inlineStr">
        <is>
          <t>10901 - GUAYAQUIL</t>
        </is>
      </c>
    </row>
    <row r="25">
      <c r="D25" t="inlineStr">
        <is>
          <t>122 - REPUBLICA DOMINICANA</t>
        </is>
      </c>
      <c r="E25" t="inlineStr">
        <is>
          <t>1039 - BANCO TERRITORIAL S.A.</t>
        </is>
      </c>
      <c r="M25" t="inlineStr">
        <is>
          <t>420 - GALAPAGOS</t>
        </is>
      </c>
      <c r="N25" t="inlineStr">
        <is>
          <t>10902 - ALFREDO BAQUERIZO MORENO</t>
        </is>
      </c>
    </row>
    <row r="26">
      <c r="D26" t="inlineStr">
        <is>
          <t>123 - EL SALVADOR</t>
        </is>
      </c>
      <c r="E26" t="inlineStr">
        <is>
          <t>1043 - ALMACENERA CONTINENTAL S.A. ALMACONTI</t>
        </is>
      </c>
      <c r="N26" t="inlineStr">
        <is>
          <t>10903 - BALAO</t>
        </is>
      </c>
    </row>
    <row r="27">
      <c r="D27" t="inlineStr">
        <is>
          <t>124 - TRINIDAD Y TOBAGO</t>
        </is>
      </c>
      <c r="E27" t="inlineStr">
        <is>
          <t>1044 - ALMACENERA ALMACOPIO S.A.</t>
        </is>
      </c>
      <c r="N27" t="inlineStr">
        <is>
          <t>10904 - BALZAR</t>
        </is>
      </c>
    </row>
    <row r="28">
      <c r="D28" t="inlineStr">
        <is>
          <t>125 - URUGUAY</t>
        </is>
      </c>
      <c r="E28" t="inlineStr">
        <is>
          <t>1045 - ALMACENERA DE GRANOS Y MERCADERIAS ALGRACESA</t>
        </is>
      </c>
      <c r="N28" t="inlineStr">
        <is>
          <t>10905 - COLIMES</t>
        </is>
      </c>
    </row>
    <row r="29">
      <c r="D29" t="inlineStr">
        <is>
          <t>126 - VENEZUELA</t>
        </is>
      </c>
      <c r="E29" t="inlineStr">
        <is>
          <t>1046 - ALMACENERA DEL AGRO S.A. ALMAGRO</t>
        </is>
      </c>
      <c r="N29" t="inlineStr">
        <is>
          <t>10906 - DAULE</t>
        </is>
      </c>
    </row>
    <row r="30">
      <c r="D30" t="inlineStr">
        <is>
          <t>127 - CURAZAO</t>
        </is>
      </c>
      <c r="E30" t="inlineStr">
        <is>
          <t>1047 - ALMACENERA DEL PROGRESO ALMACEPRO</t>
        </is>
      </c>
      <c r="N30" t="inlineStr">
        <is>
          <t>10907 - DURAN</t>
        </is>
      </c>
    </row>
    <row r="31">
      <c r="D31" t="inlineStr">
        <is>
          <t>129 - BAHAMAS</t>
        </is>
      </c>
      <c r="E31" t="inlineStr">
        <is>
          <t>1048 - ALMACENERA DEL ECUADOR S.A. ALMESA</t>
        </is>
      </c>
      <c r="N31" t="inlineStr">
        <is>
          <t>10908 - EL EMPALME</t>
        </is>
      </c>
    </row>
    <row r="32">
      <c r="D32" t="inlineStr">
        <is>
          <t>130 - BARBADOS</t>
        </is>
      </c>
      <c r="E32" t="inlineStr">
        <is>
          <t>1049 - ALMACENERA GUAYAQUIL S.A. ALMAQUIL</t>
        </is>
      </c>
      <c r="N32" t="inlineStr">
        <is>
          <t>10909 - EL TRIUNFO</t>
        </is>
      </c>
    </row>
    <row r="33">
      <c r="D33" t="inlineStr">
        <is>
          <t>131 - GRANADA</t>
        </is>
      </c>
      <c r="E33" t="inlineStr">
        <is>
          <t>1050 - BANCO CENTRAL DEL ECUADOR</t>
        </is>
      </c>
      <c r="N33" t="inlineStr">
        <is>
          <t>10910 - MILAGRO</t>
        </is>
      </c>
    </row>
    <row r="34">
      <c r="D34" t="inlineStr">
        <is>
          <t>132 - GUYANA</t>
        </is>
      </c>
      <c r="E34" t="inlineStr">
        <is>
          <t>1051 - BANCO DEL ESTADO</t>
        </is>
      </c>
      <c r="N34" t="inlineStr">
        <is>
          <t>10911 - NARANJAL</t>
        </is>
      </c>
    </row>
    <row r="35">
      <c r="D35" t="inlineStr">
        <is>
          <t>133 - SURINAM</t>
        </is>
      </c>
      <c r="E35" t="inlineStr">
        <is>
          <t>1052 - BANCO ECUATORIANO DE LA VIVIENDA</t>
        </is>
      </c>
      <c r="N35" t="inlineStr">
        <is>
          <t>10912 - NARANJITO</t>
        </is>
      </c>
    </row>
    <row r="36">
      <c r="D36" t="inlineStr">
        <is>
          <t>134 - ANTIGUA Y BARBUDA</t>
        </is>
      </c>
      <c r="E36" t="inlineStr">
        <is>
          <t>1053 - BANCO NACIONAL DE FOMENTO</t>
        </is>
      </c>
      <c r="N36" t="inlineStr">
        <is>
          <t>10913 - PALESTINA</t>
        </is>
      </c>
    </row>
    <row r="37">
      <c r="D37" t="inlineStr">
        <is>
          <t>135 - BELICE</t>
        </is>
      </c>
      <c r="E37" t="inlineStr">
        <is>
          <t>1054 - CORPORACION FINANCIERA NACIONAL</t>
        </is>
      </c>
      <c r="N37" t="inlineStr">
        <is>
          <t>10914 - PEDRO CARBO</t>
        </is>
      </c>
    </row>
    <row r="38">
      <c r="D38" t="inlineStr">
        <is>
          <t>136 - DOMINICA</t>
        </is>
      </c>
      <c r="E38" t="inlineStr">
        <is>
          <t>1055 - FONDO DE SOLIDARIDAD</t>
        </is>
      </c>
      <c r="N38" t="inlineStr">
        <is>
          <t>10916 - SAMBORONDON</t>
        </is>
      </c>
    </row>
    <row r="39">
      <c r="D39" t="inlineStr">
        <is>
          <t>137 - SAN CRISTOBAL Y NEVIS</t>
        </is>
      </c>
      <c r="E39" t="inlineStr">
        <is>
          <t>1056 - INSTITUTO ECUATORIANO DE CREDITO EDUCATIVO Y BECAS</t>
        </is>
      </c>
      <c r="N39" t="inlineStr">
        <is>
          <t>10918 - SANTA LUCIA</t>
        </is>
      </c>
    </row>
    <row r="40">
      <c r="D40" t="inlineStr">
        <is>
          <t>138 - SANTA LUCIA</t>
        </is>
      </c>
      <c r="E40" t="inlineStr">
        <is>
          <t>1057 - CAMBIOS INTERNACIONALES S.A. CAMBIOSA</t>
        </is>
      </c>
      <c r="N40" t="inlineStr">
        <is>
          <t>10919 - SALITRE</t>
        </is>
      </c>
    </row>
    <row r="41">
      <c r="D41" t="inlineStr">
        <is>
          <t>139 - SAN VICENTE Y LAS GRANAD.</t>
        </is>
      </c>
      <c r="E41" t="inlineStr">
        <is>
          <t>1058 - CAMBIARIA AUSTRAL SOCIEDAD ANONIMA</t>
        </is>
      </c>
      <c r="N41" t="inlineStr">
        <is>
          <t>10920 - SAN JACINTO DE YAGUACHI</t>
        </is>
      </c>
    </row>
    <row r="42">
      <c r="D42" t="inlineStr">
        <is>
          <t>140 - ANTILLAS HOLANDESAS</t>
        </is>
      </c>
      <c r="E42" t="inlineStr">
        <is>
          <t>1059 - CAMBIARIA AMBATO CAMBIATO C.A.</t>
        </is>
      </c>
      <c r="N42" t="inlineStr">
        <is>
          <t>10921 - PLAYAS (GENERAL VILLAMIL)</t>
        </is>
      </c>
    </row>
    <row r="43">
      <c r="D43" t="inlineStr">
        <is>
          <t>141 - ARUBA</t>
        </is>
      </c>
      <c r="E43" t="inlineStr">
        <is>
          <t>1060 - CASA DE CAMBIOS CAMBIDEX S.A.</t>
        </is>
      </c>
      <c r="N43" t="inlineStr">
        <is>
          <t>10922 - SIMON BOLIVAR</t>
        </is>
      </c>
    </row>
    <row r="44">
      <c r="D44" t="inlineStr">
        <is>
          <t>142 - BERMUDA</t>
        </is>
      </c>
      <c r="E44" t="inlineStr">
        <is>
          <t>1061 - CASA DE CAMBIOS DELGADO S.A.</t>
        </is>
      </c>
      <c r="N44" t="inlineStr">
        <is>
          <t>10923 - CORONEL MARCELINO MARIDUEÑA</t>
        </is>
      </c>
    </row>
    <row r="45">
      <c r="D45" t="inlineStr">
        <is>
          <t>143 - GUADALUPE</t>
        </is>
      </c>
      <c r="E45" t="inlineStr">
        <is>
          <t>1062 - INTERFINSA S.A. CASA DE CAMBIOS</t>
        </is>
      </c>
      <c r="N45" t="inlineStr">
        <is>
          <t>10924 - LOMAS DE SARGENTILLO</t>
        </is>
      </c>
    </row>
    <row r="46">
      <c r="D46" t="inlineStr">
        <is>
          <t>144 - GUYANA FRANCESA</t>
        </is>
      </c>
      <c r="E46" t="inlineStr">
        <is>
          <t>1063 - CASA DE CAMBIOS JOSE IMBACUAN BUSTOS E HIJOS S.A.</t>
        </is>
      </c>
      <c r="N46" t="inlineStr">
        <is>
          <t>10925 - NOBOL (VICENTE PIEDRAHITA)</t>
        </is>
      </c>
    </row>
    <row r="47">
      <c r="D47" t="inlineStr">
        <is>
          <t>145 - ISLAS CAIMAN</t>
        </is>
      </c>
      <c r="E47" t="inlineStr">
        <is>
          <t>1064 - LA MONEDA S.A.</t>
        </is>
      </c>
      <c r="N47" t="inlineStr">
        <is>
          <t>10927 - GENERAL ANTONIO ELIZALDE</t>
        </is>
      </c>
    </row>
    <row r="48">
      <c r="D48" t="inlineStr">
        <is>
          <t>146 - ISLAS VIRGENES (BRITANICAS)</t>
        </is>
      </c>
      <c r="E48" t="inlineStr">
        <is>
          <t>1065 - MULTICAMBIO S.A.</t>
        </is>
      </c>
      <c r="N48" t="inlineStr">
        <is>
          <t>10928 - ISIDRO AYORA</t>
        </is>
      </c>
    </row>
    <row r="49">
      <c r="D49" t="inlineStr">
        <is>
          <t>147 - JOHNSTON ISLA</t>
        </is>
      </c>
      <c r="E49" t="inlineStr">
        <is>
          <t>1066 - COOPERATIVA DE AHORRO Y CREDITO TEXTIL 14 DE MARZO</t>
        </is>
      </c>
      <c r="N49" t="inlineStr">
        <is>
          <t>11201 - BABAHOYO</t>
        </is>
      </c>
    </row>
    <row r="50">
      <c r="D50" t="inlineStr">
        <is>
          <t>148 - MARTINICA</t>
        </is>
      </c>
      <c r="E50" t="inlineStr">
        <is>
          <t>1068 - VICCAMBIOS S.A.</t>
        </is>
      </c>
      <c r="N50" t="inlineStr">
        <is>
          <t>11202 - BABA</t>
        </is>
      </c>
    </row>
    <row r="51">
      <c r="D51" t="inlineStr">
        <is>
          <t>149 - MONTSERRAT ISLA</t>
        </is>
      </c>
      <c r="E51" t="inlineStr">
        <is>
          <t>1069 - WANDER CAMBIOS S.A.</t>
        </is>
      </c>
      <c r="N51" t="inlineStr">
        <is>
          <t>11203 - MONTALVO</t>
        </is>
      </c>
    </row>
    <row r="52">
      <c r="D52" t="inlineStr">
        <is>
          <t>151 - TURCAS  Y CAICOS ISLAS</t>
        </is>
      </c>
      <c r="E52" t="inlineStr">
        <is>
          <t>1070 - ASOCIACION MUTUALISTA AMBATO</t>
        </is>
      </c>
      <c r="N52" t="inlineStr">
        <is>
          <t>11204 - PUEBLO VIEJO</t>
        </is>
      </c>
    </row>
    <row r="53">
      <c r="D53" t="inlineStr">
        <is>
          <t>152 - VIRGENES,ISLAS(NORT.AMER.)</t>
        </is>
      </c>
      <c r="E53" t="inlineStr">
        <is>
          <t>1071 - MUTUALISTA AZUAY</t>
        </is>
      </c>
      <c r="N53" t="inlineStr">
        <is>
          <t>11205 - QUEVEDO</t>
        </is>
      </c>
    </row>
    <row r="54">
      <c r="D54" t="inlineStr">
        <is>
          <t>201 - ALBANIA</t>
        </is>
      </c>
      <c r="E54" t="inlineStr">
        <is>
          <t>1073 - MUTUALISTA CHIMBORAZO</t>
        </is>
      </c>
      <c r="N54" t="inlineStr">
        <is>
          <t>11206 - URDANETA</t>
        </is>
      </c>
    </row>
    <row r="55">
      <c r="D55" t="inlineStr">
        <is>
          <t>202 - ALEMANIA</t>
        </is>
      </c>
      <c r="E55" t="inlineStr">
        <is>
          <t>1074 - MUTUALISTA IMBABURA</t>
        </is>
      </c>
      <c r="N55" t="inlineStr">
        <is>
          <t>11207 - VENTANAS</t>
        </is>
      </c>
    </row>
    <row r="56">
      <c r="D56" t="inlineStr">
        <is>
          <t>203 - AUSTRIA</t>
        </is>
      </c>
      <c r="E56" t="inlineStr">
        <is>
          <t>1076 - ASOCIACION MUTUALISTA PICHINCHA PARA LA VIVIENDA</t>
        </is>
      </c>
      <c r="N56" t="inlineStr">
        <is>
          <t>11208 - VINCES</t>
        </is>
      </c>
    </row>
    <row r="57">
      <c r="D57" t="inlineStr">
        <is>
          <t>204 - BELGICA</t>
        </is>
      </c>
      <c r="E57" t="inlineStr">
        <is>
          <t>1077 - ACE SEGUROS S.A.</t>
        </is>
      </c>
      <c r="N57" t="inlineStr">
        <is>
          <t>11209 - PALENQUE</t>
        </is>
      </c>
    </row>
    <row r="58">
      <c r="D58" t="inlineStr">
        <is>
          <t>205 - BULGARIA</t>
        </is>
      </c>
      <c r="E58" t="inlineStr">
        <is>
          <t>1078 - AIG METROPOLITANA COMPAÑÍA DE SEGUROS Y REASEGUROS S.A.</t>
        </is>
      </c>
      <c r="N58" t="inlineStr">
        <is>
          <t>11210 - BUENA FE</t>
        </is>
      </c>
    </row>
    <row r="59">
      <c r="D59" t="inlineStr">
        <is>
          <t>207 - ALBORAN Y PEREJIL</t>
        </is>
      </c>
      <c r="E59" t="inlineStr">
        <is>
          <t>1079 - ALIANZA COMPAÑÍA DE SEGUROS Y REASEGUROS S.A.</t>
        </is>
      </c>
      <c r="N59" t="inlineStr">
        <is>
          <t>11211 - VALENCIA</t>
        </is>
      </c>
    </row>
    <row r="60">
      <c r="D60" t="inlineStr">
        <is>
          <t>208 - DINAMARCA</t>
        </is>
      </c>
      <c r="E60" t="inlineStr">
        <is>
          <t>1080 - ASEGURADORA DEL SUR C.A.</t>
        </is>
      </c>
      <c r="N60" t="inlineStr">
        <is>
          <t>11212 - MOCACHE</t>
        </is>
      </c>
    </row>
    <row r="61">
      <c r="D61" t="inlineStr">
        <is>
          <t>209 - ESPAÑA</t>
        </is>
      </c>
      <c r="E61" t="inlineStr">
        <is>
          <t>1081 - ATLAS COMPAÑÍA DE SEGUROS S.A.</t>
        </is>
      </c>
      <c r="N61" t="inlineStr">
        <is>
          <t>11213 - QUINSALOMA</t>
        </is>
      </c>
    </row>
    <row r="62">
      <c r="D62" t="inlineStr">
        <is>
          <t>211 - FRANCIA</t>
        </is>
      </c>
      <c r="E62" t="inlineStr">
        <is>
          <t>1082 - BMI DEL ECUADOR COMPAÑÍA DE SEGUROS DE VIDA S.A.</t>
        </is>
      </c>
      <c r="N62" t="inlineStr">
        <is>
          <t>11301 - PORTOVIEJO</t>
        </is>
      </c>
    </row>
    <row r="63">
      <c r="D63" t="inlineStr">
        <is>
          <t>212 - FINLANDIA</t>
        </is>
      </c>
      <c r="E63" t="inlineStr">
        <is>
          <t>1083 - AGENCIA COLOCADORA DE SEGUROS BOLIVARIANA S.A BOLIVARSA</t>
        </is>
      </c>
      <c r="N63" t="inlineStr">
        <is>
          <t>11302 - BOLIVAR</t>
        </is>
      </c>
    </row>
    <row r="64">
      <c r="D64" t="inlineStr">
        <is>
          <t>213 - REINO UNIDO</t>
        </is>
      </c>
      <c r="E64" t="inlineStr">
        <is>
          <t>1084 - CERVANTES S.A. COMPAÑÍA DE SEGUROS Y REASEGUROS</t>
        </is>
      </c>
      <c r="N64" t="inlineStr">
        <is>
          <t>11303 - CHONE</t>
        </is>
      </c>
    </row>
    <row r="65">
      <c r="D65" t="inlineStr">
        <is>
          <t>214 - GRECIA</t>
        </is>
      </c>
      <c r="E65" t="inlineStr">
        <is>
          <t>1085 - COMPAÑÍA DE SEGUROS Y REASEGUROS GENERALES COLON S.A.</t>
        </is>
      </c>
      <c r="N65" t="inlineStr">
        <is>
          <t>11304 - EL CARMEN</t>
        </is>
      </c>
    </row>
    <row r="66">
      <c r="D66" t="inlineStr">
        <is>
          <t>215 - PAISES BAJOS (HOLANDA)</t>
        </is>
      </c>
      <c r="E66" t="inlineStr">
        <is>
          <t>1086 - COLONIAL COMPAÑÍA DE SEGUROS Y REASEGUROS S..A</t>
        </is>
      </c>
      <c r="N66" t="inlineStr">
        <is>
          <t>11305 - FLAVIO ALFARO</t>
        </is>
      </c>
    </row>
    <row r="67">
      <c r="D67" t="inlineStr">
        <is>
          <t>216 - HUNGRIA</t>
        </is>
      </c>
      <c r="E67" t="inlineStr">
        <is>
          <t>1087 - COMPAÑÍA DE SEGUROS DE VIDA COLVIDA S.A.</t>
        </is>
      </c>
      <c r="N67" t="inlineStr">
        <is>
          <t>11306 - JIPIJAPA</t>
        </is>
      </c>
    </row>
    <row r="68">
      <c r="D68" t="inlineStr">
        <is>
          <t>217 - IRLANDA</t>
        </is>
      </c>
      <c r="E68" t="inlineStr">
        <is>
          <t>1088 - COMPAÑIA DE SEGUROS CONDOR S.A.</t>
        </is>
      </c>
      <c r="N68" t="inlineStr">
        <is>
          <t>11307 - JUNIN</t>
        </is>
      </c>
    </row>
    <row r="69">
      <c r="D69" t="inlineStr">
        <is>
          <t>218 - ISLANDIA</t>
        </is>
      </c>
      <c r="E69" t="inlineStr">
        <is>
          <t>1089 - SERVICIO DE RENTAS INTERNAS</t>
        </is>
      </c>
      <c r="N69" t="inlineStr">
        <is>
          <t>11308 - MANTA</t>
        </is>
      </c>
    </row>
    <row r="70">
      <c r="D70" t="inlineStr">
        <is>
          <t>219 - ITALIA</t>
        </is>
      </c>
      <c r="E70" t="inlineStr">
        <is>
          <t>1090 - COOPSEGUROS DEL ECUADOR S.A.</t>
        </is>
      </c>
      <c r="N70" t="inlineStr">
        <is>
          <t>11309 - MONTECRISTI</t>
        </is>
      </c>
    </row>
    <row r="71">
      <c r="D71" t="inlineStr">
        <is>
          <t>220 - LUXEMBURGO</t>
        </is>
      </c>
      <c r="E71" t="inlineStr">
        <is>
          <t>1091 - COOPERATIVA DE AHORRO Y CREDITO ALFONSO JARAMILLO  LEON C.C.C</t>
        </is>
      </c>
      <c r="N71" t="inlineStr">
        <is>
          <t>11310 - PAJAN</t>
        </is>
      </c>
    </row>
    <row r="72">
      <c r="D72" t="inlineStr">
        <is>
          <t>221 - MALTA</t>
        </is>
      </c>
      <c r="E72" t="inlineStr">
        <is>
          <t>1092 - SEGUROS DEL PICHINCHA S.A. COMPAÑIA DE SEGUROS Y REASEGUROS</t>
        </is>
      </c>
      <c r="N72" t="inlineStr">
        <is>
          <t>11311 - PICHINCHA</t>
        </is>
      </c>
    </row>
    <row r="73">
      <c r="D73" t="inlineStr">
        <is>
          <t>222 - NORUEGA</t>
        </is>
      </c>
      <c r="E73" t="inlineStr">
        <is>
          <t>1093 - COMPAÑIA DE SEGUROS ECUATORIANO-SUIZA S.A.</t>
        </is>
      </c>
      <c r="N73" t="inlineStr">
        <is>
          <t>11312 - ROCAFUERTE</t>
        </is>
      </c>
    </row>
    <row r="74">
      <c r="D74" t="inlineStr">
        <is>
          <t>223 - POLONIA</t>
        </is>
      </c>
      <c r="E74" t="inlineStr">
        <is>
          <t>1095 - COMPAÑIA DE SEGUROS GENERALES EQUINOCCIAL S.A.</t>
        </is>
      </c>
      <c r="N74" t="inlineStr">
        <is>
          <t>11313 - SANTA ANA</t>
        </is>
      </c>
    </row>
    <row r="75">
      <c r="D75" t="inlineStr">
        <is>
          <t>224 - PORTUGAL</t>
        </is>
      </c>
      <c r="E75" t="inlineStr">
        <is>
          <t>1096 - EQUIVIDA COMPAÑIA DE SEGUROS Y REASEGUROS S.A.</t>
        </is>
      </c>
      <c r="N75" t="inlineStr">
        <is>
          <t>11314 - SUCRE</t>
        </is>
      </c>
    </row>
    <row r="76">
      <c r="D76" t="inlineStr">
        <is>
          <t>225 - RUMANIA</t>
        </is>
      </c>
      <c r="E76" t="inlineStr">
        <is>
          <t>1097 - EL FENIX DEL ECUADOR C.A.</t>
        </is>
      </c>
      <c r="N76" t="inlineStr">
        <is>
          <t>11315 - TOSAGUA</t>
        </is>
      </c>
    </row>
    <row r="77">
      <c r="D77" t="inlineStr">
        <is>
          <t>226 - SUECIA</t>
        </is>
      </c>
      <c r="E77" t="inlineStr">
        <is>
          <t>1098 - INCA COMPAÑIA DE SEGUROS S.A.</t>
        </is>
      </c>
      <c r="N77" t="inlineStr">
        <is>
          <t>11316 - 24 DE MAYO</t>
        </is>
      </c>
    </row>
    <row r="78">
      <c r="D78" t="inlineStr">
        <is>
          <t>227 - SUIZA</t>
        </is>
      </c>
      <c r="E78" t="inlineStr">
        <is>
          <t>1099 - INTEGRAL S.A. COMPAÑIA DE SEGUROS Y REASEGUROS</t>
        </is>
      </c>
      <c r="N78" t="inlineStr">
        <is>
          <t>11317 - PEDERNALES</t>
        </is>
      </c>
    </row>
    <row r="79">
      <c r="D79" t="inlineStr">
        <is>
          <t>228 - CANARIAS  ISLAS</t>
        </is>
      </c>
      <c r="E79" t="inlineStr">
        <is>
          <t>1100 - INTEROCEANICA C.A. DE SEGUROS Y REASEGUROS</t>
        </is>
      </c>
      <c r="N79" t="inlineStr">
        <is>
          <t>11318 - OLMEDO</t>
        </is>
      </c>
    </row>
    <row r="80">
      <c r="D80" t="inlineStr">
        <is>
          <t>229 - UCRANIA</t>
        </is>
      </c>
      <c r="E80" t="inlineStr">
        <is>
          <t>1101 - SOCIEDAD FINANCIERA VAZCORP S.A.</t>
        </is>
      </c>
      <c r="N80" t="inlineStr">
        <is>
          <t>11319 - PUERTO LOPEZ</t>
        </is>
      </c>
    </row>
    <row r="81">
      <c r="D81" t="inlineStr">
        <is>
          <t>230 - RUSIA</t>
        </is>
      </c>
      <c r="E81" t="inlineStr">
        <is>
          <t>1102 - LA UNION COMPAÑIA NACIONAL DE SEGUROS S.A.</t>
        </is>
      </c>
      <c r="N81" t="inlineStr">
        <is>
          <t>11320 - JAMA</t>
        </is>
      </c>
    </row>
    <row r="82">
      <c r="D82" t="inlineStr">
        <is>
          <t>231 - YUGOSLAVIA</t>
        </is>
      </c>
      <c r="E82" t="inlineStr">
        <is>
          <t>1103 - MEMORIAS SERVICIOS DEL ECUADOR S.A. MEMOSER COMPAÑIA DE SEGUROS</t>
        </is>
      </c>
      <c r="N82" t="inlineStr">
        <is>
          <t>11321 - JARAMIJO</t>
        </is>
      </c>
    </row>
    <row r="83">
      <c r="D83" t="inlineStr">
        <is>
          <t>233 - ANDORRA</t>
        </is>
      </c>
      <c r="E83" t="inlineStr">
        <is>
          <t>1104 - OLYMPUS S.A. SEGUROS Y REASEGUROS</t>
        </is>
      </c>
      <c r="N83" t="inlineStr">
        <is>
          <t>11322 - SAN VICENTE</t>
        </is>
      </c>
    </row>
    <row r="84">
      <c r="D84" t="inlineStr">
        <is>
          <t>234 - LIECHTENSTEIN</t>
        </is>
      </c>
      <c r="E84" t="inlineStr">
        <is>
          <t>1105 - SEGUROS ORIENTE S.A.</t>
        </is>
      </c>
      <c r="N84" t="inlineStr">
        <is>
          <t>12401 - SANTA ELENA</t>
        </is>
      </c>
    </row>
    <row r="85">
      <c r="D85" t="inlineStr">
        <is>
          <t>235 - MONACO</t>
        </is>
      </c>
      <c r="E85" t="inlineStr">
        <is>
          <t>1107 - PANAMERICANA DEL ECUADOR S.A. CIA. DE SEGUROS Y REASEGUROS</t>
        </is>
      </c>
      <c r="N85" t="inlineStr">
        <is>
          <t>12402 - LA LIBERTAD</t>
        </is>
      </c>
    </row>
    <row r="86">
      <c r="D86" t="inlineStr">
        <is>
          <t>237 - SAN MARINO</t>
        </is>
      </c>
      <c r="E86" t="inlineStr">
        <is>
          <t>1109 - PRIMMA COMPAÑIA DE SEGUROS Y REASEGUROS S.A.</t>
        </is>
      </c>
      <c r="N86" t="inlineStr">
        <is>
          <t>12403 - SALINAS</t>
        </is>
      </c>
    </row>
    <row r="87">
      <c r="D87" t="inlineStr">
        <is>
          <t>238 - VATICANO (SANTA SEDE)</t>
        </is>
      </c>
      <c r="E87" t="inlineStr">
        <is>
          <t>1110 - PROGRESO COMPAÑIA DE SEGUROS Y REASEGUROS S.A.</t>
        </is>
      </c>
      <c r="N87" t="inlineStr">
        <is>
          <t>20101 - CUENCA</t>
        </is>
      </c>
    </row>
    <row r="88">
      <c r="D88" t="inlineStr">
        <is>
          <t>239 - GIBRALTAR</t>
        </is>
      </c>
      <c r="E88" t="inlineStr">
        <is>
          <t>1111 - RIO GUAYAS CIA. DE SEGUROS Y REASEGUROS S.A.</t>
        </is>
      </c>
      <c r="N88" t="inlineStr">
        <is>
          <t>20102 - GIRON</t>
        </is>
      </c>
    </row>
    <row r="89">
      <c r="D89" t="inlineStr">
        <is>
          <t>241 - BELARUS</t>
        </is>
      </c>
      <c r="E89" t="inlineStr">
        <is>
          <t>1112 - SEGUROS ROCAFUERTE S.A.</t>
        </is>
      </c>
      <c r="N89" t="inlineStr">
        <is>
          <t>20103 - GUALACEO</t>
        </is>
      </c>
    </row>
    <row r="90">
      <c r="D90" t="inlineStr">
        <is>
          <t>242 - BOSNIA Y HERZEGOVINA</t>
        </is>
      </c>
      <c r="E90" t="inlineStr">
        <is>
          <t>1113 - SEGUROS SUCRE S.A.</t>
        </is>
      </c>
      <c r="N90" t="inlineStr">
        <is>
          <t>20104 - NABON</t>
        </is>
      </c>
    </row>
    <row r="91">
      <c r="D91" t="inlineStr">
        <is>
          <t>243 - CROACIA</t>
        </is>
      </c>
      <c r="E91" t="inlineStr">
        <is>
          <t>1114 - SUD AMERICA COMPAÑIA DE SEGUROS</t>
        </is>
      </c>
      <c r="N91" t="inlineStr">
        <is>
          <t>20105 - PAUTE</t>
        </is>
      </c>
    </row>
    <row r="92">
      <c r="D92" t="inlineStr">
        <is>
          <t>244 - ESLOVENIA</t>
        </is>
      </c>
      <c r="E92" t="inlineStr">
        <is>
          <t>1115 - SUL AMERICA COMPAÑIA DE SEGUROS DEL ECUADOR C.A.</t>
        </is>
      </c>
      <c r="N92" t="inlineStr">
        <is>
          <t>20106 - PUCARA</t>
        </is>
      </c>
    </row>
    <row r="93">
      <c r="D93" t="inlineStr">
        <is>
          <t>245 - ESTONIA</t>
        </is>
      </c>
      <c r="E93" t="inlineStr">
        <is>
          <t>1116 - SEGUROS UNIDOS S.A.</t>
        </is>
      </c>
      <c r="N93" t="inlineStr">
        <is>
          <t>20107 - SAN FERNANDO</t>
        </is>
      </c>
    </row>
    <row r="94">
      <c r="D94" t="inlineStr">
        <is>
          <t>246 - GEORGIA</t>
        </is>
      </c>
      <c r="E94" t="inlineStr">
        <is>
          <t>1119 - COOPERATIVA DE AHORRO Y CREDITO ONCE DE JUNIO LTDA.</t>
        </is>
      </c>
      <c r="N94" t="inlineStr">
        <is>
          <t>20108 - SANTA ISABEL</t>
        </is>
      </c>
    </row>
    <row r="95">
      <c r="D95" t="inlineStr">
        <is>
          <t>247 - GROENLANDIA</t>
        </is>
      </c>
      <c r="E95" t="inlineStr">
        <is>
          <t>1120 - COOPERATIVA DE AHORRO Y CREDITO 15 DE ABRIL LTDA.</t>
        </is>
      </c>
      <c r="N95" t="inlineStr">
        <is>
          <t>20109 - SIGSIG</t>
        </is>
      </c>
    </row>
    <row r="96">
      <c r="D96" t="inlineStr">
        <is>
          <t>248 - LETONIA</t>
        </is>
      </c>
      <c r="E96" t="inlineStr">
        <is>
          <t>1121 - COOPERATIVA DE AHORRO Y CREDITO 23 DE JULIO LTDA.</t>
        </is>
      </c>
      <c r="N96" t="inlineStr">
        <is>
          <t>20110 - OÑA</t>
        </is>
      </c>
    </row>
    <row r="97">
      <c r="D97" t="inlineStr">
        <is>
          <t>249 - LITUANIA</t>
        </is>
      </c>
      <c r="E97" t="inlineStr">
        <is>
          <t>1122 - COOPERATIVA DE AHORRO Y CREDITO 29 DE OCTUBRE LTDA.</t>
        </is>
      </c>
      <c r="N97" t="inlineStr">
        <is>
          <t>20111 - CHORDELEG</t>
        </is>
      </c>
    </row>
    <row r="98">
      <c r="D98" t="inlineStr">
        <is>
          <t>250 - MOLDOVA</t>
        </is>
      </c>
      <c r="E98" t="inlineStr">
        <is>
          <t>1123 - COOPERATIVA DE AHORRO Y CREDITO ANDALUCIA LTDA.</t>
        </is>
      </c>
      <c r="N98" t="inlineStr">
        <is>
          <t>20112 - EL PAN</t>
        </is>
      </c>
    </row>
    <row r="99">
      <c r="D99" t="inlineStr">
        <is>
          <t>251 - MACEDONIA</t>
        </is>
      </c>
      <c r="E99" t="inlineStr">
        <is>
          <t>1124 - COOPERATIVA DE AHORRO Y CREDITO ATUNTAQUI LTDA.</t>
        </is>
      </c>
      <c r="N99" t="inlineStr">
        <is>
          <t>20113 - SEVILLA DE ORO</t>
        </is>
      </c>
    </row>
    <row r="100">
      <c r="D100" t="inlineStr">
        <is>
          <t>252 - ESLOVAQUIA</t>
        </is>
      </c>
      <c r="E100" t="inlineStr">
        <is>
          <t>1125 - COOPERATIVA DE AHORRO Y CREDITO PEQUEÑA EMPRESA DE COTOPAXI CACPECO</t>
        </is>
      </c>
      <c r="N100" t="inlineStr">
        <is>
          <t>20114 - GUACHAPALA</t>
        </is>
      </c>
    </row>
    <row r="101">
      <c r="D101" t="inlineStr">
        <is>
          <t>253 - ISLAS FAROE</t>
        </is>
      </c>
      <c r="E101" t="inlineStr">
        <is>
          <t>1127 - COOPERATIVA DE AHORRO Y CREDITO CHONE LTDA.</t>
        </is>
      </c>
      <c r="N101" t="inlineStr">
        <is>
          <t>20115 - CAMILO PONCE ENRIQUEZ</t>
        </is>
      </c>
    </row>
    <row r="102">
      <c r="D102" t="inlineStr">
        <is>
          <t>260 - FRENCH SOUTHERN TERRITORIES</t>
        </is>
      </c>
      <c r="E102" t="inlineStr">
        <is>
          <t>1128 - BANCO DESARROLLO DE LOS PUEBLOS S.A.</t>
        </is>
      </c>
      <c r="N102" t="inlineStr">
        <is>
          <t>20201 - GUARANDA</t>
        </is>
      </c>
    </row>
    <row r="103">
      <c r="D103" t="inlineStr">
        <is>
          <t>301 - AFGANISTAN</t>
        </is>
      </c>
      <c r="E103" t="inlineStr">
        <is>
          <t>1129 - COOPERATIVA DE AHORRO Y CREDITO COMERCIO LTDA.</t>
        </is>
      </c>
      <c r="N103" t="inlineStr">
        <is>
          <t>20202 - CHILLANES</t>
        </is>
      </c>
    </row>
    <row r="104">
      <c r="D104" t="inlineStr">
        <is>
          <t>302 - ARABIA SAUDITA</t>
        </is>
      </c>
      <c r="E104" t="inlineStr">
        <is>
          <t>1130 - COOPERATIVA DE AHORRO Y CREDITO COTOCOLLAO LTDA</t>
        </is>
      </c>
      <c r="N104" t="inlineStr">
        <is>
          <t>20203 - CHIMBO</t>
        </is>
      </c>
    </row>
    <row r="105">
      <c r="D105" t="inlineStr">
        <is>
          <t>303 - MYANMAR (BURMA)</t>
        </is>
      </c>
      <c r="E105" t="inlineStr">
        <is>
          <t>1131 - COOPERATIVA DE AHORRO Y CREDITO EL SAGRARIO LTDA.</t>
        </is>
      </c>
      <c r="N105" t="inlineStr">
        <is>
          <t>20204 - ECHEANDIA</t>
        </is>
      </c>
    </row>
    <row r="106">
      <c r="D106" t="inlineStr">
        <is>
          <t>304 - CAMBOYA</t>
        </is>
      </c>
      <c r="E106" t="inlineStr">
        <is>
          <t>1132 - COOPERATIVA DE AHORRO Y CREDITO GUARANDA LTDA.</t>
        </is>
      </c>
      <c r="N106" t="inlineStr">
        <is>
          <t>20205 - SAN MIGUEL</t>
        </is>
      </c>
    </row>
    <row r="107">
      <c r="D107" t="inlineStr">
        <is>
          <t>306 - COREA NORTE</t>
        </is>
      </c>
      <c r="E107" t="inlineStr">
        <is>
          <t>1133 - COOPERATIVA DE AHORRO Y CREDITO LA DOLOROSA LTDA.</t>
        </is>
      </c>
      <c r="N107" t="inlineStr">
        <is>
          <t>20206 - CALUMA</t>
        </is>
      </c>
    </row>
    <row r="108">
      <c r="D108" t="inlineStr">
        <is>
          <t>307 - TAIWAN (CHINA)</t>
        </is>
      </c>
      <c r="E108" t="inlineStr">
        <is>
          <t>1134 - BANCO COOPNACIONAL S.A.</t>
        </is>
      </c>
      <c r="N108" t="inlineStr">
        <is>
          <t>20207 - LAS NAVES</t>
        </is>
      </c>
    </row>
    <row r="109">
      <c r="D109" t="inlineStr">
        <is>
          <t>308 - FILIPINAS</t>
        </is>
      </c>
      <c r="E109" t="inlineStr">
        <is>
          <t>1135 - COOPERATIVA DE AHORRO Y CREDITO OSCUS LTDA.</t>
        </is>
      </c>
      <c r="N109" t="inlineStr">
        <is>
          <t>20301 - AZOGUES</t>
        </is>
      </c>
    </row>
    <row r="110">
      <c r="D110" t="inlineStr">
        <is>
          <t>309 - INDIA</t>
        </is>
      </c>
      <c r="E110" t="inlineStr">
        <is>
          <t>1136 - COOPERATIVA DE AHORRO Y CREDITO PABLO MUÑOZ VEGA LTDA.</t>
        </is>
      </c>
      <c r="N110" t="inlineStr">
        <is>
          <t>20302 - BIBLIAN</t>
        </is>
      </c>
    </row>
    <row r="111">
      <c r="D111" t="inlineStr">
        <is>
          <t>310 - INDONESIA</t>
        </is>
      </c>
      <c r="E111" t="inlineStr">
        <is>
          <t>1137 - COOPERATIVA DE AHORRO Y CREDITO COOPROGRESO LTDA.</t>
        </is>
      </c>
      <c r="N111" t="inlineStr">
        <is>
          <t>20303 - CAÑAR</t>
        </is>
      </c>
    </row>
    <row r="112">
      <c r="D112" t="inlineStr">
        <is>
          <t>311 - IRAK</t>
        </is>
      </c>
      <c r="E112" t="inlineStr">
        <is>
          <t>1138 - COOPERATIVA DE AHORRO Y CREDITO RIOBAMBA LTDA.</t>
        </is>
      </c>
      <c r="N112" t="inlineStr">
        <is>
          <t>20304 - LA TRONCAL</t>
        </is>
      </c>
    </row>
    <row r="113">
      <c r="D113" t="inlineStr">
        <is>
          <t>312 - IRAN (REPUBLICA ISLAMICA)</t>
        </is>
      </c>
      <c r="E113" t="inlineStr">
        <is>
          <t>1139 - COOPERATIVA DE AHORRO Y CREDITO SAN FRANCISCO LTDA.</t>
        </is>
      </c>
      <c r="N113" t="inlineStr">
        <is>
          <t>20305 - EL TAMBO</t>
        </is>
      </c>
    </row>
    <row r="114">
      <c r="D114" t="inlineStr">
        <is>
          <t>313 - ISRAEL</t>
        </is>
      </c>
      <c r="E114" t="inlineStr">
        <is>
          <t>1140 - COOPERATIVA DE AHORRO Y CREDITO CAMARA DE COMERCIO SANTA ANA LTDA.</t>
        </is>
      </c>
      <c r="N114" t="inlineStr">
        <is>
          <t>20306 - DELEG</t>
        </is>
      </c>
    </row>
    <row r="115">
      <c r="D115" t="inlineStr">
        <is>
          <t>314 - JAPON</t>
        </is>
      </c>
      <c r="E115" t="inlineStr">
        <is>
          <t>1141 - COOPERATIVA DE AHORRO Y CREDITO SANTA ROSA LTDA.</t>
        </is>
      </c>
      <c r="N115" t="inlineStr">
        <is>
          <t>20307 - SUSCAL</t>
        </is>
      </c>
    </row>
    <row r="116">
      <c r="D116" t="inlineStr">
        <is>
          <t>315 - JORDANIA</t>
        </is>
      </c>
      <c r="E116" t="inlineStr">
        <is>
          <t>1143 - COOPERATIVA DE AHORRO Y CREDITO TULCAN</t>
        </is>
      </c>
      <c r="N116" t="inlineStr">
        <is>
          <t>20401 - TULCAN</t>
        </is>
      </c>
    </row>
    <row r="117">
      <c r="D117" t="inlineStr">
        <is>
          <t>316 - KUWAIT</t>
        </is>
      </c>
      <c r="E117" t="inlineStr">
        <is>
          <t>1145 - CORPORACION DE RETROGARANTIA CREDITICIA</t>
        </is>
      </c>
      <c r="N117" t="inlineStr">
        <is>
          <t>20402 - BOLIVAR</t>
        </is>
      </c>
    </row>
    <row r="118">
      <c r="D118" t="inlineStr">
        <is>
          <t>317 - LAOS, REP. POP. DEMOC.</t>
        </is>
      </c>
      <c r="E118" t="inlineStr">
        <is>
          <t>1146 - CORPORACION DE DESARROLLO DE MERCADO SECUNDARIO DE HIPOTECAS</t>
        </is>
      </c>
      <c r="N118" t="inlineStr">
        <is>
          <t>20403 - ESPEJO</t>
        </is>
      </c>
    </row>
    <row r="119">
      <c r="D119" t="inlineStr">
        <is>
          <t>318 - LIBANO</t>
        </is>
      </c>
      <c r="E119" t="inlineStr">
        <is>
          <t>1148 - BANCO PROCREDIT S.A.</t>
        </is>
      </c>
      <c r="N119" t="inlineStr">
        <is>
          <t>20404 - MIRA</t>
        </is>
      </c>
    </row>
    <row r="120">
      <c r="D120" t="inlineStr">
        <is>
          <t>319 - MALASIA</t>
        </is>
      </c>
      <c r="E120" t="inlineStr">
        <is>
          <t>1150 - CONSULCREDITO SOCIEDAD FINANCIERA S.A.</t>
        </is>
      </c>
      <c r="N120" t="inlineStr">
        <is>
          <t>20405 - MONTUFAR</t>
        </is>
      </c>
    </row>
    <row r="121">
      <c r="D121" t="inlineStr">
        <is>
          <t>321 - MONGOLIA (MANCHURIA)</t>
        </is>
      </c>
      <c r="E121" t="inlineStr">
        <is>
          <t>1152 - DINERS CLUB DEL ECUADOR S.A. SOCIEDAD FINANCIERA</t>
        </is>
      </c>
      <c r="N121" t="inlineStr">
        <is>
          <t>20406 - SAN PEDRO DE HUACA</t>
        </is>
      </c>
    </row>
    <row r="122">
      <c r="D122" t="inlineStr">
        <is>
          <t>322 - PAKISTAN</t>
        </is>
      </c>
      <c r="E122" t="inlineStr">
        <is>
          <t>1153 - BCE-DINERO ELECTRONICO</t>
        </is>
      </c>
      <c r="N122" t="inlineStr">
        <is>
          <t>20501 - LATACUNGA</t>
        </is>
      </c>
    </row>
    <row r="123">
      <c r="D123" t="inlineStr">
        <is>
          <t>323 - SIRIA</t>
        </is>
      </c>
      <c r="E123" t="inlineStr">
        <is>
          <t>1155 - SOCIEDAD FINANCIERA DEL AUSTRO 'FIDASA'</t>
        </is>
      </c>
      <c r="N123" t="inlineStr">
        <is>
          <t>20502 - LA MANA</t>
        </is>
      </c>
    </row>
    <row r="124">
      <c r="D124" t="inlineStr">
        <is>
          <t>325 - TAILANDIA</t>
        </is>
      </c>
      <c r="E124" t="inlineStr">
        <is>
          <t>1156 - FINANCAPITAL SOCIEDAD FINANCIERA CAPITAL S.A.</t>
        </is>
      </c>
      <c r="N124" t="inlineStr">
        <is>
          <t>20503 - PANGUA</t>
        </is>
      </c>
    </row>
    <row r="125">
      <c r="D125" t="inlineStr">
        <is>
          <t>327 - BAHREIN</t>
        </is>
      </c>
      <c r="E125" t="inlineStr">
        <is>
          <t>1158 - FINANCIERA DE LA REPUBLICA S.A. FIRESA</t>
        </is>
      </c>
      <c r="N125" t="inlineStr">
        <is>
          <t>20504 - PUJILI</t>
        </is>
      </c>
    </row>
    <row r="126">
      <c r="D126" t="inlineStr">
        <is>
          <t>328 - BANGLADESH</t>
        </is>
      </c>
      <c r="E126" t="inlineStr">
        <is>
          <t>1159 - GLOBAL SOCIEDAD FINANCIERA S.A.</t>
        </is>
      </c>
      <c r="N126" t="inlineStr">
        <is>
          <t>20505 - SALCEDO</t>
        </is>
      </c>
    </row>
    <row r="127">
      <c r="D127" t="inlineStr">
        <is>
          <t>329 - BUTAN</t>
        </is>
      </c>
      <c r="E127" t="inlineStr">
        <is>
          <t>1160 - SOCIEDAD FINANCIERA HEMISFERIO S.A.</t>
        </is>
      </c>
      <c r="N127" t="inlineStr">
        <is>
          <t>20506 - SAQUISILI</t>
        </is>
      </c>
    </row>
    <row r="128">
      <c r="D128" t="inlineStr">
        <is>
          <t>330 - COREA DEL SUR</t>
        </is>
      </c>
      <c r="E128" t="inlineStr">
        <is>
          <t>1161 - SOCIEDAD FINANCIERA INTERAMERICANA S.A.</t>
        </is>
      </c>
      <c r="N128" t="inlineStr">
        <is>
          <t>20507 - SIGCHOS</t>
        </is>
      </c>
    </row>
    <row r="129">
      <c r="D129" t="inlineStr">
        <is>
          <t>331 - CHINA POPULAR</t>
        </is>
      </c>
      <c r="E129" t="inlineStr">
        <is>
          <t>1162 - SOCIEDAD FINANCIERA LEASINGCORP S.A.</t>
        </is>
      </c>
      <c r="N129" t="inlineStr">
        <is>
          <t>20601 - RIOBAMBA</t>
        </is>
      </c>
    </row>
    <row r="130">
      <c r="D130" t="inlineStr">
        <is>
          <t>332 - CHIPRE</t>
        </is>
      </c>
      <c r="E130" t="inlineStr">
        <is>
          <t>1166 - COMPAÑIA PROINCO SOCIEDAD FINANCIERA S.A.</t>
        </is>
      </c>
      <c r="N130" t="inlineStr">
        <is>
          <t>20602 - ALAUSI</t>
        </is>
      </c>
    </row>
    <row r="131">
      <c r="D131" t="inlineStr">
        <is>
          <t>333 - EMIRATOS ARABES UNIDOS</t>
        </is>
      </c>
      <c r="E131" t="inlineStr">
        <is>
          <t>1167 - CORPORACION DE INVERSION Y DESARROLLO TECFINSA S.A.</t>
        </is>
      </c>
      <c r="N131" t="inlineStr">
        <is>
          <t>20603 - COLTA</t>
        </is>
      </c>
    </row>
    <row r="132">
      <c r="D132" t="inlineStr">
        <is>
          <t>334 - QATAR</t>
        </is>
      </c>
      <c r="E132" t="inlineStr">
        <is>
          <t>1168 - UNION FINANCIERA CENTRAL S.A. UNIFINSA</t>
        </is>
      </c>
      <c r="N132" t="inlineStr">
        <is>
          <t>20604 - CHAMBO</t>
        </is>
      </c>
    </row>
    <row r="133">
      <c r="D133" t="inlineStr">
        <is>
          <t>335 - MALDIVAS</t>
        </is>
      </c>
      <c r="E133" t="inlineStr">
        <is>
          <t>1170 - CODECA INTERMEDIARIA FINANCIERA S.A.</t>
        </is>
      </c>
      <c r="N133" t="inlineStr">
        <is>
          <t>20605 - CHUNCHI</t>
        </is>
      </c>
    </row>
    <row r="134">
      <c r="D134" t="inlineStr">
        <is>
          <t>336 - NEPAL</t>
        </is>
      </c>
      <c r="E134" t="inlineStr">
        <is>
          <t>1172 - INVESTLEASING S.A.</t>
        </is>
      </c>
      <c r="N134" t="inlineStr">
        <is>
          <t>20606 - GUAMOTE</t>
        </is>
      </c>
    </row>
    <row r="135">
      <c r="D135" t="inlineStr">
        <is>
          <t>337 - OMAN</t>
        </is>
      </c>
      <c r="E135" t="inlineStr">
        <is>
          <t>1173 - LEASING ATLANTICO S.A. LEASATLANTIC</t>
        </is>
      </c>
      <c r="N135" t="inlineStr">
        <is>
          <t>20607 - GUANO</t>
        </is>
      </c>
    </row>
    <row r="136">
      <c r="D136" t="inlineStr">
        <is>
          <t>338 - SINGAPUR</t>
        </is>
      </c>
      <c r="E136" t="inlineStr">
        <is>
          <t>1174 - AMERICAN HOME ASSURANCE COMPANY</t>
        </is>
      </c>
      <c r="N136" t="inlineStr">
        <is>
          <t>20608 - PALLATANGA</t>
        </is>
      </c>
    </row>
    <row r="137">
      <c r="D137" t="inlineStr">
        <is>
          <t>339 - SRI LANKA (CEILAN)</t>
        </is>
      </c>
      <c r="E137" t="inlineStr">
        <is>
          <t>1175 - CIGNA WORLDWIDE INSURANCE COMPANY</t>
        </is>
      </c>
      <c r="N137" t="inlineStr">
        <is>
          <t>20609 - PENIPE</t>
        </is>
      </c>
    </row>
    <row r="138">
      <c r="D138" t="inlineStr">
        <is>
          <t>341 - VIETNAM</t>
        </is>
      </c>
      <c r="E138" t="inlineStr">
        <is>
          <t>1176 - NORWICH UNION FIRE INSURANCE SOCIETY LTD</t>
        </is>
      </c>
      <c r="N138" t="inlineStr">
        <is>
          <t>20610 - CUMANDA</t>
        </is>
      </c>
    </row>
    <row r="139">
      <c r="D139" t="inlineStr">
        <is>
          <t>342 - YEMEN</t>
        </is>
      </c>
      <c r="E139" t="inlineStr">
        <is>
          <t>1177 - PAN AMERICAN LIFE INSURANCE COMPANY</t>
        </is>
      </c>
      <c r="N139" t="inlineStr">
        <is>
          <t>21001 - IBARRA</t>
        </is>
      </c>
    </row>
    <row r="140">
      <c r="D140" t="inlineStr">
        <is>
          <t>343 - ISLAS HEARD Y MCDONALD</t>
        </is>
      </c>
      <c r="E140" t="inlineStr">
        <is>
          <t>1178 - COMPAÑIA REASEGURADORA DEL ECUADOR S.A.</t>
        </is>
      </c>
      <c r="N140" t="inlineStr">
        <is>
          <t>21002 - ANTONIO ANTE</t>
        </is>
      </c>
    </row>
    <row r="141">
      <c r="D141" t="inlineStr">
        <is>
          <t>344 - BRUNEI DARUSSALAM</t>
        </is>
      </c>
      <c r="E141" t="inlineStr">
        <is>
          <t>1179 - UNIVERSAL COMPAÑIA DE REASEGUROS S.A.</t>
        </is>
      </c>
      <c r="N141" t="inlineStr">
        <is>
          <t>21003 - COTACACHI</t>
        </is>
      </c>
    </row>
    <row r="142">
      <c r="D142" t="inlineStr">
        <is>
          <t>346 - TURQUIA</t>
        </is>
      </c>
      <c r="E142" t="inlineStr">
        <is>
          <t>1180 - COOPERATIVA DE AHORRO Y CREDITO 8 DE SEPTIEMBRE LTDA.</t>
        </is>
      </c>
      <c r="N142" t="inlineStr">
        <is>
          <t>21004 - OTAVALO</t>
        </is>
      </c>
    </row>
    <row r="143">
      <c r="D143" t="inlineStr">
        <is>
          <t>347 - AZERBAIJAN</t>
        </is>
      </c>
      <c r="E143" t="inlineStr">
        <is>
          <t>1182 - COOPERATIVA DE AHORRO Y CREDITO SAN FRANCISCO DE ASIS</t>
        </is>
      </c>
      <c r="N143" t="inlineStr">
        <is>
          <t>21005 - PIMAMPIRO</t>
        </is>
      </c>
    </row>
    <row r="144">
      <c r="D144" t="inlineStr">
        <is>
          <t>348 - KAZAJSTAN</t>
        </is>
      </c>
      <c r="E144" t="inlineStr">
        <is>
          <t>1183 - ALVEXCORP S.A.</t>
        </is>
      </c>
      <c r="N144" t="inlineStr">
        <is>
          <t>21006 - SAN MIGUEL DE URCUQUI</t>
        </is>
      </c>
    </row>
    <row r="145">
      <c r="D145" t="inlineStr">
        <is>
          <t>349 - KIRGUIZISTAN</t>
        </is>
      </c>
      <c r="E145" t="inlineStr">
        <is>
          <t>1184 - INMOBILIARIA BANDEL C.A.</t>
        </is>
      </c>
      <c r="N145" t="inlineStr">
        <is>
          <t>21101 - LOJA</t>
        </is>
      </c>
    </row>
    <row r="146">
      <c r="D146" t="inlineStr">
        <is>
          <t>350 - TAJIKISTAN</t>
        </is>
      </c>
      <c r="E146" t="inlineStr">
        <is>
          <t>1185 - BENFRATELO S.A.</t>
        </is>
      </c>
      <c r="N146" t="inlineStr">
        <is>
          <t>21102 - CALVAS</t>
        </is>
      </c>
    </row>
    <row r="147">
      <c r="D147" t="inlineStr">
        <is>
          <t>351 - TURKMENISTAN</t>
        </is>
      </c>
      <c r="E147" t="inlineStr">
        <is>
          <t>1186 - INMOBILIARIA MOCHA VEINTE S.A.</t>
        </is>
      </c>
      <c r="N147" t="inlineStr">
        <is>
          <t>21103 - CATAMAYO</t>
        </is>
      </c>
    </row>
    <row r="148">
      <c r="D148" t="inlineStr">
        <is>
          <t>352 - UZBEKISTAN</t>
        </is>
      </c>
      <c r="E148" t="inlineStr">
        <is>
          <t>1187 - CONCOR S.A.</t>
        </is>
      </c>
      <c r="N148" t="inlineStr">
        <is>
          <t>21104 - CELICA</t>
        </is>
      </c>
    </row>
    <row r="149">
      <c r="D149" t="inlineStr">
        <is>
          <t>353 - PALESTINA</t>
        </is>
      </c>
      <c r="E149" t="inlineStr">
        <is>
          <t>1188 - EL CARBAYON S.A. COMPAÑIA INMOBILIARIA</t>
        </is>
      </c>
      <c r="N149" t="inlineStr">
        <is>
          <t>21105 - CHAHUARPAMBA</t>
        </is>
      </c>
    </row>
    <row r="150">
      <c r="D150" t="inlineStr">
        <is>
          <t>354 - HONG KONG</t>
        </is>
      </c>
      <c r="E150" t="inlineStr">
        <is>
          <t>1189 - EPIDAURO S.A.</t>
        </is>
      </c>
      <c r="N150" t="inlineStr">
        <is>
          <t>21106 - ESPINDOLA</t>
        </is>
      </c>
    </row>
    <row r="151">
      <c r="D151" t="inlineStr">
        <is>
          <t>355 - MACAO</t>
        </is>
      </c>
      <c r="E151" t="inlineStr">
        <is>
          <t>1190 - GETAFECORP</t>
        </is>
      </c>
      <c r="N151" t="inlineStr">
        <is>
          <t>21107 - GONZANAMA</t>
        </is>
      </c>
    </row>
    <row r="152">
      <c r="D152" t="inlineStr">
        <is>
          <t>356 - ARMENIA</t>
        </is>
      </c>
      <c r="E152" t="inlineStr">
        <is>
          <t>1191 - INMOBILIARIA EL FLORON S.A. INFLORONSA</t>
        </is>
      </c>
      <c r="N152" t="inlineStr">
        <is>
          <t>21108 - MACARA</t>
        </is>
      </c>
    </row>
    <row r="153">
      <c r="D153" t="inlineStr">
        <is>
          <t>402 - BURKINA FASO</t>
        </is>
      </c>
      <c r="E153" t="inlineStr">
        <is>
          <t>1192 - INMOBILIARIA CENTRO MUNDO S.A. MUCENIN</t>
        </is>
      </c>
      <c r="N153" t="inlineStr">
        <is>
          <t>21109 - PALTAS</t>
        </is>
      </c>
    </row>
    <row r="154">
      <c r="D154" t="inlineStr">
        <is>
          <t>403 - ARGELIA</t>
        </is>
      </c>
      <c r="E154" t="inlineStr">
        <is>
          <t>1193 - ADMINISTRADORA DE FONDOS INVERS.FIDEI.DESARRO.INVIDEPRO S.A.</t>
        </is>
      </c>
      <c r="N154" t="inlineStr">
        <is>
          <t>21110 - PUYANGO</t>
        </is>
      </c>
    </row>
    <row r="155">
      <c r="D155" t="inlineStr">
        <is>
          <t>404 - BURUNDI</t>
        </is>
      </c>
      <c r="E155" t="inlineStr">
        <is>
          <t>1195 - MILNER S.A.</t>
        </is>
      </c>
      <c r="N155" t="inlineStr">
        <is>
          <t>21111 - SARAGURO</t>
        </is>
      </c>
    </row>
    <row r="156">
      <c r="D156" t="inlineStr">
        <is>
          <t>405 - CAMERUN</t>
        </is>
      </c>
      <c r="E156" t="inlineStr">
        <is>
          <t>1196 - PREDIAL POCAHONTAS S.A.</t>
        </is>
      </c>
      <c r="N156" t="inlineStr">
        <is>
          <t>21112 - SOZORANGA</t>
        </is>
      </c>
    </row>
    <row r="157">
      <c r="D157" t="inlineStr">
        <is>
          <t>406 - CONGO</t>
        </is>
      </c>
      <c r="E157" t="inlineStr">
        <is>
          <t>1197 - PRIMISACORP S.A.</t>
        </is>
      </c>
      <c r="N157" t="inlineStr">
        <is>
          <t>21113 - ZAPOTILLO</t>
        </is>
      </c>
    </row>
    <row r="158">
      <c r="D158" t="inlineStr">
        <is>
          <t>407 - ETIOPIA</t>
        </is>
      </c>
      <c r="E158" t="inlineStr">
        <is>
          <t>1198 - SERVICIOS DEL AUSTRO S.A.</t>
        </is>
      </c>
      <c r="N158" t="inlineStr">
        <is>
          <t>21114 - PINDAL</t>
        </is>
      </c>
    </row>
    <row r="159">
      <c r="D159" t="inlineStr">
        <is>
          <t>408 - GAMBIA</t>
        </is>
      </c>
      <c r="E159" t="inlineStr">
        <is>
          <t>1199 - EUROASSETS ADMINISTRADORA DE FONDOS Y FIDUCIA S.A.</t>
        </is>
      </c>
      <c r="N159" t="inlineStr">
        <is>
          <t>21115 - QUILANGA</t>
        </is>
      </c>
    </row>
    <row r="160">
      <c r="D160" t="inlineStr">
        <is>
          <t>409 - GUINEA</t>
        </is>
      </c>
      <c r="E160" t="inlineStr">
        <is>
          <t>1200 - INTERFONDOS S.A. ADMINISTRADORA DE FONDOS</t>
        </is>
      </c>
      <c r="N160" t="inlineStr">
        <is>
          <t>21116 - OLMEDO</t>
        </is>
      </c>
    </row>
    <row r="161">
      <c r="D161" t="inlineStr">
        <is>
          <t>410 - LIBERIA</t>
        </is>
      </c>
      <c r="E161" t="inlineStr">
        <is>
          <t>1201 - FIDELITY TRUST ADMINISTRADORA DE FONDOS Y FIDEICOMISOS S.A. FTAFFSA</t>
        </is>
      </c>
      <c r="N161" t="inlineStr">
        <is>
          <t>21701 - QUITO</t>
        </is>
      </c>
    </row>
    <row r="162">
      <c r="D162" t="inlineStr">
        <is>
          <t>412 - MADAGASCAR</t>
        </is>
      </c>
      <c r="E162" t="inlineStr">
        <is>
          <t>1202 - INTEGRA S.A. ADMINISTRADORA DE FIDEICOMISOS (INTEGRASA)</t>
        </is>
      </c>
      <c r="N162" t="inlineStr">
        <is>
          <t>21702 - CAYAMBE</t>
        </is>
      </c>
    </row>
    <row r="163">
      <c r="D163" t="inlineStr">
        <is>
          <t>413 - MALAWI</t>
        </is>
      </c>
      <c r="E163" t="inlineStr">
        <is>
          <t>1203 - MORGAN &amp; MORGAN, FIDUCIARY TRUST CORPORATION  S.A. 'FIDUCIARIA DEL ECUADOR'</t>
        </is>
      </c>
      <c r="N163" t="inlineStr">
        <is>
          <t>21703 - MEJIA</t>
        </is>
      </c>
    </row>
    <row r="164">
      <c r="D164" t="inlineStr">
        <is>
          <t>414 - MALI</t>
        </is>
      </c>
      <c r="E164" t="inlineStr">
        <is>
          <t>1205 - STANFORD TRUST COMPANY ADMINISTRADORA DE FONDOS Y FIDEICOMISOS S.A.</t>
        </is>
      </c>
      <c r="N164" t="inlineStr">
        <is>
          <t>21704 - PEDRO MONCAYO</t>
        </is>
      </c>
    </row>
    <row r="165">
      <c r="D165" t="inlineStr">
        <is>
          <t>415 - MARRUECOS</t>
        </is>
      </c>
      <c r="E165" t="inlineStr">
        <is>
          <t>1206 - ANALYTICAFINDS MANAGEMENT C.A. ADMINISTRADORA DE FONDOS Y FIDEICOMISOS</t>
        </is>
      </c>
      <c r="N165" t="inlineStr">
        <is>
          <t>21705 - RUMIÑAHUI</t>
        </is>
      </c>
    </row>
    <row r="166">
      <c r="D166" t="inlineStr">
        <is>
          <t>416 - MAURITANIA</t>
        </is>
      </c>
      <c r="E166" t="inlineStr">
        <is>
          <t>1210 - COOPERATIVA DE AHORRO Y CREDITO DE LA PEQUEÑA EMPRESA DE PASTAZA</t>
        </is>
      </c>
      <c r="N166" t="inlineStr">
        <is>
          <t>21707 - SAN MIGUEL DE LOS BANCOS</t>
        </is>
      </c>
    </row>
    <row r="167">
      <c r="D167" t="inlineStr">
        <is>
          <t>417 - NIGERIA</t>
        </is>
      </c>
      <c r="E167" t="inlineStr">
        <is>
          <t>1211 - COOPERATIVA DE AHORRO Y CREDITO CAJA CENTRAL 'FINANNCOOP'</t>
        </is>
      </c>
      <c r="N167" t="inlineStr">
        <is>
          <t>21708 - PEDRO VICENTE MALDONADO</t>
        </is>
      </c>
    </row>
    <row r="168">
      <c r="D168" t="inlineStr">
        <is>
          <t>419 - ZIMBABWE (RHODESIA)</t>
        </is>
      </c>
      <c r="E168" t="inlineStr">
        <is>
          <t>1212 - CASA DE VALORES AFINSOL S.A.</t>
        </is>
      </c>
      <c r="N168" t="inlineStr">
        <is>
          <t>21709 - PUERTO QUITO</t>
        </is>
      </c>
    </row>
    <row r="169">
      <c r="D169" t="inlineStr">
        <is>
          <t>420 - SENEGAL</t>
        </is>
      </c>
      <c r="E169" t="inlineStr">
        <is>
          <t>1213 - AGROVALORES S.A. CASA DE VALORES</t>
        </is>
      </c>
      <c r="N169" t="inlineStr">
        <is>
          <t>21801 - AMBATO</t>
        </is>
      </c>
    </row>
    <row r="170">
      <c r="D170" t="inlineStr">
        <is>
          <t>421 - SUDAN</t>
        </is>
      </c>
      <c r="E170" t="inlineStr">
        <is>
          <t>1214 - CASA DE VALORES ANDINO CAPITAL MARKETS ANDIVALORES S.A.</t>
        </is>
      </c>
      <c r="N170" t="inlineStr">
        <is>
          <t>21802 - BAÑOS DE AGUA SANTA</t>
        </is>
      </c>
    </row>
    <row r="171">
      <c r="D171" t="inlineStr">
        <is>
          <t>422 - SUDAFRICA  (CISKEI)</t>
        </is>
      </c>
      <c r="E171" t="inlineStr">
        <is>
          <t>1215 - AUSTROVALORES S.A.</t>
        </is>
      </c>
      <c r="N171" t="inlineStr">
        <is>
          <t>21803 - CEVALLOS</t>
        </is>
      </c>
    </row>
    <row r="172">
      <c r="D172" t="inlineStr">
        <is>
          <t>423 - SIERRA LEONA</t>
        </is>
      </c>
      <c r="E172" t="inlineStr">
        <is>
          <t>1216 - CASA DE VALORES COFIVALORES S.A.</t>
        </is>
      </c>
      <c r="N172" t="inlineStr">
        <is>
          <t>21804 - MOCHA</t>
        </is>
      </c>
    </row>
    <row r="173">
      <c r="D173" t="inlineStr">
        <is>
          <t>425 - TANZANIA</t>
        </is>
      </c>
      <c r="E173" t="inlineStr">
        <is>
          <t>1217 - CASA DE VALORES CONTINENTAL CONTIVALORES S.A.</t>
        </is>
      </c>
      <c r="N173" t="inlineStr">
        <is>
          <t>21805 - PATATE</t>
        </is>
      </c>
    </row>
    <row r="174">
      <c r="D174" t="inlineStr">
        <is>
          <t>426 - UGANDA</t>
        </is>
      </c>
      <c r="E174" t="inlineStr">
        <is>
          <t>1218 - COOPERATIVA DE AHORRO Y CREDITO ALIANZA DEL VALLE</t>
        </is>
      </c>
      <c r="N174" t="inlineStr">
        <is>
          <t>21806 - QUERO</t>
        </is>
      </c>
    </row>
    <row r="175">
      <c r="D175" t="inlineStr">
        <is>
          <t>427 - ZAMBIA</t>
        </is>
      </c>
      <c r="E175" t="inlineStr">
        <is>
          <t>1219 - COOPERATIVA DE AHORRO Y CREDITO CALCETA</t>
        </is>
      </c>
      <c r="N175" t="inlineStr">
        <is>
          <t>21807 - SAN PEDRO DE PELILEO</t>
        </is>
      </c>
    </row>
    <row r="176">
      <c r="D176" t="inlineStr">
        <is>
          <t>428 - ÅLAND ISLANDS</t>
        </is>
      </c>
      <c r="E176" t="inlineStr">
        <is>
          <t>1220 - ENLACE VALORES S.A. ENLACEVAL CASA DE VALORES</t>
        </is>
      </c>
      <c r="N176" t="inlineStr">
        <is>
          <t>21808 - SANTIAGO DE PILLARO</t>
        </is>
      </c>
    </row>
    <row r="177">
      <c r="D177" t="inlineStr">
        <is>
          <t>429 - BENIN</t>
        </is>
      </c>
      <c r="E177" t="inlineStr">
        <is>
          <t>1221 - FILAN CASA DE VALORES S.A.</t>
        </is>
      </c>
      <c r="N177" t="inlineStr">
        <is>
          <t>21809 - TISALEO</t>
        </is>
      </c>
    </row>
    <row r="178">
      <c r="D178" t="inlineStr">
        <is>
          <t>430 - BOTSWANA</t>
        </is>
      </c>
      <c r="E178" t="inlineStr">
        <is>
          <t>1222 - MINISTERIO DE FINANZAS</t>
        </is>
      </c>
      <c r="N178" t="inlineStr">
        <is>
          <t>22301 - SANTO DOMINGO</t>
        </is>
      </c>
    </row>
    <row r="179">
      <c r="D179" t="inlineStr">
        <is>
          <t>431 - REPUBLICA CENTROAFRICANA</t>
        </is>
      </c>
      <c r="E179" t="inlineStr">
        <is>
          <t>1223 - CASA DE VALORES FINANZAS E INVERSIONES FINVER S.A.</t>
        </is>
      </c>
      <c r="N179" t="inlineStr">
        <is>
          <t>31401 - MORONA</t>
        </is>
      </c>
    </row>
    <row r="180">
      <c r="D180" t="inlineStr">
        <is>
          <t>432 - COSTA DE MARFIL</t>
        </is>
      </c>
      <c r="E180" t="inlineStr">
        <is>
          <t>1224 - INVESTUNION S.A. CASA DE VALORES</t>
        </is>
      </c>
      <c r="N180" t="inlineStr">
        <is>
          <t>31402 - GUALAQUIZA</t>
        </is>
      </c>
    </row>
    <row r="181">
      <c r="D181" t="inlineStr">
        <is>
          <t>433 - CHAD</t>
        </is>
      </c>
      <c r="E181" t="inlineStr">
        <is>
          <t>1225 - CASA DE VALORES LADUPONT S.A.</t>
        </is>
      </c>
      <c r="N181" t="inlineStr">
        <is>
          <t>31403 - LIMON - INDANZA</t>
        </is>
      </c>
    </row>
    <row r="182">
      <c r="D182" t="inlineStr">
        <is>
          <t>434 - EGIPTO</t>
        </is>
      </c>
      <c r="E182" t="inlineStr">
        <is>
          <t>1226 - CASA DE VALORES MERVALORES S.A.</t>
        </is>
      </c>
      <c r="N182" t="inlineStr">
        <is>
          <t>31404 - PALORA</t>
        </is>
      </c>
    </row>
    <row r="183">
      <c r="D183" t="inlineStr">
        <is>
          <t>435 - GABON</t>
        </is>
      </c>
      <c r="E183" t="inlineStr">
        <is>
          <t>1227 - CASA DE VALORES MULTIVALORES BG S.A.</t>
        </is>
      </c>
      <c r="N183" t="inlineStr">
        <is>
          <t>31405 - SANTIAGO</t>
        </is>
      </c>
    </row>
    <row r="184">
      <c r="D184" t="inlineStr">
        <is>
          <t>436 - GHANA</t>
        </is>
      </c>
      <c r="E184" t="inlineStr">
        <is>
          <t>1228 - PICHINCHA CASA DE VALORES PICAVAL S.A.</t>
        </is>
      </c>
      <c r="N184" t="inlineStr">
        <is>
          <t>31406 - SUCUA</t>
        </is>
      </c>
    </row>
    <row r="185">
      <c r="D185" t="inlineStr">
        <is>
          <t>437 - GUINEA-BISSAU</t>
        </is>
      </c>
      <c r="E185" t="inlineStr">
        <is>
          <t>1230 - PRESBURSATIL S.A. CASA DE VALORES</t>
        </is>
      </c>
      <c r="N185" t="inlineStr">
        <is>
          <t>31407 - HUAMBOYA</t>
        </is>
      </c>
    </row>
    <row r="186">
      <c r="D186" t="inlineStr">
        <is>
          <t>438 - GUINEA ECUATORIAL</t>
        </is>
      </c>
      <c r="E186" t="inlineStr">
        <is>
          <t>1231 - CASA DE VALORES PREVIBURSATIL S.A.</t>
        </is>
      </c>
      <c r="N186" t="inlineStr">
        <is>
          <t>31408 - SAN JUAN BOSCO</t>
        </is>
      </c>
    </row>
    <row r="187">
      <c r="D187" t="inlineStr">
        <is>
          <t>439 - KENIA</t>
        </is>
      </c>
      <c r="E187" t="inlineStr">
        <is>
          <t>1232 - CASA DE VALORES PRIME S.A.</t>
        </is>
      </c>
      <c r="N187" t="inlineStr">
        <is>
          <t>31409 - TAISHA</t>
        </is>
      </c>
    </row>
    <row r="188">
      <c r="D188" t="inlineStr">
        <is>
          <t>440 - LESOTHO</t>
        </is>
      </c>
      <c r="E188" t="inlineStr">
        <is>
          <t>1233 - CASA DE VALORES PRODUVALORES S.A.</t>
        </is>
      </c>
      <c r="N188" t="inlineStr">
        <is>
          <t>31410 - LOGROÑO</t>
        </is>
      </c>
    </row>
    <row r="189">
      <c r="D189" t="inlineStr">
        <is>
          <t>441 - MAURICIO</t>
        </is>
      </c>
      <c r="E189" t="inlineStr">
        <is>
          <t>1234 - SU CASA DE VALORES SUCAVAL S.A.</t>
        </is>
      </c>
      <c r="N189" t="inlineStr">
        <is>
          <t>31411 - PABLO SEXTO</t>
        </is>
      </c>
    </row>
    <row r="190">
      <c r="D190" t="inlineStr">
        <is>
          <t>442 - MOZAMBIQUE</t>
        </is>
      </c>
      <c r="E190" t="inlineStr">
        <is>
          <t>1235 - CASA DE VALORES TRANSBURSATIL S.A.</t>
        </is>
      </c>
      <c r="N190" t="inlineStr">
        <is>
          <t>31412 - TIWINTZA</t>
        </is>
      </c>
    </row>
    <row r="191">
      <c r="D191" t="inlineStr">
        <is>
          <t>443 - MAYOTTE</t>
        </is>
      </c>
      <c r="E191" t="inlineStr">
        <is>
          <t>1236 - CASA DE VALORES DEL PACIFICO VALPACIFIC S.A.</t>
        </is>
      </c>
      <c r="N191" t="inlineStr">
        <is>
          <t>31501 - TENA</t>
        </is>
      </c>
    </row>
    <row r="192">
      <c r="D192" t="inlineStr">
        <is>
          <t>444 - NIGER</t>
        </is>
      </c>
      <c r="E192" t="inlineStr">
        <is>
          <t>1237 - ADMINISTRADORA DE FONDOS DE INVERSION Y FIDEICOMISO BG S.A.</t>
        </is>
      </c>
      <c r="N192" t="inlineStr">
        <is>
          <t>31503 - ARCHIDONA</t>
        </is>
      </c>
    </row>
    <row r="193">
      <c r="D193" t="inlineStr">
        <is>
          <t>445 - RWANDA</t>
        </is>
      </c>
      <c r="E193" t="inlineStr">
        <is>
          <t>1238 - ACCIONES Y VALORES CASA DE VALORES S.A. ACCIVAL</t>
        </is>
      </c>
      <c r="N193" t="inlineStr">
        <is>
          <t>31504 - EL CHACO</t>
        </is>
      </c>
    </row>
    <row r="194">
      <c r="D194" t="inlineStr">
        <is>
          <t>446 - SEYCHELLES</t>
        </is>
      </c>
      <c r="E194" t="inlineStr">
        <is>
          <t>1239 - ADMINISTRADORA DE FONDOS Y FIDEICOMISOS PACIFICO ADPACIFIC S.A.</t>
        </is>
      </c>
      <c r="N194" t="inlineStr">
        <is>
          <t>31507 - QUIJOS</t>
        </is>
      </c>
    </row>
    <row r="195">
      <c r="D195" t="inlineStr">
        <is>
          <t>447 - SAHARA OCCIDENTAL</t>
        </is>
      </c>
      <c r="E195" t="inlineStr">
        <is>
          <t>1240 - AFP GENESIS ADMINISTRADORA DE FONDOS Y FIDEICOMISOS S.A.</t>
        </is>
      </c>
      <c r="N195" t="inlineStr">
        <is>
          <t>31509 - CARLOS JULIO AROSEMENA T.</t>
        </is>
      </c>
    </row>
    <row r="196">
      <c r="D196" t="inlineStr">
        <is>
          <t>448 - SOMALIA</t>
        </is>
      </c>
      <c r="E196" t="inlineStr">
        <is>
          <t>1241 - ADMINISTRADORA DE FONDOS CONTIFONDOS S.A.</t>
        </is>
      </c>
      <c r="N196" t="inlineStr">
        <is>
          <t>31601 - PASTAZA</t>
        </is>
      </c>
    </row>
    <row r="197">
      <c r="D197" t="inlineStr">
        <is>
          <t>449 - SANTO TOME Y PRINCIPE</t>
        </is>
      </c>
      <c r="E197" t="inlineStr">
        <is>
          <t>1242 - ENLACEFONDOS S.A. ADMINISTRADORA DE FONDOS Y FIDEICOMISOS</t>
        </is>
      </c>
      <c r="N197" t="inlineStr">
        <is>
          <t>31602 - MERA</t>
        </is>
      </c>
    </row>
    <row r="198">
      <c r="D198" t="inlineStr">
        <is>
          <t>450 - SWAZILANDIA</t>
        </is>
      </c>
      <c r="E198" t="inlineStr">
        <is>
          <t>1243 - FIDEVAL S.A. ADMINISTRADORA DE FONDOS Y FIDEICOMISOS</t>
        </is>
      </c>
      <c r="N198" t="inlineStr">
        <is>
          <t>31603 - SANTA CLARA</t>
        </is>
      </c>
    </row>
    <row r="199">
      <c r="D199" t="inlineStr">
        <is>
          <t>451 - TOGO</t>
        </is>
      </c>
      <c r="E199" t="inlineStr">
        <is>
          <t>1244 - FIDUCIA S.A. ADMINISTRADORA DE FONDOS Y FIDEICOMISOS</t>
        </is>
      </c>
      <c r="N199" t="inlineStr">
        <is>
          <t>31604 - ARAJUNO</t>
        </is>
      </c>
    </row>
    <row r="200">
      <c r="D200" t="inlineStr">
        <is>
          <t>452 - TUNEZ</t>
        </is>
      </c>
      <c r="E200" t="inlineStr">
        <is>
          <t>1245 - FIDUPRO S.A. ADMINISTRADORA DE FONDOS</t>
        </is>
      </c>
      <c r="N200" t="inlineStr">
        <is>
          <t>31901 - ZAMORA</t>
        </is>
      </c>
    </row>
    <row r="201">
      <c r="D201" t="inlineStr">
        <is>
          <t>453 - ZAIRE</t>
        </is>
      </c>
      <c r="E201" t="inlineStr">
        <is>
          <t>1246 - FILANFONDOS S.A. ADMINIS. DE FONDOS Y FIDECOMISOS</t>
        </is>
      </c>
      <c r="N201" t="inlineStr">
        <is>
          <t>31902 - CHINCHIPE</t>
        </is>
      </c>
    </row>
    <row r="202">
      <c r="D202" t="inlineStr">
        <is>
          <t>454 - ANGOLA</t>
        </is>
      </c>
      <c r="E202" t="inlineStr">
        <is>
          <t>1248 - FINVERFONDOS ADMINISTRADORA DE FONDOS</t>
        </is>
      </c>
      <c r="N202" t="inlineStr">
        <is>
          <t>31903 - NANGARITZA</t>
        </is>
      </c>
    </row>
    <row r="203">
      <c r="D203" t="inlineStr">
        <is>
          <t>456 - CABO VERDE</t>
        </is>
      </c>
      <c r="E203" t="inlineStr">
        <is>
          <t>1249 - ADMINISTRADORA DE FONDOS FODEVA S.A. FODEVASA</t>
        </is>
      </c>
      <c r="N203" t="inlineStr">
        <is>
          <t>31904 - YACUAMBI</t>
        </is>
      </c>
    </row>
    <row r="204">
      <c r="D204" t="inlineStr">
        <is>
          <t>458 - COMORAS</t>
        </is>
      </c>
      <c r="E204" t="inlineStr">
        <is>
          <t>1250 - ADMINISTRADORA DE FONDOS DEL PICHINCHA FONDOS PICHINCHA S.A.</t>
        </is>
      </c>
      <c r="N204" t="inlineStr">
        <is>
          <t>31905 - YANTZAZA</t>
        </is>
      </c>
    </row>
    <row r="205">
      <c r="D205" t="inlineStr">
        <is>
          <t>459 - DJIBOUTI</t>
        </is>
      </c>
      <c r="E205" t="inlineStr">
        <is>
          <t>1251 - PRESFONDOS S.A. ADMINISTRADORA DE FONDOS</t>
        </is>
      </c>
      <c r="N205" t="inlineStr">
        <is>
          <t>31906 - EL PANGUI</t>
        </is>
      </c>
    </row>
    <row r="206">
      <c r="D206" t="inlineStr">
        <is>
          <t>460 - NAMIBIA</t>
        </is>
      </c>
      <c r="E206" t="inlineStr">
        <is>
          <t>1252 - ADMINISTRADORA DE FONDOS PREVIFONDOS S.A.</t>
        </is>
      </c>
      <c r="N206" t="inlineStr">
        <is>
          <t>31907 - CENTINELA DEL CONDOR</t>
        </is>
      </c>
    </row>
    <row r="207">
      <c r="D207" t="inlineStr">
        <is>
          <t>463 - ERITREA</t>
        </is>
      </c>
      <c r="E207" t="inlineStr">
        <is>
          <t>1253 - ADMINISTRADORA DE FONDOS PRODUFONDOS S.A.</t>
        </is>
      </c>
      <c r="N207" t="inlineStr">
        <is>
          <t>31908 - PALANDA</t>
        </is>
      </c>
    </row>
    <row r="208">
      <c r="D208" t="inlineStr">
        <is>
          <t>464 - MOROCCO</t>
        </is>
      </c>
      <c r="E208" t="inlineStr">
        <is>
          <t>1254 - TRANSFIEC S.A.</t>
        </is>
      </c>
      <c r="N208" t="inlineStr">
        <is>
          <t>31909 - PAQUISHA</t>
        </is>
      </c>
    </row>
    <row r="209">
      <c r="D209" t="inlineStr">
        <is>
          <t>465 - REUNION</t>
        </is>
      </c>
      <c r="E209" t="inlineStr">
        <is>
          <t>1255 - A.F.P.V. ADMINISTRADORA DE FONDOS Y FIDUCIARIA  S.A.</t>
        </is>
      </c>
      <c r="N209" t="inlineStr">
        <is>
          <t>32101 - LAGO AGRIO</t>
        </is>
      </c>
    </row>
    <row r="210">
      <c r="D210" t="inlineStr">
        <is>
          <t>466 - SANTA ELENA</t>
        </is>
      </c>
      <c r="E210" t="inlineStr">
        <is>
          <t>1256 - AMERAFIN S.A.</t>
        </is>
      </c>
      <c r="N210" t="inlineStr">
        <is>
          <t>32102 - GONZALO PIZARRO</t>
        </is>
      </c>
    </row>
    <row r="211">
      <c r="D211" t="inlineStr">
        <is>
          <t>499 - JERSEY</t>
        </is>
      </c>
      <c r="E211" t="inlineStr">
        <is>
          <t>1257 - ASESORES NACIONALES S.A. ANASA</t>
        </is>
      </c>
      <c r="N211" t="inlineStr">
        <is>
          <t>32103 - PUTUMAYO</t>
        </is>
      </c>
    </row>
    <row r="212">
      <c r="D212" t="inlineStr">
        <is>
          <t>501 - AUSTRALIA</t>
        </is>
      </c>
      <c r="E212" t="inlineStr">
        <is>
          <t>1262 - CREDI FE DE DESARROLLO MICROEMPRESARIAL S.A.</t>
        </is>
      </c>
      <c r="N212" t="inlineStr">
        <is>
          <t>32104 - SHUSHUFINDI</t>
        </is>
      </c>
    </row>
    <row r="213">
      <c r="D213" t="inlineStr">
        <is>
          <t>503 - NUEVA ZELANDA</t>
        </is>
      </c>
      <c r="E213" t="inlineStr">
        <is>
          <t>1263 - DERUGNE S.A.</t>
        </is>
      </c>
      <c r="N213" t="inlineStr">
        <is>
          <t>32105 - SUCUMBIOS</t>
        </is>
      </c>
    </row>
    <row r="214">
      <c r="D214" t="inlineStr">
        <is>
          <t>504 - SAMOA OCCIDENTAL</t>
        </is>
      </c>
      <c r="E214" t="inlineStr">
        <is>
          <t>1264 - ECUHABITAT S.A.</t>
        </is>
      </c>
      <c r="N214" t="inlineStr">
        <is>
          <t>32106 - CASCALES</t>
        </is>
      </c>
    </row>
    <row r="215">
      <c r="D215" t="inlineStr">
        <is>
          <t>506 - FIJI</t>
        </is>
      </c>
      <c r="E215" t="inlineStr">
        <is>
          <t>1265 - ENLACESERVICIOS S.A.</t>
        </is>
      </c>
      <c r="N215" t="inlineStr">
        <is>
          <t>32107 - CUYABENO</t>
        </is>
      </c>
    </row>
    <row r="216">
      <c r="D216" t="inlineStr">
        <is>
          <t>507 - PAPUA NUEVA GUINEA</t>
        </is>
      </c>
      <c r="E216" t="inlineStr">
        <is>
          <t>1267 - FRANISA S.A.</t>
        </is>
      </c>
      <c r="N216" t="inlineStr">
        <is>
          <t>32201 - FRANCISCO DE ORELLANA</t>
        </is>
      </c>
    </row>
    <row r="217">
      <c r="D217" t="inlineStr">
        <is>
          <t>508 - TONGA</t>
        </is>
      </c>
      <c r="E217" t="inlineStr">
        <is>
          <t>1269 - INTERDIN S.A. COMPAÑIA DE RECUPERACIONES</t>
        </is>
      </c>
      <c r="N217" t="inlineStr">
        <is>
          <t>32202 - AGUARICO</t>
        </is>
      </c>
    </row>
    <row r="218">
      <c r="D218" t="inlineStr">
        <is>
          <t>509 - PALAO  (BELAU)  ISLAS</t>
        </is>
      </c>
      <c r="E218" t="inlineStr">
        <is>
          <t>1270 - NEDERLANDIA S.A.</t>
        </is>
      </c>
      <c r="N218" t="inlineStr">
        <is>
          <t>32203 - LA JOYA DE LOS SACHAS</t>
        </is>
      </c>
    </row>
    <row r="219">
      <c r="D219" t="inlineStr">
        <is>
          <t>510 - KIRIBATI</t>
        </is>
      </c>
      <c r="E219" t="inlineStr">
        <is>
          <t>1272 - OTRAPART S.A.</t>
        </is>
      </c>
      <c r="N219" t="inlineStr">
        <is>
          <t>32204 - LORETO</t>
        </is>
      </c>
    </row>
    <row r="220">
      <c r="D220" t="inlineStr">
        <is>
          <t>511 - MARSHALL ISLAS</t>
        </is>
      </c>
      <c r="E220" t="inlineStr">
        <is>
          <t>1273 - PROENOC S.A.</t>
        </is>
      </c>
      <c r="N220" t="inlineStr">
        <is>
          <t>42001 - SAN CRISTOBAL</t>
        </is>
      </c>
    </row>
    <row r="221">
      <c r="D221" t="inlineStr">
        <is>
          <t>512 - MICRONESIA</t>
        </is>
      </c>
      <c r="E221" t="inlineStr">
        <is>
          <t>1274 - ASESORIA Y RECUPERACIONES S.A. RECUPSA</t>
        </is>
      </c>
      <c r="N221" t="inlineStr">
        <is>
          <t>42002 - ISABELA</t>
        </is>
      </c>
    </row>
    <row r="222">
      <c r="D222" t="inlineStr">
        <is>
          <t>513 - NAURU</t>
        </is>
      </c>
      <c r="E222" t="inlineStr">
        <is>
          <t>1275 - COMPAÑIA DE SERVICIOS AUXILIARES DEL PACIFICO S.A. SERENTRESA</t>
        </is>
      </c>
      <c r="N222" t="inlineStr">
        <is>
          <t>42003 - SANTA CRUZ</t>
        </is>
      </c>
    </row>
    <row r="223">
      <c r="D223" t="inlineStr">
        <is>
          <t>514 - SALOMON  ISLAS</t>
        </is>
      </c>
      <c r="E223" t="inlineStr">
        <is>
          <t>1276 - SEVIMAC S.A.</t>
        </is>
      </c>
    </row>
    <row r="224">
      <c r="D224" t="inlineStr">
        <is>
          <t>515 - TUVALU</t>
        </is>
      </c>
      <c r="E224" t="inlineStr">
        <is>
          <t>1277 - SICOBRA S.A.</t>
        </is>
      </c>
    </row>
    <row r="225">
      <c r="D225" t="inlineStr">
        <is>
          <t>516 - VANUATU</t>
        </is>
      </c>
      <c r="E225" t="inlineStr">
        <is>
          <t>1279 - TECSOFT S.A.</t>
        </is>
      </c>
    </row>
    <row r="226">
      <c r="D226" t="inlineStr">
        <is>
          <t>517 - GUAM</t>
        </is>
      </c>
      <c r="E226" t="inlineStr">
        <is>
          <t>1280 - COMPAÑIA DE TRANSPORTE DE VALORES Y SEGURIDAD RUMIÑAHUI S.A.</t>
        </is>
      </c>
    </row>
    <row r="227">
      <c r="D227" t="inlineStr">
        <is>
          <t>518 - ISLAS COCOS (KEELING)</t>
        </is>
      </c>
      <c r="E227" t="inlineStr">
        <is>
          <t>1281 - VIVERO MIÑO VIVEMISA S.A.</t>
        </is>
      </c>
    </row>
    <row r="228">
      <c r="D228" t="inlineStr">
        <is>
          <t>519 - ISLAS COOK</t>
        </is>
      </c>
      <c r="E228" t="inlineStr">
        <is>
          <t>1282 - BANCO DE SANTANDER SOCIEDAD ANONIMA DE CREDITO</t>
        </is>
      </c>
    </row>
    <row r="229">
      <c r="D229" t="inlineStr">
        <is>
          <t>520 - ISLAS NAVIDAD</t>
        </is>
      </c>
      <c r="E229" t="inlineStr">
        <is>
          <t>1284 - CHASE MANHATTAN BANK N.A.</t>
        </is>
      </c>
    </row>
    <row r="230">
      <c r="D230" t="inlineStr">
        <is>
          <t>521 - MIDWAY ISLAS</t>
        </is>
      </c>
      <c r="E230" t="inlineStr">
        <is>
          <t>1287 - BANCO DO BRASIL S.A.</t>
        </is>
      </c>
    </row>
    <row r="231">
      <c r="D231" t="inlineStr">
        <is>
          <t>522 - NIUE ISLA</t>
        </is>
      </c>
      <c r="E231" t="inlineStr">
        <is>
          <t>1288 - DRESDNER BANK LATEINAMERIKA AKTIENGESELLSCHAFT</t>
        </is>
      </c>
    </row>
    <row r="232">
      <c r="D232" t="inlineStr">
        <is>
          <t>523 - NORFOLK ISLA</t>
        </is>
      </c>
      <c r="E232" t="inlineStr">
        <is>
          <t>1290 - BANCO DE LA NACION ARGENTINA</t>
        </is>
      </c>
    </row>
    <row r="233">
      <c r="D233" t="inlineStr">
        <is>
          <t>524 - NUEVA  CALEDONIA</t>
        </is>
      </c>
      <c r="E233" t="inlineStr">
        <is>
          <t>1300 - COOPERATIVA DE AHORRO Y CREDITO CONSTRUCCION COMERCIO Y PRODUCCION LTDA.</t>
        </is>
      </c>
    </row>
    <row r="234">
      <c r="D234" t="inlineStr">
        <is>
          <t>525 - PITCAIRN, ISLA</t>
        </is>
      </c>
      <c r="E234" t="inlineStr">
        <is>
          <t>1302 - COOPERATIVA JUVENTUD ECUATORIANA PROGRESISTA</t>
        </is>
      </c>
    </row>
    <row r="235">
      <c r="D235" t="inlineStr">
        <is>
          <t>526 - POLINESIA FRANCESA</t>
        </is>
      </c>
      <c r="E235" t="inlineStr">
        <is>
          <t>1303 - COOPERATIVA DE AHORRO Y CREDITO METROPOLITANA</t>
        </is>
      </c>
    </row>
    <row r="236">
      <c r="D236" t="inlineStr">
        <is>
          <t>529 - TIMOR DEL ESTE</t>
        </is>
      </c>
      <c r="E236" t="inlineStr">
        <is>
          <t>1304 - COOPERATIVA DE AHORRO Y CREDITO PADRE JULIAN LORENT</t>
        </is>
      </c>
    </row>
    <row r="237">
      <c r="D237" t="inlineStr">
        <is>
          <t>530 - TOKELAI</t>
        </is>
      </c>
      <c r="E237" t="inlineStr">
        <is>
          <t>1306 - COOPERATIVA DE AHORRO Y CREDITO VICENTINA MANUEL ESTEBAN GODOY ORTEGA LTDA</t>
        </is>
      </c>
    </row>
    <row r="238">
      <c r="D238" t="inlineStr">
        <is>
          <t>531 - WAKE ISLA</t>
        </is>
      </c>
      <c r="E238" t="inlineStr">
        <is>
          <t>1330 - CAMBIOSUR S.A.</t>
        </is>
      </c>
    </row>
    <row r="239">
      <c r="D239" t="inlineStr">
        <is>
          <t>532 - WALLIS Y FUTUNA, ISLAS</t>
        </is>
      </c>
      <c r="E239" t="inlineStr">
        <is>
          <t>1336 - ASOCIACION MUTUALISTA DE AHORRO Y CREDITO PARA LA VIVIENDA GUAYAQUIL</t>
        </is>
      </c>
    </row>
    <row r="240">
      <c r="D240" t="inlineStr">
        <is>
          <t>593 - ECUADOR</t>
        </is>
      </c>
      <c r="E240" t="inlineStr">
        <is>
          <t>1352 - COOPERATIVA DE AHORRO Y CREDITO DE LA PEQUENA EMPRESA BIBLIAN</t>
        </is>
      </c>
    </row>
    <row r="241">
      <c r="D241" t="inlineStr">
        <is>
          <t>594 - AGUAS INTERNACIONALES</t>
        </is>
      </c>
      <c r="E241" t="inlineStr">
        <is>
          <t>1364 - COOPERATIVA DE AHORRO Y CREDITO SAN JOSE LIMITADA</t>
        </is>
      </c>
    </row>
    <row r="242">
      <c r="D242" t="inlineStr">
        <is>
          <t>595 - ALTO VOLTA</t>
        </is>
      </c>
      <c r="E242" t="inlineStr">
        <is>
          <t>1381 - BOLIVARIANO ADMINISTRADORA DE FONDOS Y FIDEICOMISOS AFFB S.A.</t>
        </is>
      </c>
    </row>
    <row r="243">
      <c r="D243" t="inlineStr">
        <is>
          <t>596 - BIELORRUSIA</t>
        </is>
      </c>
      <c r="E243" t="inlineStr">
        <is>
          <t>1388 - COOPERATIVA DE AHORRO Y CREDITO PAD LTDA. COOPAD</t>
        </is>
      </c>
    </row>
    <row r="244">
      <c r="D244" t="inlineStr">
        <is>
          <t>597 - COTE DÍVOIRE</t>
        </is>
      </c>
      <c r="E244" t="inlineStr">
        <is>
          <t>1400 - DEPOSITO CENTRALIZADO DE COMPENSACION Y LIQUIDACION DE VALORES DECEVALE S.A.</t>
        </is>
      </c>
    </row>
    <row r="245">
      <c r="D245" t="inlineStr">
        <is>
          <t>598 - CYPRUS</t>
        </is>
      </c>
      <c r="E245" t="inlineStr">
        <is>
          <t>1409 - PACIFICARD S.A.</t>
        </is>
      </c>
    </row>
    <row r="246">
      <c r="D246" t="inlineStr">
        <is>
          <t>599 - REPUBLICA CHECA</t>
        </is>
      </c>
      <c r="E246" t="inlineStr">
        <is>
          <t>1418 - BANCO PROMERICA S.A.</t>
        </is>
      </c>
    </row>
    <row r="247">
      <c r="D247" t="inlineStr">
        <is>
          <t>600 - FALKLAND ISLANDS</t>
        </is>
      </c>
      <c r="E247" t="inlineStr">
        <is>
          <t>1422 - BANCO DELBANK S.A.</t>
        </is>
      </c>
    </row>
    <row r="248">
      <c r="D248" t="inlineStr">
        <is>
          <t>601 - LATVIA</t>
        </is>
      </c>
      <c r="E248" t="inlineStr">
        <is>
          <t>1501 - BANCO CAPITAL SOCIEDAD ANONIMA</t>
        </is>
      </c>
    </row>
    <row r="249">
      <c r="D249" t="inlineStr">
        <is>
          <t>602 - LIBIA</t>
        </is>
      </c>
      <c r="E249" t="inlineStr">
        <is>
          <t>1590 - CASA DE CAMBIOS ARGENTUM S.A.</t>
        </is>
      </c>
    </row>
    <row r="250">
      <c r="D250" t="inlineStr">
        <is>
          <t>603 - NORTHERN MARIANA ISL</t>
        </is>
      </c>
      <c r="E250" t="inlineStr">
        <is>
          <t>1615 - COOPERATIVA DE AHORRO Y CREDITO JARDIN AZUAYO LTDA.</t>
        </is>
      </c>
    </row>
    <row r="251">
      <c r="D251" t="inlineStr">
        <is>
          <t>604 - ST. PIERRE AND MIQUE</t>
        </is>
      </c>
      <c r="E251" t="inlineStr">
        <is>
          <t>1616 - COOPERATIVA DE AHORRO Y CREDITO MANANTIAL DE ORO LTDA.</t>
        </is>
      </c>
    </row>
    <row r="252">
      <c r="D252" t="inlineStr">
        <is>
          <t>605 - SYRIAN ARAB REPUBLIC</t>
        </is>
      </c>
      <c r="E252" t="inlineStr">
        <is>
          <t>1617 - COOPERATIVA DE AHORRO Y CREDITO JUAN DE SALINAS</t>
        </is>
      </c>
    </row>
    <row r="253">
      <c r="D253" t="inlineStr">
        <is>
          <t>606 - TERRITORIO ANTARTICO BRITANICO</t>
        </is>
      </c>
      <c r="E253" t="inlineStr">
        <is>
          <t>1618 - COOPERATIVA DE AHORRO Y CREDITO PUELLARO LTDA.</t>
        </is>
      </c>
    </row>
    <row r="254">
      <c r="D254" t="inlineStr">
        <is>
          <t>607 - TERRITORIO BRITANICO OCEANO IN</t>
        </is>
      </c>
      <c r="E254" t="inlineStr">
        <is>
          <t>1619 - COOPERATIVA DE AHORRO Y CREDITO LA NUEVA JERUSALEN</t>
        </is>
      </c>
    </row>
    <row r="255">
      <c r="D255" t="inlineStr">
        <is>
          <t>688 - SERBIA</t>
        </is>
      </c>
      <c r="E255" t="inlineStr">
        <is>
          <t>1620 - COOPERATIVA DE AHORRO Y CREDITO MALCHINGUI LTDA.</t>
        </is>
      </c>
    </row>
    <row r="256">
      <c r="D256" t="inlineStr">
        <is>
          <t>831 - GUERNSEY</t>
        </is>
      </c>
      <c r="E256" t="inlineStr">
        <is>
          <t>1621 - COOPERATIVA DE AHORRO Y CREDITO AMAZONAS LTDA.</t>
        </is>
      </c>
    </row>
    <row r="257">
      <c r="D257" t="inlineStr">
        <is>
          <t>832 - JERSEY</t>
        </is>
      </c>
      <c r="E257" t="inlineStr">
        <is>
          <t>1622 - COOPERATIVA DE AHORRO Y CREDITO AGRARIA MUSHUK KAWSAY LTDA</t>
        </is>
      </c>
    </row>
    <row r="258">
      <c r="D258" t="inlineStr">
        <is>
          <t>833 - ISLE OF MAN</t>
        </is>
      </c>
      <c r="E258" t="inlineStr">
        <is>
          <t>1623 - COOPERATIVA DE AHORRO Y CREDITO TENA LTDA.</t>
        </is>
      </c>
    </row>
    <row r="259">
      <c r="E259" t="inlineStr">
        <is>
          <t>1624 - COOPERATIVA DE AHORRO Y CREDITO DE LA PEQUEÑA EMPRESA GUALAQUIZA</t>
        </is>
      </c>
    </row>
    <row r="260">
      <c r="E260" t="inlineStr">
        <is>
          <t>1625 - COOPERATIVA DE AHORRO Y CREDITO ALIANZA MINAS LTDA.</t>
        </is>
      </c>
    </row>
    <row r="261">
      <c r="E261" t="inlineStr">
        <is>
          <t>1626 - COOPERATIVA DE AHORRO Y CREDITO MI TIERRA</t>
        </is>
      </c>
    </row>
    <row r="262">
      <c r="E262" t="inlineStr">
        <is>
          <t>1627 - COOPERATIVA DE AHORRO Y CREDITO DE LA PEQUEÑA EMPRESA CACPE YANZATZA LTDA.</t>
        </is>
      </c>
    </row>
    <row r="263">
      <c r="E263" t="inlineStr">
        <is>
          <t>1628 - COOPERATIVA DE AHORRO Y CREDITO FUTURO Y DESARROLLO FUNDESARROLLO</t>
        </is>
      </c>
    </row>
    <row r="264">
      <c r="E264" t="inlineStr">
        <is>
          <t>1629 - COOPERATIVA DE AHORRO Y CREDITO DE LA PEQUEÑA EMPRESA ZAMORA CHINCHIPE</t>
        </is>
      </c>
    </row>
    <row r="265">
      <c r="E265" t="inlineStr">
        <is>
          <t>1630 - COOPERATIVA DE AHORRO Y CREDITO DESARROLLO INTEGRAL</t>
        </is>
      </c>
    </row>
    <row r="266">
      <c r="E266" t="inlineStr">
        <is>
          <t>1631 - COOPERATIVA DE AHORRO Y CREDITO EDUCADORES DE PASTAZA LTDA</t>
        </is>
      </c>
    </row>
    <row r="267">
      <c r="E267" t="inlineStr">
        <is>
          <t>1632 - COOPERATIVA DE AHORRO Y CREDITO GRAMEEN AMAZONAS LTDA.</t>
        </is>
      </c>
    </row>
    <row r="268">
      <c r="E268" t="inlineStr">
        <is>
          <t>1633 - COOP. AHORRO Y CREDITO DE LOS SERVIDORES PUBLICOS DEL MIN DE EDUCACION Y CULTURA</t>
        </is>
      </c>
    </row>
    <row r="269">
      <c r="E269" t="inlineStr">
        <is>
          <t>1634 - COOPERATIVA DE AHORRO Y CREDITO PEDRO MONCAYO LTDA.</t>
        </is>
      </c>
    </row>
    <row r="270">
      <c r="E270" t="inlineStr">
        <is>
          <t>1635 - COOPERATIVA DE AHORRO Y CREDITO SAN MIGUEL DE LOS BANCOS LTDA.</t>
        </is>
      </c>
    </row>
    <row r="271">
      <c r="E271" t="inlineStr">
        <is>
          <t>1636 - COOPERATIVA DE AHORRO Y CREDITO POLICIA NACIONAL LTDA.</t>
        </is>
      </c>
    </row>
    <row r="272">
      <c r="E272" t="inlineStr">
        <is>
          <t>1637 - COOPERATIVA DE AHORRO Y CREDITO NUEVA HUANCAVILCA</t>
        </is>
      </c>
    </row>
    <row r="273">
      <c r="E273" t="inlineStr">
        <is>
          <t>1638 - COOPERATIVA DE AHORRO Y CREDITO LA MERCED LTDA.</t>
        </is>
      </c>
    </row>
    <row r="274">
      <c r="E274" t="inlineStr">
        <is>
          <t>1639 - COOPERATIVA DE AHORRO Y CREDITO PROMOCION DE VIDA ASOCIADA LTDA.</t>
        </is>
      </c>
    </row>
    <row r="275">
      <c r="E275" t="inlineStr">
        <is>
          <t>1640 - COOPERATIVA DE AHORRO Y CREDITO SAN JOSE S.J.</t>
        </is>
      </c>
    </row>
    <row r="276">
      <c r="E276" t="inlineStr">
        <is>
          <t>1642 - COOPERATIVA DE AHORRO Y CREDITO SEÑOR DE GIRON</t>
        </is>
      </c>
    </row>
    <row r="277">
      <c r="E277" t="inlineStr">
        <is>
          <t>1644 - COOPERATIVA DE AHORRO Y CREDITO INTEGRAL</t>
        </is>
      </c>
    </row>
    <row r="278">
      <c r="E278" t="inlineStr">
        <is>
          <t>1645 - COOPERATIVA DE AHORRO CREDITO ERCO LTDA.</t>
        </is>
      </c>
    </row>
    <row r="279">
      <c r="E279" t="inlineStr">
        <is>
          <t>1646 - COOPERATIVA DE AHORRO Y CREDITO BAÑOS LTDA</t>
        </is>
      </c>
    </row>
    <row r="280">
      <c r="E280" t="inlineStr">
        <is>
          <t>1647 - COOPERATIVA DE AHORRO Y CREDITO EDUCADORES DE TUNGURAHUA LTDA</t>
        </is>
      </c>
    </row>
    <row r="281">
      <c r="E281" t="inlineStr">
        <is>
          <t>1648 - COOPERATIVA DE AHORRO Y CREDITO AMBATO LTDA.</t>
        </is>
      </c>
    </row>
    <row r="282">
      <c r="E282" t="inlineStr">
        <is>
          <t>1649 - COOPERATIVA DE AHORRO Y CREDITO TUNGURAHUA LTDA.</t>
        </is>
      </c>
    </row>
    <row r="283">
      <c r="E283" t="inlineStr">
        <is>
          <t>1651 - COOPERATIVA DE AHORRO Y CREDITO LLANGANATES</t>
        </is>
      </c>
    </row>
    <row r="284">
      <c r="E284" t="inlineStr">
        <is>
          <t>1652 - COOPERATIVA DE AHORRO Y CREDITO DORADO LTDA</t>
        </is>
      </c>
    </row>
    <row r="285">
      <c r="E285" t="inlineStr">
        <is>
          <t>1653 - COOPERATIVA DE AHORRO Y CREDITO EL CALVARIO LTDA.</t>
        </is>
      </c>
    </row>
    <row r="286">
      <c r="E286" t="inlineStr">
        <is>
          <t>1654 - COOPERATIVA DE AHORRO Y CREDITO CREDI FACIL LTDA.</t>
        </is>
      </c>
    </row>
    <row r="287">
      <c r="E287" t="inlineStr">
        <is>
          <t>1655 - COOPERATIVA DE AHORRO Y CREDITO VENCEDORES DE TUNGURAHUA LTDA.</t>
        </is>
      </c>
    </row>
    <row r="288">
      <c r="E288" t="inlineStr">
        <is>
          <t>1656 - COOPERATIVA DE AHORRO Y CREDITO LOS RIOS</t>
        </is>
      </c>
    </row>
    <row r="289">
      <c r="E289" t="inlineStr">
        <is>
          <t>1657 - COOPERATIVA DE AHORRO Y CREDITO NUESTROS ABUELOS LTDA</t>
        </is>
      </c>
    </row>
    <row r="290">
      <c r="E290" t="inlineStr">
        <is>
          <t>1658 - COOPERATIVA DE AHORRO Y CREDITO JUAN PIO DE MORA LTDA.</t>
        </is>
      </c>
    </row>
    <row r="291">
      <c r="E291" t="inlineStr">
        <is>
          <t>1659 - COOPERATIVA DE AHORRO Y CREDITO ARTESANOS LTDA.</t>
        </is>
      </c>
    </row>
    <row r="292">
      <c r="E292" t="inlineStr">
        <is>
          <t>1660 - COOPERATIVA DE AHORRO Y CREDITO SANTA ANITA LTDA.</t>
        </is>
      </c>
    </row>
    <row r="293">
      <c r="E293" t="inlineStr">
        <is>
          <t>1661 - COOPERATIVA DE AHORRO Y CREDITO MUJERES UNIDAS</t>
        </is>
      </c>
    </row>
    <row r="294">
      <c r="E294" t="inlineStr">
        <is>
          <t>1662 - COOPERATIVA DE AHORRO Y CREDITO SAN ANTONIO LTDA. IMBABURA</t>
        </is>
      </c>
    </row>
    <row r="295">
      <c r="E295" t="inlineStr">
        <is>
          <t>1663 - COOPERATIVA DE AHORRO Y CREDITO HUAYCO PUNGO</t>
        </is>
      </c>
    </row>
    <row r="296">
      <c r="E296" t="inlineStr">
        <is>
          <t>1664 - COOPERATIVA DE AHORRO Y CREDITO ANDINA LTDA.</t>
        </is>
      </c>
    </row>
    <row r="297">
      <c r="E297" t="inlineStr">
        <is>
          <t>1665 - COOPERATIVA DE AHORRO Y CREDITO 15 DE AGOSTO DE PILACOTO</t>
        </is>
      </c>
    </row>
    <row r="298">
      <c r="E298" t="inlineStr">
        <is>
          <t>1666 - COOPERATIVA DE AHORRO Y CREDITO PILAHUIN</t>
        </is>
      </c>
    </row>
    <row r="299">
      <c r="E299" t="inlineStr">
        <is>
          <t>1667 - COOPERATIVA DE AHORRO Y CREDITO PUCARA LTDA.</t>
        </is>
      </c>
    </row>
    <row r="300">
      <c r="E300" t="inlineStr">
        <is>
          <t>1668 - COOPERATIVA DE AHORRO Y CREDITO SINCHI RUNA LTDA.</t>
        </is>
      </c>
    </row>
    <row r="301">
      <c r="E301" t="inlineStr">
        <is>
          <t>1669 - COOPERATIVA DE AHORRO Y CREDITO CRISTO REY</t>
        </is>
      </c>
    </row>
    <row r="302">
      <c r="E302" t="inlineStr">
        <is>
          <t>1670 - COOPERATIVA DE AHORRO Y CREDITO SEMILLA DEL PROGRESO LTDA.</t>
        </is>
      </c>
    </row>
    <row r="303">
      <c r="E303" t="inlineStr">
        <is>
          <t>1671 - COOPERATIVA DE AHORRO Y CREDITO CARIAMANGA LTDA.</t>
        </is>
      </c>
    </row>
    <row r="304">
      <c r="E304" t="inlineStr">
        <is>
          <t>1672 - COOPERATIVA DE AHORRO Y CREDITO DE LA CAMARA DE COMERCIO DE PINDAL CADECOPI</t>
        </is>
      </c>
    </row>
    <row r="305">
      <c r="E305" t="inlineStr">
        <is>
          <t>1673 - COOPERATIVA DE AHORRO Y CREDITO GONZANAMA</t>
        </is>
      </c>
    </row>
    <row r="306">
      <c r="E306" t="inlineStr">
        <is>
          <t>1674 - COOPERATIVA DE AHORRO Y CREDITO QUILANGA LTDA.</t>
        </is>
      </c>
    </row>
    <row r="307">
      <c r="E307" t="inlineStr">
        <is>
          <t>1675 - COOPERATIVA DE AHORRO Y CREDITO MARCABELI LTDA</t>
        </is>
      </c>
    </row>
    <row r="308">
      <c r="E308" t="inlineStr">
        <is>
          <t>1676 - COOPERATIVA DE AHORRO Y CREDITO AGRICOLA JUNIN</t>
        </is>
      </c>
    </row>
    <row r="309">
      <c r="E309" t="inlineStr">
        <is>
          <t>1677 - COOPERATIVA DE AHORRO Y CREDITO PUERTO LOPEZ LTDA.</t>
        </is>
      </c>
    </row>
    <row r="310">
      <c r="E310" t="inlineStr">
        <is>
          <t>1678 - COOPERATIVA DE AHORRO Y CREDITO CAMARA DE COMERCIO DEL CANTON BOLIVAR LTDA.</t>
        </is>
      </c>
    </row>
    <row r="311">
      <c r="E311" t="inlineStr">
        <is>
          <t>1679 - COOPERATIVA DE AHORRO Y CREDITO NUEVA ESPERANZA LTDA</t>
        </is>
      </c>
    </row>
    <row r="312">
      <c r="E312" t="inlineStr">
        <is>
          <t>1680 - COOPERATIVA DE AHORRO Y CREDITO SAN JORGE LTDA</t>
        </is>
      </c>
    </row>
    <row r="313">
      <c r="E313" t="inlineStr">
        <is>
          <t>1682 - COOPERATIVA DE AHORRO Y CREDITO ACCION Y DESARROLLO LTDA</t>
        </is>
      </c>
    </row>
    <row r="314">
      <c r="E314" t="inlineStr">
        <is>
          <t>1683 - COOPERATIVA DE AHORRO Y CREDITO EDUCADORES DE CHIMBORAZO</t>
        </is>
      </c>
    </row>
    <row r="315">
      <c r="E315" t="inlineStr">
        <is>
          <t>1684 - COOPERATIVA DE AHORRO Y CREDITO MINGA LTDA</t>
        </is>
      </c>
    </row>
    <row r="316">
      <c r="E316" t="inlineStr">
        <is>
          <t>1685 - COOPERATIVA DE AHORRO Y CREDITO 4 DE OCTUBRE</t>
        </is>
      </c>
    </row>
    <row r="317">
      <c r="E317" t="inlineStr">
        <is>
          <t>1686 - COOPERATIVA DE AHORRO Y CREDITO CAMARA DE COMERCIO INDIGENA DE GUAMOTE LTDA</t>
        </is>
      </c>
    </row>
    <row r="318">
      <c r="E318" t="inlineStr">
        <is>
          <t>1687 - COOPERATIVA DE AHORRO Y CREDITO FERNANDO DAQUILEMA</t>
        </is>
      </c>
    </row>
    <row r="319">
      <c r="E319" t="inlineStr">
        <is>
          <t>1688 - COOPERATIVA DE AHORRO Y CREDITO SUMAC LLACTA LTDA.</t>
        </is>
      </c>
    </row>
    <row r="320">
      <c r="E320" t="inlineStr">
        <is>
          <t>1689 - COOPERATIVA DE AHORRO Y CREDITO SAN GABRIEL LTDA.</t>
        </is>
      </c>
    </row>
    <row r="321">
      <c r="E321" t="inlineStr">
        <is>
          <t>1690 - COOPERATIVA DE AHORRO Y CREDITO CAMARA DE COMERCIO JOYA DE LOS SACHAS LTDA</t>
        </is>
      </c>
    </row>
    <row r="322">
      <c r="E322" t="inlineStr">
        <is>
          <t>1691 - COOPERATIVA DE AHORRO Y CREDITO PUERTO FRANCISCO DE ORELLANA</t>
        </is>
      </c>
    </row>
    <row r="323">
      <c r="E323" t="inlineStr">
        <is>
          <t>1692 - COOPERATIVA DE AHORRO Y CREDITO CRECIENDO JUNTOS LTDA.</t>
        </is>
      </c>
    </row>
    <row r="324">
      <c r="E324" t="inlineStr">
        <is>
          <t>1693 - COOPERATIVA DE AHORRO Y CREDITO EL COMERCIANTE LTDA.</t>
        </is>
      </c>
    </row>
    <row r="325">
      <c r="E325" t="inlineStr">
        <is>
          <t>1694 - COOPERATIVA DE AHORRO Y CREDITO EL DISCAPACITADO</t>
        </is>
      </c>
    </row>
    <row r="326">
      <c r="E326" t="inlineStr">
        <is>
          <t>1695 - COOPERATIVA DE AHORRO Y CREDITO EL MIGRANTE SOLIDARIO</t>
        </is>
      </c>
    </row>
    <row r="327">
      <c r="E327" t="inlineStr">
        <is>
          <t>1696 - COOPERATIVA DE AHORRO Y CREDITO EL TESORO PILLAREÑO</t>
        </is>
      </c>
    </row>
    <row r="328">
      <c r="E328" t="inlineStr">
        <is>
          <t>1697 - COOPERATIVA DE AHORRO Y CREDITO EL TRANSPORTISTA CACET</t>
        </is>
      </c>
    </row>
    <row r="329">
      <c r="E329" t="inlineStr">
        <is>
          <t>1698 - COOPERATIVA DE AHORRO Y CREDITO EMPLEADOS BANCARIOS DE EL ORO LTDA</t>
        </is>
      </c>
    </row>
    <row r="330">
      <c r="E330" t="inlineStr">
        <is>
          <t>1699 - COOPERATIVA DE AHORRO Y CREDITO ESPERANZA Y PROGRESO DEL VALLE</t>
        </is>
      </c>
    </row>
    <row r="331">
      <c r="E331" t="inlineStr">
        <is>
          <t>1700 - COOPERATIVA DE AHORRO Y CREDITO FASAYÑAN LTDA.</t>
        </is>
      </c>
    </row>
    <row r="332">
      <c r="E332" t="inlineStr">
        <is>
          <t>1701 - COOPERATIVA DE AHORRO Y CREDITO FRANDESC LTDA</t>
        </is>
      </c>
    </row>
    <row r="333">
      <c r="E333" t="inlineStr">
        <is>
          <t>1702 - COOP DE AHORRO Y CREDITO FUERZA ENTRE NOSOTROS PARA IMPULSAR EL EXITO FENIX</t>
        </is>
      </c>
    </row>
    <row r="334">
      <c r="E334" t="inlineStr">
        <is>
          <t>1703 - COOPERATIVA DE AHORRO Y CREDITO FUNDAR</t>
        </is>
      </c>
    </row>
    <row r="335">
      <c r="E335" t="inlineStr">
        <is>
          <t>1704 - COOPERATIVA DE AHORRO Y CREDITO GAÑANSOL LTDA.COOP. GAÑANSOL</t>
        </is>
      </c>
    </row>
    <row r="336">
      <c r="E336" t="inlineStr">
        <is>
          <t>1705 - COOPERATIVA DE AHORRO Y CREDITO GENESIS LTDA</t>
        </is>
      </c>
    </row>
    <row r="337">
      <c r="E337" t="inlineStr">
        <is>
          <t>1706 - COOPERATIVA DE AHORRO Y CREDITO GUACHAPALA</t>
        </is>
      </c>
    </row>
    <row r="338">
      <c r="E338" t="inlineStr">
        <is>
          <t>1707 - COOPERATIVA DE AHORRO Y CREDITO GUARUMAL DEL CENTRO LTDA.</t>
        </is>
      </c>
    </row>
    <row r="339">
      <c r="E339" t="inlineStr">
        <is>
          <t>1708 - COOPERATIVA DE AHORRO Y CREDITO GUEL LTDA.</t>
        </is>
      </c>
    </row>
    <row r="340">
      <c r="E340" t="inlineStr">
        <is>
          <t>1709 - COOPERATIVA DE AHORRO Y CREDITO HUINARA LTDA.</t>
        </is>
      </c>
    </row>
    <row r="341">
      <c r="E341" t="inlineStr">
        <is>
          <t>1710 - COOPERATIVA DE AHORRO Y CREDITO ILINIZA LTDA.</t>
        </is>
      </c>
    </row>
    <row r="342">
      <c r="E342" t="inlineStr">
        <is>
          <t>1711 - COOPERATIVA DE AHORRO Y CREDITO INDIGENA SAC PELILEO LTDA.</t>
        </is>
      </c>
    </row>
    <row r="343">
      <c r="E343" t="inlineStr">
        <is>
          <t>1712 - COOPERATIVA DE AHORRO Y CREDITO INTERCULTURAL TARPUK RUNA LTDA.</t>
        </is>
      </c>
    </row>
    <row r="344">
      <c r="E344" t="inlineStr">
        <is>
          <t>1713 - COOPERATIVA DE AHORRO Y CREDITO INTERCULTURAL TAWANTINSUYU LTDA.</t>
        </is>
      </c>
    </row>
    <row r="345">
      <c r="E345" t="inlineStr">
        <is>
          <t>1714 - COOPERATIVA DE AHORRO Y CREDITO INTI WASI LTDA INTICOOP</t>
        </is>
      </c>
    </row>
    <row r="346">
      <c r="E346" t="inlineStr">
        <is>
          <t>1715 - COOPERATIVA DE AHORRO Y CREDITO JOYOCOTO LTDA</t>
        </is>
      </c>
    </row>
    <row r="347">
      <c r="E347" t="inlineStr">
        <is>
          <t>1716 - COOPERATIVA DE AHORRO Y CREDITO JUVENTUD UNIDA LTDA.</t>
        </is>
      </c>
    </row>
    <row r="348">
      <c r="E348" t="inlineStr">
        <is>
          <t>1717 - COOPERATIVA DE AHORRO Y CREDITO MUSHUC RUNA</t>
        </is>
      </c>
    </row>
    <row r="349">
      <c r="E349" t="inlineStr">
        <is>
          <t>1718 - COOPERATIVA DE AHORRO Y CREDITO KURI WASI LTDA</t>
        </is>
      </c>
    </row>
    <row r="350">
      <c r="E350" t="inlineStr">
        <is>
          <t>1719 - COOPERATIVA DE AHORRO Y CREDITO KURIÑAN</t>
        </is>
      </c>
    </row>
    <row r="351">
      <c r="E351" t="inlineStr">
        <is>
          <t>1720 - COOPERATIVA DE AHORRO Y CREDITO LA BENEFICA LTDA.</t>
        </is>
      </c>
    </row>
    <row r="352">
      <c r="E352" t="inlineStr">
        <is>
          <t>1721 - COOPERATIVA DE AHORRO Y CREDITO LA FLORESTA LTDA</t>
        </is>
      </c>
    </row>
    <row r="353">
      <c r="E353" t="inlineStr">
        <is>
          <t>1722 - COOPERATIVA DE AHORRO Y CREDITO LA FLORIDA</t>
        </is>
      </c>
    </row>
    <row r="354">
      <c r="E354" t="inlineStr">
        <is>
          <t>1723 - COOPERATIVA DE AHORRO Y CREDITO LA INMACULADA DE SAN PLACIDO LTDA.</t>
        </is>
      </c>
    </row>
    <row r="355">
      <c r="E355" t="inlineStr">
        <is>
          <t>1724 - COOPERATIVA DE AHORRO Y CREDITO LA LIBERTAD LTDA</t>
        </is>
      </c>
    </row>
    <row r="356">
      <c r="E356" t="inlineStr">
        <is>
          <t>1725 - COOPERATIVA DE AHORRO Y CREDITO LA UNION LTDA</t>
        </is>
      </c>
    </row>
    <row r="357">
      <c r="E357" t="inlineStr">
        <is>
          <t>1726 - COOPERATIVA DE AHORRO Y CREDITO LAS LAGUNAS</t>
        </is>
      </c>
    </row>
    <row r="358">
      <c r="E358" t="inlineStr">
        <is>
          <t>1727 - COOPERATIVA DE AHORRO Y CREDITO LOS ANDES LATINOS LTDA.</t>
        </is>
      </c>
    </row>
    <row r="359">
      <c r="E359" t="inlineStr">
        <is>
          <t>1728 - COOPERATIVA DE AHORRO Y CREDITO LOS CHASQUIS PASTOCALLE LTDA.</t>
        </is>
      </c>
    </row>
    <row r="360">
      <c r="E360" t="inlineStr">
        <is>
          <t>1729 - COOPERATIVA DE AHORRO Y CREDITO LUZ DEL VALLE</t>
        </is>
      </c>
    </row>
    <row r="361">
      <c r="E361" t="inlineStr">
        <is>
          <t>1730 - COOPERATIVA DE AHORRO Y CREDITO MACODES LTDA</t>
        </is>
      </c>
    </row>
    <row r="362">
      <c r="E362" t="inlineStr">
        <is>
          <t>1731 - COOPERATIVA DE AHORRO Y CREDITO MARIA AUXILIADORA DE QUIROGA LTDA.</t>
        </is>
      </c>
    </row>
    <row r="363">
      <c r="E363" t="inlineStr">
        <is>
          <t>1732 - COOPERATIVA DE AHORRO Y CREDITO MICROEMPRESARIAL SUCRE</t>
        </is>
      </c>
    </row>
    <row r="364">
      <c r="E364" t="inlineStr">
        <is>
          <t>1733 - COOPERATIVA DE AHORRO Y CREDITO MIGRANTES &amp; EMPRENDEDORES LTDA</t>
        </is>
      </c>
    </row>
    <row r="365">
      <c r="E365" t="inlineStr">
        <is>
          <t>1734 - COOPERATIVA DE AHORRO Y CREDITO MULTICULTURAL BANCO INDIGENA LTDA.</t>
        </is>
      </c>
    </row>
    <row r="366">
      <c r="E366" t="inlineStr">
        <is>
          <t>1735 - COOPERATIVA DE AHORRO Y CREDITO MUSHUG CAUSAY LTDA</t>
        </is>
      </c>
    </row>
    <row r="367">
      <c r="E367" t="inlineStr">
        <is>
          <t>1736 - COOPERATIVA DE AHORRO Y CREDITO MUSHUK PAKARI LTDA</t>
        </is>
      </c>
    </row>
    <row r="368">
      <c r="E368" t="inlineStr">
        <is>
          <t>1737 - COOPERATIVA DE AHORRO Y CREDITO MUSHUK PAKARIK LTDA.</t>
        </is>
      </c>
    </row>
    <row r="369">
      <c r="E369" t="inlineStr">
        <is>
          <t>1738 - COOPERATIVA DE AHORRO Y CREDITO MUSHUK YUYAY</t>
        </is>
      </c>
    </row>
    <row r="370">
      <c r="E370" t="inlineStr">
        <is>
          <t>1739 - COOPERATIVA DE AHORRO Y CREDITO MUSHUKWASI</t>
        </is>
      </c>
    </row>
    <row r="371">
      <c r="E371" t="inlineStr">
        <is>
          <t>1740 - COOPERATIVA DE AHORRO Y CREDITO NUEVA FUERZA ALIANZA LTDA</t>
        </is>
      </c>
    </row>
    <row r="372">
      <c r="E372" t="inlineStr">
        <is>
          <t>1741 - COOPERATIVA AHORRO Y CREDITO DE LA PEQUEÑA EMPRESA CACPE LOJA LTDA.</t>
        </is>
      </c>
    </row>
    <row r="373">
      <c r="E373" t="inlineStr">
        <is>
          <t>1742 - COOPERATIVA DE AHORRO Y CREDITO ÑUKA LLAKTA LTDA</t>
        </is>
      </c>
    </row>
    <row r="374">
      <c r="E374" t="inlineStr">
        <is>
          <t>1743 - COOPERATIVA DE AHORRO Y CREDITO OCIPSA</t>
        </is>
      </c>
    </row>
    <row r="375">
      <c r="E375" t="inlineStr">
        <is>
          <t>1744 - COOPERATIVA DE AHORRO Y CREDITO OLMEDO LTDA.</t>
        </is>
      </c>
    </row>
    <row r="376">
      <c r="E376" t="inlineStr">
        <is>
          <t>1745 - COOPERATIVA DE AHORRO Y CREDITO PADRE VICENTE PONCE RUBIO</t>
        </is>
      </c>
    </row>
    <row r="377">
      <c r="E377" t="inlineStr">
        <is>
          <t>1746 - COOPERATIVA DE AHORRO Y CREDITO POPULAR Y SOLIDARIA</t>
        </is>
      </c>
    </row>
    <row r="378">
      <c r="E378" t="inlineStr">
        <is>
          <t>1748 - COOP. DE AHORRO Y CREDITO PRODUCCION AHORRO INVERSION SERVICIO P.A.I.S. LTDA</t>
        </is>
      </c>
    </row>
    <row r="379">
      <c r="E379" t="inlineStr">
        <is>
          <t>1749 - COOPERATIVA DE AHORRO Y CREDITO PRODUCCION Y DESARROLLO AGRICOLA COOPRODESA LTDA</t>
        </is>
      </c>
    </row>
    <row r="380">
      <c r="E380" t="inlineStr">
        <is>
          <t>1750 - COOPERATIVA DE AHORRO Y CREDITO PROFUTURO LTDA</t>
        </is>
      </c>
    </row>
    <row r="381">
      <c r="E381" t="inlineStr">
        <is>
          <t>1751 - COOPERATIVA DE AHORRO Y CREDITO PUJILI LTDA.</t>
        </is>
      </c>
    </row>
    <row r="382">
      <c r="E382" t="inlineStr">
        <is>
          <t>1752 - COOPERATIVA DE AHORRO Y CREDITO RIOCHICO</t>
        </is>
      </c>
    </row>
    <row r="383">
      <c r="E383" t="inlineStr">
        <is>
          <t>1753 - COOPERATIVA DE AHORRO Y CREDITO 9 DE OCTUBRE</t>
        </is>
      </c>
    </row>
    <row r="384">
      <c r="E384" t="inlineStr">
        <is>
          <t>1754 - COOPERATIVA DE AHORRO Y CREDITO SALASACA</t>
        </is>
      </c>
    </row>
    <row r="385">
      <c r="E385" t="inlineStr">
        <is>
          <t>1755 - COOPERATIVA DE AHORRO Y CREDITO SALATE LTDA.</t>
        </is>
      </c>
    </row>
    <row r="386">
      <c r="E386" t="inlineStr">
        <is>
          <t>1756 - COOPERATIVA DE AHORRO Y CREDITO SALINAS LIMITADA</t>
        </is>
      </c>
    </row>
    <row r="387">
      <c r="E387" t="inlineStr">
        <is>
          <t>1757 - COOPERATIVA DE AHORRO Y CREDITO SAN ANTONIO DE TOACASO</t>
        </is>
      </c>
    </row>
    <row r="388">
      <c r="E388" t="inlineStr">
        <is>
          <t>1758 - COOPERATIVA DE AHORRO Y CREDITO SAN ANTONIO LTDA.</t>
        </is>
      </c>
    </row>
    <row r="389">
      <c r="E389" t="inlineStr">
        <is>
          <t>1759 - COOPERATIVA DE AHORRO Y CREDITO SAN BARTOLO LTDA.</t>
        </is>
      </c>
    </row>
    <row r="390">
      <c r="E390" t="inlineStr">
        <is>
          <t>1760 - COOPERATIVA DE AHORRO Y CREDITO SAN BARTOLOME LTDA.</t>
        </is>
      </c>
    </row>
    <row r="391">
      <c r="E391" t="inlineStr">
        <is>
          <t>1761 - COOPERATIVA DE AHORRO Y CREDITO SAN FERNANDO LIMITADA</t>
        </is>
      </c>
    </row>
    <row r="392">
      <c r="E392" t="inlineStr">
        <is>
          <t>1762 - COOPERATIVA DE AHORRO Y CREDITO SAN ISIDRO LTDA.</t>
        </is>
      </c>
    </row>
    <row r="393">
      <c r="E393" t="inlineStr">
        <is>
          <t>1763 - COOPERATIVA DE AHORRO Y CREDITO SAN JOSE - AIRO</t>
        </is>
      </c>
    </row>
    <row r="394">
      <c r="E394" t="inlineStr">
        <is>
          <t>1764 - COOPERATIVA DE AHORRO Y CREDITO SAN MARCOS</t>
        </is>
      </c>
    </row>
    <row r="395">
      <c r="E395" t="inlineStr">
        <is>
          <t>1765 - COOPERATIVA DE AHORRO Y CREDITO SAN MARTIN DE TISALEO LTDA</t>
        </is>
      </c>
    </row>
    <row r="396">
      <c r="E396" t="inlineStr">
        <is>
          <t>1766 - COOPERATIVA DE AHORRO Y CREDITO SAN MIGUEL DE PALLATANGA</t>
        </is>
      </c>
    </row>
    <row r="397">
      <c r="E397" t="inlineStr">
        <is>
          <t>1767 - COOPERATIVA DE AHORRO Y CREDITO SAN PEDRO DE PELILEO LTDA.</t>
        </is>
      </c>
    </row>
    <row r="398">
      <c r="E398" t="inlineStr">
        <is>
          <t>1768 - COOPERATIVA DE AHORRO Y CREDITO SAN PEDRO LTDA.</t>
        </is>
      </c>
    </row>
    <row r="399">
      <c r="E399" t="inlineStr">
        <is>
          <t>1769 - COOPERATIVA DE AHORRO Y CREDITO SAN SANTIAGO DE MOLLETURO</t>
        </is>
      </c>
    </row>
    <row r="400">
      <c r="E400" t="inlineStr">
        <is>
          <t>1770 - COOPERATIVA DE AHORRO Y CREDITO SAN SEBASTIAN - LOJA</t>
        </is>
      </c>
    </row>
    <row r="401">
      <c r="E401" t="inlineStr">
        <is>
          <t>1771 - COOPERATIVA DE AHORRO Y CREDITO SANTA ISABEL LTDA</t>
        </is>
      </c>
    </row>
    <row r="402">
      <c r="E402" t="inlineStr">
        <is>
          <t>1772 - COOPERATIVA DE AHORRO Y CREDITO SARAGUROS</t>
        </is>
      </c>
    </row>
    <row r="403">
      <c r="E403" t="inlineStr">
        <is>
          <t>1773 - COOPERATIVA DE AHORRO Y CREDITO SERVIDORES MUNICIPALES DE CUENCA</t>
        </is>
      </c>
    </row>
    <row r="404">
      <c r="E404" t="inlineStr">
        <is>
          <t>1774 - COOPERATIVA DE AHORRO Y CREDITO SIMON BOLIVAR</t>
        </is>
      </c>
    </row>
    <row r="405">
      <c r="E405" t="inlineStr">
        <is>
          <t>1775 - COOPERATIVA DE AHORRO Y CREDITO SOCIO AMIGO COOPSA</t>
        </is>
      </c>
    </row>
    <row r="406">
      <c r="E406" t="inlineStr">
        <is>
          <t>1776 - COOPERATIVA DE AHORRO Y CREDITO SOL DE LOS ANDES LTDA</t>
        </is>
      </c>
    </row>
    <row r="407">
      <c r="E407" t="inlineStr">
        <is>
          <t>1777 - COOPERATIVA DE AHORRO Y CREDITO SOLIDARIA LTDA</t>
        </is>
      </c>
    </row>
    <row r="408">
      <c r="E408" t="inlineStr">
        <is>
          <t>1778 - COOPERATIVA DE AHORRO Y CREDITO SOLIDARIA LTDA. GUALAQUIZA</t>
        </is>
      </c>
    </row>
    <row r="409">
      <c r="E409" t="inlineStr">
        <is>
          <t>1779 - COOPERATIVA DE AHORRO Y CREDITO SOLIDARIDAD Y PROGRESO ORIENTAL</t>
        </is>
      </c>
    </row>
    <row r="410">
      <c r="E410" t="inlineStr">
        <is>
          <t>1780 - COOPERATIVA DE AHORRO Y CREDITO SUMAK SAMY LTDA.</t>
        </is>
      </c>
    </row>
    <row r="411">
      <c r="E411" t="inlineStr">
        <is>
          <t>1781 - COOPERATIVA DE AHORRO Y CREDITO UNIBLOCK Y SERVICIOS LTDA.</t>
        </is>
      </c>
    </row>
    <row r="412">
      <c r="E412" t="inlineStr">
        <is>
          <t>1782 - COOPERATIVA DE AHORRO Y CREDITO UNIOTAVALO LTDA</t>
        </is>
      </c>
    </row>
    <row r="413">
      <c r="E413" t="inlineStr">
        <is>
          <t>1783 - COOPERATIVA DE AHORRO Y CREDITO WARMIKUNAPAK RIKCHARI LTDA.</t>
        </is>
      </c>
    </row>
    <row r="414">
      <c r="E414" t="inlineStr">
        <is>
          <t>1784 - COOPERATIVA DE AHORRO Y CREDITO WUAMANLOMA LTDA.</t>
        </is>
      </c>
    </row>
    <row r="415">
      <c r="E415" t="inlineStr">
        <is>
          <t>1785 - COOPERATIVA DE SERVICIOS MULTIPLES AGRO VIDA COOSEMAV</t>
        </is>
      </c>
    </row>
    <row r="416">
      <c r="E416" t="inlineStr">
        <is>
          <t>1786 - COOPERTATIVA DE AHORRO Y CREDITO UNION QUISAPINCHA LTDA.</t>
        </is>
      </c>
    </row>
    <row r="417">
      <c r="E417" t="inlineStr">
        <is>
          <t>1787 - COOPJADAN LTDA, COOPERATIVA DE AHORRO Y CREDITO JADAN</t>
        </is>
      </c>
    </row>
    <row r="418">
      <c r="E418" t="inlineStr">
        <is>
          <t>1788 - COOPERATIVA DE AHORRO Y CREDITO CACPE MANABI</t>
        </is>
      </c>
    </row>
    <row r="419">
      <c r="E419" t="inlineStr">
        <is>
          <t>1789 - COOPERATIVA DE AHORRO Y CREDITO CRECER WIÑARI LTDA.</t>
        </is>
      </c>
    </row>
    <row r="420">
      <c r="E420" t="inlineStr">
        <is>
          <t>1790 - COOP. AHORRO Y CREDITO DEL SINDICATO DE CHOFERES PROFESIONALES DEL AZUAY LTDA.</t>
        </is>
      </c>
    </row>
    <row r="421">
      <c r="E421" t="inlineStr">
        <is>
          <t>1791 - COOPERATIVA DE AHORRO Y CREDITO EMPRENDEDORES 'COOPEMPRENDER' LIMITADA</t>
        </is>
      </c>
    </row>
    <row r="422">
      <c r="E422" t="inlineStr">
        <is>
          <t>1792 - COOPERATIVA DE AHORRO Y CREDITO NUEVA LOJA LTDA.</t>
        </is>
      </c>
    </row>
    <row r="423">
      <c r="E423" t="inlineStr">
        <is>
          <t>1793 - COOPERATIVA DE AHORRO Y CREDITO SAN JUAN DE COTOGCHOA</t>
        </is>
      </c>
    </row>
    <row r="424">
      <c r="E424" t="inlineStr">
        <is>
          <t>1802 - COOPERATIVA DE AHORRO Y CREDITO MAS AHORRO SOLIDARIO MASCOOP</t>
        </is>
      </c>
    </row>
    <row r="425">
      <c r="E425" t="inlineStr">
        <is>
          <t>1815 - COOPERATIVA DE AHORRO Y CREDITO TIENDA DE DINERO LTDA.</t>
        </is>
      </c>
    </row>
    <row r="426">
      <c r="E426" t="inlineStr">
        <is>
          <t>1816 - COOPERATIVA DE AHORRO Y CREDITO VILCABAMBA CACVIL</t>
        </is>
      </c>
    </row>
    <row r="427">
      <c r="E427" t="inlineStr">
        <is>
          <t>1869 - AUSTROBANK OVERSEAS PANAMA S.A</t>
        </is>
      </c>
    </row>
    <row r="428">
      <c r="E428" t="inlineStr">
        <is>
          <t>1900 - EXTERNALIZACIÓN DE SERVICIOS S.A. EXSERSA</t>
        </is>
      </c>
    </row>
    <row r="429">
      <c r="E429" t="inlineStr">
        <is>
          <t>1901 - BANCO DEL INSTITUTO ECUATORIANO DE SEGURIDAD SOCIAL</t>
        </is>
      </c>
    </row>
    <row r="430">
      <c r="E430" t="inlineStr">
        <is>
          <t>1903 - COOPERATIVA DE AHORRO Y CREDITO 23 DE MAYO LTDA.</t>
        </is>
      </c>
    </row>
    <row r="431">
      <c r="E431" t="inlineStr">
        <is>
          <t>1904 - COOPERATIVA DE AHORRO Y CRÉDITO COCA LTDA</t>
        </is>
      </c>
    </row>
    <row r="432">
      <c r="E432" t="inlineStr">
        <is>
          <t>1905 - COOPERATIVA  DE AHORRO Y CRÉDITO PILAHUIN TIO LTDA</t>
        </is>
      </c>
    </row>
    <row r="433">
      <c r="E433" t="inlineStr">
        <is>
          <t>1906 - COOPERATIVA  DE AHORRO Y CRÉDITO HUAICANA LTDA</t>
        </is>
      </c>
    </row>
    <row r="434">
      <c r="E434" t="inlineStr">
        <is>
          <t>1907 - COOPERATIVA DE AHORRO Y CREDITO  CREDISUR LTDA.</t>
        </is>
      </c>
    </row>
    <row r="435">
      <c r="E435" t="inlineStr">
        <is>
          <t>1908 - COOPERATIVA DE AHORRO Y CREDITO  MAQUITA CUSHUNCHIC LTDA.</t>
        </is>
      </c>
    </row>
    <row r="436">
      <c r="E436" t="inlineStr">
        <is>
          <t>1909 - COOPERATIVA DE AHORRO Y CREDITO  GENERAL RUMIÑAHUI</t>
        </is>
      </c>
    </row>
    <row r="437">
      <c r="E437" t="inlineStr">
        <is>
          <t>1910 - COOPERATIVA DE AHORRO Y CREDITO  CASAG LTDA</t>
        </is>
      </c>
    </row>
    <row r="438">
      <c r="E438" t="inlineStr">
        <is>
          <t>1911 - COOPERATIVA DE AHORRO Y CREDITO  FOCLA</t>
        </is>
      </c>
    </row>
    <row r="439">
      <c r="E439" t="inlineStr">
        <is>
          <t>1912 - COOPERATIVA DE AHORRO Y CREDITO  FINANCIERA INDIGENA LTDA.</t>
        </is>
      </c>
    </row>
    <row r="440">
      <c r="E440" t="inlineStr">
        <is>
          <t>1913 - SOCIEDAD FINANCIERA VISIONFUND ECUADOR S.A.</t>
        </is>
      </c>
    </row>
    <row r="441">
      <c r="E441" t="inlineStr">
        <is>
          <t>1915 - BANCO-D-MIRO S.A.</t>
        </is>
      </c>
    </row>
    <row r="442">
      <c r="E442" t="inlineStr">
        <is>
          <t>1916 - COOPERATIVA  DE AHORRO Y CREDITO HUAQUILLAS LTDA.</t>
        </is>
      </c>
    </row>
    <row r="443">
      <c r="E443" t="inlineStr">
        <is>
          <t>1917 - COOPERATIVA DE AHORRO Y CREDITO  DEL COL. FISC. EXPER. VICENTE ROCAFUERTE</t>
        </is>
      </c>
    </row>
    <row r="444">
      <c r="E444" t="inlineStr">
        <is>
          <t>1918 - BANCO PARA LA ASISTENCIA COMUNITARIA FINCA S.A.</t>
        </is>
      </c>
    </row>
    <row r="445">
      <c r="E445" t="inlineStr">
        <is>
          <t>1920 - COOPERATIVA DE AHORRO Y CREDITO  ECUAFUTURO LTDA.</t>
        </is>
      </c>
    </row>
    <row r="446">
      <c r="E446" t="inlineStr">
        <is>
          <t>1921 - COOPERATIVA DE AHORRO Y CREDITO  MAQUITA CUSHUN LTDA.</t>
        </is>
      </c>
    </row>
    <row r="447">
      <c r="E447" t="inlineStr">
        <is>
          <t>1922 - COOPERATIVA DE AHORRO Y CREDITO  VALLES DEL LIRIO</t>
        </is>
      </c>
    </row>
    <row r="448">
      <c r="E448" t="inlineStr">
        <is>
          <t>1923 - COOPERATIVA  ESFUERZO UNIDO PARA EL DESARR. DEL CHILCO LA ESPERANZA</t>
        </is>
      </c>
    </row>
    <row r="449">
      <c r="E449" t="inlineStr">
        <is>
          <t>1924 - COOPERATIVA  A. Y C. CARROCEROS DE TUNGURAHUA</t>
        </is>
      </c>
    </row>
    <row r="450">
      <c r="E450" t="inlineStr">
        <is>
          <t>1925 - COOPERATIVA DE AHORRO Y CREDITO  INKA KIPU LTDA.</t>
        </is>
      </c>
    </row>
    <row r="451">
      <c r="E451" t="inlineStr">
        <is>
          <t>1926 - COOPERATIVA  DE AHORRO Y CRÉDITO 'SIMIATUG LTDA'</t>
        </is>
      </c>
    </row>
    <row r="452">
      <c r="E452" t="inlineStr">
        <is>
          <t>1928 - COOPERATIVA DE AHORRO Y CREDITO  PIJAL</t>
        </is>
      </c>
    </row>
    <row r="453">
      <c r="E453" t="inlineStr">
        <is>
          <t>1929 - COOPERATIVA DE AHORRO Y CREDITO  ESCENCIA INDIGENA LTDA.</t>
        </is>
      </c>
    </row>
    <row r="454">
      <c r="E454" t="inlineStr">
        <is>
          <t>1930 - COOPERATIVA DE AHORRO Y CREDITO  SANTA ROSA DE PATUTAN LTDA.</t>
        </is>
      </c>
    </row>
    <row r="455">
      <c r="E455" t="inlineStr">
        <is>
          <t>1931 - COOPERATIVA  DE AHORRO Y CREDITO SAN MIGUEL DE SIGCHOS</t>
        </is>
      </c>
    </row>
    <row r="456">
      <c r="E456" t="inlineStr">
        <is>
          <t>1932 - COOPERATIVA DE AHORRO Y CREDITO  SIERRA CENTRO LTDA.</t>
        </is>
      </c>
    </row>
    <row r="457">
      <c r="E457" t="inlineStr">
        <is>
          <t>1933 - COOPERATIVA DE AHORRO Y CREDITO  UNION MERCEDARIA LTDA.</t>
        </is>
      </c>
    </row>
    <row r="458">
      <c r="E458" t="inlineStr">
        <is>
          <t>1935 - COOPERATIVA  DE AHORRO Y CREDITO CREDIAMIGO LTDA. LOJA (MIES)</t>
        </is>
      </c>
    </row>
    <row r="459">
      <c r="E459" t="inlineStr">
        <is>
          <t>1936 - COOPERATIVA DE AHORRO Y CREDITO FORTUNA (MIES)</t>
        </is>
      </c>
    </row>
    <row r="460">
      <c r="E460" t="inlineStr">
        <is>
          <t>1937 - COOPERATIVA DE AHORRO Y CREDITO DE LOS PROFESIONALES DEL VOLANTE UNION LTDA</t>
        </is>
      </c>
    </row>
    <row r="461">
      <c r="E461" t="inlineStr">
        <is>
          <t>1938 - COOPERATIVA DE AHORRO Y CREDITO CACPE CELICA</t>
        </is>
      </c>
    </row>
    <row r="462">
      <c r="E462" t="inlineStr">
        <is>
          <t>1939 - COOPERATIVA DE AHORRO Y CREDITO CATAMAYO LTDA. (MIES)</t>
        </is>
      </c>
    </row>
    <row r="463">
      <c r="E463" t="inlineStr">
        <is>
          <t>1940 - COOPERATIVA DE AHORRO Y CREDITO  DE LA PEQ. EMPRESA CACPE MACARÁ</t>
        </is>
      </c>
    </row>
    <row r="464">
      <c r="E464" t="inlineStr">
        <is>
          <t>1941 - COOPERATIVA  AHO.Y CRED.NUEVOS HORIZONTES EL ORO LTDA.</t>
        </is>
      </c>
    </row>
    <row r="465">
      <c r="E465" t="inlineStr">
        <is>
          <t>1942 - COOPERATIVA DE AHORRO Y CREDITO  16 DE JUNIO</t>
        </is>
      </c>
    </row>
    <row r="466">
      <c r="E466" t="inlineStr">
        <is>
          <t>1943 - COOPERATIVA DE AHORRO Y CREDITO  FUTURO Y PROGRESO DE GALAPAGOS LTDA.</t>
        </is>
      </c>
    </row>
    <row r="467">
      <c r="E467" t="inlineStr">
        <is>
          <t>1944 - COOPERATIVA DE AHORRO Y CREDITO  LUCHA CAMPESINA LTDA.</t>
        </is>
      </c>
    </row>
    <row r="468">
      <c r="E468" t="inlineStr">
        <is>
          <t>1945 - COOPERATIVA DE AHORRO Y CREDITO  GUAMOTE LTDA.</t>
        </is>
      </c>
    </row>
    <row r="469">
      <c r="E469" t="inlineStr">
        <is>
          <t>1946 - COOPERATIVA DE AHORRO Y CREDITO  EDUCADORES TULCAN LTDA.</t>
        </is>
      </c>
    </row>
    <row r="470">
      <c r="E470" t="inlineStr">
        <is>
          <t>1947 - COOPERATIVA DE AHORRO Y CREDITO COOPAC AUSTRO LTDA</t>
        </is>
      </c>
    </row>
    <row r="471">
      <c r="E471" t="inlineStr">
        <is>
          <t>1948 - COOPERATIVA DE AHORRO Y CREDITO INDIGENA ALFA Y OMEGA LTDA</t>
        </is>
      </c>
    </row>
    <row r="472">
      <c r="E472" t="inlineStr">
        <is>
          <t>1949 - COOPERATIVA DE AHORRO Y CREDITO CHIBULEO</t>
        </is>
      </c>
    </row>
    <row r="473">
      <c r="E473" t="inlineStr">
        <is>
          <t>1950 - COOPERATIVA DE AHORRO Y CREDITO KISAPINCHA LTDA.</t>
        </is>
      </c>
    </row>
    <row r="474">
      <c r="E474" t="inlineStr">
        <is>
          <t>1951 - COOPERATIVA DE AHORRO Y CREDITO VIRGEN DEL CISNE</t>
        </is>
      </c>
    </row>
    <row r="475">
      <c r="E475" t="inlineStr">
        <is>
          <t>1952 - COOPERATIVA AHORRO Y CREDITO 26 DE SEPTIEMBRE LAZARO CONDO</t>
        </is>
      </c>
    </row>
    <row r="476">
      <c r="E476" t="inlineStr">
        <is>
          <t>1953 - COOPERATIVA AHORRO Y CREDITO AFRO ECUATORIANA DE LA PEQUEÑA EMPRESA LTDA CACAEPE</t>
        </is>
      </c>
    </row>
    <row r="477">
      <c r="E477" t="inlineStr">
        <is>
          <t>1954 - COOPERATIVA AHORRO Y CREDITO UNION EL EJIDO</t>
        </is>
      </c>
    </row>
    <row r="478">
      <c r="E478" t="inlineStr">
        <is>
          <t>1955 - COOPERATIVA DE AHORRO Y CREDITO 13 DE ABRIL</t>
        </is>
      </c>
    </row>
    <row r="479">
      <c r="E479" t="inlineStr">
        <is>
          <t>1956 - COOPERATIVA DE AHORRO Y CREDITO 15 DE DICIEMBRE LINDERO LTDA</t>
        </is>
      </c>
    </row>
    <row r="480">
      <c r="E480" t="inlineStr">
        <is>
          <t>1957 - COOPERATIVA DE AHORRO Y CREDITO 15 DE MAYO LTDA</t>
        </is>
      </c>
    </row>
    <row r="481">
      <c r="E481" t="inlineStr">
        <is>
          <t>1958 - COOPERATIVA DE AHORRO Y CREDITO 20 DE FEBRERO LTDA.</t>
        </is>
      </c>
    </row>
    <row r="482">
      <c r="E482" t="inlineStr">
        <is>
          <t>1959 - COOPERATIVA DE AHORRO Y CREDITO 21 DE NOVIEMBRE LTDA.</t>
        </is>
      </c>
    </row>
    <row r="483">
      <c r="E483" t="inlineStr">
        <is>
          <t>1960 - COOPERATIVA DE AHORRO Y CREDITO 22 DE JUNIO</t>
        </is>
      </c>
    </row>
    <row r="484">
      <c r="E484" t="inlineStr">
        <is>
          <t>1962 - COOPERATIVA DE AHORRO Y CREDITO 27 DE ABRIL</t>
        </is>
      </c>
    </row>
    <row r="485">
      <c r="E485" t="inlineStr">
        <is>
          <t>1963 - COOPERATIVA DE AHORRO Y CREDITO 4 DE OCTUBRE SAN FRANCISCO DE CHAMBO</t>
        </is>
      </c>
    </row>
    <row r="486">
      <c r="E486" t="inlineStr">
        <is>
          <t>1964 - COOPERATIVA DE AHORRO Y CREDITO ABDON CALDERON LTDA.</t>
        </is>
      </c>
    </row>
    <row r="487">
      <c r="E487" t="inlineStr">
        <is>
          <t>1965 - COOPERATIVA DE AHORRO Y CREDITO ACCION TUNGURAHUA LTDA.</t>
        </is>
      </c>
    </row>
    <row r="488">
      <c r="E488" t="inlineStr">
        <is>
          <t>1966 - COOPERATIVA DE AHORRO Y CREDITO AGRO PRODUCTIVA MANABI LTDA.</t>
        </is>
      </c>
    </row>
    <row r="489">
      <c r="E489" t="inlineStr">
        <is>
          <t>1967 - COOPERATIVA DE AHORRO Y CREDITO AGUILAS DE CRISTO</t>
        </is>
      </c>
    </row>
    <row r="490">
      <c r="E490" t="inlineStr">
        <is>
          <t>1968 - COOPERATIVA DE AHORRO Y CREDITO ALLI TARPUC</t>
        </is>
      </c>
    </row>
    <row r="491">
      <c r="E491" t="inlineStr">
        <is>
          <t>1969 - COOPERATIVA DE AHORRO Y CREDITO BASHALAN LTDA</t>
        </is>
      </c>
    </row>
    <row r="492">
      <c r="E492" t="inlineStr">
        <is>
          <t>1970 - COOPERATIVA DE AHORRO Y CREDITO BUENA FE LTDA.</t>
        </is>
      </c>
    </row>
    <row r="493">
      <c r="E493" t="inlineStr">
        <is>
          <t>1971 - COOPERATIVA DE AHORRO Y CREDITO CACIQUE GURITAVE</t>
        </is>
      </c>
    </row>
    <row r="494">
      <c r="E494" t="inlineStr">
        <is>
          <t>1972 - COOPERATIVA DE AHORRO Y CREDITO CAMARA DE COMERCIO DE RIOBAMBA LTDA</t>
        </is>
      </c>
    </row>
    <row r="495">
      <c r="E495" t="inlineStr">
        <is>
          <t>1973 - COOPERATIVA DE AHORRO Y CREDITO CAMARA DE COMERCIO DE SANTO DOMINGO</t>
        </is>
      </c>
    </row>
    <row r="496">
      <c r="E496" t="inlineStr">
        <is>
          <t>1974 - COOPERATIVA DE AHORRO Y CREDITO CAMARA DE COMERCIO DEL CANTON EL CARMEN LTDA.</t>
        </is>
      </c>
    </row>
    <row r="497">
      <c r="E497" t="inlineStr">
        <is>
          <t>1975 - COOPERATIVA DE AHORRO Y CREDITO CAÑAR LTDA.</t>
        </is>
      </c>
    </row>
    <row r="498">
      <c r="E498" t="inlineStr">
        <is>
          <t>1976 - COOPERATIVA DE AHORRO Y CREDITO CHOCO TUNGURAHUA RUNA LTDA.</t>
        </is>
      </c>
    </row>
    <row r="499">
      <c r="E499" t="inlineStr">
        <is>
          <t>1977 - COOPERATIVA DE AHORRO Y CREDITO COLEGIO DE INGENIEROS CIVILES DEL AZUAY C.I.C.A.</t>
        </is>
      </c>
    </row>
    <row r="500">
      <c r="E500" t="inlineStr">
        <is>
          <t>1978 - COOPERATIVA DE AHORRO Y CREDITO COOPARTAMOS LTDA.</t>
        </is>
      </c>
    </row>
    <row r="501">
      <c r="E501" t="inlineStr">
        <is>
          <t>1979 - COOPERATIVA DE AHORRO Y CREDITO COOPINDIGENA LTDA.</t>
        </is>
      </c>
    </row>
    <row r="502">
      <c r="E502" t="inlineStr">
        <is>
          <t>1980 - COOPERATIVA DE AHORRO Y CREDITO COOPTOPAXI LTDA.</t>
        </is>
      </c>
    </row>
    <row r="503">
      <c r="E503" t="inlineStr">
        <is>
          <t>1981 - COOPERATIVA DE AHORRO Y CREDITO CORDILLERA DE LOS ANDES LTDA.</t>
        </is>
      </c>
    </row>
    <row r="504">
      <c r="E504" t="inlineStr">
        <is>
          <t>1982 - COOPERATIVA DE AHORRO Y CREDITO CORPORACION CENTRO LTDA.</t>
        </is>
      </c>
    </row>
    <row r="505">
      <c r="E505" t="inlineStr">
        <is>
          <t>1983 - COOPERATIVA DE AHORRO Y CREDITO CREA LTDA.</t>
        </is>
      </c>
    </row>
    <row r="506">
      <c r="E506" t="inlineStr">
        <is>
          <t>1984 - COOPERATIVA DE AHORRO Y CREDITO CREDI UNION LTDA</t>
        </is>
      </c>
    </row>
    <row r="507">
      <c r="E507" t="inlineStr">
        <is>
          <t>1985 - COOPERATIVA DE AHORRO Y CREDITO CREDIL LTDA.</t>
        </is>
      </c>
    </row>
    <row r="508">
      <c r="E508" t="inlineStr">
        <is>
          <t>1986 - COOPERATIVA DE AHORRO Y CREDITO CUNA DE LA NACIONALIDAD LTDA.</t>
        </is>
      </c>
    </row>
    <row r="509">
      <c r="E509" t="inlineStr">
        <is>
          <t>1987 - COOPERATIVA DE AHORRO Y CREDITO DE LA CAMARA DE COMERCIO DE GONZANAMA</t>
        </is>
      </c>
    </row>
    <row r="510">
      <c r="E510" t="inlineStr">
        <is>
          <t>1990 - COOPERATIVA DE AHORRO Y CREDITO DE LA MICROEMPRESA DE CHIMBORAZO LTDA</t>
        </is>
      </c>
    </row>
    <row r="511">
      <c r="E511" t="inlineStr">
        <is>
          <t>1991 - COOP DE AHORRO Y CREDITO DE LA PEQUEÑA Y MEDIANA EMPRESA COOPYMEC-MACARA</t>
        </is>
      </c>
    </row>
    <row r="512">
      <c r="E512" t="inlineStr">
        <is>
          <t>1992 - COOPERATIVA DE AHORRO Y CREDITO DE VIVIENDA Y DESARROLLO CASA FACIL LTDA</t>
        </is>
      </c>
    </row>
    <row r="513">
      <c r="E513" t="inlineStr">
        <is>
          <t>1993 - COOPERATIVA DE AHORRO Y CREDITO DEL AZUAY</t>
        </is>
      </c>
    </row>
    <row r="514">
      <c r="E514" t="inlineStr">
        <is>
          <t>1994 - COOPERATIVA DE AHORRO Y CREDITO DEL EMIGRANTE ECUATORIANO Y SU FAMILIA LTDA.</t>
        </is>
      </c>
    </row>
    <row r="515">
      <c r="E515" t="inlineStr">
        <is>
          <t>1995 - COOPERATIVA DE AHORRO Y CREDITO SAN PEDRO DE TABOADA LTDA.</t>
        </is>
      </c>
    </row>
    <row r="516">
      <c r="E516" t="inlineStr">
        <is>
          <t>1996 - COOPERATIVA DE AHORRO Y CREDITO DESARROLLO POPULAR LTDA.</t>
        </is>
      </c>
    </row>
    <row r="517">
      <c r="E517" t="inlineStr">
        <is>
          <t>1997 - COOPERATIVA DE AHORRO Y CREDITO ECONOMIA DEL SUR ECOSUR</t>
        </is>
      </c>
    </row>
    <row r="518">
      <c r="E518" t="inlineStr">
        <is>
          <t>1998 - COOPERATIVA DE AHORRO Y CREDITO EDUCADORES DE EL ORO LTDA</t>
        </is>
      </c>
    </row>
    <row r="519">
      <c r="E519" t="inlineStr">
        <is>
          <t>1999 - COOPERATIVA DE AHORRO Y CREDITO EDUCADORES DE ZAMORA CHINCHIPE LTDA.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2026-05-21T13:02:22Z</dcterms:created>
  <dcterms:modified xsi:type="dcterms:W3CDTF">2026-05-21T13:02:22Z</dcterms:modified>
</cp:coreProperties>
</file>