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Generar XML" sheetId="12" state="visible" r:id="rId12"/>
    <sheet name="Datos del XML" sheetId="13" state="visible" r:id="rId13"/>
    <sheet name="_Mapa" sheetId="14" state="hidden" r:id="rId14"/>
    <sheet name="Catalogos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19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  <sz val="14"/>
    </font>
    <font>
      <i val="1"/>
      <color rgb="007A7A7A"/>
      <sz val="8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164" fontId="0" fillId="0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indent="1"/>
    </xf>
    <xf numFmtId="0" fontId="1" fillId="5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Concentracion de activos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strRef>
              <f>'Dashboard'!$AA$3:$AA$5</f>
            </strRef>
          </cat>
          <val>
            <numRef>
              <f>'Dashboard'!$AB$3:$AB$5</f>
            </numRef>
          </val>
        </ser>
        <dLbls>
          <numFmt formatCode="&quot;$&quot;#,##0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Composicion: activos, pasivos y patrimonio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strRef>
              <f>'Dashboard'!$B$38:$B$40</f>
            </strRef>
          </cat>
          <val>
            <numRef>
              <f>'Dashboard'!$D$38:$D$40</f>
            </numRef>
          </val>
        </ser>
        <dLbls>
          <showLegendKey val="0"/>
          <showVal val="0"/>
          <showCatName val="1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56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576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hidden="1" width="13" customWidth="1" min="27" max="27"/>
    <col hidden="1" width="13" customWidth="1" min="28" max="28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NAVAS MARCO VINICIO   |   R - RUC: 1709164899001   |   SOC - Sociedad conyugal o union de hecho   |   Comparativo 2025 vs 2026</t>
        </is>
      </c>
    </row>
    <row r="3" ht="5" customHeight="1">
      <c r="A3" s="3" t="n"/>
      <c r="AA3" t="inlineStr">
        <is>
          <t>Dinero e inversiones</t>
        </is>
      </c>
      <c r="AB3" s="4">
        <f>D12</f>
        <v/>
      </c>
    </row>
    <row r="4">
      <c r="AA4" t="inlineStr">
        <is>
          <t>Vehiculos, naves y aeronaves</t>
        </is>
      </c>
      <c r="AB4" s="4">
        <f>D16</f>
        <v/>
      </c>
    </row>
    <row r="5" ht="6" customHeight="1">
      <c r="B5" s="5" t="n"/>
      <c r="C5" s="6" t="n"/>
      <c r="D5" s="7" t="n"/>
      <c r="E5" s="6" t="n"/>
      <c r="F5" s="8" t="n"/>
      <c r="G5" s="6" t="n"/>
      <c r="AA5" t="inlineStr">
        <is>
          <t>Bienes inmuebles</t>
        </is>
      </c>
      <c r="AB5" s="4">
        <f>D18</f>
        <v/>
      </c>
    </row>
    <row r="6">
      <c r="B6" s="9" t="inlineStr">
        <is>
          <t>TOTAL ACTIVOS</t>
        </is>
      </c>
      <c r="C6" s="10" t="n"/>
      <c r="D6" s="11" t="inlineStr">
        <is>
          <t>TOTAL PASIVOS</t>
        </is>
      </c>
      <c r="E6" s="12" t="n"/>
      <c r="F6" s="13" t="inlineStr">
        <is>
          <t>PATRIMONIO NETO</t>
        </is>
      </c>
      <c r="G6" s="14" t="n"/>
    </row>
    <row r="7" ht="28" customHeight="1">
      <c r="B7" s="15">
        <f>D20</f>
        <v/>
      </c>
      <c r="C7" s="10" t="n"/>
      <c r="D7" s="16">
        <f>D25</f>
        <v/>
      </c>
      <c r="E7" s="12" t="n"/>
      <c r="F7" s="17">
        <f>D31</f>
        <v/>
      </c>
      <c r="G7" s="14" t="n"/>
    </row>
    <row r="8">
      <c r="B8" s="18" t="inlineStr">
        <is>
          <t>Var. proyectada</t>
        </is>
      </c>
      <c r="C8" s="19">
        <f>G20</f>
        <v/>
      </c>
      <c r="D8" s="20" t="inlineStr">
        <is>
          <t>Var. proyectada</t>
        </is>
      </c>
      <c r="E8" s="21">
        <f>G25</f>
        <v/>
      </c>
      <c r="F8" s="22" t="inlineStr">
        <is>
          <t>Var. proyectada</t>
        </is>
      </c>
      <c r="G8" s="23">
        <f>G31</f>
        <v/>
      </c>
    </row>
    <row r="10" ht="22" customHeight="1">
      <c r="B10" s="24" t="inlineStr">
        <is>
          <t>ACTIVOS</t>
        </is>
      </c>
    </row>
    <row r="11" ht="24" customHeight="1">
      <c r="B11" s="25" t="inlineStr">
        <is>
          <t>Concepto</t>
        </is>
      </c>
      <c r="C11" s="25" t="n"/>
      <c r="D11" s="26" t="inlineStr">
        <is>
          <t>Total 2025</t>
        </is>
      </c>
      <c r="E11" s="26" t="inlineStr">
        <is>
          <t>Total 2026</t>
        </is>
      </c>
      <c r="F11" s="26" t="inlineStr">
        <is>
          <t>Variacion</t>
        </is>
      </c>
      <c r="G11" s="26" t="inlineStr">
        <is>
          <t>Variacion %</t>
        </is>
      </c>
    </row>
    <row r="12" ht="20" customHeight="1">
      <c r="B12" s="27" t="inlineStr">
        <is>
          <t>Dinero e inversiones</t>
        </is>
      </c>
      <c r="D12" s="28">
        <f>'Dinero'!J10</f>
        <v/>
      </c>
      <c r="E12" s="28">
        <f>'Dinero'!K10</f>
        <v/>
      </c>
      <c r="F12" s="28">
        <f>E12-D12</f>
        <v/>
      </c>
      <c r="G12" s="29">
        <f>IF(D12=0,"",(E12-D12)/D12)</f>
        <v/>
      </c>
    </row>
    <row r="13" ht="20" customHeight="1">
      <c r="B13" s="27" t="inlineStr">
        <is>
          <t>Derechos representativos de capital</t>
        </is>
      </c>
      <c r="D13" s="28">
        <f>'Derechos de Capital'!J14</f>
        <v/>
      </c>
      <c r="E13" s="28">
        <f>'Derechos de Capital'!K14</f>
        <v/>
      </c>
      <c r="F13" s="28">
        <f>E13-D13</f>
        <v/>
      </c>
      <c r="G13" s="29">
        <f>IF(D13=0,"",(E13-D13)/D13)</f>
        <v/>
      </c>
    </row>
    <row r="14" ht="20" customHeight="1">
      <c r="B14" s="27" t="inlineStr">
        <is>
          <t>Cuentas por cobrar</t>
        </is>
      </c>
      <c r="D14" s="28">
        <f>'Cuentas por Cobrar'!J14</f>
        <v/>
      </c>
      <c r="E14" s="28">
        <f>'Cuentas por Cobrar'!K14</f>
        <v/>
      </c>
      <c r="F14" s="28">
        <f>E14-D14</f>
        <v/>
      </c>
      <c r="G14" s="29">
        <f>IF(D14=0,"",(E14-D14)/D14)</f>
        <v/>
      </c>
    </row>
    <row r="15" ht="20" customHeight="1">
      <c r="B15" s="27" t="inlineStr">
        <is>
          <t>Bienes muebles</t>
        </is>
      </c>
      <c r="D15" s="28">
        <f>'Bienes Muebles'!F14</f>
        <v/>
      </c>
      <c r="E15" s="28">
        <f>'Bienes Muebles'!G14</f>
        <v/>
      </c>
      <c r="F15" s="28">
        <f>E15-D15</f>
        <v/>
      </c>
      <c r="G15" s="29">
        <f>IF(D15=0,"",(E15-D15)/D15)</f>
        <v/>
      </c>
    </row>
    <row r="16" ht="20" customHeight="1">
      <c r="B16" s="27" t="inlineStr">
        <is>
          <t>Vehiculos, naves y aeronaves</t>
        </is>
      </c>
      <c r="D16" s="28">
        <f>'Vehiculos'!G9</f>
        <v/>
      </c>
      <c r="E16" s="28">
        <f>'Vehiculos'!H9</f>
        <v/>
      </c>
      <c r="F16" s="28">
        <f>E16-D16</f>
        <v/>
      </c>
      <c r="G16" s="29">
        <f>IF(D16=0,"",(E16-D16)/D16)</f>
        <v/>
      </c>
    </row>
    <row r="17" ht="20" customHeight="1">
      <c r="B17" s="27" t="inlineStr">
        <is>
          <t>Derechos (usufructo, uso, etc.)</t>
        </is>
      </c>
      <c r="D17" s="28">
        <f>'Derechos'!F14</f>
        <v/>
      </c>
      <c r="E17" s="28">
        <f>'Derechos'!G14</f>
        <v/>
      </c>
      <c r="F17" s="28">
        <f>E17-D17</f>
        <v/>
      </c>
      <c r="G17" s="29">
        <f>IF(D17=0,"",(E17-D17)/D17)</f>
        <v/>
      </c>
    </row>
    <row r="18" ht="20" customHeight="1">
      <c r="B18" s="27" t="inlineStr">
        <is>
          <t>Bienes inmuebles</t>
        </is>
      </c>
      <c r="D18" s="28">
        <f>'Bienes Inmuebles'!J10</f>
        <v/>
      </c>
      <c r="E18" s="28">
        <f>'Bienes Inmuebles'!K10</f>
        <v/>
      </c>
      <c r="F18" s="28">
        <f>E18-D18</f>
        <v/>
      </c>
      <c r="G18" s="29">
        <f>IF(D18=0,"",(E18-D18)/D18)</f>
        <v/>
      </c>
    </row>
    <row r="19" ht="20" customHeight="1">
      <c r="B19" s="27" t="inlineStr">
        <is>
          <t>Otros activos</t>
        </is>
      </c>
      <c r="D19" s="28">
        <f>'Otros Activos'!F14</f>
        <v/>
      </c>
      <c r="E19" s="28">
        <f>'Otros Activos'!G14</f>
        <v/>
      </c>
      <c r="F19" s="28">
        <f>E19-D19</f>
        <v/>
      </c>
      <c r="G19" s="29">
        <f>IF(D19=0,"",(E19-D19)/D19)</f>
        <v/>
      </c>
    </row>
    <row r="20" ht="22" customHeight="1">
      <c r="B20" s="30" t="inlineStr">
        <is>
          <t>TOTAL ACTIVOS</t>
        </is>
      </c>
      <c r="D20" s="31">
        <f>SUM(D12:D19)</f>
        <v/>
      </c>
      <c r="E20" s="31">
        <f>SUM(E12:E19)</f>
        <v/>
      </c>
      <c r="F20" s="31">
        <f>E20-D20</f>
        <v/>
      </c>
      <c r="G20" s="32">
        <f>IF(D20=0,"",(E20-D20)/D20)</f>
        <v/>
      </c>
    </row>
    <row r="22" ht="22" customHeight="1">
      <c r="B22" s="33" t="inlineStr">
        <is>
          <t>PASIVOS</t>
        </is>
      </c>
    </row>
    <row r="23" ht="24" customHeight="1">
      <c r="B23" s="25" t="inlineStr">
        <is>
          <t>Concepto</t>
        </is>
      </c>
      <c r="C23" s="25" t="n"/>
      <c r="D23" s="26" t="inlineStr">
        <is>
          <t>Total 2025</t>
        </is>
      </c>
      <c r="E23" s="26" t="inlineStr">
        <is>
          <t>Total 2026</t>
        </is>
      </c>
      <c r="F23" s="26" t="inlineStr">
        <is>
          <t>Variacion</t>
        </is>
      </c>
      <c r="G23" s="26" t="inlineStr">
        <is>
          <t>Variacion %</t>
        </is>
      </c>
    </row>
    <row r="24" ht="20" customHeight="1">
      <c r="B24" s="34" t="inlineStr">
        <is>
          <t>Deudas y obligaciones</t>
        </is>
      </c>
      <c r="D24" s="35">
        <f>'Pasivos'!I8</f>
        <v/>
      </c>
      <c r="E24" s="35">
        <f>'Pasivos'!J8</f>
        <v/>
      </c>
      <c r="F24" s="35">
        <f>E24-D24</f>
        <v/>
      </c>
      <c r="G24" s="36">
        <f>IF(D24=0,"",(E24-D24)/D24)</f>
        <v/>
      </c>
    </row>
    <row r="25" ht="22" customHeight="1">
      <c r="B25" s="37" t="inlineStr">
        <is>
          <t>TOTAL PASIVOS</t>
        </is>
      </c>
      <c r="D25" s="38">
        <f>SUM(D24:D24)</f>
        <v/>
      </c>
      <c r="E25" s="38">
        <f>SUM(E24:E24)</f>
        <v/>
      </c>
      <c r="F25" s="38">
        <f>E25-D25</f>
        <v/>
      </c>
      <c r="G25" s="39">
        <f>IF(D25=0,"",(E25-D25)/D25)</f>
        <v/>
      </c>
    </row>
    <row r="27" ht="22" customHeight="1">
      <c r="B27" s="40" t="inlineStr">
        <is>
          <t>PATRIMONIO NETO</t>
        </is>
      </c>
    </row>
    <row r="28" ht="24" customHeight="1">
      <c r="B28" s="25" t="inlineStr">
        <is>
          <t>Concepto</t>
        </is>
      </c>
      <c r="C28" s="25" t="n"/>
      <c r="D28" s="26" t="inlineStr">
        <is>
          <t>Total 2025</t>
        </is>
      </c>
      <c r="E28" s="26" t="inlineStr">
        <is>
          <t>Total 2026</t>
        </is>
      </c>
      <c r="F28" s="26" t="inlineStr">
        <is>
          <t>Variacion</t>
        </is>
      </c>
      <c r="G28" s="26" t="inlineStr">
        <is>
          <t>Variacion %</t>
        </is>
      </c>
    </row>
    <row r="29" ht="20" customHeight="1">
      <c r="B29" s="41" t="inlineStr">
        <is>
          <t>(+) Total activos</t>
        </is>
      </c>
      <c r="D29" s="42">
        <f>D20</f>
        <v/>
      </c>
      <c r="E29" s="42">
        <f>E20</f>
        <v/>
      </c>
      <c r="F29" s="42">
        <f>E29-D29</f>
        <v/>
      </c>
      <c r="G29" s="43">
        <f>IF(D29=0,"",(E29-D29)/D29)</f>
        <v/>
      </c>
    </row>
    <row r="30" ht="20" customHeight="1">
      <c r="B30" s="41" t="inlineStr">
        <is>
          <t>(-) Total pasivos</t>
        </is>
      </c>
      <c r="D30" s="42">
        <f>D25</f>
        <v/>
      </c>
      <c r="E30" s="42">
        <f>E25</f>
        <v/>
      </c>
      <c r="F30" s="42">
        <f>E30-D30</f>
        <v/>
      </c>
      <c r="G30" s="43">
        <f>IF(D30=0,"",(E30-D30)/D30)</f>
        <v/>
      </c>
    </row>
    <row r="31" ht="22" customHeight="1">
      <c r="B31" s="44" t="inlineStr">
        <is>
          <t>(=) PATRIMONIO NETO</t>
        </is>
      </c>
      <c r="D31" s="45">
        <f>D29-D30</f>
        <v/>
      </c>
      <c r="E31" s="45">
        <f>E29-E30</f>
        <v/>
      </c>
      <c r="F31" s="45">
        <f>E31-D31</f>
        <v/>
      </c>
      <c r="G31" s="46">
        <f>IF(D31=0,"",(E31-D31)/D31)</f>
        <v/>
      </c>
    </row>
    <row r="32" ht="16" customHeight="1">
      <c r="B32" s="47" t="inlineStr">
        <is>
          <t>Patrimonio declarado en el XML (2025)</t>
        </is>
      </c>
      <c r="C32" s="6" t="n"/>
      <c r="D32" s="48" t="n">
        <v>883285.5600000001</v>
      </c>
      <c r="E32" s="6" t="n"/>
      <c r="F32" s="6" t="n"/>
      <c r="G32" s="6" t="n"/>
    </row>
    <row r="33" ht="16" customHeight="1">
      <c r="B33" s="47" t="inlineStr">
        <is>
          <t>Patrimonio neto del anio anterior</t>
        </is>
      </c>
      <c r="C33" s="6" t="n"/>
      <c r="D33" s="48" t="n">
        <v>801569.97</v>
      </c>
      <c r="E33" s="6" t="n"/>
      <c r="F33" s="6" t="n"/>
      <c r="G33" s="6" t="n"/>
    </row>
    <row r="34" ht="16" customHeight="1">
      <c r="B34" s="47" t="inlineStr">
        <is>
          <t>Crecimiento / decremento patrimonial (XML)</t>
        </is>
      </c>
      <c r="C34" s="6" t="n"/>
      <c r="D34" s="48" t="n">
        <v>81715.59</v>
      </c>
      <c r="E34" s="6" t="n"/>
      <c r="F34" s="6" t="n"/>
      <c r="G34" s="6" t="n"/>
    </row>
    <row r="36" ht="22" customHeight="1">
      <c r="B36" s="49" t="inlineStr">
        <is>
          <t>CONSOLIDADO</t>
        </is>
      </c>
    </row>
    <row r="37" ht="24" customHeight="1">
      <c r="B37" s="25" t="inlineStr">
        <is>
          <t>Concepto</t>
        </is>
      </c>
      <c r="C37" s="25" t="n"/>
      <c r="D37" s="26" t="inlineStr">
        <is>
          <t>Total 2025</t>
        </is>
      </c>
      <c r="E37" s="26" t="inlineStr">
        <is>
          <t>Total 2026</t>
        </is>
      </c>
      <c r="F37" s="26" t="inlineStr">
        <is>
          <t>Variacion</t>
        </is>
      </c>
      <c r="G37" s="26" t="inlineStr">
        <is>
          <t>Variacion %</t>
        </is>
      </c>
    </row>
    <row r="38" ht="20" customHeight="1">
      <c r="B38" s="50" t="inlineStr">
        <is>
          <t>Activos</t>
        </is>
      </c>
      <c r="D38" s="51">
        <f>D20</f>
        <v/>
      </c>
      <c r="E38" s="51">
        <f>E20</f>
        <v/>
      </c>
      <c r="F38" s="51">
        <f>E38-D38</f>
        <v/>
      </c>
      <c r="G38" s="52">
        <f>IF(D38=0,"",(E38-D38)/D38)</f>
        <v/>
      </c>
    </row>
    <row r="39" ht="20" customHeight="1">
      <c r="B39" s="53" t="inlineStr">
        <is>
          <t>Pasivos</t>
        </is>
      </c>
      <c r="D39" s="54">
        <f>D25</f>
        <v/>
      </c>
      <c r="E39" s="54">
        <f>E25</f>
        <v/>
      </c>
      <c r="F39" s="54">
        <f>E39-D39</f>
        <v/>
      </c>
      <c r="G39" s="55">
        <f>IF(D39=0,"",(E39-D39)/D39)</f>
        <v/>
      </c>
    </row>
    <row r="40" ht="20" customHeight="1">
      <c r="B40" s="56" t="inlineStr">
        <is>
          <t>Patrimonio neto</t>
        </is>
      </c>
      <c r="D40" s="57">
        <f>D31</f>
        <v/>
      </c>
      <c r="E40" s="57">
        <f>E31</f>
        <v/>
      </c>
      <c r="F40" s="57">
        <f>E40-D40</f>
        <v/>
      </c>
      <c r="G40" s="58">
        <f>IF(D40=0,"",(E40-D40)/D40)</f>
        <v/>
      </c>
    </row>
    <row r="42">
      <c r="B42" s="59" t="inlineStr">
        <is>
          <t>Edite las columnas amarillas en las hojas de cada modulo; las tarjetas, secciones y graficos se recalculan solos.</t>
        </is>
      </c>
    </row>
  </sheetData>
  <mergeCells count="40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B15:C15"/>
    <mergeCell ref="B33:C33"/>
    <mergeCell ref="B22:G22"/>
    <mergeCell ref="B5:C5"/>
    <mergeCell ref="B20:C20"/>
    <mergeCell ref="B27:G27"/>
    <mergeCell ref="D5:E5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5" customWidth="1" min="3" max="3"/>
    <col width="18" customWidth="1" min="4" max="4"/>
    <col width="28" customWidth="1" min="5" max="5"/>
    <col width="13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Dinero en</t>
        </is>
      </c>
      <c r="B5" s="26" t="inlineStr">
        <is>
          <t>Tipo de inversion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Institucion financiera</t>
        </is>
      </c>
      <c r="F5" s="26" t="inlineStr">
        <is>
          <t>Tipo de moneda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3 - Cuenta de ahorros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>
        <is>
          <t>1029 - BANCO PICHINCHA C.A.</t>
        </is>
      </c>
      <c r="F6" s="60" t="inlineStr">
        <is>
          <t>DOLARES</t>
        </is>
      </c>
      <c r="G6" s="60" t="inlineStr">
        <is>
          <t>2 - No</t>
        </is>
      </c>
      <c r="H6" s="60" t="inlineStr"/>
      <c r="I6" s="60" t="inlineStr"/>
      <c r="J6" s="61" t="n">
        <v>130.2</v>
      </c>
      <c r="K6" s="62" t="n">
        <v>130.2</v>
      </c>
      <c r="L6" s="61">
        <f>K6-J6</f>
        <v/>
      </c>
      <c r="M6" s="63">
        <f>IF(J6=0,"",(K6-J6)/J6)</f>
        <v/>
      </c>
    </row>
    <row r="7">
      <c r="A7" s="64" t="inlineStr">
        <is>
          <t>IFI - Instituciones financieras</t>
        </is>
      </c>
      <c r="B7" s="64" t="inlineStr">
        <is>
          <t>4 - Cuenta corriente</t>
        </is>
      </c>
      <c r="C7" s="64" t="inlineStr">
        <is>
          <t>ECU - En el Ecuador</t>
        </is>
      </c>
      <c r="D7" s="64" t="inlineStr">
        <is>
          <t>593 - ECUADOR</t>
        </is>
      </c>
      <c r="E7" s="64" t="inlineStr">
        <is>
          <t>1029 - BANCO PICHINCHA C.A.</t>
        </is>
      </c>
      <c r="F7" s="64" t="inlineStr">
        <is>
          <t>DOLARES</t>
        </is>
      </c>
      <c r="G7" s="64" t="inlineStr">
        <is>
          <t>2 - No</t>
        </is>
      </c>
      <c r="H7" s="64" t="inlineStr"/>
      <c r="I7" s="64" t="inlineStr"/>
      <c r="J7" s="65" t="n">
        <v>5590.32</v>
      </c>
      <c r="K7" s="62" t="n">
        <v>5590.32</v>
      </c>
      <c r="L7" s="65">
        <f>K7-J7</f>
        <v/>
      </c>
      <c r="M7" s="66">
        <f>IF(J7=0,"",(K7-J7)/J7)</f>
        <v/>
      </c>
    </row>
    <row r="8">
      <c r="A8" s="60" t="inlineStr">
        <is>
          <t>IFI - Instituciones financieras</t>
        </is>
      </c>
      <c r="B8" s="60" t="inlineStr">
        <is>
          <t>3 - Cuenta de ahorros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>
        <is>
          <t>1418 - BANCO PROMERICA S.A.</t>
        </is>
      </c>
      <c r="F8" s="60" t="inlineStr">
        <is>
          <t>DOLARES</t>
        </is>
      </c>
      <c r="G8" s="60" t="inlineStr">
        <is>
          <t>2 - No</t>
        </is>
      </c>
      <c r="H8" s="60" t="inlineStr"/>
      <c r="I8" s="60" t="inlineStr"/>
      <c r="J8" s="61" t="n">
        <v>53237.31</v>
      </c>
      <c r="K8" s="62" t="n">
        <v>53237.31</v>
      </c>
      <c r="L8" s="61">
        <f>K8-J8</f>
        <v/>
      </c>
      <c r="M8" s="63">
        <f>IF(J8=0,"",(K8-J8)/J8)</f>
        <v/>
      </c>
    </row>
    <row r="9">
      <c r="A9" s="64" t="inlineStr">
        <is>
          <t>IFI - Instituciones financieras</t>
        </is>
      </c>
      <c r="B9" s="64" t="inlineStr">
        <is>
          <t>2 - Inversiones financieras</t>
        </is>
      </c>
      <c r="C9" s="64" t="inlineStr">
        <is>
          <t>EXT - En el exterior</t>
        </is>
      </c>
      <c r="D9" s="64" t="inlineStr">
        <is>
          <t>118 - PANAMA</t>
        </is>
      </c>
      <c r="E9" s="64" t="inlineStr">
        <is>
          <t>BANCO PICHINCHA CA</t>
        </is>
      </c>
      <c r="F9" s="64" t="inlineStr">
        <is>
          <t>DOLARES</t>
        </is>
      </c>
      <c r="G9" s="64" t="inlineStr">
        <is>
          <t>2 - No</t>
        </is>
      </c>
      <c r="H9" s="64" t="inlineStr"/>
      <c r="I9" s="64" t="inlineStr"/>
      <c r="J9" s="65" t="n">
        <v>189049.31</v>
      </c>
      <c r="K9" s="62" t="n">
        <v>189049.31</v>
      </c>
      <c r="L9" s="65">
        <f>K9-J9</f>
        <v/>
      </c>
      <c r="M9" s="66">
        <f>IF(J9=0,"",(K9-J9)/J9)</f>
        <v/>
      </c>
    </row>
    <row r="10" ht="22" customHeight="1">
      <c r="A10" s="67" t="inlineStr">
        <is>
          <t>TOTAL</t>
        </is>
      </c>
      <c r="B10" s="67" t="n"/>
      <c r="C10" s="67" t="n"/>
      <c r="D10" s="67" t="n"/>
      <c r="E10" s="67" t="n"/>
      <c r="F10" s="67" t="n"/>
      <c r="G10" s="67" t="n"/>
      <c r="H10" s="67" t="n"/>
      <c r="I10" s="67" t="n"/>
      <c r="J10" s="31">
        <f>SUM(J6:J9)</f>
        <v/>
      </c>
      <c r="K10" s="31">
        <f>SUM(K6:K9)</f>
        <v/>
      </c>
      <c r="L10" s="31">
        <f>K10-J10</f>
        <v/>
      </c>
      <c r="M10" s="32">
        <f>IF(J10=0,"",(K10-J10)/J10)</f>
        <v/>
      </c>
    </row>
  </sheetData>
  <mergeCells count="3">
    <mergeCell ref="A3:M3"/>
    <mergeCell ref="A2:M2"/>
    <mergeCell ref="A1:M1"/>
  </mergeCells>
  <dataValidations count="7">
    <dataValidation sqref="A6:A9" showDropDown="0" showInputMessage="0" showErrorMessage="0" allowBlank="1" type="list">
      <formula1>Catalogos!$A$2:$A$4</formula1>
    </dataValidation>
    <dataValidation sqref="B6:B9" showDropDown="0" showInputMessage="0" showErrorMessage="0" allowBlank="1" type="list">
      <formula1>Catalogos!$B$2:$B$8</formula1>
    </dataValidation>
    <dataValidation sqref="C6:C9" showDropDown="0" showInputMessage="0" showErrorMessage="0" allowBlank="1" type="list">
      <formula1>Catalogos!$C$2:$C$3</formula1>
    </dataValidation>
    <dataValidation sqref="D6:D9" showDropDown="0" showInputMessage="0" showErrorMessage="0" allowBlank="1" type="list">
      <formula1>Catalogos!$D$2:$D$258</formula1>
    </dataValidation>
    <dataValidation sqref="E6:E9" showDropDown="0" showInputMessage="0" showErrorMessage="0" allowBlank="1" type="list">
      <formula1>Catalogos!$E$2:$E$519</formula1>
    </dataValidation>
    <dataValidation sqref="G6:G9" showDropDown="0" showInputMessage="0" showErrorMessage="0" allowBlank="1" type="list">
      <formula1>Catalogos!$F$2:$F$3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30" customWidth="1" min="4" max="4"/>
    <col width="14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inversion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Empresa / Administradora / Fideicomiso</t>
        </is>
      </c>
      <c r="E5" s="26" t="inlineStr">
        <is>
          <t>% de participacion</t>
        </is>
      </c>
      <c r="F5" s="26" t="inlineStr">
        <is>
          <t>N. de acciones / participaciones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0" t="inlineStr"/>
      <c r="G6" s="60" t="inlineStr"/>
      <c r="H6" s="60" t="inlineStr"/>
      <c r="I6" s="60" t="inlineStr"/>
      <c r="J6" s="62" t="n">
        <v>0</v>
      </c>
      <c r="K6" s="62" t="n">
        <v>0</v>
      </c>
      <c r="L6" s="61">
        <f>K6-J6</f>
        <v/>
      </c>
      <c r="M6" s="63">
        <f>IF(J6=0,"",(K6-J6)/J6)</f>
        <v/>
      </c>
    </row>
    <row r="7">
      <c r="A7" s="64" t="inlineStr"/>
      <c r="B7" s="64" t="inlineStr"/>
      <c r="C7" s="64" t="inlineStr"/>
      <c r="D7" s="64" t="inlineStr"/>
      <c r="E7" s="64" t="inlineStr"/>
      <c r="F7" s="64" t="inlineStr"/>
      <c r="G7" s="64" t="inlineStr"/>
      <c r="H7" s="64" t="inlineStr"/>
      <c r="I7" s="64" t="inlineStr"/>
      <c r="J7" s="62" t="n">
        <v>0</v>
      </c>
      <c r="K7" s="62" t="n">
        <v>0</v>
      </c>
      <c r="L7" s="65">
        <f>K7-J7</f>
        <v/>
      </c>
      <c r="M7" s="66">
        <f>IF(J7=0,"",(K7-J7)/J7)</f>
        <v/>
      </c>
    </row>
    <row r="8">
      <c r="A8" s="60" t="inlineStr"/>
      <c r="B8" s="60" t="inlineStr"/>
      <c r="C8" s="60" t="inlineStr"/>
      <c r="D8" s="60" t="inlineStr"/>
      <c r="E8" s="60" t="inlineStr"/>
      <c r="F8" s="60" t="inlineStr"/>
      <c r="G8" s="60" t="inlineStr"/>
      <c r="H8" s="60" t="inlineStr"/>
      <c r="I8" s="60" t="inlineStr"/>
      <c r="J8" s="62" t="n">
        <v>0</v>
      </c>
      <c r="K8" s="62" t="n">
        <v>0</v>
      </c>
      <c r="L8" s="61">
        <f>K8-J8</f>
        <v/>
      </c>
      <c r="M8" s="63">
        <f>IF(J8=0,"",(K8-J8)/J8)</f>
        <v/>
      </c>
    </row>
    <row r="9">
      <c r="A9" s="64" t="inlineStr"/>
      <c r="B9" s="64" t="inlineStr"/>
      <c r="C9" s="64" t="inlineStr"/>
      <c r="D9" s="64" t="inlineStr"/>
      <c r="E9" s="64" t="inlineStr"/>
      <c r="F9" s="64" t="inlineStr"/>
      <c r="G9" s="64" t="inlineStr"/>
      <c r="H9" s="64" t="inlineStr"/>
      <c r="I9" s="64" t="inlineStr"/>
      <c r="J9" s="62" t="n">
        <v>0</v>
      </c>
      <c r="K9" s="62" t="n">
        <v>0</v>
      </c>
      <c r="L9" s="65">
        <f>K9-J9</f>
        <v/>
      </c>
      <c r="M9" s="66">
        <f>IF(J9=0,"",(K9-J9)/J9)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0" t="inlineStr"/>
      <c r="G10" s="60" t="inlineStr"/>
      <c r="H10" s="60" t="inlineStr"/>
      <c r="I10" s="60" t="inlineStr"/>
      <c r="J10" s="62" t="n">
        <v>0</v>
      </c>
      <c r="K10" s="62" t="n">
        <v>0</v>
      </c>
      <c r="L10" s="61">
        <f>K10-J10</f>
        <v/>
      </c>
      <c r="M10" s="63">
        <f>IF(J10=0,"",(K10-J10)/J10)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4" t="inlineStr"/>
      <c r="G11" s="64" t="inlineStr"/>
      <c r="H11" s="64" t="inlineStr"/>
      <c r="I11" s="64" t="inlineStr"/>
      <c r="J11" s="62" t="n">
        <v>0</v>
      </c>
      <c r="K11" s="62" t="n">
        <v>0</v>
      </c>
      <c r="L11" s="65">
        <f>K11-J11</f>
        <v/>
      </c>
      <c r="M11" s="66">
        <f>IF(J11=0,"",(K11-J11)/J11)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0" t="inlineStr"/>
      <c r="G12" s="60" t="inlineStr"/>
      <c r="H12" s="60" t="inlineStr"/>
      <c r="I12" s="60" t="inlineStr"/>
      <c r="J12" s="62" t="n">
        <v>0</v>
      </c>
      <c r="K12" s="62" t="n">
        <v>0</v>
      </c>
      <c r="L12" s="61">
        <f>K12-J12</f>
        <v/>
      </c>
      <c r="M12" s="63">
        <f>IF(J12=0,"",(K12-J12)/J12)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4" t="inlineStr"/>
      <c r="G13" s="64" t="inlineStr"/>
      <c r="H13" s="64" t="inlineStr"/>
      <c r="I13" s="64" t="inlineStr"/>
      <c r="J13" s="62" t="n">
        <v>0</v>
      </c>
      <c r="K13" s="62" t="n">
        <v>0</v>
      </c>
      <c r="L13" s="65">
        <f>K13-J13</f>
        <v/>
      </c>
      <c r="M13" s="66">
        <f>IF(J13=0,"",(K13-J13)/J13)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67" t="n"/>
      <c r="G14" s="67" t="n"/>
      <c r="H14" s="67" t="n"/>
      <c r="I14" s="67" t="n"/>
      <c r="J14" s="31">
        <f>SUM(J6:J13)</f>
        <v/>
      </c>
      <c r="K14" s="31">
        <f>SUM(K6:K13)</f>
        <v/>
      </c>
      <c r="L14" s="31">
        <f>K14-J14</f>
        <v/>
      </c>
      <c r="M14" s="32">
        <f>IF(J14=0,"",(K14-J14)/J14)</f>
        <v/>
      </c>
    </row>
  </sheetData>
  <mergeCells count="3">
    <mergeCell ref="A3:M3"/>
    <mergeCell ref="A2:M2"/>
    <mergeCell ref="A1:M1"/>
  </mergeCells>
  <dataValidations count="5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5" customWidth="1" min="5" max="5"/>
    <col width="18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4.1.3   CREDITOS, DOCUMENTOS Y CUENTAS POR COBRAR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Nombre del deudor</t>
        </is>
      </c>
      <c r="B5" s="26" t="inlineStr">
        <is>
          <t>Tipo de deudor</t>
        </is>
      </c>
      <c r="C5" s="26" t="inlineStr">
        <is>
          <t>Tipo de identificacion</t>
        </is>
      </c>
      <c r="D5" s="26" t="inlineStr">
        <is>
          <t>N. de identificacion</t>
        </is>
      </c>
      <c r="E5" s="26" t="inlineStr">
        <is>
          <t>Ubicacion</t>
        </is>
      </c>
      <c r="F5" s="26" t="inlineStr">
        <is>
          <t>Pais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0" t="inlineStr"/>
      <c r="G6" s="60" t="inlineStr"/>
      <c r="H6" s="60" t="inlineStr"/>
      <c r="I6" s="60" t="inlineStr"/>
      <c r="J6" s="62" t="n">
        <v>0</v>
      </c>
      <c r="K6" s="62" t="n">
        <v>0</v>
      </c>
      <c r="L6" s="61">
        <f>K6-J6</f>
        <v/>
      </c>
      <c r="M6" s="63">
        <f>IF(J6=0,"",(K6-J6)/J6)</f>
        <v/>
      </c>
    </row>
    <row r="7">
      <c r="A7" s="64" t="inlineStr"/>
      <c r="B7" s="64" t="inlineStr"/>
      <c r="C7" s="64" t="inlineStr"/>
      <c r="D7" s="64" t="inlineStr"/>
      <c r="E7" s="64" t="inlineStr"/>
      <c r="F7" s="64" t="inlineStr"/>
      <c r="G7" s="64" t="inlineStr"/>
      <c r="H7" s="64" t="inlineStr"/>
      <c r="I7" s="64" t="inlineStr"/>
      <c r="J7" s="62" t="n">
        <v>0</v>
      </c>
      <c r="K7" s="62" t="n">
        <v>0</v>
      </c>
      <c r="L7" s="65">
        <f>K7-J7</f>
        <v/>
      </c>
      <c r="M7" s="66">
        <f>IF(J7=0,"",(K7-J7)/J7)</f>
        <v/>
      </c>
    </row>
    <row r="8">
      <c r="A8" s="60" t="inlineStr"/>
      <c r="B8" s="60" t="inlineStr"/>
      <c r="C8" s="60" t="inlineStr"/>
      <c r="D8" s="60" t="inlineStr"/>
      <c r="E8" s="60" t="inlineStr"/>
      <c r="F8" s="60" t="inlineStr"/>
      <c r="G8" s="60" t="inlineStr"/>
      <c r="H8" s="60" t="inlineStr"/>
      <c r="I8" s="60" t="inlineStr"/>
      <c r="J8" s="62" t="n">
        <v>0</v>
      </c>
      <c r="K8" s="62" t="n">
        <v>0</v>
      </c>
      <c r="L8" s="61">
        <f>K8-J8</f>
        <v/>
      </c>
      <c r="M8" s="63">
        <f>IF(J8=0,"",(K8-J8)/J8)</f>
        <v/>
      </c>
    </row>
    <row r="9">
      <c r="A9" s="64" t="inlineStr"/>
      <c r="B9" s="64" t="inlineStr"/>
      <c r="C9" s="64" t="inlineStr"/>
      <c r="D9" s="64" t="inlineStr"/>
      <c r="E9" s="64" t="inlineStr"/>
      <c r="F9" s="64" t="inlineStr"/>
      <c r="G9" s="64" t="inlineStr"/>
      <c r="H9" s="64" t="inlineStr"/>
      <c r="I9" s="64" t="inlineStr"/>
      <c r="J9" s="62" t="n">
        <v>0</v>
      </c>
      <c r="K9" s="62" t="n">
        <v>0</v>
      </c>
      <c r="L9" s="65">
        <f>K9-J9</f>
        <v/>
      </c>
      <c r="M9" s="66">
        <f>IF(J9=0,"",(K9-J9)/J9)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0" t="inlineStr"/>
      <c r="G10" s="60" t="inlineStr"/>
      <c r="H10" s="60" t="inlineStr"/>
      <c r="I10" s="60" t="inlineStr"/>
      <c r="J10" s="62" t="n">
        <v>0</v>
      </c>
      <c r="K10" s="62" t="n">
        <v>0</v>
      </c>
      <c r="L10" s="61">
        <f>K10-J10</f>
        <v/>
      </c>
      <c r="M10" s="63">
        <f>IF(J10=0,"",(K10-J10)/J10)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4" t="inlineStr"/>
      <c r="G11" s="64" t="inlineStr"/>
      <c r="H11" s="64" t="inlineStr"/>
      <c r="I11" s="64" t="inlineStr"/>
      <c r="J11" s="62" t="n">
        <v>0</v>
      </c>
      <c r="K11" s="62" t="n">
        <v>0</v>
      </c>
      <c r="L11" s="65">
        <f>K11-J11</f>
        <v/>
      </c>
      <c r="M11" s="66">
        <f>IF(J11=0,"",(K11-J11)/J11)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0" t="inlineStr"/>
      <c r="G12" s="60" t="inlineStr"/>
      <c r="H12" s="60" t="inlineStr"/>
      <c r="I12" s="60" t="inlineStr"/>
      <c r="J12" s="62" t="n">
        <v>0</v>
      </c>
      <c r="K12" s="62" t="n">
        <v>0</v>
      </c>
      <c r="L12" s="61">
        <f>K12-J12</f>
        <v/>
      </c>
      <c r="M12" s="63">
        <f>IF(J12=0,"",(K12-J12)/J12)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4" t="inlineStr"/>
      <c r="G13" s="64" t="inlineStr"/>
      <c r="H13" s="64" t="inlineStr"/>
      <c r="I13" s="64" t="inlineStr"/>
      <c r="J13" s="62" t="n">
        <v>0</v>
      </c>
      <c r="K13" s="62" t="n">
        <v>0</v>
      </c>
      <c r="L13" s="65">
        <f>K13-J13</f>
        <v/>
      </c>
      <c r="M13" s="66">
        <f>IF(J13=0,"",(K13-J13)/J13)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67" t="n"/>
      <c r="G14" s="67" t="n"/>
      <c r="H14" s="67" t="n"/>
      <c r="I14" s="67" t="n"/>
      <c r="J14" s="31">
        <f>SUM(J6:J13)</f>
        <v/>
      </c>
      <c r="K14" s="31">
        <f>SUM(K6:K13)</f>
        <v/>
      </c>
      <c r="L14" s="31">
        <f>K14-J14</f>
        <v/>
      </c>
      <c r="M14" s="32">
        <f>IF(J14=0,"",(K14-J14)/J14)</f>
        <v/>
      </c>
    </row>
  </sheetData>
  <mergeCells count="3">
    <mergeCell ref="A3:M3"/>
    <mergeCell ref="A2:M2"/>
    <mergeCell ref="A1:M1"/>
  </mergeCells>
  <dataValidations count="6">
    <dataValidation sqref="B6:B13" showDropDown="0" showInputMessage="0" showErrorMessage="0" allowBlank="1" type="list">
      <formula1>Catalogos!$H$2:$H$3</formula1>
    </dataValidation>
    <dataValidation sqref="C6:C13" showDropDown="0" showInputMessage="0" showErrorMessage="0" allowBlank="1" type="list">
      <formula1>Catalogos!$P$2:$P$5</formula1>
    </dataValidation>
    <dataValidation sqref="E6:E13" showDropDown="0" showInputMessage="0" showErrorMessage="0" allowBlank="1" type="list">
      <formula1>Catalogos!$C$2:$C$3</formula1>
    </dataValidation>
    <dataValidation sqref="F6:F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bien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Catalogos!$I$2:$I$7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8" customWidth="1" min="4" max="4"/>
    <col width="16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vehiculo</t>
        </is>
      </c>
      <c r="B5" s="26" t="inlineStr">
        <is>
          <t>Registro / placa / chasis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Regularizacion activos</t>
        </is>
      </c>
      <c r="F5" s="26" t="inlineStr">
        <is>
          <t>Anio fiscal adquisicion</t>
        </is>
      </c>
      <c r="G5" s="26" t="inlineStr">
        <is>
          <t>Valor 2025</t>
        </is>
      </c>
      <c r="H5" s="26" t="inlineStr">
        <is>
          <t>Valor 2026</t>
        </is>
      </c>
      <c r="I5" s="26" t="inlineStr">
        <is>
          <t>Variacion</t>
        </is>
      </c>
      <c r="J5" s="26" t="inlineStr">
        <is>
          <t>Variacion %</t>
        </is>
      </c>
    </row>
    <row r="6">
      <c r="A6" s="60" t="inlineStr">
        <is>
          <t>1 - Vehiculos motorizados terrestres</t>
        </is>
      </c>
      <c r="B6" s="60" t="inlineStr">
        <is>
          <t>PBO7092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/>
      <c r="F6" s="60" t="inlineStr"/>
      <c r="G6" s="61" t="n">
        <v>12000</v>
      </c>
      <c r="H6" s="62" t="n">
        <v>12000</v>
      </c>
      <c r="I6" s="61">
        <f>H6-G6</f>
        <v/>
      </c>
      <c r="J6" s="63">
        <f>IF(G6=0,"",(H6-G6)/G6)</f>
        <v/>
      </c>
    </row>
    <row r="7">
      <c r="A7" s="64" t="inlineStr">
        <is>
          <t>1 - Vehiculos motorizados terrestres</t>
        </is>
      </c>
      <c r="B7" s="64" t="inlineStr">
        <is>
          <t>PBF9690</t>
        </is>
      </c>
      <c r="C7" s="64" t="inlineStr">
        <is>
          <t>ECU - En el Ecuador</t>
        </is>
      </c>
      <c r="D7" s="64" t="inlineStr">
        <is>
          <t>593 - ECUADOR</t>
        </is>
      </c>
      <c r="E7" s="64" t="inlineStr"/>
      <c r="F7" s="64" t="inlineStr"/>
      <c r="G7" s="65" t="n">
        <v>20000</v>
      </c>
      <c r="H7" s="62" t="n">
        <v>20000</v>
      </c>
      <c r="I7" s="65">
        <f>H7-G7</f>
        <v/>
      </c>
      <c r="J7" s="66">
        <f>IF(G7=0,"",(H7-G7)/G7)</f>
        <v/>
      </c>
    </row>
    <row r="8">
      <c r="A8" s="60" t="inlineStr">
        <is>
          <t>1 - Vehiculos motorizados terrestres</t>
        </is>
      </c>
      <c r="B8" s="60" t="inlineStr">
        <is>
          <t>PFC8683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/>
      <c r="F8" s="60" t="inlineStr"/>
      <c r="G8" s="61" t="n">
        <v>32000</v>
      </c>
      <c r="H8" s="62" t="n">
        <v>32000</v>
      </c>
      <c r="I8" s="61">
        <f>H8-G8</f>
        <v/>
      </c>
      <c r="J8" s="63">
        <f>IF(G8=0,"",(H8-G8)/G8)</f>
        <v/>
      </c>
    </row>
    <row r="9" ht="22" customHeight="1">
      <c r="A9" s="67" t="inlineStr">
        <is>
          <t>TOTAL</t>
        </is>
      </c>
      <c r="B9" s="67" t="n"/>
      <c r="C9" s="67" t="n"/>
      <c r="D9" s="67" t="n"/>
      <c r="E9" s="67" t="n"/>
      <c r="F9" s="67" t="n"/>
      <c r="G9" s="31">
        <f>SUM(G6:G8)</f>
        <v/>
      </c>
      <c r="H9" s="31">
        <f>SUM(H6:H8)</f>
        <v/>
      </c>
      <c r="I9" s="31">
        <f>H9-G9</f>
        <v/>
      </c>
      <c r="J9" s="32">
        <f>IF(G9=0,"",(H9-G9)/G9)</f>
        <v/>
      </c>
    </row>
  </sheetData>
  <mergeCells count="3">
    <mergeCell ref="A1:J1"/>
    <mergeCell ref="A3:J3"/>
    <mergeCell ref="A2:J2"/>
  </mergeCells>
  <dataValidations count="4">
    <dataValidation sqref="A6:A8" showDropDown="0" showInputMessage="0" showErrorMessage="0" allowBlank="1" type="list">
      <formula1>Catalogos!$J$2:$J$4</formula1>
    </dataValidation>
    <dataValidation sqref="C6:C8" showDropDown="0" showInputMessage="0" showErrorMessage="0" allowBlank="1" type="list">
      <formula1>Catalogos!$C$2:$C$3</formula1>
    </dataValidation>
    <dataValidation sqref="D6:D8" showDropDown="0" showInputMessage="0" showErrorMessage="0" allowBlank="1" type="list">
      <formula1>Catalogos!$D$2:$D$258</formula1>
    </dataValidation>
    <dataValidation sqref="E6:E8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derecho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22" customWidth="1" min="4" max="4"/>
    <col width="22" customWidth="1" min="5" max="5"/>
    <col width="16" customWidth="1" min="6" max="6"/>
    <col width="22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inmueble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Provincia</t>
        </is>
      </c>
      <c r="E5" s="26" t="inlineStr">
        <is>
          <t>Canton</t>
        </is>
      </c>
      <c r="F5" s="26" t="inlineStr">
        <is>
          <t>Fecha de inscripcion</t>
        </is>
      </c>
      <c r="G5" s="26" t="inlineStr">
        <is>
          <t>Clave catastral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3 - Terreno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>
        <is>
          <t>217 - PICHINCHA</t>
        </is>
      </c>
      <c r="E6" s="60" t="inlineStr">
        <is>
          <t>21701 - QUITO</t>
        </is>
      </c>
      <c r="F6" s="60" t="inlineStr">
        <is>
          <t>22/10/2008</t>
        </is>
      </c>
      <c r="G6" s="60" t="inlineStr">
        <is>
          <t>1042203018</t>
        </is>
      </c>
      <c r="H6" s="60" t="inlineStr"/>
      <c r="I6" s="60" t="inlineStr"/>
      <c r="J6" s="61" t="n">
        <v>267340.8</v>
      </c>
      <c r="K6" s="62" t="n">
        <v>267340.8</v>
      </c>
      <c r="L6" s="61">
        <f>K6-J6</f>
        <v/>
      </c>
      <c r="M6" s="63">
        <f>IF(J6=0,"",(K6-J6)/J6)</f>
        <v/>
      </c>
    </row>
    <row r="7">
      <c r="A7" s="64" t="inlineStr">
        <is>
          <t>1 - Casa</t>
        </is>
      </c>
      <c r="B7" s="64" t="inlineStr">
        <is>
          <t>ECU - En el Ecuador</t>
        </is>
      </c>
      <c r="C7" s="64" t="inlineStr">
        <is>
          <t>593 - ECUADOR</t>
        </is>
      </c>
      <c r="D7" s="64" t="inlineStr">
        <is>
          <t>217 - PICHINCHA</t>
        </is>
      </c>
      <c r="E7" s="64" t="inlineStr">
        <is>
          <t>21701 - QUITO</t>
        </is>
      </c>
      <c r="F7" s="64" t="inlineStr">
        <is>
          <t>13/03/1997</t>
        </is>
      </c>
      <c r="G7" s="64" t="inlineStr">
        <is>
          <t>1012005008000000000</t>
        </is>
      </c>
      <c r="H7" s="64" t="inlineStr"/>
      <c r="I7" s="64" t="inlineStr"/>
      <c r="J7" s="65" t="n">
        <v>198118.55</v>
      </c>
      <c r="K7" s="62" t="n">
        <v>198118.55</v>
      </c>
      <c r="L7" s="65">
        <f>K7-J7</f>
        <v/>
      </c>
      <c r="M7" s="66">
        <f>IF(J7=0,"",(K7-J7)/J7)</f>
        <v/>
      </c>
    </row>
    <row r="8">
      <c r="A8" s="60" t="inlineStr">
        <is>
          <t>1 - Casa</t>
        </is>
      </c>
      <c r="B8" s="60" t="inlineStr">
        <is>
          <t>ECU - En el Ecuador</t>
        </is>
      </c>
      <c r="C8" s="60" t="inlineStr">
        <is>
          <t>593 - ECUADOR</t>
        </is>
      </c>
      <c r="D8" s="60" t="inlineStr">
        <is>
          <t>217 - PICHINCHA</t>
        </is>
      </c>
      <c r="E8" s="60" t="inlineStr">
        <is>
          <t>21701 - QUITO</t>
        </is>
      </c>
      <c r="F8" s="60" t="inlineStr"/>
      <c r="G8" s="60" t="inlineStr">
        <is>
          <t>1042203018</t>
        </is>
      </c>
      <c r="H8" s="60" t="inlineStr"/>
      <c r="I8" s="60" t="inlineStr"/>
      <c r="J8" s="61" t="n">
        <v>33634.04</v>
      </c>
      <c r="K8" s="62" t="n">
        <v>33634.04</v>
      </c>
      <c r="L8" s="61">
        <f>K8-J8</f>
        <v/>
      </c>
      <c r="M8" s="63">
        <f>IF(J8=0,"",(K8-J8)/J8)</f>
        <v/>
      </c>
    </row>
    <row r="9">
      <c r="A9" s="64" t="inlineStr">
        <is>
          <t>3 - Terreno</t>
        </is>
      </c>
      <c r="B9" s="64" t="inlineStr">
        <is>
          <t>ECU - En el Ecuador</t>
        </is>
      </c>
      <c r="C9" s="64" t="inlineStr">
        <is>
          <t>593 - ECUADOR</t>
        </is>
      </c>
      <c r="D9" s="64" t="inlineStr">
        <is>
          <t>217 - PICHINCHA</t>
        </is>
      </c>
      <c r="E9" s="64" t="inlineStr">
        <is>
          <t>21701 - QUITO</t>
        </is>
      </c>
      <c r="F9" s="64" t="inlineStr"/>
      <c r="G9" s="64" t="inlineStr">
        <is>
          <t>1012005008000000000</t>
        </is>
      </c>
      <c r="H9" s="64" t="inlineStr"/>
      <c r="I9" s="64" t="inlineStr"/>
      <c r="J9" s="65" t="n">
        <v>82624.22</v>
      </c>
      <c r="K9" s="62" t="n">
        <v>82624.22</v>
      </c>
      <c r="L9" s="65">
        <f>K9-J9</f>
        <v/>
      </c>
      <c r="M9" s="66">
        <f>IF(J9=0,"",(K9-J9)/J9)</f>
        <v/>
      </c>
    </row>
    <row r="10" ht="22" customHeight="1">
      <c r="A10" s="67" t="inlineStr">
        <is>
          <t>TOTAL</t>
        </is>
      </c>
      <c r="B10" s="67" t="n"/>
      <c r="C10" s="67" t="n"/>
      <c r="D10" s="67" t="n"/>
      <c r="E10" s="67" t="n"/>
      <c r="F10" s="67" t="n"/>
      <c r="G10" s="67" t="n"/>
      <c r="H10" s="67" t="n"/>
      <c r="I10" s="67" t="n"/>
      <c r="J10" s="31">
        <f>SUM(J6:J9)</f>
        <v/>
      </c>
      <c r="K10" s="31">
        <f>SUM(K6:K9)</f>
        <v/>
      </c>
      <c r="L10" s="31">
        <f>K10-J10</f>
        <v/>
      </c>
      <c r="M10" s="32">
        <f>IF(J10=0,"",(K10-J10)/J10)</f>
        <v/>
      </c>
    </row>
  </sheetData>
  <mergeCells count="3">
    <mergeCell ref="A3:M3"/>
    <mergeCell ref="A2:M2"/>
    <mergeCell ref="A1:M1"/>
  </mergeCells>
  <dataValidations count="6">
    <dataValidation sqref="A6:A9" showDropDown="0" showInputMessage="0" showErrorMessage="0" allowBlank="1" type="list">
      <formula1>Catalogos!$L$2:$L$10</formula1>
    </dataValidation>
    <dataValidation sqref="B6:B9" showDropDown="0" showInputMessage="0" showErrorMessage="0" allowBlank="1" type="list">
      <formula1>Catalogos!$C$2:$C$3</formula1>
    </dataValidation>
    <dataValidation sqref="C6:C9" showDropDown="0" showInputMessage="0" showErrorMessage="0" allowBlank="1" type="list">
      <formula1>Catalogos!$D$2:$D$258</formula1>
    </dataValidation>
    <dataValidation sqref="D6:D9" showDropDown="0" showInputMessage="0" showErrorMessage="0" allowBlank="1" type="list">
      <formula1>Catalogos!$M$2:$M$25</formula1>
    </dataValidation>
    <dataValidation sqref="E6:E9" showDropDown="0" showInputMessage="0" showErrorMessage="0" allowBlank="1" type="list">
      <formula1>Catalogos!$N$2:$N$222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Ubicacion</t>
        </is>
      </c>
      <c r="B5" s="26" t="inlineStr">
        <is>
          <t>Pais</t>
        </is>
      </c>
      <c r="C5" s="26" t="inlineStr">
        <is>
          <t>Descripcion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3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8" customWidth="1" min="5" max="5"/>
    <col width="20" customWidth="1" min="6" max="6"/>
    <col width="1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acreedor</t>
        </is>
      </c>
      <c r="B5" s="26" t="inlineStr">
        <is>
          <t>Domicilio del acreedor</t>
        </is>
      </c>
      <c r="C5" s="26" t="inlineStr">
        <is>
          <t>Pais</t>
        </is>
      </c>
      <c r="D5" s="26" t="inlineStr">
        <is>
          <t>Nombre del acreedor</t>
        </is>
      </c>
      <c r="E5" s="26" t="inlineStr">
        <is>
          <t>Tipo de identificacion</t>
        </is>
      </c>
      <c r="F5" s="26" t="inlineStr">
        <is>
          <t>N. de identificacion</t>
        </is>
      </c>
      <c r="G5" s="26" t="inlineStr">
        <is>
          <t>N. registro Banco Central</t>
        </is>
      </c>
      <c r="H5" s="26" t="inlineStr">
        <is>
          <t>Partes relacionadas</t>
        </is>
      </c>
      <c r="I5" s="26" t="inlineStr">
        <is>
          <t>Valor 2025</t>
        </is>
      </c>
      <c r="J5" s="26" t="inlineStr">
        <is>
          <t>Valor 2026</t>
        </is>
      </c>
      <c r="K5" s="26" t="inlineStr">
        <is>
          <t>Variacion</t>
        </is>
      </c>
      <c r="L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>
        <is>
          <t>DINERS CLUB DEL ECUADOR</t>
        </is>
      </c>
      <c r="E6" s="60" t="inlineStr">
        <is>
          <t>R - RUC</t>
        </is>
      </c>
      <c r="F6" s="60" t="inlineStr">
        <is>
          <t>1792260957001</t>
        </is>
      </c>
      <c r="G6" s="60" t="inlineStr"/>
      <c r="H6" s="60" t="inlineStr">
        <is>
          <t>2 - No</t>
        </is>
      </c>
      <c r="I6" s="61" t="n">
        <v>4891.88</v>
      </c>
      <c r="J6" s="62" t="n">
        <v>4891.88</v>
      </c>
      <c r="K6" s="61">
        <f>J6-I6</f>
        <v/>
      </c>
      <c r="L6" s="63">
        <f>IF(I6=0,"",(J6-I6)/I6)</f>
        <v/>
      </c>
    </row>
    <row r="7">
      <c r="A7" s="64" t="inlineStr">
        <is>
          <t>IFI - Instituciones financieras</t>
        </is>
      </c>
      <c r="B7" s="64" t="inlineStr">
        <is>
          <t>ECU - En el Ecuador</t>
        </is>
      </c>
      <c r="C7" s="64" t="inlineStr">
        <is>
          <t>593 - ECUADOR</t>
        </is>
      </c>
      <c r="D7" s="64" t="inlineStr">
        <is>
          <t>BANCO DEL PICHINCHA</t>
        </is>
      </c>
      <c r="E7" s="64" t="inlineStr">
        <is>
          <t>R - RUC</t>
        </is>
      </c>
      <c r="F7" s="64" t="inlineStr">
        <is>
          <t>1790010937001</t>
        </is>
      </c>
      <c r="G7" s="64" t="inlineStr"/>
      <c r="H7" s="64" t="inlineStr">
        <is>
          <t>2 - No</t>
        </is>
      </c>
      <c r="I7" s="65" t="n">
        <v>5547.31</v>
      </c>
      <c r="J7" s="62" t="n">
        <v>5547.31</v>
      </c>
      <c r="K7" s="65">
        <f>J7-I7</f>
        <v/>
      </c>
      <c r="L7" s="66">
        <f>IF(I7=0,"",(J7-I7)/I7)</f>
        <v/>
      </c>
    </row>
    <row r="8" ht="22" customHeight="1">
      <c r="A8" s="68" t="inlineStr">
        <is>
          <t>TOTAL</t>
        </is>
      </c>
      <c r="B8" s="68" t="n"/>
      <c r="C8" s="68" t="n"/>
      <c r="D8" s="68" t="n"/>
      <c r="E8" s="68" t="n"/>
      <c r="F8" s="68" t="n"/>
      <c r="G8" s="68" t="n"/>
      <c r="H8" s="68" t="n"/>
      <c r="I8" s="38">
        <f>SUM(I6:I7)</f>
        <v/>
      </c>
      <c r="J8" s="38">
        <f>SUM(J6:J7)</f>
        <v/>
      </c>
      <c r="K8" s="38">
        <f>J8-I8</f>
        <v/>
      </c>
      <c r="L8" s="39">
        <f>IF(I8=0,"",(J8-I8)/I8)</f>
        <v/>
      </c>
    </row>
  </sheetData>
  <mergeCells count="3">
    <mergeCell ref="A3:L3"/>
    <mergeCell ref="A2:L2"/>
    <mergeCell ref="A1:L1"/>
  </mergeCells>
  <dataValidations count="5">
    <dataValidation sqref="A6:A7" showDropDown="0" showInputMessage="0" showErrorMessage="0" allowBlank="1" type="list">
      <formula1>Catalogos!$O$2:$O$9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E6:E7" showDropDown="0" showInputMessage="0" showErrorMessage="0" allowBlank="1" type="list">
      <formula1>Catalogos!$P$2:$P$5</formula1>
    </dataValidation>
    <dataValidation sqref="H6:H7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22" customWidth="1" min="5" max="5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Marque 'Si' los conceptos que justifican la variacion patrimonial  -  ejercicio 2025</t>
        </is>
      </c>
    </row>
    <row r="3" ht="5" customHeight="1">
      <c r="A3" s="3" t="n"/>
    </row>
    <row r="5" ht="20" customHeight="1">
      <c r="B5" s="69" t="inlineStr">
        <is>
          <t>Incremento patrimonial declarado en el XML</t>
        </is>
      </c>
      <c r="C5" s="70" t="n"/>
      <c r="D5" s="70" t="n"/>
      <c r="E5" s="71" t="n">
        <v>81715.59</v>
      </c>
    </row>
    <row r="7" ht="26" customHeight="1">
      <c r="B7" s="26" t="inlineStr">
        <is>
          <t>Concepto (Tabla 14 del SRI)</t>
        </is>
      </c>
      <c r="E7" s="26" t="inlineStr">
        <is>
          <t>Justifica la variacion</t>
        </is>
      </c>
    </row>
    <row r="8" ht="22" customHeight="1">
      <c r="B8" s="72" t="inlineStr">
        <is>
          <t>1 - Ingresos locales</t>
        </is>
      </c>
      <c r="C8" s="6" t="n"/>
      <c r="D8" s="6" t="n"/>
      <c r="E8" s="73" t="inlineStr">
        <is>
          <t>Si</t>
        </is>
      </c>
    </row>
    <row r="9" ht="22" customHeight="1">
      <c r="B9" s="72" t="inlineStr">
        <is>
          <t>2 - Ingresos exterior</t>
        </is>
      </c>
      <c r="C9" s="6" t="n"/>
      <c r="D9" s="6" t="n"/>
      <c r="E9" s="73" t="inlineStr">
        <is>
          <t>No</t>
        </is>
      </c>
    </row>
    <row r="10" ht="22" customHeight="1">
      <c r="B10" s="72" t="inlineStr">
        <is>
          <t>3 - Herencias, legados o donaciones</t>
        </is>
      </c>
      <c r="C10" s="6" t="n"/>
      <c r="D10" s="6" t="n"/>
      <c r="E10" s="73" t="inlineStr">
        <is>
          <t>No</t>
        </is>
      </c>
    </row>
    <row r="11" ht="22" customHeight="1">
      <c r="B11" s="72" t="inlineStr">
        <is>
          <t>4 - Loterias o rifas</t>
        </is>
      </c>
      <c r="C11" s="6" t="n"/>
      <c r="D11" s="6" t="n"/>
      <c r="E11" s="73" t="inlineStr">
        <is>
          <t>No</t>
        </is>
      </c>
    </row>
    <row r="12" ht="22" customHeight="1">
      <c r="B12" s="72" t="inlineStr">
        <is>
          <t>5 - Ganancias de capital</t>
        </is>
      </c>
      <c r="C12" s="6" t="n"/>
      <c r="D12" s="6" t="n"/>
      <c r="E12" s="73" t="inlineStr">
        <is>
          <t>No</t>
        </is>
      </c>
    </row>
    <row r="13" ht="22" customHeight="1">
      <c r="B13" s="72" t="inlineStr">
        <is>
          <t>6 - Otros</t>
        </is>
      </c>
      <c r="C13" s="6" t="n"/>
      <c r="D13" s="6" t="n"/>
      <c r="E13" s="73" t="inlineStr">
        <is>
          <t>Si</t>
        </is>
      </c>
    </row>
    <row r="15">
      <c r="B15" s="59" t="inlineStr">
        <is>
          <t>Esta hoja reproduce la seccion Justificacion del formulario del SRI. Marque 'Si' en los conceptos que apliquen; el generador de XML los toma de aqui.</t>
        </is>
      </c>
    </row>
  </sheetData>
  <mergeCells count="11">
    <mergeCell ref="B10:D10"/>
    <mergeCell ref="B11:D11"/>
    <mergeCell ref="B5:D5"/>
    <mergeCell ref="A2:E2"/>
    <mergeCell ref="B8:D8"/>
    <mergeCell ref="B9:D9"/>
    <mergeCell ref="B13:D13"/>
    <mergeCell ref="A1:E1"/>
    <mergeCell ref="B12:D12"/>
    <mergeCell ref="B7:D7"/>
    <mergeCell ref="A3:E3"/>
  </mergeCells>
  <dataValidations count="1">
    <dataValidation sqref="E8:E13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GENERAR XML PARA EL SRI</t>
        </is>
      </c>
    </row>
    <row r="2">
      <c r="A2" s="2" t="inlineStr">
        <is>
          <t>Convierte este libro en el archivo XML de la Declaracion Patrimonial, listo para subir al portal del SRI</t>
        </is>
      </c>
    </row>
    <row r="3" ht="5" customHeight="1">
      <c r="A3" s="3" t="n"/>
    </row>
    <row r="5">
      <c r="B5" s="74" t="inlineStr">
        <is>
          <t>►   GENERAR XML</t>
        </is>
      </c>
      <c r="C5" s="6" t="n"/>
      <c r="D5" s="6" t="n"/>
    </row>
    <row r="6">
      <c r="B6" s="6" t="n"/>
      <c r="C6" s="6" t="n"/>
      <c r="D6" s="6" t="n"/>
    </row>
    <row r="7">
      <c r="B7" s="75" t="inlineStr">
        <is>
          <t>En el archivo .xlsm el boton verde ya esta vinculado a la macro GenerarXmlSRI.</t>
        </is>
      </c>
    </row>
    <row r="9">
      <c r="B9" s="76" t="inlineStr">
        <is>
          <t>COMO USAR ESTE ARCHIVO</t>
        </is>
      </c>
    </row>
    <row r="10">
      <c r="B10" s="77" t="inlineStr">
        <is>
          <t>1. Al abrir el archivo .xlsm, pulse 'Habilitar contenido' en la barra de seguridad de Excel.</t>
        </is>
      </c>
    </row>
    <row r="11">
      <c r="B11" s="77" t="inlineStr">
        <is>
          <t>2. Llene las columnas amarillas de cada modulo (Dinero, Vehiculos, etc.) y la hoja Justificacion.</t>
        </is>
      </c>
    </row>
    <row r="12">
      <c r="B12" s="77" t="inlineStr">
        <is>
          <t>3. Pulse el boton verde GENERAR XML, indique el anio y elija donde guardar el archivo.</t>
        </is>
      </c>
    </row>
    <row r="13">
      <c r="B13" s="77" t="inlineStr">
        <is>
          <t>4. El archivo .xml queda listo para subir al portal del SRI.</t>
        </is>
      </c>
    </row>
    <row r="14">
      <c r="B14" s="77" t="inlineStr"/>
    </row>
    <row r="15">
      <c r="B15" s="76" t="inlineStr">
        <is>
          <t>SI EXCEL BLOQUEA LAS MACROS</t>
        </is>
      </c>
    </row>
    <row r="16">
      <c r="B16" s="77" t="inlineStr">
        <is>
          <t>- Cierre Excel. En el Explorador, clic derecho sobre el archivo &gt; Propiedades.</t>
        </is>
      </c>
    </row>
    <row r="17">
      <c r="B17" s="77" t="inlineStr">
        <is>
          <t>- Al final de la pestana General marque 'Desbloquear' y pulse Aceptar.</t>
        </is>
      </c>
    </row>
    <row r="18">
      <c r="B18" s="77" t="inlineStr">
        <is>
          <t>- Vuelva a abrirlo y pulse 'Habilitar contenido'. Conserve siempre la extension .xlsm.</t>
        </is>
      </c>
    </row>
    <row r="19">
      <c r="B19" s="77" t="inlineStr"/>
    </row>
    <row r="20">
      <c r="B20" s="77" t="inlineStr">
        <is>
          <t>Alternativa sin macros:  ejecutar  python tools/generar_xml_sri.py  desde la terminal.</t>
        </is>
      </c>
    </row>
  </sheetData>
  <mergeCells count="4">
    <mergeCell ref="A3:F3"/>
    <mergeCell ref="A2:F2"/>
    <mergeCell ref="A1:F1"/>
    <mergeCell ref="B5:D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4" customWidth="1" min="2" max="2"/>
  </cols>
  <sheetData>
    <row r="1" ht="30" customHeight="1">
      <c r="A1" s="1" t="inlineStr">
        <is>
          <t>DATOS GENERALES DE LA DECLARACION</t>
        </is>
      </c>
    </row>
    <row r="3" ht="5" customHeight="1">
      <c r="A3" s="3" t="n"/>
    </row>
    <row r="5" ht="20" customHeight="1">
      <c r="A5" s="78" t="inlineStr">
        <is>
          <t>IDENTIFICACION</t>
        </is>
      </c>
    </row>
    <row r="6">
      <c r="A6" s="79" t="inlineStr">
        <is>
          <t>Anio de la declaracion</t>
        </is>
      </c>
      <c r="B6" s="80" t="n">
        <v>2025</v>
      </c>
    </row>
    <row r="7">
      <c r="A7" s="79" t="inlineStr">
        <is>
          <t>Tipo de declaracion</t>
        </is>
      </c>
      <c r="B7" s="80" t="inlineStr">
        <is>
          <t>SOC - Sociedad conyugal o union de hecho</t>
        </is>
      </c>
    </row>
    <row r="8">
      <c r="A8" s="79" t="inlineStr">
        <is>
          <t>Tipo de identificacion</t>
        </is>
      </c>
      <c r="B8" s="80" t="inlineStr">
        <is>
          <t>R - RUC</t>
        </is>
      </c>
    </row>
    <row r="9">
      <c r="A9" s="79" t="inlineStr">
        <is>
          <t>Numero de identificacion</t>
        </is>
      </c>
      <c r="B9" s="80" t="inlineStr">
        <is>
          <t>1709164899001</t>
        </is>
      </c>
    </row>
    <row r="10">
      <c r="A10" s="79" t="inlineStr">
        <is>
          <t>Nombre del declarante</t>
        </is>
      </c>
      <c r="B10" s="80" t="inlineStr">
        <is>
          <t>GONZALEZ NAVAS MARCO VINICIO</t>
        </is>
      </c>
    </row>
    <row r="11">
      <c r="A11" s="79" t="inlineStr">
        <is>
          <t>Identificacion del conyuge</t>
        </is>
      </c>
      <c r="B11" s="80" t="inlineStr">
        <is>
          <t>C - Cedula</t>
        </is>
      </c>
    </row>
    <row r="12">
      <c r="A12" s="79" t="inlineStr">
        <is>
          <t>Numero ident. conyuge</t>
        </is>
      </c>
      <c r="B12" s="80" t="inlineStr">
        <is>
          <t>1709784225</t>
        </is>
      </c>
    </row>
    <row r="13">
      <c r="A13" s="79" t="inlineStr">
        <is>
          <t>Nombre del conyuge</t>
        </is>
      </c>
      <c r="B13" s="80" t="inlineStr">
        <is>
          <t>HIDALGO LOZA ROSA CONSUELO</t>
        </is>
      </c>
    </row>
    <row r="14">
      <c r="A14" s="79" t="inlineStr">
        <is>
          <t>Total creditos / cuentas por cobrar</t>
        </is>
      </c>
      <c r="B14" s="61" t="n">
        <v>0</v>
      </c>
    </row>
    <row r="16" ht="20" customHeight="1">
      <c r="A16" s="78" t="inlineStr">
        <is>
          <t>PATRIMONIO NETO (enlazado a la hoja Dashboard)</t>
        </is>
      </c>
    </row>
    <row r="17">
      <c r="A17" s="79" t="inlineStr">
        <is>
          <t>Patrimonio neto 2025</t>
        </is>
      </c>
      <c r="B17" s="61">
        <f>Dashboard!D31</f>
        <v/>
      </c>
    </row>
    <row r="18">
      <c r="A18" s="79" t="inlineStr">
        <is>
          <t>Patrimonio neto 2026 (proyectado)</t>
        </is>
      </c>
      <c r="B18" s="61">
        <f>Dashboard!E31</f>
        <v/>
      </c>
    </row>
    <row r="19">
      <c r="A19" s="79" t="inlineStr">
        <is>
          <t>Variacion proyectada</t>
        </is>
      </c>
      <c r="B19" s="61">
        <f>Dashboard!F31</f>
        <v/>
      </c>
    </row>
    <row r="20">
      <c r="A20" s="79" t="inlineStr">
        <is>
          <t>Variacion % proyectada</t>
        </is>
      </c>
      <c r="B20" s="63">
        <f>Dashboard!G31</f>
        <v/>
      </c>
    </row>
    <row r="22" ht="20" customHeight="1">
      <c r="A22" s="78" t="inlineStr">
        <is>
          <t>PATRIMONIO DECLARADO EN EL XML</t>
        </is>
      </c>
    </row>
    <row r="23">
      <c r="A23" s="79" t="inlineStr">
        <is>
          <t>Patrimonio total declarado</t>
        </is>
      </c>
      <c r="B23" s="61" t="n">
        <v>883285.5600000001</v>
      </c>
    </row>
    <row r="24">
      <c r="A24" s="79" t="inlineStr">
        <is>
          <t>Atribuible a hijos no emancipados</t>
        </is>
      </c>
      <c r="B24" s="61" t="n">
        <v>0</v>
      </c>
    </row>
    <row r="25">
      <c r="A25" s="79" t="inlineStr">
        <is>
          <t>Patrimonio en la sociedad conyugal</t>
        </is>
      </c>
      <c r="B25" s="61" t="n">
        <v>883285.5600000001</v>
      </c>
    </row>
    <row r="26">
      <c r="A26" s="79" t="inlineStr">
        <is>
          <t>Patrimonio individual del declarante</t>
        </is>
      </c>
      <c r="B26" s="61" t="n">
        <v>0</v>
      </c>
    </row>
    <row r="27">
      <c r="A27" s="79" t="inlineStr">
        <is>
          <t>Patrimonio del anio anterior</t>
        </is>
      </c>
      <c r="B27" s="61" t="n">
        <v>801569.97</v>
      </c>
    </row>
    <row r="28">
      <c r="A28" s="79" t="inlineStr">
        <is>
          <t>Crecimiento / decremento patrimonial</t>
        </is>
      </c>
      <c r="B28" s="61" t="n">
        <v>81715.59</v>
      </c>
    </row>
    <row r="30">
      <c r="A30" s="76" t="inlineStr">
        <is>
          <t>Justificacion de la variacion (ver hoja Justificacion)</t>
        </is>
      </c>
    </row>
    <row r="31">
      <c r="A31" s="77" t="inlineStr">
        <is>
          <t>- 1 - Ingresos locales</t>
        </is>
      </c>
    </row>
    <row r="32">
      <c r="A32" s="77" t="inlineStr">
        <is>
          <t>- 6 - Otros</t>
        </is>
      </c>
    </row>
    <row r="34">
      <c r="A34" s="59" t="inlineStr">
        <is>
          <t>Catalogos del SRI integrados (Tablas 1-19 del archivo CATALOGO.xls). El XML se genera con generar_xml_sri.py.</t>
        </is>
      </c>
    </row>
  </sheetData>
  <mergeCells count="5">
    <mergeCell ref="A16:B16"/>
    <mergeCell ref="A5:B5"/>
    <mergeCell ref="A1:B1"/>
    <mergeCell ref="A3:B3"/>
    <mergeCell ref="A22:B2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hoja</t>
        </is>
      </c>
      <c r="C1" t="inlineStr">
        <is>
          <t>contenedor</t>
        </is>
      </c>
      <c r="D1" t="inlineStr">
        <is>
          <t>detalle</t>
        </is>
      </c>
      <c r="E1" t="inlineStr">
        <is>
          <t>clase</t>
        </is>
      </c>
      <c r="F1" t="inlineStr">
        <is>
          <t>ordenXml</t>
        </is>
      </c>
      <c r="G1" t="inlineStr">
        <is>
          <t>tipo</t>
        </is>
      </c>
      <c r="H1" t="inlineStr">
        <is>
          <t>xmlTag</t>
        </is>
      </c>
      <c r="I1" t="inlineStr">
        <is>
          <t>descIndex</t>
        </is>
      </c>
    </row>
    <row r="2">
      <c r="A2" t="inlineStr">
        <is>
          <t>dinero</t>
        </is>
      </c>
      <c r="B2" t="inlineStr">
        <is>
          <t>Dinero</t>
        </is>
      </c>
      <c r="C2" t="inlineStr">
        <is>
          <t>dinero</t>
        </is>
      </c>
      <c r="D2" t="inlineStr">
        <is>
          <t>detalleDinero</t>
        </is>
      </c>
      <c r="E2" t="inlineStr">
        <is>
          <t>activo</t>
        </is>
      </c>
      <c r="F2" t="n">
        <v>0</v>
      </c>
      <c r="G2" t="inlineStr">
        <is>
          <t>cod</t>
        </is>
      </c>
      <c r="H2" t="inlineStr">
        <is>
          <t>dineroEn</t>
        </is>
      </c>
      <c r="I2" t="n">
        <v>1</v>
      </c>
    </row>
    <row r="3">
      <c r="A3" t="inlineStr">
        <is>
          <t>dinero</t>
        </is>
      </c>
      <c r="B3" t="inlineStr">
        <is>
          <t>Dinero</t>
        </is>
      </c>
      <c r="C3" t="inlineStr">
        <is>
          <t>dinero</t>
        </is>
      </c>
      <c r="D3" t="inlineStr">
        <is>
          <t>detalleDinero</t>
        </is>
      </c>
      <c r="E3" t="inlineStr">
        <is>
          <t>activo</t>
        </is>
      </c>
      <c r="F3" t="n">
        <v>0</v>
      </c>
      <c r="G3" t="inlineStr">
        <is>
          <t>cod</t>
        </is>
      </c>
      <c r="H3" t="inlineStr">
        <is>
          <t>tipoInversion</t>
        </is>
      </c>
      <c r="I3" t="n">
        <v>2</v>
      </c>
    </row>
    <row r="4">
      <c r="A4" t="inlineStr">
        <is>
          <t>dinero</t>
        </is>
      </c>
      <c r="B4" t="inlineStr">
        <is>
          <t>Dinero</t>
        </is>
      </c>
      <c r="C4" t="inlineStr">
        <is>
          <t>dinero</t>
        </is>
      </c>
      <c r="D4" t="inlineStr">
        <is>
          <t>detalleDinero</t>
        </is>
      </c>
      <c r="E4" t="inlineStr">
        <is>
          <t>activo</t>
        </is>
      </c>
      <c r="F4" t="n">
        <v>0</v>
      </c>
      <c r="G4" t="inlineStr">
        <is>
          <t>cod</t>
        </is>
      </c>
      <c r="H4" t="inlineStr">
        <is>
          <t>ubicacion</t>
        </is>
      </c>
      <c r="I4" t="n">
        <v>3</v>
      </c>
    </row>
    <row r="5">
      <c r="A5" t="inlineStr">
        <is>
          <t>dinero</t>
        </is>
      </c>
      <c r="B5" t="inlineStr">
        <is>
          <t>Dinero</t>
        </is>
      </c>
      <c r="C5" t="inlineStr">
        <is>
          <t>dinero</t>
        </is>
      </c>
      <c r="D5" t="inlineStr">
        <is>
          <t>detalleDinero</t>
        </is>
      </c>
      <c r="E5" t="inlineStr">
        <is>
          <t>activo</t>
        </is>
      </c>
      <c r="F5" t="n">
        <v>0</v>
      </c>
      <c r="G5" t="inlineStr">
        <is>
          <t>cod</t>
        </is>
      </c>
      <c r="H5" t="inlineStr">
        <is>
          <t>pais</t>
        </is>
      </c>
      <c r="I5" t="n">
        <v>4</v>
      </c>
    </row>
    <row r="6">
      <c r="A6" t="inlineStr">
        <is>
          <t>dinero</t>
        </is>
      </c>
      <c r="B6" t="inlineStr">
        <is>
          <t>Dinero</t>
        </is>
      </c>
      <c r="C6" t="inlineStr">
        <is>
          <t>dinero</t>
        </is>
      </c>
      <c r="D6" t="inlineStr">
        <is>
          <t>detalleDinero</t>
        </is>
      </c>
      <c r="E6" t="inlineStr">
        <is>
          <t>activo</t>
        </is>
      </c>
      <c r="F6" t="n">
        <v>0</v>
      </c>
      <c r="G6" t="inlineStr">
        <is>
          <t>cod</t>
        </is>
      </c>
      <c r="H6" t="inlineStr">
        <is>
          <t>_ifi</t>
        </is>
      </c>
      <c r="I6" t="n">
        <v>5</v>
      </c>
    </row>
    <row r="7">
      <c r="A7" t="inlineStr">
        <is>
          <t>dinero</t>
        </is>
      </c>
      <c r="B7" t="inlineStr">
        <is>
          <t>Dinero</t>
        </is>
      </c>
      <c r="C7" t="inlineStr">
        <is>
          <t>dinero</t>
        </is>
      </c>
      <c r="D7" t="inlineStr">
        <is>
          <t>detalleDinero</t>
        </is>
      </c>
      <c r="E7" t="inlineStr">
        <is>
          <t>activo</t>
        </is>
      </c>
      <c r="F7" t="n">
        <v>0</v>
      </c>
      <c r="G7" t="inlineStr">
        <is>
          <t>txt</t>
        </is>
      </c>
      <c r="H7" t="inlineStr">
        <is>
          <t>tipoMoneda</t>
        </is>
      </c>
      <c r="I7" t="n">
        <v>6</v>
      </c>
    </row>
    <row r="8">
      <c r="A8" t="inlineStr">
        <is>
          <t>dinero</t>
        </is>
      </c>
      <c r="B8" t="inlineStr">
        <is>
          <t>Dinero</t>
        </is>
      </c>
      <c r="C8" t="inlineStr">
        <is>
          <t>dinero</t>
        </is>
      </c>
      <c r="D8" t="inlineStr">
        <is>
          <t>detalleDinero</t>
        </is>
      </c>
      <c r="E8" t="inlineStr">
        <is>
          <t>activo</t>
        </is>
      </c>
      <c r="F8" t="n">
        <v>0</v>
      </c>
      <c r="G8" t="inlineStr">
        <is>
          <t>val</t>
        </is>
      </c>
      <c r="H8" t="inlineStr">
        <is>
          <t>saldo</t>
        </is>
      </c>
      <c r="I8" t="n">
        <v>0</v>
      </c>
    </row>
    <row r="9">
      <c r="A9" t="inlineStr">
        <is>
          <t>dinero</t>
        </is>
      </c>
      <c r="B9" t="inlineStr">
        <is>
          <t>Dinero</t>
        </is>
      </c>
      <c r="C9" t="inlineStr">
        <is>
          <t>dinero</t>
        </is>
      </c>
      <c r="D9" t="inlineStr">
        <is>
          <t>detalleDinero</t>
        </is>
      </c>
      <c r="E9" t="inlineStr">
        <is>
          <t>activo</t>
        </is>
      </c>
      <c r="F9" t="n">
        <v>0</v>
      </c>
      <c r="G9" t="inlineStr">
        <is>
          <t>cod</t>
        </is>
      </c>
      <c r="H9" t="inlineStr">
        <is>
          <t>partesRelacionadas</t>
        </is>
      </c>
      <c r="I9" t="n">
        <v>7</v>
      </c>
    </row>
    <row r="10">
      <c r="A10" t="inlineStr">
        <is>
          <t>dinero</t>
        </is>
      </c>
      <c r="B10" t="inlineStr">
        <is>
          <t>Dinero</t>
        </is>
      </c>
      <c r="C10" t="inlineStr">
        <is>
          <t>dinero</t>
        </is>
      </c>
      <c r="D10" t="inlineStr">
        <is>
          <t>detalleDinero</t>
        </is>
      </c>
      <c r="E10" t="inlineStr">
        <is>
          <t>activo</t>
        </is>
      </c>
      <c r="F10" t="n">
        <v>0</v>
      </c>
      <c r="G10" t="inlineStr">
        <is>
          <t>cod</t>
        </is>
      </c>
      <c r="H10" t="inlineStr">
        <is>
          <t>regularizacionActivos</t>
        </is>
      </c>
      <c r="I10" t="n">
        <v>8</v>
      </c>
    </row>
    <row r="11">
      <c r="A11" t="inlineStr">
        <is>
          <t>dinero</t>
        </is>
      </c>
      <c r="B11" t="inlineStr">
        <is>
          <t>Dinero</t>
        </is>
      </c>
      <c r="C11" t="inlineStr">
        <is>
          <t>dinero</t>
        </is>
      </c>
      <c r="D11" t="inlineStr">
        <is>
          <t>detalleDinero</t>
        </is>
      </c>
      <c r="E11" t="inlineStr">
        <is>
          <t>activo</t>
        </is>
      </c>
      <c r="F11" t="n">
        <v>0</v>
      </c>
      <c r="G11" t="inlineStr">
        <is>
          <t>txt</t>
        </is>
      </c>
      <c r="H11" t="inlineStr">
        <is>
          <t>anioFiscalAdquisicion</t>
        </is>
      </c>
      <c r="I11" t="n">
        <v>9</v>
      </c>
    </row>
    <row r="12">
      <c r="A12" t="inlineStr">
        <is>
          <t>drc</t>
        </is>
      </c>
      <c r="B12" t="inlineStr">
        <is>
          <t>Derechos de Capital</t>
        </is>
      </c>
      <c r="C12" t="inlineStr">
        <is>
          <t>inversiones</t>
        </is>
      </c>
      <c r="D12" t="inlineStr">
        <is>
          <t>detalleInversiones</t>
        </is>
      </c>
      <c r="E12" t="inlineStr">
        <is>
          <t>activo</t>
        </is>
      </c>
      <c r="F12" t="n">
        <v>1</v>
      </c>
      <c r="G12" t="inlineStr">
        <is>
          <t>cod</t>
        </is>
      </c>
      <c r="H12" t="inlineStr">
        <is>
          <t>tipoInversion</t>
        </is>
      </c>
      <c r="I12" t="n">
        <v>1</v>
      </c>
    </row>
    <row r="13">
      <c r="A13" t="inlineStr">
        <is>
          <t>drc</t>
        </is>
      </c>
      <c r="B13" t="inlineStr">
        <is>
          <t>Derechos de Capital</t>
        </is>
      </c>
      <c r="C13" t="inlineStr">
        <is>
          <t>inversiones</t>
        </is>
      </c>
      <c r="D13" t="inlineStr">
        <is>
          <t>detalleInversiones</t>
        </is>
      </c>
      <c r="E13" t="inlineStr">
        <is>
          <t>activo</t>
        </is>
      </c>
      <c r="F13" t="n">
        <v>1</v>
      </c>
      <c r="G13" t="inlineStr">
        <is>
          <t>cod</t>
        </is>
      </c>
      <c r="H13" t="inlineStr">
        <is>
          <t>ubicacion</t>
        </is>
      </c>
      <c r="I13" t="n">
        <v>2</v>
      </c>
    </row>
    <row r="14">
      <c r="A14" t="inlineStr">
        <is>
          <t>drc</t>
        </is>
      </c>
      <c r="B14" t="inlineStr">
        <is>
          <t>Derechos de Capital</t>
        </is>
      </c>
      <c r="C14" t="inlineStr">
        <is>
          <t>inversiones</t>
        </is>
      </c>
      <c r="D14" t="inlineStr">
        <is>
          <t>detalleInversiones</t>
        </is>
      </c>
      <c r="E14" t="inlineStr">
        <is>
          <t>activo</t>
        </is>
      </c>
      <c r="F14" t="n">
        <v>1</v>
      </c>
      <c r="G14" t="inlineStr">
        <is>
          <t>val</t>
        </is>
      </c>
      <c r="H14" t="inlineStr">
        <is>
          <t>valor</t>
        </is>
      </c>
      <c r="I14" t="n">
        <v>0</v>
      </c>
    </row>
    <row r="15">
      <c r="A15" t="inlineStr">
        <is>
          <t>drc</t>
        </is>
      </c>
      <c r="B15" t="inlineStr">
        <is>
          <t>Derechos de Capital</t>
        </is>
      </c>
      <c r="C15" t="inlineStr">
        <is>
          <t>inversiones</t>
        </is>
      </c>
      <c r="D15" t="inlineStr">
        <is>
          <t>detalleInversiones</t>
        </is>
      </c>
      <c r="E15" t="inlineStr">
        <is>
          <t>activo</t>
        </is>
      </c>
      <c r="F15" t="n">
        <v>1</v>
      </c>
      <c r="G15" t="inlineStr">
        <is>
          <t>cod</t>
        </is>
      </c>
      <c r="H15" t="inlineStr">
        <is>
          <t>codpais</t>
        </is>
      </c>
      <c r="I15" t="n">
        <v>3</v>
      </c>
    </row>
    <row r="16">
      <c r="A16" t="inlineStr">
        <is>
          <t>drc</t>
        </is>
      </c>
      <c r="B16" t="inlineStr">
        <is>
          <t>Derechos de Capital</t>
        </is>
      </c>
      <c r="C16" t="inlineStr">
        <is>
          <t>inversiones</t>
        </is>
      </c>
      <c r="D16" t="inlineStr">
        <is>
          <t>detalleInversiones</t>
        </is>
      </c>
      <c r="E16" t="inlineStr">
        <is>
          <t>activo</t>
        </is>
      </c>
      <c r="F16" t="n">
        <v>1</v>
      </c>
      <c r="G16" t="inlineStr">
        <is>
          <t>txt</t>
        </is>
      </c>
      <c r="H16" t="inlineStr">
        <is>
          <t>nombempresa</t>
        </is>
      </c>
      <c r="I16" t="n">
        <v>4</v>
      </c>
    </row>
    <row r="17">
      <c r="A17" t="inlineStr">
        <is>
          <t>drc</t>
        </is>
      </c>
      <c r="B17" t="inlineStr">
        <is>
          <t>Derechos de Capital</t>
        </is>
      </c>
      <c r="C17" t="inlineStr">
        <is>
          <t>inversiones</t>
        </is>
      </c>
      <c r="D17" t="inlineStr">
        <is>
          <t>detalleInversiones</t>
        </is>
      </c>
      <c r="E17" t="inlineStr">
        <is>
          <t>activo</t>
        </is>
      </c>
      <c r="F17" t="n">
        <v>1</v>
      </c>
      <c r="G17" t="inlineStr">
        <is>
          <t>txt</t>
        </is>
      </c>
      <c r="H17" t="inlineStr">
        <is>
          <t>porcentpart</t>
        </is>
      </c>
      <c r="I17" t="n">
        <v>5</v>
      </c>
    </row>
    <row r="18">
      <c r="A18" t="inlineStr">
        <is>
          <t>drc</t>
        </is>
      </c>
      <c r="B18" t="inlineStr">
        <is>
          <t>Derechos de Capital</t>
        </is>
      </c>
      <c r="C18" t="inlineStr">
        <is>
          <t>inversiones</t>
        </is>
      </c>
      <c r="D18" t="inlineStr">
        <is>
          <t>detalleInversiones</t>
        </is>
      </c>
      <c r="E18" t="inlineStr">
        <is>
          <t>activo</t>
        </is>
      </c>
      <c r="F18" t="n">
        <v>1</v>
      </c>
      <c r="G18" t="inlineStr">
        <is>
          <t>txt</t>
        </is>
      </c>
      <c r="H18" t="inlineStr">
        <is>
          <t>numAcc</t>
        </is>
      </c>
      <c r="I18" t="n">
        <v>6</v>
      </c>
    </row>
    <row r="19">
      <c r="A19" t="inlineStr">
        <is>
          <t>drc</t>
        </is>
      </c>
      <c r="B19" t="inlineStr">
        <is>
          <t>Derechos de Capital</t>
        </is>
      </c>
      <c r="C19" t="inlineStr">
        <is>
          <t>inversiones</t>
        </is>
      </c>
      <c r="D19" t="inlineStr">
        <is>
          <t>detalleInversiones</t>
        </is>
      </c>
      <c r="E19" t="inlineStr">
        <is>
          <t>activo</t>
        </is>
      </c>
      <c r="F19" t="n">
        <v>1</v>
      </c>
      <c r="G19" t="inlineStr">
        <is>
          <t>cod</t>
        </is>
      </c>
      <c r="H19" t="inlineStr">
        <is>
          <t>relacionadas</t>
        </is>
      </c>
      <c r="I19" t="n">
        <v>7</v>
      </c>
    </row>
    <row r="20">
      <c r="A20" t="inlineStr">
        <is>
          <t>drc</t>
        </is>
      </c>
      <c r="B20" t="inlineStr">
        <is>
          <t>Derechos de Capital</t>
        </is>
      </c>
      <c r="C20" t="inlineStr">
        <is>
          <t>inversiones</t>
        </is>
      </c>
      <c r="D20" t="inlineStr">
        <is>
          <t>detalleInversiones</t>
        </is>
      </c>
      <c r="E20" t="inlineStr">
        <is>
          <t>activo</t>
        </is>
      </c>
      <c r="F20" t="n">
        <v>1</v>
      </c>
      <c r="G20" t="inlineStr">
        <is>
          <t>cod</t>
        </is>
      </c>
      <c r="H20" t="inlineStr">
        <is>
          <t>regularizacionActivos</t>
        </is>
      </c>
      <c r="I20" t="n">
        <v>8</v>
      </c>
    </row>
    <row r="21">
      <c r="A21" t="inlineStr">
        <is>
          <t>drc</t>
        </is>
      </c>
      <c r="B21" t="inlineStr">
        <is>
          <t>Derechos de Capital</t>
        </is>
      </c>
      <c r="C21" t="inlineStr">
        <is>
          <t>inversiones</t>
        </is>
      </c>
      <c r="D21" t="inlineStr">
        <is>
          <t>detalleInversiones</t>
        </is>
      </c>
      <c r="E21" t="inlineStr">
        <is>
          <t>activo</t>
        </is>
      </c>
      <c r="F21" t="n">
        <v>1</v>
      </c>
      <c r="G21" t="inlineStr">
        <is>
          <t>txt</t>
        </is>
      </c>
      <c r="H21" t="inlineStr">
        <is>
          <t>anioFiscalAdquisicion</t>
        </is>
      </c>
      <c r="I21" t="n">
        <v>9</v>
      </c>
    </row>
    <row r="22">
      <c r="A22" t="inlineStr">
        <is>
          <t>cxc</t>
        </is>
      </c>
      <c r="B22" t="inlineStr">
        <is>
          <t>Cuentas por Cobrar</t>
        </is>
      </c>
      <c r="C22" t="inlineStr">
        <is>
          <t>ctasXCobrar</t>
        </is>
      </c>
      <c r="D22" t="inlineStr">
        <is>
          <t>detalleCtasXCobrar</t>
        </is>
      </c>
      <c r="E22" t="inlineStr">
        <is>
          <t>activo</t>
        </is>
      </c>
      <c r="F22" t="n">
        <v>2</v>
      </c>
      <c r="G22" t="inlineStr">
        <is>
          <t>txt</t>
        </is>
      </c>
      <c r="H22" t="inlineStr">
        <is>
          <t>nombreDeudor</t>
        </is>
      </c>
      <c r="I22" t="n">
        <v>1</v>
      </c>
    </row>
    <row r="23">
      <c r="A23" t="inlineStr">
        <is>
          <t>cxc</t>
        </is>
      </c>
      <c r="B23" t="inlineStr">
        <is>
          <t>Cuentas por Cobrar</t>
        </is>
      </c>
      <c r="C23" t="inlineStr">
        <is>
          <t>ctasXCobrar</t>
        </is>
      </c>
      <c r="D23" t="inlineStr">
        <is>
          <t>detalleCtasXCobrar</t>
        </is>
      </c>
      <c r="E23" t="inlineStr">
        <is>
          <t>activo</t>
        </is>
      </c>
      <c r="F23" t="n">
        <v>2</v>
      </c>
      <c r="G23" t="inlineStr">
        <is>
          <t>cod</t>
        </is>
      </c>
      <c r="H23" t="inlineStr">
        <is>
          <t>tipoDeudor</t>
        </is>
      </c>
      <c r="I23" t="n">
        <v>2</v>
      </c>
    </row>
    <row r="24">
      <c r="A24" t="inlineStr">
        <is>
          <t>cxc</t>
        </is>
      </c>
      <c r="B24" t="inlineStr">
        <is>
          <t>Cuentas por Cobrar</t>
        </is>
      </c>
      <c r="C24" t="inlineStr">
        <is>
          <t>ctasXCobrar</t>
        </is>
      </c>
      <c r="D24" t="inlineStr">
        <is>
          <t>detalleCtasXCobrar</t>
        </is>
      </c>
      <c r="E24" t="inlineStr">
        <is>
          <t>activo</t>
        </is>
      </c>
      <c r="F24" t="n">
        <v>2</v>
      </c>
      <c r="G24" t="inlineStr">
        <is>
          <t>cod</t>
        </is>
      </c>
      <c r="H24" t="inlineStr">
        <is>
          <t>tipoIdentificacion</t>
        </is>
      </c>
      <c r="I24" t="n">
        <v>3</v>
      </c>
    </row>
    <row r="25">
      <c r="A25" t="inlineStr">
        <is>
          <t>cxc</t>
        </is>
      </c>
      <c r="B25" t="inlineStr">
        <is>
          <t>Cuentas por Cobrar</t>
        </is>
      </c>
      <c r="C25" t="inlineStr">
        <is>
          <t>ctasXCobrar</t>
        </is>
      </c>
      <c r="D25" t="inlineStr">
        <is>
          <t>detalleCtasXCobrar</t>
        </is>
      </c>
      <c r="E25" t="inlineStr">
        <is>
          <t>activo</t>
        </is>
      </c>
      <c r="F25" t="n">
        <v>2</v>
      </c>
      <c r="G25" t="inlineStr">
        <is>
          <t>txt</t>
        </is>
      </c>
      <c r="H25" t="inlineStr">
        <is>
          <t>numeroIdentificacion</t>
        </is>
      </c>
      <c r="I25" t="n">
        <v>4</v>
      </c>
    </row>
    <row r="26">
      <c r="A26" t="inlineStr">
        <is>
          <t>cxc</t>
        </is>
      </c>
      <c r="B26" t="inlineStr">
        <is>
          <t>Cuentas por Cobrar</t>
        </is>
      </c>
      <c r="C26" t="inlineStr">
        <is>
          <t>ctasXCobrar</t>
        </is>
      </c>
      <c r="D26" t="inlineStr">
        <is>
          <t>detalleCtasXCobrar</t>
        </is>
      </c>
      <c r="E26" t="inlineStr">
        <is>
          <t>activo</t>
        </is>
      </c>
      <c r="F26" t="n">
        <v>2</v>
      </c>
      <c r="G26" t="inlineStr">
        <is>
          <t>cod</t>
        </is>
      </c>
      <c r="H26" t="inlineStr">
        <is>
          <t>ubicacion</t>
        </is>
      </c>
      <c r="I26" t="n">
        <v>5</v>
      </c>
    </row>
    <row r="27">
      <c r="A27" t="inlineStr">
        <is>
          <t>cxc</t>
        </is>
      </c>
      <c r="B27" t="inlineStr">
        <is>
          <t>Cuentas por Cobrar</t>
        </is>
      </c>
      <c r="C27" t="inlineStr">
        <is>
          <t>ctasXCobrar</t>
        </is>
      </c>
      <c r="D27" t="inlineStr">
        <is>
          <t>detalleCtasXCobrar</t>
        </is>
      </c>
      <c r="E27" t="inlineStr">
        <is>
          <t>activo</t>
        </is>
      </c>
      <c r="F27" t="n">
        <v>2</v>
      </c>
      <c r="G27" t="inlineStr">
        <is>
          <t>cod</t>
        </is>
      </c>
      <c r="H27" t="inlineStr">
        <is>
          <t>pais</t>
        </is>
      </c>
      <c r="I27" t="n">
        <v>6</v>
      </c>
    </row>
    <row r="28">
      <c r="A28" t="inlineStr">
        <is>
          <t>cxc</t>
        </is>
      </c>
      <c r="B28" t="inlineStr">
        <is>
          <t>Cuentas por Cobrar</t>
        </is>
      </c>
      <c r="C28" t="inlineStr">
        <is>
          <t>ctasXCobrar</t>
        </is>
      </c>
      <c r="D28" t="inlineStr">
        <is>
          <t>detalleCtasXCobrar</t>
        </is>
      </c>
      <c r="E28" t="inlineStr">
        <is>
          <t>activo</t>
        </is>
      </c>
      <c r="F28" t="n">
        <v>2</v>
      </c>
      <c r="G28" t="inlineStr">
        <is>
          <t>cod</t>
        </is>
      </c>
      <c r="H28" t="inlineStr">
        <is>
          <t>partesRelacionadas</t>
        </is>
      </c>
      <c r="I28" t="n">
        <v>7</v>
      </c>
    </row>
    <row r="29">
      <c r="A29" t="inlineStr">
        <is>
          <t>cxc</t>
        </is>
      </c>
      <c r="B29" t="inlineStr">
        <is>
          <t>Cuentas por Cobrar</t>
        </is>
      </c>
      <c r="C29" t="inlineStr">
        <is>
          <t>ctasXCobrar</t>
        </is>
      </c>
      <c r="D29" t="inlineStr">
        <is>
          <t>detalleCtasXCobrar</t>
        </is>
      </c>
      <c r="E29" t="inlineStr">
        <is>
          <t>activo</t>
        </is>
      </c>
      <c r="F29" t="n">
        <v>2</v>
      </c>
      <c r="G29" t="inlineStr">
        <is>
          <t>val</t>
        </is>
      </c>
      <c r="H29" t="inlineStr">
        <is>
          <t>saldo</t>
        </is>
      </c>
      <c r="I29" t="n">
        <v>0</v>
      </c>
    </row>
    <row r="30">
      <c r="A30" t="inlineStr">
        <is>
          <t>cxc</t>
        </is>
      </c>
      <c r="B30" t="inlineStr">
        <is>
          <t>Cuentas por Cobrar</t>
        </is>
      </c>
      <c r="C30" t="inlineStr">
        <is>
          <t>ctasXCobrar</t>
        </is>
      </c>
      <c r="D30" t="inlineStr">
        <is>
          <t>detalleCtasXCobrar</t>
        </is>
      </c>
      <c r="E30" t="inlineStr">
        <is>
          <t>activo</t>
        </is>
      </c>
      <c r="F30" t="n">
        <v>2</v>
      </c>
      <c r="G30" t="inlineStr">
        <is>
          <t>cod</t>
        </is>
      </c>
      <c r="H30" t="inlineStr">
        <is>
          <t>regularizacionActivos</t>
        </is>
      </c>
      <c r="I30" t="n">
        <v>8</v>
      </c>
    </row>
    <row r="31">
      <c r="A31" t="inlineStr">
        <is>
          <t>cxc</t>
        </is>
      </c>
      <c r="B31" t="inlineStr">
        <is>
          <t>Cuentas por Cobrar</t>
        </is>
      </c>
      <c r="C31" t="inlineStr">
        <is>
          <t>ctasXCobrar</t>
        </is>
      </c>
      <c r="D31" t="inlineStr">
        <is>
          <t>detalleCtasXCobrar</t>
        </is>
      </c>
      <c r="E31" t="inlineStr">
        <is>
          <t>activo</t>
        </is>
      </c>
      <c r="F31" t="n">
        <v>2</v>
      </c>
      <c r="G31" t="inlineStr">
        <is>
          <t>txt</t>
        </is>
      </c>
      <c r="H31" t="inlineStr">
        <is>
          <t>anioFiscalAdquisicion</t>
        </is>
      </c>
      <c r="I31" t="n">
        <v>9</v>
      </c>
    </row>
    <row r="32">
      <c r="A32" t="inlineStr">
        <is>
          <t>muebles</t>
        </is>
      </c>
      <c r="B32" t="inlineStr">
        <is>
          <t>Bienes Muebles</t>
        </is>
      </c>
      <c r="C32" t="inlineStr">
        <is>
          <t>otrosBienes</t>
        </is>
      </c>
      <c r="D32" t="inlineStr">
        <is>
          <t>detalleOtrosBienes</t>
        </is>
      </c>
      <c r="E32" t="inlineStr">
        <is>
          <t>activo</t>
        </is>
      </c>
      <c r="F32" t="n">
        <v>4</v>
      </c>
      <c r="G32" t="inlineStr">
        <is>
          <t>cod</t>
        </is>
      </c>
      <c r="H32" t="inlineStr">
        <is>
          <t>tipoBien</t>
        </is>
      </c>
      <c r="I32" t="n">
        <v>1</v>
      </c>
    </row>
    <row r="33">
      <c r="A33" t="inlineStr">
        <is>
          <t>muebles</t>
        </is>
      </c>
      <c r="B33" t="inlineStr">
        <is>
          <t>Bienes Muebles</t>
        </is>
      </c>
      <c r="C33" t="inlineStr">
        <is>
          <t>otrosBienes</t>
        </is>
      </c>
      <c r="D33" t="inlineStr">
        <is>
          <t>detalleOtrosBienes</t>
        </is>
      </c>
      <c r="E33" t="inlineStr">
        <is>
          <t>activo</t>
        </is>
      </c>
      <c r="F33" t="n">
        <v>4</v>
      </c>
      <c r="G33" t="inlineStr">
        <is>
          <t>cod</t>
        </is>
      </c>
      <c r="H33" t="inlineStr">
        <is>
          <t>ubicacion</t>
        </is>
      </c>
      <c r="I33" t="n">
        <v>2</v>
      </c>
    </row>
    <row r="34">
      <c r="A34" t="inlineStr">
        <is>
          <t>muebles</t>
        </is>
      </c>
      <c r="B34" t="inlineStr">
        <is>
          <t>Bienes Muebles</t>
        </is>
      </c>
      <c r="C34" t="inlineStr">
        <is>
          <t>otrosBienes</t>
        </is>
      </c>
      <c r="D34" t="inlineStr">
        <is>
          <t>detalleOtrosBienes</t>
        </is>
      </c>
      <c r="E34" t="inlineStr">
        <is>
          <t>activo</t>
        </is>
      </c>
      <c r="F34" t="n">
        <v>4</v>
      </c>
      <c r="G34" t="inlineStr">
        <is>
          <t>cod</t>
        </is>
      </c>
      <c r="H34" t="inlineStr">
        <is>
          <t>pais</t>
        </is>
      </c>
      <c r="I34" t="n">
        <v>3</v>
      </c>
    </row>
    <row r="35">
      <c r="A35" t="inlineStr">
        <is>
          <t>muebles</t>
        </is>
      </c>
      <c r="B35" t="inlineStr">
        <is>
          <t>Bienes Muebles</t>
        </is>
      </c>
      <c r="C35" t="inlineStr">
        <is>
          <t>otrosBienes</t>
        </is>
      </c>
      <c r="D35" t="inlineStr">
        <is>
          <t>detalleOtrosBienes</t>
        </is>
      </c>
      <c r="E35" t="inlineStr">
        <is>
          <t>activo</t>
        </is>
      </c>
      <c r="F35" t="n">
        <v>4</v>
      </c>
      <c r="G35" t="inlineStr">
        <is>
          <t>val</t>
        </is>
      </c>
      <c r="H35" t="inlineStr">
        <is>
          <t>valor</t>
        </is>
      </c>
      <c r="I35" t="n">
        <v>0</v>
      </c>
    </row>
    <row r="36">
      <c r="A36" t="inlineStr">
        <is>
          <t>muebles</t>
        </is>
      </c>
      <c r="B36" t="inlineStr">
        <is>
          <t>Bienes Muebles</t>
        </is>
      </c>
      <c r="C36" t="inlineStr">
        <is>
          <t>otrosBienes</t>
        </is>
      </c>
      <c r="D36" t="inlineStr">
        <is>
          <t>detalleOtrosBienes</t>
        </is>
      </c>
      <c r="E36" t="inlineStr">
        <is>
          <t>activo</t>
        </is>
      </c>
      <c r="F36" t="n">
        <v>4</v>
      </c>
      <c r="G36" t="inlineStr">
        <is>
          <t>cod</t>
        </is>
      </c>
      <c r="H36" t="inlineStr">
        <is>
          <t>regularizacionActivos</t>
        </is>
      </c>
      <c r="I36" t="n">
        <v>4</v>
      </c>
    </row>
    <row r="37">
      <c r="A37" t="inlineStr">
        <is>
          <t>muebles</t>
        </is>
      </c>
      <c r="B37" t="inlineStr">
        <is>
          <t>Bienes Muebles</t>
        </is>
      </c>
      <c r="C37" t="inlineStr">
        <is>
          <t>otrosBienes</t>
        </is>
      </c>
      <c r="D37" t="inlineStr">
        <is>
          <t>detalleOtrosBienes</t>
        </is>
      </c>
      <c r="E37" t="inlineStr">
        <is>
          <t>activo</t>
        </is>
      </c>
      <c r="F37" t="n">
        <v>4</v>
      </c>
      <c r="G37" t="inlineStr">
        <is>
          <t>txt</t>
        </is>
      </c>
      <c r="H37" t="inlineStr">
        <is>
          <t>anioFiscalAdquisicion</t>
        </is>
      </c>
      <c r="I37" t="n">
        <v>5</v>
      </c>
    </row>
    <row r="38">
      <c r="A38" t="inlineStr">
        <is>
          <t>vehiculos</t>
        </is>
      </c>
      <c r="B38" t="inlineStr">
        <is>
          <t>Vehiculos</t>
        </is>
      </c>
      <c r="C38" t="inlineStr">
        <is>
          <t>vehiculos</t>
        </is>
      </c>
      <c r="D38" t="inlineStr">
        <is>
          <t>detalleVehiculos</t>
        </is>
      </c>
      <c r="E38" t="inlineStr">
        <is>
          <t>activo</t>
        </is>
      </c>
      <c r="F38" t="n">
        <v>3</v>
      </c>
      <c r="G38" t="inlineStr">
        <is>
          <t>cod</t>
        </is>
      </c>
      <c r="H38" t="inlineStr">
        <is>
          <t>tipoVehiculo</t>
        </is>
      </c>
      <c r="I38" t="n">
        <v>1</v>
      </c>
    </row>
    <row r="39">
      <c r="A39" t="inlineStr">
        <is>
          <t>vehiculos</t>
        </is>
      </c>
      <c r="B39" t="inlineStr">
        <is>
          <t>Vehiculos</t>
        </is>
      </c>
      <c r="C39" t="inlineStr">
        <is>
          <t>vehiculos</t>
        </is>
      </c>
      <c r="D39" t="inlineStr">
        <is>
          <t>detalleVehiculos</t>
        </is>
      </c>
      <c r="E39" t="inlineStr">
        <is>
          <t>activo</t>
        </is>
      </c>
      <c r="F39" t="n">
        <v>3</v>
      </c>
      <c r="G39" t="inlineStr">
        <is>
          <t>txt</t>
        </is>
      </c>
      <c r="H39" t="inlineStr">
        <is>
          <t>placa</t>
        </is>
      </c>
      <c r="I39" t="n">
        <v>2</v>
      </c>
    </row>
    <row r="40">
      <c r="A40" t="inlineStr">
        <is>
          <t>vehiculos</t>
        </is>
      </c>
      <c r="B40" t="inlineStr">
        <is>
          <t>Vehiculos</t>
        </is>
      </c>
      <c r="C40" t="inlineStr">
        <is>
          <t>vehiculos</t>
        </is>
      </c>
      <c r="D40" t="inlineStr">
        <is>
          <t>detalleVehiculos</t>
        </is>
      </c>
      <c r="E40" t="inlineStr">
        <is>
          <t>activo</t>
        </is>
      </c>
      <c r="F40" t="n">
        <v>3</v>
      </c>
      <c r="G40" t="inlineStr">
        <is>
          <t>cod</t>
        </is>
      </c>
      <c r="H40" t="inlineStr">
        <is>
          <t>ubicacion</t>
        </is>
      </c>
      <c r="I40" t="n">
        <v>3</v>
      </c>
    </row>
    <row r="41">
      <c r="A41" t="inlineStr">
        <is>
          <t>vehiculos</t>
        </is>
      </c>
      <c r="B41" t="inlineStr">
        <is>
          <t>Vehiculos</t>
        </is>
      </c>
      <c r="C41" t="inlineStr">
        <is>
          <t>vehiculos</t>
        </is>
      </c>
      <c r="D41" t="inlineStr">
        <is>
          <t>detalleVehiculos</t>
        </is>
      </c>
      <c r="E41" t="inlineStr">
        <is>
          <t>activo</t>
        </is>
      </c>
      <c r="F41" t="n">
        <v>3</v>
      </c>
      <c r="G41" t="inlineStr">
        <is>
          <t>cod</t>
        </is>
      </c>
      <c r="H41" t="inlineStr">
        <is>
          <t>pais</t>
        </is>
      </c>
      <c r="I41" t="n">
        <v>4</v>
      </c>
    </row>
    <row r="42">
      <c r="A42" t="inlineStr">
        <is>
          <t>vehiculos</t>
        </is>
      </c>
      <c r="B42" t="inlineStr">
        <is>
          <t>Vehiculos</t>
        </is>
      </c>
      <c r="C42" t="inlineStr">
        <is>
          <t>vehiculos</t>
        </is>
      </c>
      <c r="D42" t="inlineStr">
        <is>
          <t>detalleVehiculos</t>
        </is>
      </c>
      <c r="E42" t="inlineStr">
        <is>
          <t>activo</t>
        </is>
      </c>
      <c r="F42" t="n">
        <v>3</v>
      </c>
      <c r="G42" t="inlineStr">
        <is>
          <t>val</t>
        </is>
      </c>
      <c r="H42" t="inlineStr">
        <is>
          <t>valor</t>
        </is>
      </c>
      <c r="I42" t="n">
        <v>0</v>
      </c>
    </row>
    <row r="43">
      <c r="A43" t="inlineStr">
        <is>
          <t>vehiculos</t>
        </is>
      </c>
      <c r="B43" t="inlineStr">
        <is>
          <t>Vehiculos</t>
        </is>
      </c>
      <c r="C43" t="inlineStr">
        <is>
          <t>vehiculos</t>
        </is>
      </c>
      <c r="D43" t="inlineStr">
        <is>
          <t>detalleVehiculos</t>
        </is>
      </c>
      <c r="E43" t="inlineStr">
        <is>
          <t>activo</t>
        </is>
      </c>
      <c r="F43" t="n">
        <v>3</v>
      </c>
      <c r="G43" t="inlineStr">
        <is>
          <t>cod</t>
        </is>
      </c>
      <c r="H43" t="inlineStr">
        <is>
          <t>regularizacionActivos</t>
        </is>
      </c>
      <c r="I43" t="n">
        <v>5</v>
      </c>
    </row>
    <row r="44">
      <c r="A44" t="inlineStr">
        <is>
          <t>vehiculos</t>
        </is>
      </c>
      <c r="B44" t="inlineStr">
        <is>
          <t>Vehiculos</t>
        </is>
      </c>
      <c r="C44" t="inlineStr">
        <is>
          <t>vehiculos</t>
        </is>
      </c>
      <c r="D44" t="inlineStr">
        <is>
          <t>detalleVehiculos</t>
        </is>
      </c>
      <c r="E44" t="inlineStr">
        <is>
          <t>activo</t>
        </is>
      </c>
      <c r="F44" t="n">
        <v>3</v>
      </c>
      <c r="G44" t="inlineStr">
        <is>
          <t>txt</t>
        </is>
      </c>
      <c r="H44" t="inlineStr">
        <is>
          <t>anioFiscalAdquisicion</t>
        </is>
      </c>
      <c r="I44" t="n">
        <v>6</v>
      </c>
    </row>
    <row r="45">
      <c r="A45" t="inlineStr">
        <is>
          <t>derechos</t>
        </is>
      </c>
      <c r="B45" t="inlineStr">
        <is>
          <t>Derechos</t>
        </is>
      </c>
      <c r="C45" t="inlineStr">
        <is>
          <t>derechos</t>
        </is>
      </c>
      <c r="D45" t="inlineStr">
        <is>
          <t>detalleDerechos</t>
        </is>
      </c>
      <c r="E45" t="inlineStr">
        <is>
          <t>activo</t>
        </is>
      </c>
      <c r="F45" t="n">
        <v>8</v>
      </c>
      <c r="G45" t="inlineStr">
        <is>
          <t>cod</t>
        </is>
      </c>
      <c r="H45" t="inlineStr">
        <is>
          <t>tipoDerecho</t>
        </is>
      </c>
      <c r="I45" t="n">
        <v>1</v>
      </c>
    </row>
    <row r="46">
      <c r="A46" t="inlineStr">
        <is>
          <t>derechos</t>
        </is>
      </c>
      <c r="B46" t="inlineStr">
        <is>
          <t>Derechos</t>
        </is>
      </c>
      <c r="C46" t="inlineStr">
        <is>
          <t>derechos</t>
        </is>
      </c>
      <c r="D46" t="inlineStr">
        <is>
          <t>detalleDerechos</t>
        </is>
      </c>
      <c r="E46" t="inlineStr">
        <is>
          <t>activo</t>
        </is>
      </c>
      <c r="F46" t="n">
        <v>8</v>
      </c>
      <c r="G46" t="inlineStr">
        <is>
          <t>cod</t>
        </is>
      </c>
      <c r="H46" t="inlineStr">
        <is>
          <t>ubicacion</t>
        </is>
      </c>
      <c r="I46" t="n">
        <v>2</v>
      </c>
    </row>
    <row r="47">
      <c r="A47" t="inlineStr">
        <is>
          <t>derechos</t>
        </is>
      </c>
      <c r="B47" t="inlineStr">
        <is>
          <t>Derechos</t>
        </is>
      </c>
      <c r="C47" t="inlineStr">
        <is>
          <t>derechos</t>
        </is>
      </c>
      <c r="D47" t="inlineStr">
        <is>
          <t>detalleDerechos</t>
        </is>
      </c>
      <c r="E47" t="inlineStr">
        <is>
          <t>activo</t>
        </is>
      </c>
      <c r="F47" t="n">
        <v>8</v>
      </c>
      <c r="G47" t="inlineStr">
        <is>
          <t>cod</t>
        </is>
      </c>
      <c r="H47" t="inlineStr">
        <is>
          <t>pais</t>
        </is>
      </c>
      <c r="I47" t="n">
        <v>3</v>
      </c>
    </row>
    <row r="48">
      <c r="A48" t="inlineStr">
        <is>
          <t>derechos</t>
        </is>
      </c>
      <c r="B48" t="inlineStr">
        <is>
          <t>Derechos</t>
        </is>
      </c>
      <c r="C48" t="inlineStr">
        <is>
          <t>derechos</t>
        </is>
      </c>
      <c r="D48" t="inlineStr">
        <is>
          <t>detalleDerechos</t>
        </is>
      </c>
      <c r="E48" t="inlineStr">
        <is>
          <t>activo</t>
        </is>
      </c>
      <c r="F48" t="n">
        <v>8</v>
      </c>
      <c r="G48" t="inlineStr">
        <is>
          <t>val</t>
        </is>
      </c>
      <c r="H48" t="inlineStr">
        <is>
          <t>valor</t>
        </is>
      </c>
      <c r="I48" t="n">
        <v>0</v>
      </c>
    </row>
    <row r="49">
      <c r="A49" t="inlineStr">
        <is>
          <t>derechos</t>
        </is>
      </c>
      <c r="B49" t="inlineStr">
        <is>
          <t>Derechos</t>
        </is>
      </c>
      <c r="C49" t="inlineStr">
        <is>
          <t>derechos</t>
        </is>
      </c>
      <c r="D49" t="inlineStr">
        <is>
          <t>detalleDerechos</t>
        </is>
      </c>
      <c r="E49" t="inlineStr">
        <is>
          <t>activo</t>
        </is>
      </c>
      <c r="F49" t="n">
        <v>8</v>
      </c>
      <c r="G49" t="inlineStr">
        <is>
          <t>cod</t>
        </is>
      </c>
      <c r="H49" t="inlineStr">
        <is>
          <t>regularizacionActivos</t>
        </is>
      </c>
      <c r="I49" t="n">
        <v>4</v>
      </c>
    </row>
    <row r="50">
      <c r="A50" t="inlineStr">
        <is>
          <t>derechos</t>
        </is>
      </c>
      <c r="B50" t="inlineStr">
        <is>
          <t>Derechos</t>
        </is>
      </c>
      <c r="C50" t="inlineStr">
        <is>
          <t>derechos</t>
        </is>
      </c>
      <c r="D50" t="inlineStr">
        <is>
          <t>detalleDerechos</t>
        </is>
      </c>
      <c r="E50" t="inlineStr">
        <is>
          <t>activo</t>
        </is>
      </c>
      <c r="F50" t="n">
        <v>8</v>
      </c>
      <c r="G50" t="inlineStr">
        <is>
          <t>txt</t>
        </is>
      </c>
      <c r="H50" t="inlineStr">
        <is>
          <t>anioFiscalAdquisicion</t>
        </is>
      </c>
      <c r="I50" t="n">
        <v>5</v>
      </c>
    </row>
    <row r="51">
      <c r="A51" t="inlineStr">
        <is>
          <t>inmuebles</t>
        </is>
      </c>
      <c r="B51" t="inlineStr">
        <is>
          <t>Bienes Inmuebles</t>
        </is>
      </c>
      <c r="C51" t="inlineStr">
        <is>
          <t>bienesInmuebles</t>
        </is>
      </c>
      <c r="D51" t="inlineStr">
        <is>
          <t>detalleBienesInmuebles</t>
        </is>
      </c>
      <c r="E51" t="inlineStr">
        <is>
          <t>activo</t>
        </is>
      </c>
      <c r="F51" t="n">
        <v>5</v>
      </c>
      <c r="G51" t="inlineStr">
        <is>
          <t>cod</t>
        </is>
      </c>
      <c r="H51" t="inlineStr">
        <is>
          <t>tipoInmueble</t>
        </is>
      </c>
      <c r="I51" t="n">
        <v>1</v>
      </c>
    </row>
    <row r="52">
      <c r="A52" t="inlineStr">
        <is>
          <t>inmuebles</t>
        </is>
      </c>
      <c r="B52" t="inlineStr">
        <is>
          <t>Bienes Inmuebles</t>
        </is>
      </c>
      <c r="C52" t="inlineStr">
        <is>
          <t>bienesInmuebles</t>
        </is>
      </c>
      <c r="D52" t="inlineStr">
        <is>
          <t>detalleBienesInmuebles</t>
        </is>
      </c>
      <c r="E52" t="inlineStr">
        <is>
          <t>activo</t>
        </is>
      </c>
      <c r="F52" t="n">
        <v>5</v>
      </c>
      <c r="G52" t="inlineStr">
        <is>
          <t>cod</t>
        </is>
      </c>
      <c r="H52" t="inlineStr">
        <is>
          <t>ubicacion</t>
        </is>
      </c>
      <c r="I52" t="n">
        <v>2</v>
      </c>
    </row>
    <row r="53">
      <c r="A53" t="inlineStr">
        <is>
          <t>inmuebles</t>
        </is>
      </c>
      <c r="B53" t="inlineStr">
        <is>
          <t>Bienes Inmuebles</t>
        </is>
      </c>
      <c r="C53" t="inlineStr">
        <is>
          <t>bienesInmuebles</t>
        </is>
      </c>
      <c r="D53" t="inlineStr">
        <is>
          <t>detalleBienesInmuebles</t>
        </is>
      </c>
      <c r="E53" t="inlineStr">
        <is>
          <t>activo</t>
        </is>
      </c>
      <c r="F53" t="n">
        <v>5</v>
      </c>
      <c r="G53" t="inlineStr">
        <is>
          <t>cod</t>
        </is>
      </c>
      <c r="H53" t="inlineStr">
        <is>
          <t>codPais</t>
        </is>
      </c>
      <c r="I53" t="n">
        <v>3</v>
      </c>
    </row>
    <row r="54">
      <c r="A54" t="inlineStr">
        <is>
          <t>inmuebles</t>
        </is>
      </c>
      <c r="B54" t="inlineStr">
        <is>
          <t>Bienes Inmuebles</t>
        </is>
      </c>
      <c r="C54" t="inlineStr">
        <is>
          <t>bienesInmuebles</t>
        </is>
      </c>
      <c r="D54" t="inlineStr">
        <is>
          <t>detalleBienesInmuebles</t>
        </is>
      </c>
      <c r="E54" t="inlineStr">
        <is>
          <t>activo</t>
        </is>
      </c>
      <c r="F54" t="n">
        <v>5</v>
      </c>
      <c r="G54" t="inlineStr">
        <is>
          <t>cod</t>
        </is>
      </c>
      <c r="H54" t="inlineStr">
        <is>
          <t>provincia</t>
        </is>
      </c>
      <c r="I54" t="n">
        <v>4</v>
      </c>
    </row>
    <row r="55">
      <c r="A55" t="inlineStr">
        <is>
          <t>inmuebles</t>
        </is>
      </c>
      <c r="B55" t="inlineStr">
        <is>
          <t>Bienes Inmuebles</t>
        </is>
      </c>
      <c r="C55" t="inlineStr">
        <is>
          <t>bienesInmuebles</t>
        </is>
      </c>
      <c r="D55" t="inlineStr">
        <is>
          <t>detalleBienesInmuebles</t>
        </is>
      </c>
      <c r="E55" t="inlineStr">
        <is>
          <t>activo</t>
        </is>
      </c>
      <c r="F55" t="n">
        <v>5</v>
      </c>
      <c r="G55" t="inlineStr">
        <is>
          <t>cod</t>
        </is>
      </c>
      <c r="H55" t="inlineStr">
        <is>
          <t>canton</t>
        </is>
      </c>
      <c r="I55" t="n">
        <v>5</v>
      </c>
    </row>
    <row r="56">
      <c r="A56" t="inlineStr">
        <is>
          <t>inmuebles</t>
        </is>
      </c>
      <c r="B56" t="inlineStr">
        <is>
          <t>Bienes Inmuebles</t>
        </is>
      </c>
      <c r="C56" t="inlineStr">
        <is>
          <t>bienesInmuebles</t>
        </is>
      </c>
      <c r="D56" t="inlineStr">
        <is>
          <t>detalleBienesInmuebles</t>
        </is>
      </c>
      <c r="E56" t="inlineStr">
        <is>
          <t>activo</t>
        </is>
      </c>
      <c r="F56" t="n">
        <v>5</v>
      </c>
      <c r="G56" t="inlineStr">
        <is>
          <t>txt</t>
        </is>
      </c>
      <c r="H56" t="inlineStr">
        <is>
          <t>fechaInscripcion</t>
        </is>
      </c>
      <c r="I56" t="n">
        <v>6</v>
      </c>
    </row>
    <row r="57">
      <c r="A57" t="inlineStr">
        <is>
          <t>inmuebles</t>
        </is>
      </c>
      <c r="B57" t="inlineStr">
        <is>
          <t>Bienes Inmuebles</t>
        </is>
      </c>
      <c r="C57" t="inlineStr">
        <is>
          <t>bienesInmuebles</t>
        </is>
      </c>
      <c r="D57" t="inlineStr">
        <is>
          <t>detalleBienesInmuebles</t>
        </is>
      </c>
      <c r="E57" t="inlineStr">
        <is>
          <t>activo</t>
        </is>
      </c>
      <c r="F57" t="n">
        <v>5</v>
      </c>
      <c r="G57" t="inlineStr">
        <is>
          <t>txt</t>
        </is>
      </c>
      <c r="H57" t="inlineStr">
        <is>
          <t>claveCat</t>
        </is>
      </c>
      <c r="I57" t="n">
        <v>7</v>
      </c>
    </row>
    <row r="58">
      <c r="A58" t="inlineStr">
        <is>
          <t>inmuebles</t>
        </is>
      </c>
      <c r="B58" t="inlineStr">
        <is>
          <t>Bienes Inmuebles</t>
        </is>
      </c>
      <c r="C58" t="inlineStr">
        <is>
          <t>bienesInmuebles</t>
        </is>
      </c>
      <c r="D58" t="inlineStr">
        <is>
          <t>detalleBienesInmuebles</t>
        </is>
      </c>
      <c r="E58" t="inlineStr">
        <is>
          <t>activo</t>
        </is>
      </c>
      <c r="F58" t="n">
        <v>5</v>
      </c>
      <c r="G58" t="inlineStr">
        <is>
          <t>val</t>
        </is>
      </c>
      <c r="H58" t="inlineStr">
        <is>
          <t>valor</t>
        </is>
      </c>
      <c r="I58" t="n">
        <v>0</v>
      </c>
    </row>
    <row r="59">
      <c r="A59" t="inlineStr">
        <is>
          <t>inmuebles</t>
        </is>
      </c>
      <c r="B59" t="inlineStr">
        <is>
          <t>Bienes Inmuebles</t>
        </is>
      </c>
      <c r="C59" t="inlineStr">
        <is>
          <t>bienesInmuebles</t>
        </is>
      </c>
      <c r="D59" t="inlineStr">
        <is>
          <t>detalleBienesInmuebles</t>
        </is>
      </c>
      <c r="E59" t="inlineStr">
        <is>
          <t>activo</t>
        </is>
      </c>
      <c r="F59" t="n">
        <v>5</v>
      </c>
      <c r="G59" t="inlineStr">
        <is>
          <t>cod</t>
        </is>
      </c>
      <c r="H59" t="inlineStr">
        <is>
          <t>regularizacionActivos</t>
        </is>
      </c>
      <c r="I59" t="n">
        <v>8</v>
      </c>
    </row>
    <row r="60">
      <c r="A60" t="inlineStr">
        <is>
          <t>inmuebles</t>
        </is>
      </c>
      <c r="B60" t="inlineStr">
        <is>
          <t>Bienes Inmuebles</t>
        </is>
      </c>
      <c r="C60" t="inlineStr">
        <is>
          <t>bienesInmuebles</t>
        </is>
      </c>
      <c r="D60" t="inlineStr">
        <is>
          <t>detalleBienesInmuebles</t>
        </is>
      </c>
      <c r="E60" t="inlineStr">
        <is>
          <t>activo</t>
        </is>
      </c>
      <c r="F60" t="n">
        <v>5</v>
      </c>
      <c r="G60" t="inlineStr">
        <is>
          <t>txt</t>
        </is>
      </c>
      <c r="H60" t="inlineStr">
        <is>
          <t>anioFiscalAdquisicion</t>
        </is>
      </c>
      <c r="I60" t="n">
        <v>9</v>
      </c>
    </row>
    <row r="61">
      <c r="A61" t="inlineStr">
        <is>
          <t>otros</t>
        </is>
      </c>
      <c r="B61" t="inlineStr">
        <is>
          <t>Otros Activos</t>
        </is>
      </c>
      <c r="C61" t="inlineStr">
        <is>
          <t>otrosActivos</t>
        </is>
      </c>
      <c r="D61" t="inlineStr">
        <is>
          <t>detalleOtrosActivos</t>
        </is>
      </c>
      <c r="E61" t="inlineStr">
        <is>
          <t>activo</t>
        </is>
      </c>
      <c r="F61" t="n">
        <v>7</v>
      </c>
      <c r="G61" t="inlineStr">
        <is>
          <t>cod</t>
        </is>
      </c>
      <c r="H61" t="inlineStr">
        <is>
          <t>ubicacion</t>
        </is>
      </c>
      <c r="I61" t="n">
        <v>1</v>
      </c>
    </row>
    <row r="62">
      <c r="A62" t="inlineStr">
        <is>
          <t>otros</t>
        </is>
      </c>
      <c r="B62" t="inlineStr">
        <is>
          <t>Otros Activos</t>
        </is>
      </c>
      <c r="C62" t="inlineStr">
        <is>
          <t>otrosActivos</t>
        </is>
      </c>
      <c r="D62" t="inlineStr">
        <is>
          <t>detalleOtrosActivos</t>
        </is>
      </c>
      <c r="E62" t="inlineStr">
        <is>
          <t>activo</t>
        </is>
      </c>
      <c r="F62" t="n">
        <v>7</v>
      </c>
      <c r="G62" t="inlineStr">
        <is>
          <t>cod</t>
        </is>
      </c>
      <c r="H62" t="inlineStr">
        <is>
          <t>pais</t>
        </is>
      </c>
      <c r="I62" t="n">
        <v>2</v>
      </c>
    </row>
    <row r="63">
      <c r="A63" t="inlineStr">
        <is>
          <t>otros</t>
        </is>
      </c>
      <c r="B63" t="inlineStr">
        <is>
          <t>Otros Activos</t>
        </is>
      </c>
      <c r="C63" t="inlineStr">
        <is>
          <t>otrosActivos</t>
        </is>
      </c>
      <c r="D63" t="inlineStr">
        <is>
          <t>detalleOtrosActivos</t>
        </is>
      </c>
      <c r="E63" t="inlineStr">
        <is>
          <t>activo</t>
        </is>
      </c>
      <c r="F63" t="n">
        <v>7</v>
      </c>
      <c r="G63" t="inlineStr">
        <is>
          <t>txt</t>
        </is>
      </c>
      <c r="H63" t="inlineStr">
        <is>
          <t>descripcion</t>
        </is>
      </c>
      <c r="I63" t="n">
        <v>3</v>
      </c>
    </row>
    <row r="64">
      <c r="A64" t="inlineStr">
        <is>
          <t>otros</t>
        </is>
      </c>
      <c r="B64" t="inlineStr">
        <is>
          <t>Otros Activos</t>
        </is>
      </c>
      <c r="C64" t="inlineStr">
        <is>
          <t>otrosActivos</t>
        </is>
      </c>
      <c r="D64" t="inlineStr">
        <is>
          <t>detalleOtrosActivos</t>
        </is>
      </c>
      <c r="E64" t="inlineStr">
        <is>
          <t>activo</t>
        </is>
      </c>
      <c r="F64" t="n">
        <v>7</v>
      </c>
      <c r="G64" t="inlineStr">
        <is>
          <t>val</t>
        </is>
      </c>
      <c r="H64" t="inlineStr">
        <is>
          <t>valorTotal</t>
        </is>
      </c>
      <c r="I64" t="n">
        <v>0</v>
      </c>
    </row>
    <row r="65">
      <c r="A65" t="inlineStr">
        <is>
          <t>otros</t>
        </is>
      </c>
      <c r="B65" t="inlineStr">
        <is>
          <t>Otros Activos</t>
        </is>
      </c>
      <c r="C65" t="inlineStr">
        <is>
          <t>otrosActivos</t>
        </is>
      </c>
      <c r="D65" t="inlineStr">
        <is>
          <t>detalleOtrosActivos</t>
        </is>
      </c>
      <c r="E65" t="inlineStr">
        <is>
          <t>activo</t>
        </is>
      </c>
      <c r="F65" t="n">
        <v>7</v>
      </c>
      <c r="G65" t="inlineStr">
        <is>
          <t>cod</t>
        </is>
      </c>
      <c r="H65" t="inlineStr">
        <is>
          <t>regularizacionActivos</t>
        </is>
      </c>
      <c r="I65" t="n">
        <v>4</v>
      </c>
    </row>
    <row r="66">
      <c r="A66" t="inlineStr">
        <is>
          <t>otros</t>
        </is>
      </c>
      <c r="B66" t="inlineStr">
        <is>
          <t>Otros Activos</t>
        </is>
      </c>
      <c r="C66" t="inlineStr">
        <is>
          <t>otrosActivos</t>
        </is>
      </c>
      <c r="D66" t="inlineStr">
        <is>
          <t>detalleOtrosActivos</t>
        </is>
      </c>
      <c r="E66" t="inlineStr">
        <is>
          <t>activo</t>
        </is>
      </c>
      <c r="F66" t="n">
        <v>7</v>
      </c>
      <c r="G66" t="inlineStr">
        <is>
          <t>txt</t>
        </is>
      </c>
      <c r="H66" t="inlineStr">
        <is>
          <t>anioFiscalAdquisicion</t>
        </is>
      </c>
      <c r="I66" t="n">
        <v>5</v>
      </c>
    </row>
    <row r="67">
      <c r="A67" t="inlineStr">
        <is>
          <t>pasivo</t>
        </is>
      </c>
      <c r="B67" t="inlineStr">
        <is>
          <t>Pasivos</t>
        </is>
      </c>
      <c r="C67" t="inlineStr">
        <is>
          <t>pasivo</t>
        </is>
      </c>
      <c r="D67" t="inlineStr">
        <is>
          <t>detallePasivo</t>
        </is>
      </c>
      <c r="E67" t="inlineStr">
        <is>
          <t>pasivo</t>
        </is>
      </c>
      <c r="F67" t="n">
        <v>6</v>
      </c>
      <c r="G67" t="inlineStr">
        <is>
          <t>cod</t>
        </is>
      </c>
      <c r="H67" t="inlineStr">
        <is>
          <t>tipoAcreedor</t>
        </is>
      </c>
      <c r="I67" t="n">
        <v>1</v>
      </c>
    </row>
    <row r="68">
      <c r="A68" t="inlineStr">
        <is>
          <t>pasivo</t>
        </is>
      </c>
      <c r="B68" t="inlineStr">
        <is>
          <t>Pasivos</t>
        </is>
      </c>
      <c r="C68" t="inlineStr">
        <is>
          <t>pasivo</t>
        </is>
      </c>
      <c r="D68" t="inlineStr">
        <is>
          <t>detallePasivo</t>
        </is>
      </c>
      <c r="E68" t="inlineStr">
        <is>
          <t>pasivo</t>
        </is>
      </c>
      <c r="F68" t="n">
        <v>6</v>
      </c>
      <c r="G68" t="inlineStr">
        <is>
          <t>cod</t>
        </is>
      </c>
      <c r="H68" t="inlineStr">
        <is>
          <t>domicilioAcreedor</t>
        </is>
      </c>
      <c r="I68" t="n">
        <v>2</v>
      </c>
    </row>
    <row r="69">
      <c r="A69" t="inlineStr">
        <is>
          <t>pasivo</t>
        </is>
      </c>
      <c r="B69" t="inlineStr">
        <is>
          <t>Pasivos</t>
        </is>
      </c>
      <c r="C69" t="inlineStr">
        <is>
          <t>pasivo</t>
        </is>
      </c>
      <c r="D69" t="inlineStr">
        <is>
          <t>detallePasivo</t>
        </is>
      </c>
      <c r="E69" t="inlineStr">
        <is>
          <t>pasivo</t>
        </is>
      </c>
      <c r="F69" t="n">
        <v>6</v>
      </c>
      <c r="G69" t="inlineStr">
        <is>
          <t>val</t>
        </is>
      </c>
      <c r="H69" t="inlineStr">
        <is>
          <t>valorDeuda</t>
        </is>
      </c>
      <c r="I69" t="n">
        <v>0</v>
      </c>
    </row>
    <row r="70">
      <c r="A70" t="inlineStr">
        <is>
          <t>pasivo</t>
        </is>
      </c>
      <c r="B70" t="inlineStr">
        <is>
          <t>Pasivos</t>
        </is>
      </c>
      <c r="C70" t="inlineStr">
        <is>
          <t>pasivo</t>
        </is>
      </c>
      <c r="D70" t="inlineStr">
        <is>
          <t>detallePasivo</t>
        </is>
      </c>
      <c r="E70" t="inlineStr">
        <is>
          <t>pasivo</t>
        </is>
      </c>
      <c r="F70" t="n">
        <v>6</v>
      </c>
      <c r="G70" t="inlineStr">
        <is>
          <t>cod</t>
        </is>
      </c>
      <c r="H70" t="inlineStr">
        <is>
          <t>paisAcreedor</t>
        </is>
      </c>
      <c r="I70" t="n">
        <v>3</v>
      </c>
    </row>
    <row r="71">
      <c r="A71" t="inlineStr">
        <is>
          <t>pasivo</t>
        </is>
      </c>
      <c r="B71" t="inlineStr">
        <is>
          <t>Pasivos</t>
        </is>
      </c>
      <c r="C71" t="inlineStr">
        <is>
          <t>pasivo</t>
        </is>
      </c>
      <c r="D71" t="inlineStr">
        <is>
          <t>detallePasivo</t>
        </is>
      </c>
      <c r="E71" t="inlineStr">
        <is>
          <t>pasivo</t>
        </is>
      </c>
      <c r="F71" t="n">
        <v>6</v>
      </c>
      <c r="G71" t="inlineStr">
        <is>
          <t>txt</t>
        </is>
      </c>
      <c r="H71" t="inlineStr">
        <is>
          <t>nombreAcreedor</t>
        </is>
      </c>
      <c r="I71" t="n">
        <v>4</v>
      </c>
    </row>
    <row r="72">
      <c r="A72" t="inlineStr">
        <is>
          <t>pasivo</t>
        </is>
      </c>
      <c r="B72" t="inlineStr">
        <is>
          <t>Pasivos</t>
        </is>
      </c>
      <c r="C72" t="inlineStr">
        <is>
          <t>pasivo</t>
        </is>
      </c>
      <c r="D72" t="inlineStr">
        <is>
          <t>detallePasivo</t>
        </is>
      </c>
      <c r="E72" t="inlineStr">
        <is>
          <t>pasivo</t>
        </is>
      </c>
      <c r="F72" t="n">
        <v>6</v>
      </c>
      <c r="G72" t="inlineStr">
        <is>
          <t>cod</t>
        </is>
      </c>
      <c r="H72" t="inlineStr">
        <is>
          <t>tipoIdentificacionAcreedor</t>
        </is>
      </c>
      <c r="I72" t="n">
        <v>5</v>
      </c>
    </row>
    <row r="73">
      <c r="A73" t="inlineStr">
        <is>
          <t>pasivo</t>
        </is>
      </c>
      <c r="B73" t="inlineStr">
        <is>
          <t>Pasivos</t>
        </is>
      </c>
      <c r="C73" t="inlineStr">
        <is>
          <t>pasivo</t>
        </is>
      </c>
      <c r="D73" t="inlineStr">
        <is>
          <t>detallePasivo</t>
        </is>
      </c>
      <c r="E73" t="inlineStr">
        <is>
          <t>pasivo</t>
        </is>
      </c>
      <c r="F73" t="n">
        <v>6</v>
      </c>
      <c r="G73" t="inlineStr">
        <is>
          <t>txt</t>
        </is>
      </c>
      <c r="H73" t="inlineStr">
        <is>
          <t>numeroIdentificacionAcreedor</t>
        </is>
      </c>
      <c r="I73" t="n">
        <v>6</v>
      </c>
    </row>
    <row r="74">
      <c r="A74" t="inlineStr">
        <is>
          <t>pasivo</t>
        </is>
      </c>
      <c r="B74" t="inlineStr">
        <is>
          <t>Pasivos</t>
        </is>
      </c>
      <c r="C74" t="inlineStr">
        <is>
          <t>pasivo</t>
        </is>
      </c>
      <c r="D74" t="inlineStr">
        <is>
          <t>detallePasivo</t>
        </is>
      </c>
      <c r="E74" t="inlineStr">
        <is>
          <t>pasivo</t>
        </is>
      </c>
      <c r="F74" t="n">
        <v>6</v>
      </c>
      <c r="G74" t="inlineStr">
        <is>
          <t>txt</t>
        </is>
      </c>
      <c r="H74" t="inlineStr">
        <is>
          <t>numeroRegistroBancoCentral</t>
        </is>
      </c>
      <c r="I74" t="n">
        <v>7</v>
      </c>
    </row>
    <row r="75">
      <c r="A75" t="inlineStr">
        <is>
          <t>pasivo</t>
        </is>
      </c>
      <c r="B75" t="inlineStr">
        <is>
          <t>Pasivos</t>
        </is>
      </c>
      <c r="C75" t="inlineStr">
        <is>
          <t>pasivo</t>
        </is>
      </c>
      <c r="D75" t="inlineStr">
        <is>
          <t>detallePasivo</t>
        </is>
      </c>
      <c r="E75" t="inlineStr">
        <is>
          <t>pasivo</t>
        </is>
      </c>
      <c r="F75" t="n">
        <v>6</v>
      </c>
      <c r="G75" t="inlineStr">
        <is>
          <t>cod</t>
        </is>
      </c>
      <c r="H75" t="inlineStr">
        <is>
          <t>partesRelacionadas</t>
        </is>
      </c>
      <c r="I75" t="n"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19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DINERO_EN</t>
        </is>
      </c>
      <c r="B1" s="81" t="inlineStr">
        <is>
          <t>TIPO_INVERSION</t>
        </is>
      </c>
      <c r="C1" s="81" t="inlineStr">
        <is>
          <t>UBICACION</t>
        </is>
      </c>
      <c r="D1" s="81" t="inlineStr">
        <is>
          <t>PAIS</t>
        </is>
      </c>
      <c r="E1" s="81" t="inlineStr">
        <is>
          <t>INSTITUCION_FINANCIERA</t>
        </is>
      </c>
      <c r="F1" s="81" t="inlineStr">
        <is>
          <t>PARTES_RELACIONADAS</t>
        </is>
      </c>
      <c r="G1" s="81" t="inlineStr">
        <is>
          <t>TIPO_DRC</t>
        </is>
      </c>
      <c r="H1" s="81" t="inlineStr">
        <is>
          <t>TIPO_PERSONA</t>
        </is>
      </c>
      <c r="I1" s="81" t="inlineStr">
        <is>
          <t>TIPO_BIEN_MUEBLE</t>
        </is>
      </c>
      <c r="J1" s="81" t="inlineStr">
        <is>
          <t>TIPO_VEHICULO</t>
        </is>
      </c>
      <c r="K1" s="81" t="inlineStr">
        <is>
          <t>TIPO_DERECHO</t>
        </is>
      </c>
      <c r="L1" s="81" t="inlineStr">
        <is>
          <t>TIPO_INMUEBLE</t>
        </is>
      </c>
      <c r="M1" s="81" t="inlineStr">
        <is>
          <t>PROVINCIA</t>
        </is>
      </c>
      <c r="N1" s="81" t="inlineStr">
        <is>
          <t>CANTON</t>
        </is>
      </c>
      <c r="O1" s="81" t="inlineStr">
        <is>
          <t>TIPO_ACREEDOR</t>
        </is>
      </c>
      <c r="P1" s="81" t="inlineStr">
        <is>
          <t>TIPO_IDENTIFICACION</t>
        </is>
      </c>
      <c r="Q1" s="81" t="inlineStr">
        <is>
          <t>REGULARIZACION</t>
        </is>
      </c>
      <c r="R1" s="81" t="inlineStr">
        <is>
          <t>JUSTIF_INCREMENTO</t>
        </is>
      </c>
      <c r="S1" s="81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1002 -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Si</t>
        </is>
      </c>
      <c r="R2" t="inlineStr">
        <is>
          <t>1 - Ingresos locales</t>
        </is>
      </c>
      <c r="S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1004 -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No</t>
        </is>
      </c>
      <c r="R3" t="inlineStr">
        <is>
          <t>2 - Ingresos exterior</t>
        </is>
      </c>
      <c r="S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1006 -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CRE - Credito a mutuo</t>
        </is>
      </c>
      <c r="P4" t="inlineStr">
        <is>
          <t>P - Pasaporte</t>
        </is>
      </c>
      <c r="R4" t="inlineStr">
        <is>
          <t>3 - Herencias, legados o donaciones</t>
        </is>
      </c>
      <c r="S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1007 -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DIV - Dividendos</t>
        </is>
      </c>
      <c r="P5" t="inlineStr">
        <is>
          <t>R - RUC</t>
        </is>
      </c>
      <c r="R5" t="inlineStr">
        <is>
          <t>4 - Loterias o rifas</t>
        </is>
      </c>
      <c r="S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1008 -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IES - IESS</t>
        </is>
      </c>
      <c r="R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1009 -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IFI - Instituciones financieras</t>
        </is>
      </c>
      <c r="R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1010 -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OTR - Otros pasivos</t>
        </is>
      </c>
    </row>
    <row r="9">
      <c r="D9" t="inlineStr">
        <is>
          <t>106 - COSTA RICA</t>
        </is>
      </c>
      <c r="E9" t="inlineStr">
        <is>
          <t>1011 -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  <c r="O9" t="inlineStr">
        <is>
          <t>TRA - Transferencias casa matriz</t>
        </is>
      </c>
    </row>
    <row r="10">
      <c r="D10" t="inlineStr">
        <is>
          <t>107 - CUBA</t>
        </is>
      </c>
      <c r="E10" t="inlineStr">
        <is>
          <t>1014 - BANCO DEL LITORAL S.A.</t>
        </is>
      </c>
      <c r="L10" t="inlineStr">
        <is>
          <t>9 - Otros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1016 -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1020 -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1022 -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1023 -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1024 -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1025 -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1026 -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1027 -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1028 -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1029 -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1033 -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1035 -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1037 -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1038 -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1039 -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1043 -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1044 -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1045 -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1046 -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1047 -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1048 -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1049 -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1050 -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1051 -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1052 -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1053 -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1054 -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1055 -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1056 -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1057 -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1058 -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1059 -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1060 -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1061 -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1062 -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1063 -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1064 -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1065 -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1066 -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1068 -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1069 -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1070 -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1071 -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1073 -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1074 -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1076 -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1077 -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1078 -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1079 -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1080 -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1081 -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1082 -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1083 -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1084 -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1085 -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1086 -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1087 -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1088 -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1089 -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1090 -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1091 -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1092 -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1093 -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1095 -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1096 -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1097 -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1098 -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1099 -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1200 -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1201 -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1202 -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1203 -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1205 -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1206 -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1210 -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1211 -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1212 -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1213 -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1214 -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1215 -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1216 -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1217 -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1218 -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1219 -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1220 -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1221 -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1222 -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1223 -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1224 -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1225 -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1226 -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1227 -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1228 -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1230 -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1231 -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1232 -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1233 -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1234 -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1235 -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1236 -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1237 -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1238 -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1239 -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1240 -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1241 -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1242 -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1243 -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1244 -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1245 -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1246 -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1248 -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1249 -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1250 -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1251 -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1252 -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1253 -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1254 -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1255 -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1256 -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1257 -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1262 -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1263 -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1264 -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1265 -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1267 -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1269 -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1270 -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1272 -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1273 -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1274 -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1275 -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1276 - SEVIMAC S.A.</t>
        </is>
      </c>
    </row>
    <row r="224">
      <c r="D224" t="inlineStr">
        <is>
          <t>515 - TUVALU</t>
        </is>
      </c>
      <c r="E224" t="inlineStr">
        <is>
          <t>1277 - SICOBRA S.A.</t>
        </is>
      </c>
    </row>
    <row r="225">
      <c r="D225" t="inlineStr">
        <is>
          <t>516 - VANUATU</t>
        </is>
      </c>
      <c r="E225" t="inlineStr">
        <is>
          <t>1279 - TECSOFT S.A.</t>
        </is>
      </c>
    </row>
    <row r="226">
      <c r="D226" t="inlineStr">
        <is>
          <t>517 - GUAM</t>
        </is>
      </c>
      <c r="E226" t="inlineStr">
        <is>
          <t>1280 -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1281 - VIVERO MIÑO VIVEMISA S.A.</t>
        </is>
      </c>
    </row>
    <row r="228">
      <c r="D228" t="inlineStr">
        <is>
          <t>519 - ISLAS COOK</t>
        </is>
      </c>
      <c r="E228" t="inlineStr">
        <is>
          <t>1282 - BANCO DE SANTANDER SOCIEDAD ANONIMA DE CREDITO</t>
        </is>
      </c>
    </row>
    <row r="229">
      <c r="D229" t="inlineStr">
        <is>
          <t>520 - ISLAS NAVIDAD</t>
        </is>
      </c>
      <c r="E229" t="inlineStr">
        <is>
          <t>1284 - CHASE MANHATTAN BANK N.A.</t>
        </is>
      </c>
    </row>
    <row r="230">
      <c r="D230" t="inlineStr">
        <is>
          <t>521 - MIDWAY ISLAS</t>
        </is>
      </c>
      <c r="E230" t="inlineStr">
        <is>
          <t>1287 - BANCO DO BRASIL S.A.</t>
        </is>
      </c>
    </row>
    <row r="231">
      <c r="D231" t="inlineStr">
        <is>
          <t>522 - NIUE ISLA</t>
        </is>
      </c>
      <c r="E231" t="inlineStr">
        <is>
          <t>1288 - DRESDNER BANK LATEINAMERIKA AKTIENGESELLSCHAFT</t>
        </is>
      </c>
    </row>
    <row r="232">
      <c r="D232" t="inlineStr">
        <is>
          <t>523 - NORFOLK ISLA</t>
        </is>
      </c>
      <c r="E232" t="inlineStr">
        <is>
          <t>1290 - BANCO DE LA NACION ARGENTINA</t>
        </is>
      </c>
    </row>
    <row r="233">
      <c r="D233" t="inlineStr">
        <is>
          <t>524 - NUEVA  CALEDONIA</t>
        </is>
      </c>
      <c r="E233" t="inlineStr">
        <is>
          <t>1300 -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1302 -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1303 - COOPERATIVA DE AHORRO Y CREDITO METROPOLITANA</t>
        </is>
      </c>
    </row>
    <row r="236">
      <c r="D236" t="inlineStr">
        <is>
          <t>529 - TIMOR DEL ESTE</t>
        </is>
      </c>
      <c r="E236" t="inlineStr">
        <is>
          <t>1304 - COOPERATIVA DE AHORRO Y CREDITO PADRE JULIAN LORENT</t>
        </is>
      </c>
    </row>
    <row r="237">
      <c r="D237" t="inlineStr">
        <is>
          <t>530 - TOKELAI</t>
        </is>
      </c>
      <c r="E237" t="inlineStr">
        <is>
          <t>1306 -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1330 - CAMBIOSUR S.A.</t>
        </is>
      </c>
    </row>
    <row r="239">
      <c r="D239" t="inlineStr">
        <is>
          <t>532 - WALLIS Y FUTUNA, ISLAS</t>
        </is>
      </c>
      <c r="E239" t="inlineStr">
        <is>
          <t>1336 -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1352 -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1364 - COOPERATIVA DE AHORRO Y CREDITO SAN JOSE LIMITADA</t>
        </is>
      </c>
    </row>
    <row r="242">
      <c r="D242" t="inlineStr">
        <is>
          <t>595 - ALTO VOLTA</t>
        </is>
      </c>
      <c r="E242" t="inlineStr">
        <is>
          <t>1381 -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1388 -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1400 -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1409 - PACIFICARD S.A.</t>
        </is>
      </c>
    </row>
    <row r="246">
      <c r="D246" t="inlineStr">
        <is>
          <t>599 - REPUBLICA CHECA</t>
        </is>
      </c>
      <c r="E246" t="inlineStr">
        <is>
          <t>1418 - BANCO PROMERICA S.A.</t>
        </is>
      </c>
    </row>
    <row r="247">
      <c r="D247" t="inlineStr">
        <is>
          <t>600 - FALKLAND ISLANDS</t>
        </is>
      </c>
      <c r="E247" t="inlineStr">
        <is>
          <t>1422 - BANCO DELBANK S.A.</t>
        </is>
      </c>
    </row>
    <row r="248">
      <c r="D248" t="inlineStr">
        <is>
          <t>601 - LATVIA</t>
        </is>
      </c>
      <c r="E248" t="inlineStr">
        <is>
          <t>1501 - BANCO CAPITAL SOCIEDAD ANONIMA</t>
        </is>
      </c>
    </row>
    <row r="249">
      <c r="D249" t="inlineStr">
        <is>
          <t>602 - LIBIA</t>
        </is>
      </c>
      <c r="E249" t="inlineStr">
        <is>
          <t>1590 - CASA DE CAMBIOS ARGENTUM S.A.</t>
        </is>
      </c>
    </row>
    <row r="250">
      <c r="D250" t="inlineStr">
        <is>
          <t>603 - NORTHERN MARIANA ISL</t>
        </is>
      </c>
      <c r="E250" t="inlineStr">
        <is>
          <t>1615 -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1616 -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1617 -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1618 -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1619 - COOPERATIVA DE AHORRO Y CREDITO LA NUEVA JERUSALEN</t>
        </is>
      </c>
    </row>
    <row r="255">
      <c r="D255" t="inlineStr">
        <is>
          <t>688 - SERBIA</t>
        </is>
      </c>
      <c r="E255" t="inlineStr">
        <is>
          <t>1620 - COOPERATIVA DE AHORRO Y CREDITO MALCHINGUI LTDA.</t>
        </is>
      </c>
    </row>
    <row r="256">
      <c r="D256" t="inlineStr">
        <is>
          <t>831 - GUERNSEY</t>
        </is>
      </c>
      <c r="E256" t="inlineStr">
        <is>
          <t>1621 - COOPERATIVA DE AHORRO Y CREDITO AMAZONAS LTDA.</t>
        </is>
      </c>
    </row>
    <row r="257">
      <c r="D257" t="inlineStr">
        <is>
          <t>832 - JERSEY</t>
        </is>
      </c>
      <c r="E257" t="inlineStr">
        <is>
          <t>1622 -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1623 - COOPERATIVA DE AHORRO Y CREDITO TENA LTDA.</t>
        </is>
      </c>
    </row>
    <row r="259">
      <c r="E259" t="inlineStr">
        <is>
          <t>1624 - COOPERATIVA DE AHORRO Y CREDITO DE LA PEQUEÑA EMPRESA GUALAQUIZA</t>
        </is>
      </c>
    </row>
    <row r="260">
      <c r="E260" t="inlineStr">
        <is>
          <t>1625 - COOPERATIVA DE AHORRO Y CREDITO ALIANZA MINAS LTDA.</t>
        </is>
      </c>
    </row>
    <row r="261">
      <c r="E261" t="inlineStr">
        <is>
          <t>1626 - COOPERATIVA DE AHORRO Y CREDITO MI TIERRA</t>
        </is>
      </c>
    </row>
    <row r="262">
      <c r="E262" t="inlineStr">
        <is>
          <t>1627 - COOPERATIVA DE AHORRO Y CREDITO DE LA PEQUEÑA EMPRESA CACPE YANZATZA LTDA.</t>
        </is>
      </c>
    </row>
    <row r="263">
      <c r="E263" t="inlineStr">
        <is>
          <t>1628 - COOPERATIVA DE AHORRO Y CREDITO FUTURO Y DESARROLLO FUNDESARROLLO</t>
        </is>
      </c>
    </row>
    <row r="264">
      <c r="E264" t="inlineStr">
        <is>
          <t>1629 - COOPERATIVA DE AHORRO Y CREDITO DE LA PEQUEÑA EMPRESA ZAMORA CHINCHIPE</t>
        </is>
      </c>
    </row>
    <row r="265">
      <c r="E265" t="inlineStr">
        <is>
          <t>1630 - COOPERATIVA DE AHORRO Y CREDITO DESARROLLO INTEGRAL</t>
        </is>
      </c>
    </row>
    <row r="266">
      <c r="E266" t="inlineStr">
        <is>
          <t>1631 - COOPERATIVA DE AHORRO Y CREDITO EDUCADORES DE PASTAZA LTDA</t>
        </is>
      </c>
    </row>
    <row r="267">
      <c r="E267" t="inlineStr">
        <is>
          <t>1632 - COOPERATIVA DE AHORRO Y CREDITO GRAMEEN AMAZONAS LTDA.</t>
        </is>
      </c>
    </row>
    <row r="268">
      <c r="E268" t="inlineStr">
        <is>
          <t>1633 - COOP. AHORRO Y CREDITO DE LOS SERVIDORES PUBLICOS DEL MIN DE EDUCACION Y CULTURA</t>
        </is>
      </c>
    </row>
    <row r="269">
      <c r="E269" t="inlineStr">
        <is>
          <t>1634 - COOPERATIVA DE AHORRO Y CREDITO PEDRO MONCAYO LTDA.</t>
        </is>
      </c>
    </row>
    <row r="270">
      <c r="E270" t="inlineStr">
        <is>
          <t>1635 - COOPERATIVA DE AHORRO Y CREDITO SAN MIGUEL DE LOS BANCOS LTDA.</t>
        </is>
      </c>
    </row>
    <row r="271">
      <c r="E271" t="inlineStr">
        <is>
          <t>1636 - COOPERATIVA DE AHORRO Y CREDITO POLICIA NACIONAL LTDA.</t>
        </is>
      </c>
    </row>
    <row r="272">
      <c r="E272" t="inlineStr">
        <is>
          <t>1637 - COOPERATIVA DE AHORRO Y CREDITO NUEVA HUANCAVILCA</t>
        </is>
      </c>
    </row>
    <row r="273">
      <c r="E273" t="inlineStr">
        <is>
          <t>1638 - COOPERATIVA DE AHORRO Y CREDITO LA MERCED LTDA.</t>
        </is>
      </c>
    </row>
    <row r="274">
      <c r="E274" t="inlineStr">
        <is>
          <t>1639 - COOPERATIVA DE AHORRO Y CREDITO PROMOCION DE VIDA ASOCIADA LTDA.</t>
        </is>
      </c>
    </row>
    <row r="275">
      <c r="E275" t="inlineStr">
        <is>
          <t>1640 - COOPERATIVA DE AHORRO Y CREDITO SAN JOSE S.J.</t>
        </is>
      </c>
    </row>
    <row r="276">
      <c r="E276" t="inlineStr">
        <is>
          <t>1642 - COOPERATIVA DE AHORRO Y CREDITO SEÑOR DE GIRON</t>
        </is>
      </c>
    </row>
    <row r="277">
      <c r="E277" t="inlineStr">
        <is>
          <t>1644 - COOPERATIVA DE AHORRO Y CREDITO INTEGRAL</t>
        </is>
      </c>
    </row>
    <row r="278">
      <c r="E278" t="inlineStr">
        <is>
          <t>1645 - COOPERATIVA DE AHORRO CREDITO ERCO LTDA.</t>
        </is>
      </c>
    </row>
    <row r="279">
      <c r="E279" t="inlineStr">
        <is>
          <t>1646 - COOPERATIVA DE AHORRO Y CREDITO BAÑOS LTDA</t>
        </is>
      </c>
    </row>
    <row r="280">
      <c r="E280" t="inlineStr">
        <is>
          <t>1647 - COOPERATIVA DE AHORRO Y CREDITO EDUCADORES DE TUNGURAHUA LTDA</t>
        </is>
      </c>
    </row>
    <row r="281">
      <c r="E281" t="inlineStr">
        <is>
          <t>1648 - COOPERATIVA DE AHORRO Y CREDITO AMBATO LTDA.</t>
        </is>
      </c>
    </row>
    <row r="282">
      <c r="E282" t="inlineStr">
        <is>
          <t>1649 - COOPERATIVA DE AHORRO Y CREDITO TUNGURAHUA LTDA.</t>
        </is>
      </c>
    </row>
    <row r="283">
      <c r="E283" t="inlineStr">
        <is>
          <t>1651 - COOPERATIVA DE AHORRO Y CREDITO LLANGANATES</t>
        </is>
      </c>
    </row>
    <row r="284">
      <c r="E284" t="inlineStr">
        <is>
          <t>1652 - COOPERATIVA DE AHORRO Y CREDITO DORADO LTDA</t>
        </is>
      </c>
    </row>
    <row r="285">
      <c r="E285" t="inlineStr">
        <is>
          <t>1653 - COOPERATIVA DE AHORRO Y CREDITO EL CALVARIO LTDA.</t>
        </is>
      </c>
    </row>
    <row r="286">
      <c r="E286" t="inlineStr">
        <is>
          <t>1654 - COOPERATIVA DE AHORRO Y CREDITO CREDI FACIL LTDA.</t>
        </is>
      </c>
    </row>
    <row r="287">
      <c r="E287" t="inlineStr">
        <is>
          <t>1655 - COOPERATIVA DE AHORRO Y CREDITO VENCEDORES DE TUNGURAHUA LTDA.</t>
        </is>
      </c>
    </row>
    <row r="288">
      <c r="E288" t="inlineStr">
        <is>
          <t>1656 - COOPERATIVA DE AHORRO Y CREDITO LOS RIOS</t>
        </is>
      </c>
    </row>
    <row r="289">
      <c r="E289" t="inlineStr">
        <is>
          <t>1657 - COOPERATIVA DE AHORRO Y CREDITO NUESTROS ABUELOS LTDA</t>
        </is>
      </c>
    </row>
    <row r="290">
      <c r="E290" t="inlineStr">
        <is>
          <t>1658 - COOPERATIVA DE AHORRO Y CREDITO JUAN PIO DE MORA LTDA.</t>
        </is>
      </c>
    </row>
    <row r="291">
      <c r="E291" t="inlineStr">
        <is>
          <t>1659 - COOPERATIVA DE AHORRO Y CREDITO ARTESANOS LTDA.</t>
        </is>
      </c>
    </row>
    <row r="292">
      <c r="E292" t="inlineStr">
        <is>
          <t>1660 - COOPERATIVA DE AHORRO Y CREDITO SANTA ANITA LTDA.</t>
        </is>
      </c>
    </row>
    <row r="293">
      <c r="E293" t="inlineStr">
        <is>
          <t>1661 - COOPERATIVA DE AHORRO Y CREDITO MUJERES UNIDAS</t>
        </is>
      </c>
    </row>
    <row r="294">
      <c r="E294" t="inlineStr">
        <is>
          <t>1662 - COOPERATIVA DE AHORRO Y CREDITO SAN ANTONIO LTDA. IMBABURA</t>
        </is>
      </c>
    </row>
    <row r="295">
      <c r="E295" t="inlineStr">
        <is>
          <t>1663 - COOPERATIVA DE AHORRO Y CREDITO HUAYCO PUNGO</t>
        </is>
      </c>
    </row>
    <row r="296">
      <c r="E296" t="inlineStr">
        <is>
          <t>1664 - COOPERATIVA DE AHORRO Y CREDITO ANDINA LTDA.</t>
        </is>
      </c>
    </row>
    <row r="297">
      <c r="E297" t="inlineStr">
        <is>
          <t>1665 - COOPERATIVA DE AHORRO Y CREDITO 15 DE AGOSTO DE PILACOTO</t>
        </is>
      </c>
    </row>
    <row r="298">
      <c r="E298" t="inlineStr">
        <is>
          <t>1666 - COOPERATIVA DE AHORRO Y CREDITO PILAHUIN</t>
        </is>
      </c>
    </row>
    <row r="299">
      <c r="E299" t="inlineStr">
        <is>
          <t>1667 - COOPERATIVA DE AHORRO Y CREDITO PUCARA LTDA.</t>
        </is>
      </c>
    </row>
    <row r="300">
      <c r="E300" t="inlineStr">
        <is>
          <t>1668 - COOPERATIVA DE AHORRO Y CREDITO SINCHI RUNA LTDA.</t>
        </is>
      </c>
    </row>
    <row r="301">
      <c r="E301" t="inlineStr">
        <is>
          <t>1669 - COOPERATIVA DE AHORRO Y CREDITO CRISTO REY</t>
        </is>
      </c>
    </row>
    <row r="302">
      <c r="E302" t="inlineStr">
        <is>
          <t>1670 - COOPERATIVA DE AHORRO Y CREDITO SEMILLA DEL PROGRESO LTDA.</t>
        </is>
      </c>
    </row>
    <row r="303">
      <c r="E303" t="inlineStr">
        <is>
          <t>1671 - COOPERATIVA DE AHORRO Y CREDITO CARIAMANGA LTDA.</t>
        </is>
      </c>
    </row>
    <row r="304">
      <c r="E304" t="inlineStr">
        <is>
          <t>1672 - COOPERATIVA DE AHORRO Y CREDITO DE LA CAMARA DE COMERCIO DE PINDAL CADECOPI</t>
        </is>
      </c>
    </row>
    <row r="305">
      <c r="E305" t="inlineStr">
        <is>
          <t>1673 - COOPERATIVA DE AHORRO Y CREDITO GONZANAMA</t>
        </is>
      </c>
    </row>
    <row r="306">
      <c r="E306" t="inlineStr">
        <is>
          <t>1674 - COOPERATIVA DE AHORRO Y CREDITO QUILANGA LTDA.</t>
        </is>
      </c>
    </row>
    <row r="307">
      <c r="E307" t="inlineStr">
        <is>
          <t>1675 - COOPERATIVA DE AHORRO Y CREDITO MARCABELI LTDA</t>
        </is>
      </c>
    </row>
    <row r="308">
      <c r="E308" t="inlineStr">
        <is>
          <t>1676 - COOPERATIVA DE AHORRO Y CREDITO AGRICOLA JUNIN</t>
        </is>
      </c>
    </row>
    <row r="309">
      <c r="E309" t="inlineStr">
        <is>
          <t>1677 - COOPERATIVA DE AHORRO Y CREDITO PUERTO LOPEZ LTDA.</t>
        </is>
      </c>
    </row>
    <row r="310">
      <c r="E310" t="inlineStr">
        <is>
          <t>1678 - COOPERATIVA DE AHORRO Y CREDITO CAMARA DE COMERCIO DEL CANTON BOLIVAR LTDA.</t>
        </is>
      </c>
    </row>
    <row r="311">
      <c r="E311" t="inlineStr">
        <is>
          <t>1679 - COOPERATIVA DE AHORRO Y CREDITO NUEVA ESPERANZA LTDA</t>
        </is>
      </c>
    </row>
    <row r="312">
      <c r="E312" t="inlineStr">
        <is>
          <t>1680 - COOPERATIVA DE AHORRO Y CREDITO SAN JORGE LTDA</t>
        </is>
      </c>
    </row>
    <row r="313">
      <c r="E313" t="inlineStr">
        <is>
          <t>1682 - COOPERATIVA DE AHORRO Y CREDITO ACCION Y DESARROLLO LTDA</t>
        </is>
      </c>
    </row>
    <row r="314">
      <c r="E314" t="inlineStr">
        <is>
          <t>1683 - COOPERATIVA DE AHORRO Y CREDITO EDUCADORES DE CHIMBORAZO</t>
        </is>
      </c>
    </row>
    <row r="315">
      <c r="E315" t="inlineStr">
        <is>
          <t>1684 - COOPERATIVA DE AHORRO Y CREDITO MINGA LTDA</t>
        </is>
      </c>
    </row>
    <row r="316">
      <c r="E316" t="inlineStr">
        <is>
          <t>1685 - COOPERATIVA DE AHORRO Y CREDITO 4 DE OCTUBRE</t>
        </is>
      </c>
    </row>
    <row r="317">
      <c r="E317" t="inlineStr">
        <is>
          <t>1686 - COOPERATIVA DE AHORRO Y CREDITO CAMARA DE COMERCIO INDIGENA DE GUAMOTE LTDA</t>
        </is>
      </c>
    </row>
    <row r="318">
      <c r="E318" t="inlineStr">
        <is>
          <t>1687 - COOPERATIVA DE AHORRO Y CREDITO FERNANDO DAQUILEMA</t>
        </is>
      </c>
    </row>
    <row r="319">
      <c r="E319" t="inlineStr">
        <is>
          <t>1688 - COOPERATIVA DE AHORRO Y CREDITO SUMAC LLACTA LTDA.</t>
        </is>
      </c>
    </row>
    <row r="320">
      <c r="E320" t="inlineStr">
        <is>
          <t>1689 - COOPERATIVA DE AHORRO Y CREDITO SAN GABRIEL LTDA.</t>
        </is>
      </c>
    </row>
    <row r="321">
      <c r="E321" t="inlineStr">
        <is>
          <t>1690 - COOPERATIVA DE AHORRO Y CREDITO CAMARA DE COMERCIO JOYA DE LOS SACHAS LTDA</t>
        </is>
      </c>
    </row>
    <row r="322">
      <c r="E322" t="inlineStr">
        <is>
          <t>1691 - COOPERATIVA DE AHORRO Y CREDITO PUERTO FRANCISCO DE ORELLANA</t>
        </is>
      </c>
    </row>
    <row r="323">
      <c r="E323" t="inlineStr">
        <is>
          <t>1692 - COOPERATIVA DE AHORRO Y CREDITO CRECIENDO JUNTOS LTDA.</t>
        </is>
      </c>
    </row>
    <row r="324">
      <c r="E324" t="inlineStr">
        <is>
          <t>1693 - COOPERATIVA DE AHORRO Y CREDITO EL COMERCIANTE LTDA.</t>
        </is>
      </c>
    </row>
    <row r="325">
      <c r="E325" t="inlineStr">
        <is>
          <t>1694 - COOPERATIVA DE AHORRO Y CREDITO EL DISCAPACITADO</t>
        </is>
      </c>
    </row>
    <row r="326">
      <c r="E326" t="inlineStr">
        <is>
          <t>1695 - COOPERATIVA DE AHORRO Y CREDITO EL MIGRANTE SOLIDARIO</t>
        </is>
      </c>
    </row>
    <row r="327">
      <c r="E327" t="inlineStr">
        <is>
          <t>1696 - COOPERATIVA DE AHORRO Y CREDITO EL TESORO PILLAREÑO</t>
        </is>
      </c>
    </row>
    <row r="328">
      <c r="E328" t="inlineStr">
        <is>
          <t>1697 - COOPERATIVA DE AHORRO Y CREDITO EL TRANSPORTISTA CACET</t>
        </is>
      </c>
    </row>
    <row r="329">
      <c r="E329" t="inlineStr">
        <is>
          <t>1698 - COOPERATIVA DE AHORRO Y CREDITO EMPLEADOS BANCARIOS DE EL ORO LTDA</t>
        </is>
      </c>
    </row>
    <row r="330">
      <c r="E330" t="inlineStr">
        <is>
          <t>1699 - COOPERATIVA DE AHORRO Y CREDITO ESPERANZA Y PROGRESO DEL VALLE</t>
        </is>
      </c>
    </row>
    <row r="331">
      <c r="E331" t="inlineStr">
        <is>
          <t>1700 - COOPERATIVA DE AHORRO Y CREDITO FASAYÑAN LTDA.</t>
        </is>
      </c>
    </row>
    <row r="332">
      <c r="E332" t="inlineStr">
        <is>
          <t>1701 - COOPERATIVA DE AHORRO Y CREDITO FRANDESC LTDA</t>
        </is>
      </c>
    </row>
    <row r="333">
      <c r="E333" t="inlineStr">
        <is>
          <t>1702 - COOP DE AHORRO Y CREDITO FUERZA ENTRE NOSOTROS PARA IMPULSAR EL EXITO FENIX</t>
        </is>
      </c>
    </row>
    <row r="334">
      <c r="E334" t="inlineStr">
        <is>
          <t>1703 - COOPERATIVA DE AHORRO Y CREDITO FUNDAR</t>
        </is>
      </c>
    </row>
    <row r="335">
      <c r="E335" t="inlineStr">
        <is>
          <t>1704 - COOPERATIVA DE AHORRO Y CREDITO GAÑANSOL LTDA.COOP. GAÑANSOL</t>
        </is>
      </c>
    </row>
    <row r="336">
      <c r="E336" t="inlineStr">
        <is>
          <t>1705 - COOPERATIVA DE AHORRO Y CREDITO GENESIS LTDA</t>
        </is>
      </c>
    </row>
    <row r="337">
      <c r="E337" t="inlineStr">
        <is>
          <t>1706 - COOPERATIVA DE AHORRO Y CREDITO GUACHAPALA</t>
        </is>
      </c>
    </row>
    <row r="338">
      <c r="E338" t="inlineStr">
        <is>
          <t>1707 - COOPERATIVA DE AHORRO Y CREDITO GUARUMAL DEL CENTRO LTDA.</t>
        </is>
      </c>
    </row>
    <row r="339">
      <c r="E339" t="inlineStr">
        <is>
          <t>1708 - COOPERATIVA DE AHORRO Y CREDITO GUEL LTDA.</t>
        </is>
      </c>
    </row>
    <row r="340">
      <c r="E340" t="inlineStr">
        <is>
          <t>1709 - COOPERATIVA DE AHORRO Y CREDITO HUINARA LTDA.</t>
        </is>
      </c>
    </row>
    <row r="341">
      <c r="E341" t="inlineStr">
        <is>
          <t>1710 - COOPERATIVA DE AHORRO Y CREDITO ILINIZA LTDA.</t>
        </is>
      </c>
    </row>
    <row r="342">
      <c r="E342" t="inlineStr">
        <is>
          <t>1711 - COOPERATIVA DE AHORRO Y CREDITO INDIGENA SAC PELILEO LTDA.</t>
        </is>
      </c>
    </row>
    <row r="343">
      <c r="E343" t="inlineStr">
        <is>
          <t>1712 - COOPERATIVA DE AHORRO Y CREDITO INTERCULTURAL TARPUK RUNA LTDA.</t>
        </is>
      </c>
    </row>
    <row r="344">
      <c r="E344" t="inlineStr">
        <is>
          <t>1713 - COOPERATIVA DE AHORRO Y CREDITO INTERCULTURAL TAWANTINSUYU LTDA.</t>
        </is>
      </c>
    </row>
    <row r="345">
      <c r="E345" t="inlineStr">
        <is>
          <t>1714 - COOPERATIVA DE AHORRO Y CREDITO INTI WASI LTDA INTICOOP</t>
        </is>
      </c>
    </row>
    <row r="346">
      <c r="E346" t="inlineStr">
        <is>
          <t>1715 - COOPERATIVA DE AHORRO Y CREDITO JOYOCOTO LTDA</t>
        </is>
      </c>
    </row>
    <row r="347">
      <c r="E347" t="inlineStr">
        <is>
          <t>1716 - COOPERATIVA DE AHORRO Y CREDITO JUVENTUD UNIDA LTDA.</t>
        </is>
      </c>
    </row>
    <row r="348">
      <c r="E348" t="inlineStr">
        <is>
          <t>1717 - COOPERATIVA DE AHORRO Y CREDITO MUSHUC RUNA</t>
        </is>
      </c>
    </row>
    <row r="349">
      <c r="E349" t="inlineStr">
        <is>
          <t>1718 - COOPERATIVA DE AHORRO Y CREDITO KURI WASI LTDA</t>
        </is>
      </c>
    </row>
    <row r="350">
      <c r="E350" t="inlineStr">
        <is>
          <t>1719 - COOPERATIVA DE AHORRO Y CREDITO KURIÑAN</t>
        </is>
      </c>
    </row>
    <row r="351">
      <c r="E351" t="inlineStr">
        <is>
          <t>1720 - COOPERATIVA DE AHORRO Y CREDITO LA BENEFICA LTDA.</t>
        </is>
      </c>
    </row>
    <row r="352">
      <c r="E352" t="inlineStr">
        <is>
          <t>1721 - COOPERATIVA DE AHORRO Y CREDITO LA FLORESTA LTDA</t>
        </is>
      </c>
    </row>
    <row r="353">
      <c r="E353" t="inlineStr">
        <is>
          <t>1722 - COOPERATIVA DE AHORRO Y CREDITO LA FLORIDA</t>
        </is>
      </c>
    </row>
    <row r="354">
      <c r="E354" t="inlineStr">
        <is>
          <t>1723 - COOPERATIVA DE AHORRO Y CREDITO LA INMACULADA DE SAN PLACIDO LTDA.</t>
        </is>
      </c>
    </row>
    <row r="355">
      <c r="E355" t="inlineStr">
        <is>
          <t>1724 - COOPERATIVA DE AHORRO Y CREDITO LA LIBERTAD LTDA</t>
        </is>
      </c>
    </row>
    <row r="356">
      <c r="E356" t="inlineStr">
        <is>
          <t>1725 - COOPERATIVA DE AHORRO Y CREDITO LA UNION LTDA</t>
        </is>
      </c>
    </row>
    <row r="357">
      <c r="E357" t="inlineStr">
        <is>
          <t>1726 - COOPERATIVA DE AHORRO Y CREDITO LAS LAGUNAS</t>
        </is>
      </c>
    </row>
    <row r="358">
      <c r="E358" t="inlineStr">
        <is>
          <t>1727 - COOPERATIVA DE AHORRO Y CREDITO LOS ANDES LATINOS LTDA.</t>
        </is>
      </c>
    </row>
    <row r="359">
      <c r="E359" t="inlineStr">
        <is>
          <t>1728 - COOPERATIVA DE AHORRO Y CREDITO LOS CHASQUIS PASTOCALLE LTDA.</t>
        </is>
      </c>
    </row>
    <row r="360">
      <c r="E360" t="inlineStr">
        <is>
          <t>1729 - COOPERATIVA DE AHORRO Y CREDITO LUZ DEL VALLE</t>
        </is>
      </c>
    </row>
    <row r="361">
      <c r="E361" t="inlineStr">
        <is>
          <t>1730 - COOPERATIVA DE AHORRO Y CREDITO MACODES LTDA</t>
        </is>
      </c>
    </row>
    <row r="362">
      <c r="E362" t="inlineStr">
        <is>
          <t>1731 - COOPERATIVA DE AHORRO Y CREDITO MARIA AUXILIADORA DE QUIROGA LTDA.</t>
        </is>
      </c>
    </row>
    <row r="363">
      <c r="E363" t="inlineStr">
        <is>
          <t>1732 - COOPERATIVA DE AHORRO Y CREDITO MICROEMPRESARIAL SUCRE</t>
        </is>
      </c>
    </row>
    <row r="364">
      <c r="E364" t="inlineStr">
        <is>
          <t>1733 - COOPERATIVA DE AHORRO Y CREDITO MIGRANTES &amp; EMPRENDEDORES LTDA</t>
        </is>
      </c>
    </row>
    <row r="365">
      <c r="E365" t="inlineStr">
        <is>
          <t>1734 - COOPERATIVA DE AHORRO Y CREDITO MULTICULTURAL BANCO INDIGENA LTDA.</t>
        </is>
      </c>
    </row>
    <row r="366">
      <c r="E366" t="inlineStr">
        <is>
          <t>1735 - COOPERATIVA DE AHORRO Y CREDITO MUSHUG CAUSAY LTDA</t>
        </is>
      </c>
    </row>
    <row r="367">
      <c r="E367" t="inlineStr">
        <is>
          <t>1736 - COOPERATIVA DE AHORRO Y CREDITO MUSHUK PAKARI LTDA</t>
        </is>
      </c>
    </row>
    <row r="368">
      <c r="E368" t="inlineStr">
        <is>
          <t>1737 - COOPERATIVA DE AHORRO Y CREDITO MUSHUK PAKARIK LTDA.</t>
        </is>
      </c>
    </row>
    <row r="369">
      <c r="E369" t="inlineStr">
        <is>
          <t>1738 - COOPERATIVA DE AHORRO Y CREDITO MUSHUK YUYAY</t>
        </is>
      </c>
    </row>
    <row r="370">
      <c r="E370" t="inlineStr">
        <is>
          <t>1739 - COOPERATIVA DE AHORRO Y CREDITO MUSHUKWASI</t>
        </is>
      </c>
    </row>
    <row r="371">
      <c r="E371" t="inlineStr">
        <is>
          <t>1740 - COOPERATIVA DE AHORRO Y CREDITO NUEVA FUERZA ALIANZA LTDA</t>
        </is>
      </c>
    </row>
    <row r="372">
      <c r="E372" t="inlineStr">
        <is>
          <t>1741 - COOPERATIVA AHORRO Y CREDITO DE LA PEQUEÑA EMPRESA CACPE LOJA LTDA.</t>
        </is>
      </c>
    </row>
    <row r="373">
      <c r="E373" t="inlineStr">
        <is>
          <t>1742 - COOPERATIVA DE AHORRO Y CREDITO ÑUKA LLAKTA LTDA</t>
        </is>
      </c>
    </row>
    <row r="374">
      <c r="E374" t="inlineStr">
        <is>
          <t>1743 - COOPERATIVA DE AHORRO Y CREDITO OCIPSA</t>
        </is>
      </c>
    </row>
    <row r="375">
      <c r="E375" t="inlineStr">
        <is>
          <t>1744 - COOPERATIVA DE AHORRO Y CREDITO OLMEDO LTDA.</t>
        </is>
      </c>
    </row>
    <row r="376">
      <c r="E376" t="inlineStr">
        <is>
          <t>1745 - COOPERATIVA DE AHORRO Y CREDITO PADRE VICENTE PONCE RUBIO</t>
        </is>
      </c>
    </row>
    <row r="377">
      <c r="E377" t="inlineStr">
        <is>
          <t>1746 - COOPERATIVA DE AHORRO Y CREDITO POPULAR Y SOLIDARIA</t>
        </is>
      </c>
    </row>
    <row r="378">
      <c r="E378" t="inlineStr">
        <is>
          <t>1748 - COOP. DE AHORRO Y CREDITO PRODUCCION AHORRO INVERSION SERVICIO P.A.I.S. LTDA</t>
        </is>
      </c>
    </row>
    <row r="379">
      <c r="E379" t="inlineStr">
        <is>
          <t>1749 - COOPERATIVA DE AHORRO Y CREDITO PRODUCCION Y DESARROLLO AGRICOLA COOPRODESA LTDA</t>
        </is>
      </c>
    </row>
    <row r="380">
      <c r="E380" t="inlineStr">
        <is>
          <t>1750 - COOPERATIVA DE AHORRO Y CREDITO PROFUTURO LTDA</t>
        </is>
      </c>
    </row>
    <row r="381">
      <c r="E381" t="inlineStr">
        <is>
          <t>1751 - COOPERATIVA DE AHORRO Y CREDITO PUJILI LTDA.</t>
        </is>
      </c>
    </row>
    <row r="382">
      <c r="E382" t="inlineStr">
        <is>
          <t>1752 - COOPERATIVA DE AHORRO Y CREDITO RIOCHICO</t>
        </is>
      </c>
    </row>
    <row r="383">
      <c r="E383" t="inlineStr">
        <is>
          <t>1753 - COOPERATIVA DE AHORRO Y CREDITO 9 DE OCTUBRE</t>
        </is>
      </c>
    </row>
    <row r="384">
      <c r="E384" t="inlineStr">
        <is>
          <t>1754 - COOPERATIVA DE AHORRO Y CREDITO SALASACA</t>
        </is>
      </c>
    </row>
    <row r="385">
      <c r="E385" t="inlineStr">
        <is>
          <t>1755 - COOPERATIVA DE AHORRO Y CREDITO SALATE LTDA.</t>
        </is>
      </c>
    </row>
    <row r="386">
      <c r="E386" t="inlineStr">
        <is>
          <t>1756 - COOPERATIVA DE AHORRO Y CREDITO SALINAS LIMITADA</t>
        </is>
      </c>
    </row>
    <row r="387">
      <c r="E387" t="inlineStr">
        <is>
          <t>1757 - COOPERATIVA DE AHORRO Y CREDITO SAN ANTONIO DE TOACASO</t>
        </is>
      </c>
    </row>
    <row r="388">
      <c r="E388" t="inlineStr">
        <is>
          <t>1758 - COOPERATIVA DE AHORRO Y CREDITO SAN ANTONIO LTDA.</t>
        </is>
      </c>
    </row>
    <row r="389">
      <c r="E389" t="inlineStr">
        <is>
          <t>1759 - COOPERATIVA DE AHORRO Y CREDITO SAN BARTOLO LTDA.</t>
        </is>
      </c>
    </row>
    <row r="390">
      <c r="E390" t="inlineStr">
        <is>
          <t>1760 - COOPERATIVA DE AHORRO Y CREDITO SAN BARTOLOME LTDA.</t>
        </is>
      </c>
    </row>
    <row r="391">
      <c r="E391" t="inlineStr">
        <is>
          <t>1761 - COOPERATIVA DE AHORRO Y CREDITO SAN FERNANDO LIMITADA</t>
        </is>
      </c>
    </row>
    <row r="392">
      <c r="E392" t="inlineStr">
        <is>
          <t>1762 - COOPERATIVA DE AHORRO Y CREDITO SAN ISIDRO LTDA.</t>
        </is>
      </c>
    </row>
    <row r="393">
      <c r="E393" t="inlineStr">
        <is>
          <t>1763 - COOPERATIVA DE AHORRO Y CREDITO SAN JOSE - AIRO</t>
        </is>
      </c>
    </row>
    <row r="394">
      <c r="E394" t="inlineStr">
        <is>
          <t>1764 - COOPERATIVA DE AHORRO Y CREDITO SAN MARCOS</t>
        </is>
      </c>
    </row>
    <row r="395">
      <c r="E395" t="inlineStr">
        <is>
          <t>1765 - COOPERATIVA DE AHORRO Y CREDITO SAN MARTIN DE TISALEO LTDA</t>
        </is>
      </c>
    </row>
    <row r="396">
      <c r="E396" t="inlineStr">
        <is>
          <t>1766 - COOPERATIVA DE AHORRO Y CREDITO SAN MIGUEL DE PALLATANGA</t>
        </is>
      </c>
    </row>
    <row r="397">
      <c r="E397" t="inlineStr">
        <is>
          <t>1767 - COOPERATIVA DE AHORRO Y CREDITO SAN PEDRO DE PELILEO LTDA.</t>
        </is>
      </c>
    </row>
    <row r="398">
      <c r="E398" t="inlineStr">
        <is>
          <t>1768 - COOPERATIVA DE AHORRO Y CREDITO SAN PEDRO LTDA.</t>
        </is>
      </c>
    </row>
    <row r="399">
      <c r="E399" t="inlineStr">
        <is>
          <t>1769 - COOPERATIVA DE AHORRO Y CREDITO SAN SANTIAGO DE MOLLETURO</t>
        </is>
      </c>
    </row>
    <row r="400">
      <c r="E400" t="inlineStr">
        <is>
          <t>1770 - COOPERATIVA DE AHORRO Y CREDITO SAN SEBASTIAN - LOJA</t>
        </is>
      </c>
    </row>
    <row r="401">
      <c r="E401" t="inlineStr">
        <is>
          <t>1771 - COOPERATIVA DE AHORRO Y CREDITO SANTA ISABEL LTDA</t>
        </is>
      </c>
    </row>
    <row r="402">
      <c r="E402" t="inlineStr">
        <is>
          <t>1772 - COOPERATIVA DE AHORRO Y CREDITO SARAGUROS</t>
        </is>
      </c>
    </row>
    <row r="403">
      <c r="E403" t="inlineStr">
        <is>
          <t>1773 - COOPERATIVA DE AHORRO Y CREDITO SERVIDORES MUNICIPALES DE CUENCA</t>
        </is>
      </c>
    </row>
    <row r="404">
      <c r="E404" t="inlineStr">
        <is>
          <t>1774 - COOPERATIVA DE AHORRO Y CREDITO SIMON BOLIVAR</t>
        </is>
      </c>
    </row>
    <row r="405">
      <c r="E405" t="inlineStr">
        <is>
          <t>1775 - COOPERATIVA DE AHORRO Y CREDITO SOCIO AMIGO COOPSA</t>
        </is>
      </c>
    </row>
    <row r="406">
      <c r="E406" t="inlineStr">
        <is>
          <t>1776 - COOPERATIVA DE AHORRO Y CREDITO SOL DE LOS ANDES LTDA</t>
        </is>
      </c>
    </row>
    <row r="407">
      <c r="E407" t="inlineStr">
        <is>
          <t>1777 - COOPERATIVA DE AHORRO Y CREDITO SOLIDARIA LTDA</t>
        </is>
      </c>
    </row>
    <row r="408">
      <c r="E408" t="inlineStr">
        <is>
          <t>1778 - COOPERATIVA DE AHORRO Y CREDITO SOLIDARIA LTDA. GUALAQUIZA</t>
        </is>
      </c>
    </row>
    <row r="409">
      <c r="E409" t="inlineStr">
        <is>
          <t>1779 - COOPERATIVA DE AHORRO Y CREDITO SOLIDARIDAD Y PROGRESO ORIENTAL</t>
        </is>
      </c>
    </row>
    <row r="410">
      <c r="E410" t="inlineStr">
        <is>
          <t>1780 - COOPERATIVA DE AHORRO Y CREDITO SUMAK SAMY LTDA.</t>
        </is>
      </c>
    </row>
    <row r="411">
      <c r="E411" t="inlineStr">
        <is>
          <t>1781 - COOPERATIVA DE AHORRO Y CREDITO UNIBLOCK Y SERVICIOS LTDA.</t>
        </is>
      </c>
    </row>
    <row r="412">
      <c r="E412" t="inlineStr">
        <is>
          <t>1782 - COOPERATIVA DE AHORRO Y CREDITO UNIOTAVALO LTDA</t>
        </is>
      </c>
    </row>
    <row r="413">
      <c r="E413" t="inlineStr">
        <is>
          <t>1783 - COOPERATIVA DE AHORRO Y CREDITO WARMIKUNAPAK RIKCHARI LTDA.</t>
        </is>
      </c>
    </row>
    <row r="414">
      <c r="E414" t="inlineStr">
        <is>
          <t>1784 - COOPERATIVA DE AHORRO Y CREDITO WUAMANLOMA LTDA.</t>
        </is>
      </c>
    </row>
    <row r="415">
      <c r="E415" t="inlineStr">
        <is>
          <t>1785 - COOPERATIVA DE SERVICIOS MULTIPLES AGRO VIDA COOSEMAV</t>
        </is>
      </c>
    </row>
    <row r="416">
      <c r="E416" t="inlineStr">
        <is>
          <t>1786 - COOPERTATIVA DE AHORRO Y CREDITO UNION QUISAPINCHA LTDA.</t>
        </is>
      </c>
    </row>
    <row r="417">
      <c r="E417" t="inlineStr">
        <is>
          <t>1787 - COOPJADAN LTDA, COOPERATIVA DE AHORRO Y CREDITO JADAN</t>
        </is>
      </c>
    </row>
    <row r="418">
      <c r="E418" t="inlineStr">
        <is>
          <t>1788 - COOPERATIVA DE AHORRO Y CREDITO CACPE MANABI</t>
        </is>
      </c>
    </row>
    <row r="419">
      <c r="E419" t="inlineStr">
        <is>
          <t>1789 - COOPERATIVA DE AHORRO Y CREDITO CRECER WIÑARI LTDA.</t>
        </is>
      </c>
    </row>
    <row r="420">
      <c r="E420" t="inlineStr">
        <is>
          <t>1790 - COOP. AHORRO Y CREDITO DEL SINDICATO DE CHOFERES PROFESIONALES DEL AZUAY LTDA.</t>
        </is>
      </c>
    </row>
    <row r="421">
      <c r="E421" t="inlineStr">
        <is>
          <t>1791 - COOPERATIVA DE AHORRO Y CREDITO EMPRENDEDORES 'COOPEMPRENDER' LIMITADA</t>
        </is>
      </c>
    </row>
    <row r="422">
      <c r="E422" t="inlineStr">
        <is>
          <t>1792 - COOPERATIVA DE AHORRO Y CREDITO NUEVA LOJA LTDA.</t>
        </is>
      </c>
    </row>
    <row r="423">
      <c r="E423" t="inlineStr">
        <is>
          <t>1793 - COOPERATIVA DE AHORRO Y CREDITO SAN JUAN DE COTOGCHOA</t>
        </is>
      </c>
    </row>
    <row r="424">
      <c r="E424" t="inlineStr">
        <is>
          <t>1802 - COOPERATIVA DE AHORRO Y CREDITO MAS AHORRO SOLIDARIO MASCOOP</t>
        </is>
      </c>
    </row>
    <row r="425">
      <c r="E425" t="inlineStr">
        <is>
          <t>1815 - COOPERATIVA DE AHORRO Y CREDITO TIENDA DE DINERO LTDA.</t>
        </is>
      </c>
    </row>
    <row r="426">
      <c r="E426" t="inlineStr">
        <is>
          <t>1816 - COOPERATIVA DE AHORRO Y CREDITO VILCABAMBA CACVIL</t>
        </is>
      </c>
    </row>
    <row r="427">
      <c r="E427" t="inlineStr">
        <is>
          <t>1869 - AUSTROBANK OVERSEAS PANAMA S.A</t>
        </is>
      </c>
    </row>
    <row r="428">
      <c r="E428" t="inlineStr">
        <is>
          <t>1900 - EXTERNALIZACIÓN DE SERVICIOS S.A. EXSERSA</t>
        </is>
      </c>
    </row>
    <row r="429">
      <c r="E429" t="inlineStr">
        <is>
          <t>1901 - BANCO DEL INSTITUTO ECUATORIANO DE SEGURIDAD SOCIAL</t>
        </is>
      </c>
    </row>
    <row r="430">
      <c r="E430" t="inlineStr">
        <is>
          <t>1903 - COOPERATIVA DE AHORRO Y CREDITO 23 DE MAYO LTDA.</t>
        </is>
      </c>
    </row>
    <row r="431">
      <c r="E431" t="inlineStr">
        <is>
          <t>1904 - COOPERATIVA DE AHORRO Y CRÉDITO COCA LTDA</t>
        </is>
      </c>
    </row>
    <row r="432">
      <c r="E432" t="inlineStr">
        <is>
          <t>1905 - COOPERATIVA  DE AHORRO Y CRÉDITO PILAHUIN TIO LTDA</t>
        </is>
      </c>
    </row>
    <row r="433">
      <c r="E433" t="inlineStr">
        <is>
          <t>1906 - COOPERATIVA  DE AHORRO Y CRÉDITO HUAICANA LTDA</t>
        </is>
      </c>
    </row>
    <row r="434">
      <c r="E434" t="inlineStr">
        <is>
          <t>1907 - COOPERATIVA DE AHORRO Y CREDITO  CREDISUR LTDA.</t>
        </is>
      </c>
    </row>
    <row r="435">
      <c r="E435" t="inlineStr">
        <is>
          <t>1908 - COOPERATIVA DE AHORRO Y CREDITO  MAQUITA CUSHUNCHIC LTDA.</t>
        </is>
      </c>
    </row>
    <row r="436">
      <c r="E436" t="inlineStr">
        <is>
          <t>1909 - COOPERATIVA DE AHORRO Y CREDITO  GENERAL RUMIÑAHUI</t>
        </is>
      </c>
    </row>
    <row r="437">
      <c r="E437" t="inlineStr">
        <is>
          <t>1910 - COOPERATIVA DE AHORRO Y CREDITO  CASAG LTDA</t>
        </is>
      </c>
    </row>
    <row r="438">
      <c r="E438" t="inlineStr">
        <is>
          <t>1911 - COOPERATIVA DE AHORRO Y CREDITO  FOCLA</t>
        </is>
      </c>
    </row>
    <row r="439">
      <c r="E439" t="inlineStr">
        <is>
          <t>1912 - COOPERATIVA DE AHORRO Y CREDITO  FINANCIERA INDIGENA LTDA.</t>
        </is>
      </c>
    </row>
    <row r="440">
      <c r="E440" t="inlineStr">
        <is>
          <t>1913 - SOCIEDAD FINANCIERA VISIONFUND ECUADOR S.A.</t>
        </is>
      </c>
    </row>
    <row r="441">
      <c r="E441" t="inlineStr">
        <is>
          <t>1915 - BANCO-D-MIRO S.A.</t>
        </is>
      </c>
    </row>
    <row r="442">
      <c r="E442" t="inlineStr">
        <is>
          <t>1916 - COOPERATIVA  DE AHORRO Y CREDITO HUAQUILLAS LTDA.</t>
        </is>
      </c>
    </row>
    <row r="443">
      <c r="E443" t="inlineStr">
        <is>
          <t>1917 - COOPERATIVA DE AHORRO Y CREDITO  DEL COL. FISC. EXPER. VICENTE ROCAFUERTE</t>
        </is>
      </c>
    </row>
    <row r="444">
      <c r="E444" t="inlineStr">
        <is>
          <t>1918 - BANCO PARA LA ASISTENCIA COMUNITARIA FINCA S.A.</t>
        </is>
      </c>
    </row>
    <row r="445">
      <c r="E445" t="inlineStr">
        <is>
          <t>1920 - COOPERATIVA DE AHORRO Y CREDITO  ECUAFUTURO LTDA.</t>
        </is>
      </c>
    </row>
    <row r="446">
      <c r="E446" t="inlineStr">
        <is>
          <t>1921 - COOPERATIVA DE AHORRO Y CREDITO  MAQUITA CUSHUN LTDA.</t>
        </is>
      </c>
    </row>
    <row r="447">
      <c r="E447" t="inlineStr">
        <is>
          <t>1922 - COOPERATIVA DE AHORRO Y CREDITO  VALLES DEL LIRIO</t>
        </is>
      </c>
    </row>
    <row r="448">
      <c r="E448" t="inlineStr">
        <is>
          <t>1923 - COOPERATIVA  ESFUERZO UNIDO PARA EL DESARR. DEL CHILCO LA ESPERANZA</t>
        </is>
      </c>
    </row>
    <row r="449">
      <c r="E449" t="inlineStr">
        <is>
          <t>1924 - COOPERATIVA  A. Y C. CARROCEROS DE TUNGURAHUA</t>
        </is>
      </c>
    </row>
    <row r="450">
      <c r="E450" t="inlineStr">
        <is>
          <t>1925 - COOPERATIVA DE AHORRO Y CREDITO  INKA KIPU LTDA.</t>
        </is>
      </c>
    </row>
    <row r="451">
      <c r="E451" t="inlineStr">
        <is>
          <t>1926 - COOPERATIVA  DE AHORRO Y CRÉDITO 'SIMIATUG LTDA'</t>
        </is>
      </c>
    </row>
    <row r="452">
      <c r="E452" t="inlineStr">
        <is>
          <t>1928 - COOPERATIVA DE AHORRO Y CREDITO  PIJAL</t>
        </is>
      </c>
    </row>
    <row r="453">
      <c r="E453" t="inlineStr">
        <is>
          <t>1929 - COOPERATIVA DE AHORRO Y CREDITO  ESCENCIA INDIGENA LTDA.</t>
        </is>
      </c>
    </row>
    <row r="454">
      <c r="E454" t="inlineStr">
        <is>
          <t>1930 - COOPERATIVA DE AHORRO Y CREDITO  SANTA ROSA DE PATUTAN LTDA.</t>
        </is>
      </c>
    </row>
    <row r="455">
      <c r="E455" t="inlineStr">
        <is>
          <t>1931 - COOPERATIVA  DE AHORRO Y CREDITO SAN MIGUEL DE SIGCHOS</t>
        </is>
      </c>
    </row>
    <row r="456">
      <c r="E456" t="inlineStr">
        <is>
          <t>1932 - COOPERATIVA DE AHORRO Y CREDITO  SIERRA CENTRO LTDA.</t>
        </is>
      </c>
    </row>
    <row r="457">
      <c r="E457" t="inlineStr">
        <is>
          <t>1933 - COOPERATIVA DE AHORRO Y CREDITO  UNION MERCEDARIA LTDA.</t>
        </is>
      </c>
    </row>
    <row r="458">
      <c r="E458" t="inlineStr">
        <is>
          <t>1935 - COOPERATIVA  DE AHORRO Y CREDITO CREDIAMIGO LTDA. LOJA (MIES)</t>
        </is>
      </c>
    </row>
    <row r="459">
      <c r="E459" t="inlineStr">
        <is>
          <t>1936 - COOPERATIVA DE AHORRO Y CREDITO FORTUNA (MIES)</t>
        </is>
      </c>
    </row>
    <row r="460">
      <c r="E460" t="inlineStr">
        <is>
          <t>1937 - COOPERATIVA DE AHORRO Y CREDITO DE LOS PROFESIONALES DEL VOLANTE UNION LTDA</t>
        </is>
      </c>
    </row>
    <row r="461">
      <c r="E461" t="inlineStr">
        <is>
          <t>1938 - COOPERATIVA DE AHORRO Y CREDITO CACPE CELICA</t>
        </is>
      </c>
    </row>
    <row r="462">
      <c r="E462" t="inlineStr">
        <is>
          <t>1939 - COOPERATIVA DE AHORRO Y CREDITO CATAMAYO LTDA. (MIES)</t>
        </is>
      </c>
    </row>
    <row r="463">
      <c r="E463" t="inlineStr">
        <is>
          <t>1940 - COOPERATIVA DE AHORRO Y CREDITO  DE LA PEQ. EMPRESA CACPE MACARÁ</t>
        </is>
      </c>
    </row>
    <row r="464">
      <c r="E464" t="inlineStr">
        <is>
          <t>1941 - COOPERATIVA  AHO.Y CRED.NUEVOS HORIZONTES EL ORO LTDA.</t>
        </is>
      </c>
    </row>
    <row r="465">
      <c r="E465" t="inlineStr">
        <is>
          <t>1942 - COOPERATIVA DE AHORRO Y CREDITO  16 DE JUNIO</t>
        </is>
      </c>
    </row>
    <row r="466">
      <c r="E466" t="inlineStr">
        <is>
          <t>1943 - COOPERATIVA DE AHORRO Y CREDITO  FUTURO Y PROGRESO DE GALAPAGOS LTDA.</t>
        </is>
      </c>
    </row>
    <row r="467">
      <c r="E467" t="inlineStr">
        <is>
          <t>1944 - COOPERATIVA DE AHORRO Y CREDITO  LUCHA CAMPESINA LTDA.</t>
        </is>
      </c>
    </row>
    <row r="468">
      <c r="E468" t="inlineStr">
        <is>
          <t>1945 - COOPERATIVA DE AHORRO Y CREDITO  GUAMOTE LTDA.</t>
        </is>
      </c>
    </row>
    <row r="469">
      <c r="E469" t="inlineStr">
        <is>
          <t>1946 - COOPERATIVA DE AHORRO Y CREDITO  EDUCADORES TULCAN LTDA.</t>
        </is>
      </c>
    </row>
    <row r="470">
      <c r="E470" t="inlineStr">
        <is>
          <t>1947 - COOPERATIVA DE AHORRO Y CREDITO COOPAC AUSTRO LTDA</t>
        </is>
      </c>
    </row>
    <row r="471">
      <c r="E471" t="inlineStr">
        <is>
          <t>1948 - COOPERATIVA DE AHORRO Y CREDITO INDIGENA ALFA Y OMEGA LTDA</t>
        </is>
      </c>
    </row>
    <row r="472">
      <c r="E472" t="inlineStr">
        <is>
          <t>1949 - COOPERATIVA DE AHORRO Y CREDITO CHIBULEO</t>
        </is>
      </c>
    </row>
    <row r="473">
      <c r="E473" t="inlineStr">
        <is>
          <t>1950 - COOPERATIVA DE AHORRO Y CREDITO KISAPINCHA LTDA.</t>
        </is>
      </c>
    </row>
    <row r="474">
      <c r="E474" t="inlineStr">
        <is>
          <t>1951 - COOPERATIVA DE AHORRO Y CREDITO VIRGEN DEL CISNE</t>
        </is>
      </c>
    </row>
    <row r="475">
      <c r="E475" t="inlineStr">
        <is>
          <t>1952 - COOPERATIVA AHORRO Y CREDITO 26 DE SEPTIEMBRE LAZARO CONDO</t>
        </is>
      </c>
    </row>
    <row r="476">
      <c r="E476" t="inlineStr">
        <is>
          <t>1953 - COOPERATIVA AHORRO Y CREDITO AFRO ECUATORIANA DE LA PEQUEÑA EMPRESA LTDA CACAEPE</t>
        </is>
      </c>
    </row>
    <row r="477">
      <c r="E477" t="inlineStr">
        <is>
          <t>1954 - COOPERATIVA AHORRO Y CREDITO UNION EL EJIDO</t>
        </is>
      </c>
    </row>
    <row r="478">
      <c r="E478" t="inlineStr">
        <is>
          <t>1955 - COOPERATIVA DE AHORRO Y CREDITO 13 DE ABRIL</t>
        </is>
      </c>
    </row>
    <row r="479">
      <c r="E479" t="inlineStr">
        <is>
          <t>1956 - COOPERATIVA DE AHORRO Y CREDITO 15 DE DICIEMBRE LINDERO LTDA</t>
        </is>
      </c>
    </row>
    <row r="480">
      <c r="E480" t="inlineStr">
        <is>
          <t>1957 - COOPERATIVA DE AHORRO Y CREDITO 15 DE MAYO LTDA</t>
        </is>
      </c>
    </row>
    <row r="481">
      <c r="E481" t="inlineStr">
        <is>
          <t>1958 - COOPERATIVA DE AHORRO Y CREDITO 20 DE FEBRERO LTDA.</t>
        </is>
      </c>
    </row>
    <row r="482">
      <c r="E482" t="inlineStr">
        <is>
          <t>1959 - COOPERATIVA DE AHORRO Y CREDITO 21 DE NOVIEMBRE LTDA.</t>
        </is>
      </c>
    </row>
    <row r="483">
      <c r="E483" t="inlineStr">
        <is>
          <t>1960 - COOPERATIVA DE AHORRO Y CREDITO 22 DE JUNIO</t>
        </is>
      </c>
    </row>
    <row r="484">
      <c r="E484" t="inlineStr">
        <is>
          <t>1962 - COOPERATIVA DE AHORRO Y CREDITO 27 DE ABRIL</t>
        </is>
      </c>
    </row>
    <row r="485">
      <c r="E485" t="inlineStr">
        <is>
          <t>1963 - COOPERATIVA DE AHORRO Y CREDITO 4 DE OCTUBRE SAN FRANCISCO DE CHAMBO</t>
        </is>
      </c>
    </row>
    <row r="486">
      <c r="E486" t="inlineStr">
        <is>
          <t>1964 - COOPERATIVA DE AHORRO Y CREDITO ABDON CALDERON LTDA.</t>
        </is>
      </c>
    </row>
    <row r="487">
      <c r="E487" t="inlineStr">
        <is>
          <t>1965 - COOPERATIVA DE AHORRO Y CREDITO ACCION TUNGURAHUA LTDA.</t>
        </is>
      </c>
    </row>
    <row r="488">
      <c r="E488" t="inlineStr">
        <is>
          <t>1966 - COOPERATIVA DE AHORRO Y CREDITO AGRO PRODUCTIVA MANABI LTDA.</t>
        </is>
      </c>
    </row>
    <row r="489">
      <c r="E489" t="inlineStr">
        <is>
          <t>1967 - COOPERATIVA DE AHORRO Y CREDITO AGUILAS DE CRISTO</t>
        </is>
      </c>
    </row>
    <row r="490">
      <c r="E490" t="inlineStr">
        <is>
          <t>1968 - COOPERATIVA DE AHORRO Y CREDITO ALLI TARPUC</t>
        </is>
      </c>
    </row>
    <row r="491">
      <c r="E491" t="inlineStr">
        <is>
          <t>1969 - COOPERATIVA DE AHORRO Y CREDITO BASHALAN LTDA</t>
        </is>
      </c>
    </row>
    <row r="492">
      <c r="E492" t="inlineStr">
        <is>
          <t>1970 - COOPERATIVA DE AHORRO Y CREDITO BUENA FE LTDA.</t>
        </is>
      </c>
    </row>
    <row r="493">
      <c r="E493" t="inlineStr">
        <is>
          <t>1971 - COOPERATIVA DE AHORRO Y CREDITO CACIQUE GURITAVE</t>
        </is>
      </c>
    </row>
    <row r="494">
      <c r="E494" t="inlineStr">
        <is>
          <t>1972 - COOPERATIVA DE AHORRO Y CREDITO CAMARA DE COMERCIO DE RIOBAMBA LTDA</t>
        </is>
      </c>
    </row>
    <row r="495">
      <c r="E495" t="inlineStr">
        <is>
          <t>1973 - COOPERATIVA DE AHORRO Y CREDITO CAMARA DE COMERCIO DE SANTO DOMINGO</t>
        </is>
      </c>
    </row>
    <row r="496">
      <c r="E496" t="inlineStr">
        <is>
          <t>1974 - COOPERATIVA DE AHORRO Y CREDITO CAMARA DE COMERCIO DEL CANTON EL CARMEN LTDA.</t>
        </is>
      </c>
    </row>
    <row r="497">
      <c r="E497" t="inlineStr">
        <is>
          <t>1975 - COOPERATIVA DE AHORRO Y CREDITO CAÑAR LTDA.</t>
        </is>
      </c>
    </row>
    <row r="498">
      <c r="E498" t="inlineStr">
        <is>
          <t>1976 - COOPERATIVA DE AHORRO Y CREDITO CHOCO TUNGURAHUA RUNA LTDA.</t>
        </is>
      </c>
    </row>
    <row r="499">
      <c r="E499" t="inlineStr">
        <is>
          <t>1977 - COOPERATIVA DE AHORRO Y CREDITO COLEGIO DE INGENIEROS CIVILES DEL AZUAY C.I.C.A.</t>
        </is>
      </c>
    </row>
    <row r="500">
      <c r="E500" t="inlineStr">
        <is>
          <t>1978 - COOPERATIVA DE AHORRO Y CREDITO COOPARTAMOS LTDA.</t>
        </is>
      </c>
    </row>
    <row r="501">
      <c r="E501" t="inlineStr">
        <is>
          <t>1979 - COOPERATIVA DE AHORRO Y CREDITO COOPINDIGENA LTDA.</t>
        </is>
      </c>
    </row>
    <row r="502">
      <c r="E502" t="inlineStr">
        <is>
          <t>1980 - COOPERATIVA DE AHORRO Y CREDITO COOPTOPAXI LTDA.</t>
        </is>
      </c>
    </row>
    <row r="503">
      <c r="E503" t="inlineStr">
        <is>
          <t>1981 - COOPERATIVA DE AHORRO Y CREDITO CORDILLERA DE LOS ANDES LTDA.</t>
        </is>
      </c>
    </row>
    <row r="504">
      <c r="E504" t="inlineStr">
        <is>
          <t>1982 - COOPERATIVA DE AHORRO Y CREDITO CORPORACION CENTRO LTDA.</t>
        </is>
      </c>
    </row>
    <row r="505">
      <c r="E505" t="inlineStr">
        <is>
          <t>1983 - COOPERATIVA DE AHORRO Y CREDITO CREA LTDA.</t>
        </is>
      </c>
    </row>
    <row r="506">
      <c r="E506" t="inlineStr">
        <is>
          <t>1984 - COOPERATIVA DE AHORRO Y CREDITO CREDI UNION LTDA</t>
        </is>
      </c>
    </row>
    <row r="507">
      <c r="E507" t="inlineStr">
        <is>
          <t>1985 - COOPERATIVA DE AHORRO Y CREDITO CREDIL LTDA.</t>
        </is>
      </c>
    </row>
    <row r="508">
      <c r="E508" t="inlineStr">
        <is>
          <t>1986 - COOPERATIVA DE AHORRO Y CREDITO CUNA DE LA NACIONALIDAD LTDA.</t>
        </is>
      </c>
    </row>
    <row r="509">
      <c r="E509" t="inlineStr">
        <is>
          <t>1987 - COOPERATIVA DE AHORRO Y CREDITO DE LA CAMARA DE COMERCIO DE GONZANAMA</t>
        </is>
      </c>
    </row>
    <row r="510">
      <c r="E510" t="inlineStr">
        <is>
          <t>1990 - COOPERATIVA DE AHORRO Y CREDITO DE LA MICROEMPRESA DE CHIMBORAZO LTDA</t>
        </is>
      </c>
    </row>
    <row r="511">
      <c r="E511" t="inlineStr">
        <is>
          <t>1991 - COOP DE AHORRO Y CREDITO DE LA PEQUEÑA Y MEDIANA EMPRESA COOPYMEC-MACARA</t>
        </is>
      </c>
    </row>
    <row r="512">
      <c r="E512" t="inlineStr">
        <is>
          <t>1992 - COOPERATIVA DE AHORRO Y CREDITO DE VIVIENDA Y DESARROLLO CASA FACIL LTDA</t>
        </is>
      </c>
    </row>
    <row r="513">
      <c r="E513" t="inlineStr">
        <is>
          <t>1993 - COOPERATIVA DE AHORRO Y CREDITO DEL AZUAY</t>
        </is>
      </c>
    </row>
    <row r="514">
      <c r="E514" t="inlineStr">
        <is>
          <t>1994 - COOPERATIVA DE AHORRO Y CREDITO DEL EMIGRANTE ECUATORIANO Y SU FAMILIA LTDA.</t>
        </is>
      </c>
    </row>
    <row r="515">
      <c r="E515" t="inlineStr">
        <is>
          <t>1995 - COOPERATIVA DE AHORRO Y CREDITO SAN PEDRO DE TABOADA LTDA.</t>
        </is>
      </c>
    </row>
    <row r="516">
      <c r="E516" t="inlineStr">
        <is>
          <t>1996 - COOPERATIVA DE AHORRO Y CREDITO DESARROLLO POPULAR LTDA.</t>
        </is>
      </c>
    </row>
    <row r="517">
      <c r="E517" t="inlineStr">
        <is>
          <t>1997 - COOPERATIVA DE AHORRO Y CREDITO ECONOMIA DEL SUR ECOSUR</t>
        </is>
      </c>
    </row>
    <row r="518">
      <c r="E518" t="inlineStr">
        <is>
          <t>1998 - COOPERATIVA DE AHORRO Y CREDITO EDUCADORES DE EL ORO LTDA</t>
        </is>
      </c>
    </row>
    <row r="519">
      <c r="E519" t="inlineStr">
        <is>
          <t>1999 -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2026-05-21T13:23:17Z</dcterms:created>
  <dcterms:modified xsi:type="dcterms:W3CDTF">2026-05-21T13:23:17Z</dcterms:modified>
</cp:coreProperties>
</file>