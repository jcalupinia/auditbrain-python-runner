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19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4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164" fontId="0" fillId="0" borderId="0" pivotButton="0" quotePrefix="0" xfId="0"/>
    <xf numFmtId="0" fontId="0" fillId="7" borderId="1" pivotButton="0" quotePrefix="0" xfId="0"/>
    <xf numFmtId="0" fontId="0" fillId="0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49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49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16" fillId="7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18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Concentracion de activos 2025</a:t>
            </a:r>
          </a:p>
        </rich>
      </tx>
    </title>
    <plotArea>
      <barChart>
        <barDir val="col"/>
        <grouping val="clustered"/>
        <ser>
          <idx val="0"/>
          <order val="0"/>
          <spPr>
            <a:ln>
              <a:prstDash val="solid"/>
            </a:ln>
          </spPr>
          <cat>
            <strRef>
              <f>'Dashboard'!$AA$3:$AA$7</f>
            </strRef>
          </cat>
          <val>
            <numRef>
              <f>'Dashboard'!$AB$3:$AB$7</f>
            </numRef>
          </val>
        </ser>
        <dLbls>
          <numFmt formatCode="&quot;$&quot;#,##0"/>
          <showLegendKey val="0"/>
          <showVal val="1"/>
          <showCatName val="0"/>
          <showSerName val="0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Composicion: activos, pasivos y patrimonio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strRef>
              <f>'Dashboard'!$B$38:$B$40</f>
            </strRef>
          </cat>
          <val>
            <numRef>
              <f>'Dashboard'!$D$38:$D$40</f>
            </numRef>
          </val>
        </ser>
        <dLbls>
          <showLegendKey val="0"/>
          <showVal val="0"/>
          <showCatName val="1"/>
          <showSerName val="0"/>
          <showPercent val="1"/>
        </dLbls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2</row>
      <rowOff>0</rowOff>
    </from>
    <ext cx="7560000" cy="37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24</row>
      <rowOff>0</rowOff>
    </from>
    <ext cx="5760000" cy="37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B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  <col hidden="1" width="13" customWidth="1" min="27" max="27"/>
    <col hidden="1" width="13" customWidth="1" min="28" max="28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SOLANO GEDEON GUALBERTO   |   R - RUC: 0201296480001   |   SOC - Sociedad conyugal o union de hecho   |   Comparativo 2025 vs 2026</t>
        </is>
      </c>
    </row>
    <row r="3" ht="5" customHeight="1">
      <c r="A3" s="3" t="n"/>
      <c r="AA3" t="inlineStr">
        <is>
          <t>Dinero e inversiones</t>
        </is>
      </c>
      <c r="AB3" s="4">
        <f>D12</f>
        <v/>
      </c>
    </row>
    <row r="4">
      <c r="AA4" t="inlineStr">
        <is>
          <t>Cuentas por cobrar</t>
        </is>
      </c>
      <c r="AB4" s="4">
        <f>D14</f>
        <v/>
      </c>
    </row>
    <row r="5" ht="6" customHeight="1">
      <c r="B5" s="5" t="n"/>
      <c r="C5" s="6" t="n"/>
      <c r="D5" s="7" t="n"/>
      <c r="E5" s="6" t="n"/>
      <c r="F5" s="8" t="n"/>
      <c r="G5" s="6" t="n"/>
      <c r="AA5" t="inlineStr">
        <is>
          <t>Bienes muebles</t>
        </is>
      </c>
      <c r="AB5" s="4">
        <f>D15</f>
        <v/>
      </c>
    </row>
    <row r="6">
      <c r="B6" s="9" t="inlineStr">
        <is>
          <t>TOTAL ACTIVOS</t>
        </is>
      </c>
      <c r="C6" s="10" t="n"/>
      <c r="D6" s="11" t="inlineStr">
        <is>
          <t>TOTAL PASIVOS</t>
        </is>
      </c>
      <c r="E6" s="12" t="n"/>
      <c r="F6" s="13" t="inlineStr">
        <is>
          <t>PATRIMONIO NETO</t>
        </is>
      </c>
      <c r="G6" s="14" t="n"/>
      <c r="AA6" t="inlineStr">
        <is>
          <t>Vehiculos, naves y aeronaves</t>
        </is>
      </c>
      <c r="AB6" s="4">
        <f>D16</f>
        <v/>
      </c>
    </row>
    <row r="7" ht="28" customHeight="1">
      <c r="B7" s="15">
        <f>D20</f>
        <v/>
      </c>
      <c r="C7" s="10" t="n"/>
      <c r="D7" s="16">
        <f>D25</f>
        <v/>
      </c>
      <c r="E7" s="12" t="n"/>
      <c r="F7" s="17">
        <f>D31</f>
        <v/>
      </c>
      <c r="G7" s="14" t="n"/>
      <c r="AA7" t="inlineStr">
        <is>
          <t>Bienes inmuebles</t>
        </is>
      </c>
      <c r="AB7" s="4">
        <f>D18</f>
        <v/>
      </c>
    </row>
    <row r="8">
      <c r="B8" s="18" t="inlineStr">
        <is>
          <t>Var. proyectada</t>
        </is>
      </c>
      <c r="C8" s="19">
        <f>G20</f>
        <v/>
      </c>
      <c r="D8" s="20" t="inlineStr">
        <is>
          <t>Var. proyectada</t>
        </is>
      </c>
      <c r="E8" s="21">
        <f>G25</f>
        <v/>
      </c>
      <c r="F8" s="22" t="inlineStr">
        <is>
          <t>Var. proyectada</t>
        </is>
      </c>
      <c r="G8" s="23">
        <f>G31</f>
        <v/>
      </c>
    </row>
    <row r="10" ht="22" customHeight="1">
      <c r="B10" s="24" t="inlineStr">
        <is>
          <t>ACTIVOS</t>
        </is>
      </c>
    </row>
    <row r="11" ht="24" customHeight="1">
      <c r="B11" s="25" t="inlineStr">
        <is>
          <t>Concepto</t>
        </is>
      </c>
      <c r="C11" s="25" t="n"/>
      <c r="D11" s="26" t="inlineStr">
        <is>
          <t>Total 2025</t>
        </is>
      </c>
      <c r="E11" s="26" t="inlineStr">
        <is>
          <t>Total 2026</t>
        </is>
      </c>
      <c r="F11" s="26" t="inlineStr">
        <is>
          <t>Variacion</t>
        </is>
      </c>
      <c r="G11" s="26" t="inlineStr">
        <is>
          <t>Variacion %</t>
        </is>
      </c>
    </row>
    <row r="12" ht="20" customHeight="1">
      <c r="B12" s="27" t="inlineStr">
        <is>
          <t>Dinero e inversiones</t>
        </is>
      </c>
      <c r="D12" s="28">
        <f>'Dinero'!J11</f>
        <v/>
      </c>
      <c r="E12" s="28">
        <f>'Dinero'!K11</f>
        <v/>
      </c>
      <c r="F12" s="28">
        <f>E12-D12</f>
        <v/>
      </c>
      <c r="G12" s="29">
        <f>IF(D12=0,"",(E12-D12)/D12)</f>
        <v/>
      </c>
    </row>
    <row r="13" ht="20" customHeight="1">
      <c r="B13" s="27" t="inlineStr">
        <is>
          <t>Derechos representativos de capital</t>
        </is>
      </c>
      <c r="D13" s="28">
        <f>'Derechos de Capital'!J14</f>
        <v/>
      </c>
      <c r="E13" s="28">
        <f>'Derechos de Capital'!K14</f>
        <v/>
      </c>
      <c r="F13" s="28">
        <f>E13-D13</f>
        <v/>
      </c>
      <c r="G13" s="29">
        <f>IF(D13=0,"",(E13-D13)/D13)</f>
        <v/>
      </c>
    </row>
    <row r="14" ht="20" customHeight="1">
      <c r="B14" s="27" t="inlineStr">
        <is>
          <t>Cuentas por cobrar</t>
        </is>
      </c>
      <c r="D14" s="28">
        <f>'Cuentas por Cobrar'!J58</f>
        <v/>
      </c>
      <c r="E14" s="28">
        <f>'Cuentas por Cobrar'!K58</f>
        <v/>
      </c>
      <c r="F14" s="28">
        <f>E14-D14</f>
        <v/>
      </c>
      <c r="G14" s="29">
        <f>IF(D14=0,"",(E14-D14)/D14)</f>
        <v/>
      </c>
    </row>
    <row r="15" ht="20" customHeight="1">
      <c r="B15" s="27" t="inlineStr">
        <is>
          <t>Bienes muebles</t>
        </is>
      </c>
      <c r="D15" s="28">
        <f>'Bienes Muebles'!F7</f>
        <v/>
      </c>
      <c r="E15" s="28">
        <f>'Bienes Muebles'!G7</f>
        <v/>
      </c>
      <c r="F15" s="28">
        <f>E15-D15</f>
        <v/>
      </c>
      <c r="G15" s="29">
        <f>IF(D15=0,"",(E15-D15)/D15)</f>
        <v/>
      </c>
    </row>
    <row r="16" ht="20" customHeight="1">
      <c r="B16" s="27" t="inlineStr">
        <is>
          <t>Vehiculos, naves y aeronaves</t>
        </is>
      </c>
      <c r="D16" s="28">
        <f>'Vehiculos'!G15</f>
        <v/>
      </c>
      <c r="E16" s="28">
        <f>'Vehiculos'!H15</f>
        <v/>
      </c>
      <c r="F16" s="28">
        <f>E16-D16</f>
        <v/>
      </c>
      <c r="G16" s="29">
        <f>IF(D16=0,"",(E16-D16)/D16)</f>
        <v/>
      </c>
    </row>
    <row r="17" ht="20" customHeight="1">
      <c r="B17" s="27" t="inlineStr">
        <is>
          <t>Derechos (usufructo, uso, etc.)</t>
        </is>
      </c>
      <c r="D17" s="28">
        <f>'Derechos'!F14</f>
        <v/>
      </c>
      <c r="E17" s="28">
        <f>'Derechos'!G14</f>
        <v/>
      </c>
      <c r="F17" s="28">
        <f>E17-D17</f>
        <v/>
      </c>
      <c r="G17" s="29">
        <f>IF(D17=0,"",(E17-D17)/D17)</f>
        <v/>
      </c>
    </row>
    <row r="18" ht="20" customHeight="1">
      <c r="B18" s="27" t="inlineStr">
        <is>
          <t>Bienes inmuebles</t>
        </is>
      </c>
      <c r="D18" s="28">
        <f>'Bienes Inmuebles'!J8</f>
        <v/>
      </c>
      <c r="E18" s="28">
        <f>'Bienes Inmuebles'!K8</f>
        <v/>
      </c>
      <c r="F18" s="28">
        <f>E18-D18</f>
        <v/>
      </c>
      <c r="G18" s="29">
        <f>IF(D18=0,"",(E18-D18)/D18)</f>
        <v/>
      </c>
    </row>
    <row r="19" ht="20" customHeight="1">
      <c r="B19" s="27" t="inlineStr">
        <is>
          <t>Otros activos</t>
        </is>
      </c>
      <c r="D19" s="28">
        <f>'Otros Activos'!F14</f>
        <v/>
      </c>
      <c r="E19" s="28">
        <f>'Otros Activos'!G14</f>
        <v/>
      </c>
      <c r="F19" s="28">
        <f>E19-D19</f>
        <v/>
      </c>
      <c r="G19" s="29">
        <f>IF(D19=0,"",(E19-D19)/D19)</f>
        <v/>
      </c>
    </row>
    <row r="20" ht="22" customHeight="1">
      <c r="B20" s="30" t="inlineStr">
        <is>
          <t>TOTAL ACTIVOS</t>
        </is>
      </c>
      <c r="D20" s="31">
        <f>SUM(D12:D19)</f>
        <v/>
      </c>
      <c r="E20" s="31">
        <f>SUM(E12:E19)</f>
        <v/>
      </c>
      <c r="F20" s="31">
        <f>E20-D20</f>
        <v/>
      </c>
      <c r="G20" s="32">
        <f>IF(D20=0,"",(E20-D20)/D20)</f>
        <v/>
      </c>
    </row>
    <row r="22" ht="22" customHeight="1">
      <c r="B22" s="33" t="inlineStr">
        <is>
          <t>PASIVOS</t>
        </is>
      </c>
    </row>
    <row r="23" ht="24" customHeight="1">
      <c r="B23" s="25" t="inlineStr">
        <is>
          <t>Concepto</t>
        </is>
      </c>
      <c r="C23" s="25" t="n"/>
      <c r="D23" s="26" t="inlineStr">
        <is>
          <t>Total 2025</t>
        </is>
      </c>
      <c r="E23" s="26" t="inlineStr">
        <is>
          <t>Total 2026</t>
        </is>
      </c>
      <c r="F23" s="26" t="inlineStr">
        <is>
          <t>Variacion</t>
        </is>
      </c>
      <c r="G23" s="26" t="inlineStr">
        <is>
          <t>Variacion %</t>
        </is>
      </c>
    </row>
    <row r="24" ht="20" customHeight="1">
      <c r="B24" s="34" t="inlineStr">
        <is>
          <t>Deudas y obligaciones</t>
        </is>
      </c>
      <c r="D24" s="35">
        <f>'Pasivos'!I11</f>
        <v/>
      </c>
      <c r="E24" s="35">
        <f>'Pasivos'!J11</f>
        <v/>
      </c>
      <c r="F24" s="35">
        <f>E24-D24</f>
        <v/>
      </c>
      <c r="G24" s="36">
        <f>IF(D24=0,"",(E24-D24)/D24)</f>
        <v/>
      </c>
    </row>
    <row r="25" ht="22" customHeight="1">
      <c r="B25" s="37" t="inlineStr">
        <is>
          <t>TOTAL PASIVOS</t>
        </is>
      </c>
      <c r="D25" s="38">
        <f>SUM(D24:D24)</f>
        <v/>
      </c>
      <c r="E25" s="38">
        <f>SUM(E24:E24)</f>
        <v/>
      </c>
      <c r="F25" s="38">
        <f>E25-D25</f>
        <v/>
      </c>
      <c r="G25" s="39">
        <f>IF(D25=0,"",(E25-D25)/D25)</f>
        <v/>
      </c>
    </row>
    <row r="27" ht="22" customHeight="1">
      <c r="B27" s="40" t="inlineStr">
        <is>
          <t>PATRIMONIO NETO</t>
        </is>
      </c>
    </row>
    <row r="28" ht="24" customHeight="1">
      <c r="B28" s="25" t="inlineStr">
        <is>
          <t>Concepto</t>
        </is>
      </c>
      <c r="C28" s="25" t="n"/>
      <c r="D28" s="26" t="inlineStr">
        <is>
          <t>Total 2025</t>
        </is>
      </c>
      <c r="E28" s="26" t="inlineStr">
        <is>
          <t>Total 2026</t>
        </is>
      </c>
      <c r="F28" s="26" t="inlineStr">
        <is>
          <t>Variacion</t>
        </is>
      </c>
      <c r="G28" s="26" t="inlineStr">
        <is>
          <t>Variacion %</t>
        </is>
      </c>
    </row>
    <row r="29" ht="20" customHeight="1">
      <c r="B29" s="41" t="inlineStr">
        <is>
          <t>(+) Total activos</t>
        </is>
      </c>
      <c r="D29" s="42">
        <f>D20</f>
        <v/>
      </c>
      <c r="E29" s="42">
        <f>E20</f>
        <v/>
      </c>
      <c r="F29" s="42">
        <f>E29-D29</f>
        <v/>
      </c>
      <c r="G29" s="43">
        <f>IF(D29=0,"",(E29-D29)/D29)</f>
        <v/>
      </c>
    </row>
    <row r="30" ht="20" customHeight="1">
      <c r="B30" s="41" t="inlineStr">
        <is>
          <t>(-) Total pasivos</t>
        </is>
      </c>
      <c r="D30" s="42">
        <f>D25</f>
        <v/>
      </c>
      <c r="E30" s="42">
        <f>E25</f>
        <v/>
      </c>
      <c r="F30" s="42">
        <f>E30-D30</f>
        <v/>
      </c>
      <c r="G30" s="43">
        <f>IF(D30=0,"",(E30-D30)/D30)</f>
        <v/>
      </c>
    </row>
    <row r="31" ht="22" customHeight="1">
      <c r="B31" s="44" t="inlineStr">
        <is>
          <t>(=) PATRIMONIO NETO</t>
        </is>
      </c>
      <c r="D31" s="45">
        <f>D29-D30</f>
        <v/>
      </c>
      <c r="E31" s="45">
        <f>E29-E30</f>
        <v/>
      </c>
      <c r="F31" s="45">
        <f>E31-D31</f>
        <v/>
      </c>
      <c r="G31" s="46">
        <f>IF(D31=0,"",(E31-D31)/D31)</f>
        <v/>
      </c>
    </row>
    <row r="32" ht="16" customHeight="1">
      <c r="B32" s="47" t="inlineStr">
        <is>
          <t>Patrimonio declarado en el XML (2025)</t>
        </is>
      </c>
      <c r="C32" s="6" t="n"/>
      <c r="D32" s="48" t="n">
        <v>1354534.61</v>
      </c>
      <c r="E32" s="6" t="n"/>
      <c r="F32" s="6" t="n"/>
      <c r="G32" s="6" t="n"/>
    </row>
    <row r="33" ht="16" customHeight="1">
      <c r="B33" s="47" t="inlineStr">
        <is>
          <t>Patrimonio neto del anio anterior</t>
        </is>
      </c>
      <c r="C33" s="6" t="n"/>
      <c r="D33" s="48" t="n">
        <v>1249197.27</v>
      </c>
      <c r="E33" s="6" t="n"/>
      <c r="F33" s="6" t="n"/>
      <c r="G33" s="6" t="n"/>
    </row>
    <row r="34" ht="16" customHeight="1">
      <c r="B34" s="47" t="inlineStr">
        <is>
          <t>Crecimiento / decremento patrimonial (XML)</t>
        </is>
      </c>
      <c r="C34" s="6" t="n"/>
      <c r="D34" s="48" t="n">
        <v>105337.34</v>
      </c>
      <c r="E34" s="6" t="n"/>
      <c r="F34" s="6" t="n"/>
      <c r="G34" s="6" t="n"/>
    </row>
    <row r="36" ht="22" customHeight="1">
      <c r="B36" s="49" t="inlineStr">
        <is>
          <t>CONSOLIDADO</t>
        </is>
      </c>
    </row>
    <row r="37" ht="24" customHeight="1">
      <c r="B37" s="25" t="inlineStr">
        <is>
          <t>Concepto</t>
        </is>
      </c>
      <c r="C37" s="25" t="n"/>
      <c r="D37" s="26" t="inlineStr">
        <is>
          <t>Total 2025</t>
        </is>
      </c>
      <c r="E37" s="26" t="inlineStr">
        <is>
          <t>Total 2026</t>
        </is>
      </c>
      <c r="F37" s="26" t="inlineStr">
        <is>
          <t>Variacion</t>
        </is>
      </c>
      <c r="G37" s="26" t="inlineStr">
        <is>
          <t>Variacion %</t>
        </is>
      </c>
    </row>
    <row r="38" ht="20" customHeight="1">
      <c r="B38" s="50" t="inlineStr">
        <is>
          <t>Activos</t>
        </is>
      </c>
      <c r="D38" s="51">
        <f>D20</f>
        <v/>
      </c>
      <c r="E38" s="51">
        <f>E20</f>
        <v/>
      </c>
      <c r="F38" s="51">
        <f>E38-D38</f>
        <v/>
      </c>
      <c r="G38" s="52">
        <f>IF(D38=0,"",(E38-D38)/D38)</f>
        <v/>
      </c>
    </row>
    <row r="39" ht="20" customHeight="1">
      <c r="B39" s="53" t="inlineStr">
        <is>
          <t>Pasivos</t>
        </is>
      </c>
      <c r="D39" s="54">
        <f>D25</f>
        <v/>
      </c>
      <c r="E39" s="54">
        <f>E25</f>
        <v/>
      </c>
      <c r="F39" s="54">
        <f>E39-D39</f>
        <v/>
      </c>
      <c r="G39" s="55">
        <f>IF(D39=0,"",(E39-D39)/D39)</f>
        <v/>
      </c>
    </row>
    <row r="40" ht="20" customHeight="1">
      <c r="B40" s="56" t="inlineStr">
        <is>
          <t>Patrimonio neto</t>
        </is>
      </c>
      <c r="D40" s="57">
        <f>D31</f>
        <v/>
      </c>
      <c r="E40" s="57">
        <f>E31</f>
        <v/>
      </c>
      <c r="F40" s="57">
        <f>E40-D40</f>
        <v/>
      </c>
      <c r="G40" s="58">
        <f>IF(D40=0,"",(E40-D40)/D40)</f>
        <v/>
      </c>
    </row>
    <row r="42">
      <c r="B42" s="59" t="inlineStr">
        <is>
          <t>Edite las columnas amarillas en las hojas de cada modulo; las tarjetas, secciones y graficos se recalculan solos.</t>
        </is>
      </c>
    </row>
  </sheetData>
  <mergeCells count="40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B15:C15"/>
    <mergeCell ref="B33:C33"/>
    <mergeCell ref="B22:G22"/>
    <mergeCell ref="B5:C5"/>
    <mergeCell ref="B20:C20"/>
    <mergeCell ref="B27:G27"/>
    <mergeCell ref="D5:E5"/>
    <mergeCell ref="B32:C3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1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Dinero en</t>
        </is>
      </c>
      <c r="B5" s="26" t="inlineStr">
        <is>
          <t>Tipo de inversion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Institucion financiera</t>
        </is>
      </c>
      <c r="F5" s="26" t="inlineStr">
        <is>
          <t>Tipo de moneda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4 - Cuenta corriente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>
        <is>
          <t>1029 - BANCO PICHINCHA C.A.</t>
        </is>
      </c>
      <c r="F6" s="61" t="inlineStr">
        <is>
          <t>DOLARES</t>
        </is>
      </c>
      <c r="G6" s="60" t="inlineStr">
        <is>
          <t>2 - No</t>
        </is>
      </c>
      <c r="H6" s="60" t="inlineStr"/>
      <c r="I6" s="61" t="inlineStr"/>
      <c r="J6" s="62" t="n">
        <v>16096.93</v>
      </c>
      <c r="K6" s="63" t="n">
        <v>16096.93</v>
      </c>
      <c r="L6" s="62">
        <f>K6-J6</f>
        <v/>
      </c>
      <c r="M6" s="64">
        <f>IF(J6=0,"",(K6-J6)/J6)</f>
        <v/>
      </c>
    </row>
    <row r="7">
      <c r="A7" s="65" t="inlineStr">
        <is>
          <t>IFI - Instituciones financieras</t>
        </is>
      </c>
      <c r="B7" s="65" t="inlineStr">
        <is>
          <t>4 - Cuenta corriente</t>
        </is>
      </c>
      <c r="C7" s="65" t="inlineStr">
        <is>
          <t>ECU - En el Ecuador</t>
        </is>
      </c>
      <c r="D7" s="65" t="inlineStr">
        <is>
          <t>593 - ECUADOR</t>
        </is>
      </c>
      <c r="E7" s="65" t="inlineStr">
        <is>
          <t>1028 - BANCO DEL PACIFICO S.A.</t>
        </is>
      </c>
      <c r="F7" s="66" t="inlineStr">
        <is>
          <t>DOLARES</t>
        </is>
      </c>
      <c r="G7" s="65" t="inlineStr">
        <is>
          <t>2 - No</t>
        </is>
      </c>
      <c r="H7" s="65" t="inlineStr"/>
      <c r="I7" s="66" t="inlineStr"/>
      <c r="J7" s="67" t="n">
        <v>187.78</v>
      </c>
      <c r="K7" s="63" t="n">
        <v>187.78</v>
      </c>
      <c r="L7" s="67">
        <f>K7-J7</f>
        <v/>
      </c>
      <c r="M7" s="68">
        <f>IF(J7=0,"",(K7-J7)/J7)</f>
        <v/>
      </c>
    </row>
    <row r="8">
      <c r="A8" s="60" t="inlineStr">
        <is>
          <t>IFI - Instituciones financieras</t>
        </is>
      </c>
      <c r="B8" s="60" t="inlineStr">
        <is>
          <t>3 - Cuenta de ahorros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>
        <is>
          <t>1029 - BANCO PICHINCHA C.A.</t>
        </is>
      </c>
      <c r="F8" s="61" t="inlineStr">
        <is>
          <t>DOLARES</t>
        </is>
      </c>
      <c r="G8" s="60" t="inlineStr">
        <is>
          <t>2 - No</t>
        </is>
      </c>
      <c r="H8" s="60" t="inlineStr"/>
      <c r="I8" s="61" t="inlineStr"/>
      <c r="J8" s="62" t="n">
        <v>1062.33</v>
      </c>
      <c r="K8" s="63" t="n">
        <v>1062.33</v>
      </c>
      <c r="L8" s="62">
        <f>K8-J8</f>
        <v/>
      </c>
      <c r="M8" s="64">
        <f>IF(J8=0,"",(K8-J8)/J8)</f>
        <v/>
      </c>
    </row>
    <row r="9">
      <c r="A9" s="65" t="inlineStr">
        <is>
          <t>IFI - Instituciones financieras</t>
        </is>
      </c>
      <c r="B9" s="65" t="inlineStr">
        <is>
          <t>3 - Cuenta de ahorros</t>
        </is>
      </c>
      <c r="C9" s="65" t="inlineStr">
        <is>
          <t>ECU - En el Ecuador</t>
        </is>
      </c>
      <c r="D9" s="65" t="inlineStr">
        <is>
          <t>593 - ECUADOR</t>
        </is>
      </c>
      <c r="E9" s="65" t="inlineStr">
        <is>
          <t>1028 - BANCO DEL PACIFICO S.A.</t>
        </is>
      </c>
      <c r="F9" s="66" t="inlineStr">
        <is>
          <t>DOLARES</t>
        </is>
      </c>
      <c r="G9" s="65" t="inlineStr">
        <is>
          <t>2 - No</t>
        </is>
      </c>
      <c r="H9" s="65" t="inlineStr"/>
      <c r="I9" s="66" t="inlineStr"/>
      <c r="J9" s="67" t="n">
        <v>129291.29</v>
      </c>
      <c r="K9" s="63" t="n">
        <v>129291.29</v>
      </c>
      <c r="L9" s="67">
        <f>K9-J9</f>
        <v/>
      </c>
      <c r="M9" s="68">
        <f>IF(J9=0,"",(K9-J9)/J9)</f>
        <v/>
      </c>
    </row>
    <row r="10">
      <c r="A10" s="60" t="inlineStr">
        <is>
          <t>EFE - Efectivo</t>
        </is>
      </c>
      <c r="B10" s="60" t="inlineStr">
        <is>
          <t>1 - Efectivo</t>
        </is>
      </c>
      <c r="C10" s="60" t="inlineStr">
        <is>
          <t>ECU - En el Ecuador</t>
        </is>
      </c>
      <c r="D10" s="60" t="inlineStr">
        <is>
          <t>593 - ECUADOR</t>
        </is>
      </c>
      <c r="E10" s="60" t="inlineStr"/>
      <c r="F10" s="61" t="inlineStr">
        <is>
          <t>DOLARES</t>
        </is>
      </c>
      <c r="G10" s="60" t="inlineStr">
        <is>
          <t>2 - No</t>
        </is>
      </c>
      <c r="H10" s="60" t="inlineStr"/>
      <c r="I10" s="61" t="inlineStr"/>
      <c r="J10" s="62" t="n">
        <v>6301.44</v>
      </c>
      <c r="K10" s="63" t="n">
        <v>6301.44</v>
      </c>
      <c r="L10" s="62">
        <f>K10-J10</f>
        <v/>
      </c>
      <c r="M10" s="64">
        <f>IF(J10=0,"",(K10-J10)/J10)</f>
        <v/>
      </c>
    </row>
    <row r="11" ht="22" customHeight="1">
      <c r="A11" s="69" t="inlineStr">
        <is>
          <t>TOTAL</t>
        </is>
      </c>
      <c r="B11" s="69" t="n"/>
      <c r="C11" s="69" t="n"/>
      <c r="D11" s="69" t="n"/>
      <c r="E11" s="69" t="n"/>
      <c r="F11" s="69" t="n"/>
      <c r="G11" s="69" t="n"/>
      <c r="H11" s="69" t="n"/>
      <c r="I11" s="69" t="n"/>
      <c r="J11" s="31">
        <f>SUM(J6:J10)</f>
        <v/>
      </c>
      <c r="K11" s="31">
        <f>SUM(K6:K10)</f>
        <v/>
      </c>
      <c r="L11" s="31">
        <f>K11-J11</f>
        <v/>
      </c>
      <c r="M11" s="32">
        <f>IF(J11=0,"",(K11-J11)/J11)</f>
        <v/>
      </c>
    </row>
  </sheetData>
  <mergeCells count="3">
    <mergeCell ref="A3:M3"/>
    <mergeCell ref="A2:M2"/>
    <mergeCell ref="A1:M1"/>
  </mergeCells>
  <dataValidations count="7">
    <dataValidation sqref="A6:A10" showDropDown="0" showInputMessage="0" showErrorMessage="0" allowBlank="1" type="list">
      <formula1>Catalogos!$A$2:$A$4</formula1>
    </dataValidation>
    <dataValidation sqref="B6:B10" showDropDown="0" showInputMessage="0" showErrorMessage="0" allowBlank="1" type="list">
      <formula1>Catalogos!$B$2:$B$8</formula1>
    </dataValidation>
    <dataValidation sqref="C6:C10" showDropDown="0" showInputMessage="0" showErrorMessage="0" allowBlank="1" type="list">
      <formula1>Catalogos!$C$2:$C$3</formula1>
    </dataValidation>
    <dataValidation sqref="D6:D10" showDropDown="0" showInputMessage="0" showErrorMessage="0" allowBlank="1" type="list">
      <formula1>Catalogos!$D$2:$D$258</formula1>
    </dataValidation>
    <dataValidation sqref="E6:E10" showDropDown="0" showInputMessage="0" showErrorMessage="0" allowBlank="1" type="list">
      <formula1>Catalogos!$E$2:$E$519</formula1>
    </dataValidation>
    <dataValidation sqref="G6:G10" showDropDown="0" showInputMessage="0" showErrorMessage="0" allowBlank="1" type="list">
      <formula1>Catalogos!$F$2:$F$3</formula1>
    </dataValidation>
    <dataValidation sqref="H6:H10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inversion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Empresa / Administradora / Fideicomiso</t>
        </is>
      </c>
      <c r="E5" s="26" t="inlineStr">
        <is>
          <t>% de participacion</t>
        </is>
      </c>
      <c r="F5" s="26" t="inlineStr">
        <is>
          <t>N. de acciones / participaciones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/>
      <c r="B6" s="60" t="inlineStr"/>
      <c r="C6" s="60" t="inlineStr"/>
      <c r="D6" s="61" t="inlineStr"/>
      <c r="E6" s="61" t="inlineStr"/>
      <c r="F6" s="61" t="inlineStr"/>
      <c r="G6" s="60" t="inlineStr"/>
      <c r="H6" s="60" t="inlineStr"/>
      <c r="I6" s="61" t="inlineStr"/>
      <c r="J6" s="63" t="n">
        <v>0</v>
      </c>
      <c r="K6" s="63" t="n">
        <v>0</v>
      </c>
      <c r="L6" s="62">
        <f>K6-J6</f>
        <v/>
      </c>
      <c r="M6" s="64">
        <f>IF(J6=0,"",(K6-J6)/J6)</f>
        <v/>
      </c>
    </row>
    <row r="7">
      <c r="A7" s="65" t="inlineStr"/>
      <c r="B7" s="65" t="inlineStr"/>
      <c r="C7" s="65" t="inlineStr"/>
      <c r="D7" s="66" t="inlineStr"/>
      <c r="E7" s="66" t="inlineStr"/>
      <c r="F7" s="66" t="inlineStr"/>
      <c r="G7" s="65" t="inlineStr"/>
      <c r="H7" s="65" t="inlineStr"/>
      <c r="I7" s="66" t="inlineStr"/>
      <c r="J7" s="63" t="n">
        <v>0</v>
      </c>
      <c r="K7" s="63" t="n">
        <v>0</v>
      </c>
      <c r="L7" s="67">
        <f>K7-J7</f>
        <v/>
      </c>
      <c r="M7" s="68">
        <f>IF(J7=0,"",(K7-J7)/J7)</f>
        <v/>
      </c>
    </row>
    <row r="8">
      <c r="A8" s="60" t="inlineStr"/>
      <c r="B8" s="60" t="inlineStr"/>
      <c r="C8" s="60" t="inlineStr"/>
      <c r="D8" s="61" t="inlineStr"/>
      <c r="E8" s="61" t="inlineStr"/>
      <c r="F8" s="61" t="inlineStr"/>
      <c r="G8" s="60" t="inlineStr"/>
      <c r="H8" s="60" t="inlineStr"/>
      <c r="I8" s="61" t="inlineStr"/>
      <c r="J8" s="63" t="n">
        <v>0</v>
      </c>
      <c r="K8" s="63" t="n">
        <v>0</v>
      </c>
      <c r="L8" s="62">
        <f>K8-J8</f>
        <v/>
      </c>
      <c r="M8" s="64">
        <f>IF(J8=0,"",(K8-J8)/J8)</f>
        <v/>
      </c>
    </row>
    <row r="9">
      <c r="A9" s="65" t="inlineStr"/>
      <c r="B9" s="65" t="inlineStr"/>
      <c r="C9" s="65" t="inlineStr"/>
      <c r="D9" s="66" t="inlineStr"/>
      <c r="E9" s="66" t="inlineStr"/>
      <c r="F9" s="66" t="inlineStr"/>
      <c r="G9" s="65" t="inlineStr"/>
      <c r="H9" s="65" t="inlineStr"/>
      <c r="I9" s="66" t="inlineStr"/>
      <c r="J9" s="63" t="n">
        <v>0</v>
      </c>
      <c r="K9" s="63" t="n">
        <v>0</v>
      </c>
      <c r="L9" s="67">
        <f>K9-J9</f>
        <v/>
      </c>
      <c r="M9" s="68">
        <f>IF(J9=0,"",(K9-J9)/J9)</f>
        <v/>
      </c>
    </row>
    <row r="10">
      <c r="A10" s="60" t="inlineStr"/>
      <c r="B10" s="60" t="inlineStr"/>
      <c r="C10" s="60" t="inlineStr"/>
      <c r="D10" s="61" t="inlineStr"/>
      <c r="E10" s="61" t="inlineStr"/>
      <c r="F10" s="61" t="inlineStr"/>
      <c r="G10" s="60" t="inlineStr"/>
      <c r="H10" s="60" t="inlineStr"/>
      <c r="I10" s="61" t="inlineStr"/>
      <c r="J10" s="63" t="n">
        <v>0</v>
      </c>
      <c r="K10" s="63" t="n">
        <v>0</v>
      </c>
      <c r="L10" s="62">
        <f>K10-J10</f>
        <v/>
      </c>
      <c r="M10" s="64">
        <f>IF(J10=0,"",(K10-J10)/J10)</f>
        <v/>
      </c>
    </row>
    <row r="11">
      <c r="A11" s="65" t="inlineStr"/>
      <c r="B11" s="65" t="inlineStr"/>
      <c r="C11" s="65" t="inlineStr"/>
      <c r="D11" s="66" t="inlineStr"/>
      <c r="E11" s="66" t="inlineStr"/>
      <c r="F11" s="66" t="inlineStr"/>
      <c r="G11" s="65" t="inlineStr"/>
      <c r="H11" s="65" t="inlineStr"/>
      <c r="I11" s="66" t="inlineStr"/>
      <c r="J11" s="63" t="n">
        <v>0</v>
      </c>
      <c r="K11" s="63" t="n">
        <v>0</v>
      </c>
      <c r="L11" s="67">
        <f>K11-J11</f>
        <v/>
      </c>
      <c r="M11" s="68">
        <f>IF(J11=0,"",(K11-J11)/J11)</f>
        <v/>
      </c>
    </row>
    <row r="12">
      <c r="A12" s="60" t="inlineStr"/>
      <c r="B12" s="60" t="inlineStr"/>
      <c r="C12" s="60" t="inlineStr"/>
      <c r="D12" s="61" t="inlineStr"/>
      <c r="E12" s="61" t="inlineStr"/>
      <c r="F12" s="61" t="inlineStr"/>
      <c r="G12" s="60" t="inlineStr"/>
      <c r="H12" s="60" t="inlineStr"/>
      <c r="I12" s="61" t="inlineStr"/>
      <c r="J12" s="63" t="n">
        <v>0</v>
      </c>
      <c r="K12" s="63" t="n">
        <v>0</v>
      </c>
      <c r="L12" s="62">
        <f>K12-J12</f>
        <v/>
      </c>
      <c r="M12" s="64">
        <f>IF(J12=0,"",(K12-J12)/J12)</f>
        <v/>
      </c>
    </row>
    <row r="13">
      <c r="A13" s="65" t="inlineStr"/>
      <c r="B13" s="65" t="inlineStr"/>
      <c r="C13" s="65" t="inlineStr"/>
      <c r="D13" s="66" t="inlineStr"/>
      <c r="E13" s="66" t="inlineStr"/>
      <c r="F13" s="66" t="inlineStr"/>
      <c r="G13" s="65" t="inlineStr"/>
      <c r="H13" s="65" t="inlineStr"/>
      <c r="I13" s="66" t="inlineStr"/>
      <c r="J13" s="63" t="n">
        <v>0</v>
      </c>
      <c r="K13" s="63" t="n">
        <v>0</v>
      </c>
      <c r="L13" s="67">
        <f>K13-J13</f>
        <v/>
      </c>
      <c r="M13" s="68">
        <f>IF(J13=0,"",(K13-J13)/J13)</f>
        <v/>
      </c>
    </row>
    <row r="14" ht="22" customHeight="1">
      <c r="A14" s="69" t="inlineStr">
        <is>
          <t>TOTAL</t>
        </is>
      </c>
      <c r="B14" s="69" t="n"/>
      <c r="C14" s="69" t="n"/>
      <c r="D14" s="69" t="n"/>
      <c r="E14" s="69" t="n"/>
      <c r="F14" s="69" t="n"/>
      <c r="G14" s="69" t="n"/>
      <c r="H14" s="69" t="n"/>
      <c r="I14" s="69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5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Nombre del deudor</t>
        </is>
      </c>
      <c r="B5" s="26" t="inlineStr">
        <is>
          <t>Tipo de deudor</t>
        </is>
      </c>
      <c r="C5" s="26" t="inlineStr">
        <is>
          <t>Tipo de identificacion</t>
        </is>
      </c>
      <c r="D5" s="26" t="inlineStr">
        <is>
          <t>N. de identificacion</t>
        </is>
      </c>
      <c r="E5" s="26" t="inlineStr">
        <is>
          <t>Ubicacion</t>
        </is>
      </c>
      <c r="F5" s="26" t="inlineStr">
        <is>
          <t>Pais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1" t="inlineStr">
        <is>
          <t>ACEROS Y MATERIALES PARA LA CONSTRUCCION ACIMCOECUADOR</t>
        </is>
      </c>
      <c r="B6" s="60" t="inlineStr">
        <is>
          <t>2 - Persona juridica</t>
        </is>
      </c>
      <c r="C6" s="60" t="inlineStr">
        <is>
          <t>R - RUC</t>
        </is>
      </c>
      <c r="D6" s="61" t="inlineStr">
        <is>
          <t>1791989937001</t>
        </is>
      </c>
      <c r="E6" s="60" t="inlineStr">
        <is>
          <t>ECU - En el Ecuador</t>
        </is>
      </c>
      <c r="F6" s="60" t="inlineStr">
        <is>
          <t>593 - ECUADOR</t>
        </is>
      </c>
      <c r="G6" s="60" t="inlineStr">
        <is>
          <t>2 - No</t>
        </is>
      </c>
      <c r="H6" s="60" t="inlineStr"/>
      <c r="I6" s="61" t="inlineStr"/>
      <c r="J6" s="62" t="n">
        <v>11111.26</v>
      </c>
      <c r="K6" s="63" t="n">
        <v>11111.26</v>
      </c>
      <c r="L6" s="62">
        <f>K6-J6</f>
        <v/>
      </c>
      <c r="M6" s="64">
        <f>IF(J6=0,"",(K6-J6)/J6)</f>
        <v/>
      </c>
    </row>
    <row r="7">
      <c r="A7" s="66" t="inlineStr">
        <is>
          <t>ACR PROYECTOS SA</t>
        </is>
      </c>
      <c r="B7" s="65" t="inlineStr">
        <is>
          <t>2 - Persona juridica</t>
        </is>
      </c>
      <c r="C7" s="65" t="inlineStr">
        <is>
          <t>R - RUC</t>
        </is>
      </c>
      <c r="D7" s="66" t="inlineStr">
        <is>
          <t>1792192331001</t>
        </is>
      </c>
      <c r="E7" s="65" t="inlineStr">
        <is>
          <t>ECU - En el Ecuador</t>
        </is>
      </c>
      <c r="F7" s="65" t="inlineStr">
        <is>
          <t>593 - ECUADOR</t>
        </is>
      </c>
      <c r="G7" s="65" t="inlineStr">
        <is>
          <t>2 - No</t>
        </is>
      </c>
      <c r="H7" s="65" t="inlineStr"/>
      <c r="I7" s="66" t="inlineStr"/>
      <c r="J7" s="67" t="n">
        <v>2702.01</v>
      </c>
      <c r="K7" s="63" t="n">
        <v>2702.01</v>
      </c>
      <c r="L7" s="67">
        <f>K7-J7</f>
        <v/>
      </c>
      <c r="M7" s="68">
        <f>IF(J7=0,"",(K7-J7)/J7)</f>
        <v/>
      </c>
    </row>
    <row r="8">
      <c r="A8" s="61" t="inlineStr">
        <is>
          <t>ALMEIDA MORILLO ESTALIN FABIAN</t>
        </is>
      </c>
      <c r="B8" s="60" t="inlineStr">
        <is>
          <t>1 - Persona natural</t>
        </is>
      </c>
      <c r="C8" s="60" t="inlineStr">
        <is>
          <t>R - RUC</t>
        </is>
      </c>
      <c r="D8" s="61" t="inlineStr">
        <is>
          <t>1001503364001</t>
        </is>
      </c>
      <c r="E8" s="60" t="inlineStr">
        <is>
          <t>ECU - En el Ecuador</t>
        </is>
      </c>
      <c r="F8" s="60" t="inlineStr">
        <is>
          <t>593 - ECUADOR</t>
        </is>
      </c>
      <c r="G8" s="60" t="inlineStr">
        <is>
          <t>2 - No</t>
        </is>
      </c>
      <c r="H8" s="60" t="inlineStr"/>
      <c r="I8" s="61" t="inlineStr"/>
      <c r="J8" s="62" t="n">
        <v>1247.75</v>
      </c>
      <c r="K8" s="63" t="n">
        <v>1247.75</v>
      </c>
      <c r="L8" s="62">
        <f>K8-J8</f>
        <v/>
      </c>
      <c r="M8" s="64">
        <f>IF(J8=0,"",(K8-J8)/J8)</f>
        <v/>
      </c>
    </row>
    <row r="9">
      <c r="A9" s="66" t="inlineStr">
        <is>
          <t>ARTGLASS SA</t>
        </is>
      </c>
      <c r="B9" s="65" t="inlineStr">
        <is>
          <t>2 - Persona juridica</t>
        </is>
      </c>
      <c r="C9" s="65" t="inlineStr">
        <is>
          <t>R - RUC</t>
        </is>
      </c>
      <c r="D9" s="66" t="inlineStr">
        <is>
          <t>2390004276001</t>
        </is>
      </c>
      <c r="E9" s="65" t="inlineStr">
        <is>
          <t>ECU - En el Ecuador</t>
        </is>
      </c>
      <c r="F9" s="65" t="inlineStr">
        <is>
          <t>593 - ECUADOR</t>
        </is>
      </c>
      <c r="G9" s="65" t="inlineStr">
        <is>
          <t>2 - No</t>
        </is>
      </c>
      <c r="H9" s="65" t="inlineStr"/>
      <c r="I9" s="66" t="inlineStr"/>
      <c r="J9" s="67" t="n">
        <v>1204.75</v>
      </c>
      <c r="K9" s="63" t="n">
        <v>1204.75</v>
      </c>
      <c r="L9" s="67">
        <f>K9-J9</f>
        <v/>
      </c>
      <c r="M9" s="68">
        <f>IF(J9=0,"",(K9-J9)/J9)</f>
        <v/>
      </c>
    </row>
    <row r="10">
      <c r="A10" s="61" t="inlineStr">
        <is>
          <t>BAGANT ECUATORIANA CIA LTDA</t>
        </is>
      </c>
      <c r="B10" s="60" t="inlineStr">
        <is>
          <t>2 - Persona juridica</t>
        </is>
      </c>
      <c r="C10" s="60" t="inlineStr">
        <is>
          <t>R - RUC</t>
        </is>
      </c>
      <c r="D10" s="61" t="inlineStr">
        <is>
          <t>1790322491001</t>
        </is>
      </c>
      <c r="E10" s="60" t="inlineStr">
        <is>
          <t>ECU - En el Ecuador</t>
        </is>
      </c>
      <c r="F10" s="60" t="inlineStr">
        <is>
          <t>593 - ECUADOR</t>
        </is>
      </c>
      <c r="G10" s="60" t="inlineStr">
        <is>
          <t>2 - No</t>
        </is>
      </c>
      <c r="H10" s="60" t="inlineStr"/>
      <c r="I10" s="61" t="inlineStr"/>
      <c r="J10" s="62" t="n">
        <v>7847.87</v>
      </c>
      <c r="K10" s="63" t="n">
        <v>7847.87</v>
      </c>
      <c r="L10" s="62">
        <f>K10-J10</f>
        <v/>
      </c>
      <c r="M10" s="64">
        <f>IF(J10=0,"",(K10-J10)/J10)</f>
        <v/>
      </c>
    </row>
    <row r="11">
      <c r="A11" s="66" t="inlineStr">
        <is>
          <t>BECERRA ALMEIDA GLADYS VERONICA</t>
        </is>
      </c>
      <c r="B11" s="65" t="inlineStr">
        <is>
          <t>1 - Persona natural</t>
        </is>
      </c>
      <c r="C11" s="65" t="inlineStr">
        <is>
          <t>R - RUC</t>
        </is>
      </c>
      <c r="D11" s="66" t="inlineStr">
        <is>
          <t>1711731685001</t>
        </is>
      </c>
      <c r="E11" s="65" t="inlineStr">
        <is>
          <t>ECU - En el Ecuador</t>
        </is>
      </c>
      <c r="F11" s="65" t="inlineStr">
        <is>
          <t>593 - ECUADOR</t>
        </is>
      </c>
      <c r="G11" s="65" t="inlineStr">
        <is>
          <t>2 - No</t>
        </is>
      </c>
      <c r="H11" s="65" t="inlineStr"/>
      <c r="I11" s="66" t="inlineStr"/>
      <c r="J11" s="67" t="n">
        <v>1230.82</v>
      </c>
      <c r="K11" s="63" t="n">
        <v>1230.82</v>
      </c>
      <c r="L11" s="67">
        <f>K11-J11</f>
        <v/>
      </c>
      <c r="M11" s="68">
        <f>IF(J11=0,"",(K11-J11)/J11)</f>
        <v/>
      </c>
    </row>
    <row r="12">
      <c r="A12" s="61" t="inlineStr">
        <is>
          <t>CARROCERIAS METALICAS MONCAYO MONCAYO</t>
        </is>
      </c>
      <c r="B12" s="60" t="inlineStr">
        <is>
          <t>2 - Persona juridica</t>
        </is>
      </c>
      <c r="C12" s="60" t="inlineStr">
        <is>
          <t>R - RUC</t>
        </is>
      </c>
      <c r="D12" s="61" t="inlineStr">
        <is>
          <t>2390050375001</t>
        </is>
      </c>
      <c r="E12" s="60" t="inlineStr">
        <is>
          <t>ECU - En el Ecuador</t>
        </is>
      </c>
      <c r="F12" s="60" t="inlineStr">
        <is>
          <t>593 - ECUADOR</t>
        </is>
      </c>
      <c r="G12" s="60" t="inlineStr">
        <is>
          <t>2 - No</t>
        </is>
      </c>
      <c r="H12" s="60" t="inlineStr"/>
      <c r="I12" s="61" t="inlineStr"/>
      <c r="J12" s="62" t="n">
        <v>10060.03</v>
      </c>
      <c r="K12" s="63" t="n">
        <v>10060.03</v>
      </c>
      <c r="L12" s="62">
        <f>K12-J12</f>
        <v/>
      </c>
      <c r="M12" s="64">
        <f>IF(J12=0,"",(K12-J12)/J12)</f>
        <v/>
      </c>
    </row>
    <row r="13">
      <c r="A13" s="66" t="inlineStr">
        <is>
          <t>CARROCERIASIMCE SAS</t>
        </is>
      </c>
      <c r="B13" s="65" t="inlineStr">
        <is>
          <t>1 - Persona natural</t>
        </is>
      </c>
      <c r="C13" s="65" t="inlineStr">
        <is>
          <t>R - RUC</t>
        </is>
      </c>
      <c r="D13" s="66" t="inlineStr">
        <is>
          <t>1891812059001</t>
        </is>
      </c>
      <c r="E13" s="65" t="inlineStr">
        <is>
          <t>ECU - En el Ecuador</t>
        </is>
      </c>
      <c r="F13" s="65" t="inlineStr">
        <is>
          <t>593 - ECUADOR</t>
        </is>
      </c>
      <c r="G13" s="65" t="inlineStr">
        <is>
          <t>2 - No</t>
        </is>
      </c>
      <c r="H13" s="65" t="inlineStr"/>
      <c r="I13" s="66" t="inlineStr"/>
      <c r="J13" s="67" t="n">
        <v>1481.2</v>
      </c>
      <c r="K13" s="63" t="n">
        <v>1481.2</v>
      </c>
      <c r="L13" s="67">
        <f>K13-J13</f>
        <v/>
      </c>
      <c r="M13" s="68">
        <f>IF(J13=0,"",(K13-J13)/J13)</f>
        <v/>
      </c>
    </row>
    <row r="14">
      <c r="A14" s="61" t="inlineStr">
        <is>
          <t>CEPEDA CIA LTDA</t>
        </is>
      </c>
      <c r="B14" s="60" t="inlineStr">
        <is>
          <t>1 - Persona natural</t>
        </is>
      </c>
      <c r="C14" s="60" t="inlineStr">
        <is>
          <t>R - RUC</t>
        </is>
      </c>
      <c r="D14" s="61" t="inlineStr">
        <is>
          <t>1890152909001</t>
        </is>
      </c>
      <c r="E14" s="60" t="inlineStr">
        <is>
          <t>ECU - En el Ecuador</t>
        </is>
      </c>
      <c r="F14" s="60" t="inlineStr">
        <is>
          <t>593 - ECUADOR</t>
        </is>
      </c>
      <c r="G14" s="60" t="inlineStr">
        <is>
          <t>2 - No</t>
        </is>
      </c>
      <c r="H14" s="60" t="inlineStr"/>
      <c r="I14" s="61" t="inlineStr"/>
      <c r="J14" s="62" t="n">
        <v>8329.34</v>
      </c>
      <c r="K14" s="63" t="n">
        <v>8329.34</v>
      </c>
      <c r="L14" s="62">
        <f>K14-J14</f>
        <v/>
      </c>
      <c r="M14" s="64">
        <f>IF(J14=0,"",(K14-J14)/J14)</f>
        <v/>
      </c>
    </row>
    <row r="15">
      <c r="A15" s="66" t="inlineStr">
        <is>
          <t>CONSERDE MILLENIUM</t>
        </is>
      </c>
      <c r="B15" s="65" t="inlineStr">
        <is>
          <t>2 - Persona juridica</t>
        </is>
      </c>
      <c r="C15" s="65" t="inlineStr">
        <is>
          <t>R - RUC</t>
        </is>
      </c>
      <c r="D15" s="66" t="inlineStr">
        <is>
          <t>1791711238001</t>
        </is>
      </c>
      <c r="E15" s="65" t="inlineStr">
        <is>
          <t>ECU - En el Ecuador</t>
        </is>
      </c>
      <c r="F15" s="65" t="inlineStr">
        <is>
          <t>593 - ECUADOR</t>
        </is>
      </c>
      <c r="G15" s="65" t="inlineStr">
        <is>
          <t>2 - No</t>
        </is>
      </c>
      <c r="H15" s="65" t="inlineStr"/>
      <c r="I15" s="66" t="inlineStr"/>
      <c r="J15" s="67" t="n">
        <v>4992.21</v>
      </c>
      <c r="K15" s="63" t="n">
        <v>4992.21</v>
      </c>
      <c r="L15" s="67">
        <f>K15-J15</f>
        <v/>
      </c>
      <c r="M15" s="68">
        <f>IF(J15=0,"",(K15-J15)/J15)</f>
        <v/>
      </c>
    </row>
    <row r="16">
      <c r="A16" s="61" t="inlineStr">
        <is>
          <t>CORA REFRIGERACION CIA LTDA</t>
        </is>
      </c>
      <c r="B16" s="60" t="inlineStr">
        <is>
          <t>2 - Persona juridica</t>
        </is>
      </c>
      <c r="C16" s="60" t="inlineStr">
        <is>
          <t>R - RUC</t>
        </is>
      </c>
      <c r="D16" s="61" t="inlineStr">
        <is>
          <t>1791904753001</t>
        </is>
      </c>
      <c r="E16" s="60" t="inlineStr">
        <is>
          <t>ECU - En el Ecuador</t>
        </is>
      </c>
      <c r="F16" s="60" t="inlineStr">
        <is>
          <t>593 - ECUADOR</t>
        </is>
      </c>
      <c r="G16" s="60" t="inlineStr">
        <is>
          <t>2 - No</t>
        </is>
      </c>
      <c r="H16" s="60" t="inlineStr"/>
      <c r="I16" s="61" t="inlineStr"/>
      <c r="J16" s="62" t="n">
        <v>1111.86</v>
      </c>
      <c r="K16" s="63" t="n">
        <v>1111.86</v>
      </c>
      <c r="L16" s="62">
        <f>K16-J16</f>
        <v/>
      </c>
      <c r="M16" s="64">
        <f>IF(J16=0,"",(K16-J16)/J16)</f>
        <v/>
      </c>
    </row>
    <row r="17">
      <c r="A17" s="66" t="inlineStr">
        <is>
          <t>DEALERNEW SA</t>
        </is>
      </c>
      <c r="B17" s="65" t="inlineStr">
        <is>
          <t>2 - Persona juridica</t>
        </is>
      </c>
      <c r="C17" s="65" t="inlineStr">
        <is>
          <t>R - RUC</t>
        </is>
      </c>
      <c r="D17" s="66" t="inlineStr">
        <is>
          <t>0992527501001</t>
        </is>
      </c>
      <c r="E17" s="65" t="inlineStr">
        <is>
          <t>ECU - En el Ecuador</t>
        </is>
      </c>
      <c r="F17" s="65" t="inlineStr">
        <is>
          <t>593 - ECUADOR</t>
        </is>
      </c>
      <c r="G17" s="65" t="inlineStr">
        <is>
          <t>2 - No</t>
        </is>
      </c>
      <c r="H17" s="65" t="inlineStr"/>
      <c r="I17" s="66" t="inlineStr"/>
      <c r="J17" s="67" t="n">
        <v>4354.71</v>
      </c>
      <c r="K17" s="63" t="n">
        <v>4354.71</v>
      </c>
      <c r="L17" s="67">
        <f>K17-J17</f>
        <v/>
      </c>
      <c r="M17" s="68">
        <f>IF(J17=0,"",(K17-J17)/J17)</f>
        <v/>
      </c>
    </row>
    <row r="18">
      <c r="A18" s="61" t="inlineStr">
        <is>
          <t>DUCHI PILCO SEGUNDO VICENTE</t>
        </is>
      </c>
      <c r="B18" s="60" t="inlineStr">
        <is>
          <t>2 - Persona juridica</t>
        </is>
      </c>
      <c r="C18" s="60" t="inlineStr">
        <is>
          <t>R - RUC</t>
        </is>
      </c>
      <c r="D18" s="61" t="inlineStr">
        <is>
          <t>0602948002001</t>
        </is>
      </c>
      <c r="E18" s="60" t="inlineStr">
        <is>
          <t>ECU - En el Ecuador</t>
        </is>
      </c>
      <c r="F18" s="60" t="inlineStr">
        <is>
          <t>593 - ECUADOR</t>
        </is>
      </c>
      <c r="G18" s="60" t="inlineStr">
        <is>
          <t>2 - No</t>
        </is>
      </c>
      <c r="H18" s="60" t="inlineStr"/>
      <c r="I18" s="61" t="inlineStr"/>
      <c r="J18" s="62" t="n">
        <v>2776.68</v>
      </c>
      <c r="K18" s="63" t="n">
        <v>2776.68</v>
      </c>
      <c r="L18" s="62">
        <f>K18-J18</f>
        <v/>
      </c>
      <c r="M18" s="64">
        <f>IF(J18=0,"",(K18-J18)/J18)</f>
        <v/>
      </c>
    </row>
    <row r="19">
      <c r="A19" s="66" t="inlineStr">
        <is>
          <t>EKRON CONSTRUCCIONES SA</t>
        </is>
      </c>
      <c r="B19" s="65" t="inlineStr">
        <is>
          <t>1 - Persona natural</t>
        </is>
      </c>
      <c r="C19" s="65" t="inlineStr">
        <is>
          <t>R - RUC</t>
        </is>
      </c>
      <c r="D19" s="66" t="inlineStr">
        <is>
          <t>1791945395001</t>
        </is>
      </c>
      <c r="E19" s="65" t="inlineStr">
        <is>
          <t>ECU - En el Ecuador</t>
        </is>
      </c>
      <c r="F19" s="65" t="inlineStr">
        <is>
          <t>593 - ECUADOR</t>
        </is>
      </c>
      <c r="G19" s="65" t="inlineStr">
        <is>
          <t>2 - No</t>
        </is>
      </c>
      <c r="H19" s="65" t="inlineStr"/>
      <c r="I19" s="66" t="inlineStr"/>
      <c r="J19" s="67" t="n">
        <v>4809.53</v>
      </c>
      <c r="K19" s="63" t="n">
        <v>4809.53</v>
      </c>
      <c r="L19" s="67">
        <f>K19-J19</f>
        <v/>
      </c>
      <c r="M19" s="68">
        <f>IF(J19=0,"",(K19-J19)/J19)</f>
        <v/>
      </c>
    </row>
    <row r="20">
      <c r="A20" s="61" t="inlineStr">
        <is>
          <t>ER SERVEIS CIA LTDA</t>
        </is>
      </c>
      <c r="B20" s="60" t="inlineStr">
        <is>
          <t>2 - Persona juridica</t>
        </is>
      </c>
      <c r="C20" s="60" t="inlineStr">
        <is>
          <t>R - RUC</t>
        </is>
      </c>
      <c r="D20" s="61" t="inlineStr">
        <is>
          <t>1704620713001</t>
        </is>
      </c>
      <c r="E20" s="60" t="inlineStr">
        <is>
          <t>ECU - En el Ecuador</t>
        </is>
      </c>
      <c r="F20" s="60" t="inlineStr">
        <is>
          <t>593 - ECUADOR</t>
        </is>
      </c>
      <c r="G20" s="60" t="inlineStr">
        <is>
          <t>2 - No</t>
        </is>
      </c>
      <c r="H20" s="60" t="inlineStr"/>
      <c r="I20" s="61" t="inlineStr"/>
      <c r="J20" s="62" t="n">
        <v>2167.74</v>
      </c>
      <c r="K20" s="63" t="n">
        <v>2167.74</v>
      </c>
      <c r="L20" s="62">
        <f>K20-J20</f>
        <v/>
      </c>
      <c r="M20" s="64">
        <f>IF(J20=0,"",(K20-J20)/J20)</f>
        <v/>
      </c>
    </row>
    <row r="21">
      <c r="A21" s="66" t="inlineStr">
        <is>
          <t>ESCOBAR TIRADO PIEDAD</t>
        </is>
      </c>
      <c r="B21" s="65" t="inlineStr">
        <is>
          <t>2 - Persona juridica</t>
        </is>
      </c>
      <c r="C21" s="65" t="inlineStr">
        <is>
          <t>R - RUC</t>
        </is>
      </c>
      <c r="D21" s="66" t="inlineStr">
        <is>
          <t>1000785921001</t>
        </is>
      </c>
      <c r="E21" s="65" t="inlineStr">
        <is>
          <t>ECU - En el Ecuador</t>
        </is>
      </c>
      <c r="F21" s="65" t="inlineStr">
        <is>
          <t>593 - ECUADOR</t>
        </is>
      </c>
      <c r="G21" s="65" t="inlineStr">
        <is>
          <t>2 - No</t>
        </is>
      </c>
      <c r="H21" s="65" t="inlineStr"/>
      <c r="I21" s="66" t="inlineStr"/>
      <c r="J21" s="67" t="n">
        <v>1062.51</v>
      </c>
      <c r="K21" s="63" t="n">
        <v>1062.51</v>
      </c>
      <c r="L21" s="67">
        <f>K21-J21</f>
        <v/>
      </c>
      <c r="M21" s="68">
        <f>IF(J21=0,"",(K21-J21)/J21)</f>
        <v/>
      </c>
    </row>
    <row r="22">
      <c r="A22" s="61" t="inlineStr">
        <is>
          <t>FRANCO GRANDA DIMALVID</t>
        </is>
      </c>
      <c r="B22" s="60" t="inlineStr">
        <is>
          <t>1 - Persona natural</t>
        </is>
      </c>
      <c r="C22" s="60" t="inlineStr">
        <is>
          <t>R - RUC</t>
        </is>
      </c>
      <c r="D22" s="61" t="inlineStr">
        <is>
          <t>1792541476001</t>
        </is>
      </c>
      <c r="E22" s="60" t="inlineStr">
        <is>
          <t>ECU - En el Ecuador</t>
        </is>
      </c>
      <c r="F22" s="60" t="inlineStr">
        <is>
          <t>593 - ECUADOR</t>
        </is>
      </c>
      <c r="G22" s="60" t="inlineStr">
        <is>
          <t>2 - No</t>
        </is>
      </c>
      <c r="H22" s="60" t="inlineStr"/>
      <c r="I22" s="61" t="inlineStr"/>
      <c r="J22" s="62" t="n">
        <v>10693.63</v>
      </c>
      <c r="K22" s="63" t="n">
        <v>10693.63</v>
      </c>
      <c r="L22" s="62">
        <f>K22-J22</f>
        <v/>
      </c>
      <c r="M22" s="64">
        <f>IF(J22=0,"",(K22-J22)/J22)</f>
        <v/>
      </c>
    </row>
    <row r="23">
      <c r="A23" s="66" t="inlineStr">
        <is>
          <t>AGUILERA TAPIA WALTER GERMAN</t>
        </is>
      </c>
      <c r="B23" s="65" t="inlineStr">
        <is>
          <t>1 - Persona natural</t>
        </is>
      </c>
      <c r="C23" s="65" t="inlineStr">
        <is>
          <t>R - RUC</t>
        </is>
      </c>
      <c r="D23" s="66" t="inlineStr">
        <is>
          <t>0500839543001</t>
        </is>
      </c>
      <c r="E23" s="65" t="inlineStr">
        <is>
          <t>ECU - En el Ecuador</t>
        </is>
      </c>
      <c r="F23" s="65" t="inlineStr">
        <is>
          <t>593 - ECUADOR</t>
        </is>
      </c>
      <c r="G23" s="65" t="inlineStr">
        <is>
          <t>2 - No</t>
        </is>
      </c>
      <c r="H23" s="65" t="inlineStr"/>
      <c r="I23" s="66" t="inlineStr"/>
      <c r="J23" s="67" t="n">
        <v>2281.14</v>
      </c>
      <c r="K23" s="63" t="n">
        <v>2281.14</v>
      </c>
      <c r="L23" s="67">
        <f>K23-J23</f>
        <v/>
      </c>
      <c r="M23" s="68">
        <f>IF(J23=0,"",(K23-J23)/J23)</f>
        <v/>
      </c>
    </row>
    <row r="24">
      <c r="A24" s="61" t="inlineStr">
        <is>
          <t>GRUPOMM REFRIGERACION</t>
        </is>
      </c>
      <c r="B24" s="60" t="inlineStr">
        <is>
          <t>2 - Persona juridica</t>
        </is>
      </c>
      <c r="C24" s="60" t="inlineStr">
        <is>
          <t>R - RUC</t>
        </is>
      </c>
      <c r="D24" s="61" t="inlineStr">
        <is>
          <t>1792621143001</t>
        </is>
      </c>
      <c r="E24" s="60" t="inlineStr">
        <is>
          <t>ECU - En el Ecuador</t>
        </is>
      </c>
      <c r="F24" s="60" t="inlineStr">
        <is>
          <t>593 - ECUADOR</t>
        </is>
      </c>
      <c r="G24" s="60" t="inlineStr">
        <is>
          <t>2 - No</t>
        </is>
      </c>
      <c r="H24" s="60" t="inlineStr"/>
      <c r="I24" s="61" t="inlineStr"/>
      <c r="J24" s="62" t="n">
        <v>1475.75</v>
      </c>
      <c r="K24" s="63" t="n">
        <v>1475.75</v>
      </c>
      <c r="L24" s="62">
        <f>K24-J24</f>
        <v/>
      </c>
      <c r="M24" s="64">
        <f>IF(J24=0,"",(K24-J24)/J24)</f>
        <v/>
      </c>
    </row>
    <row r="25">
      <c r="A25" s="66" t="inlineStr">
        <is>
          <t>GUAMBA ROSAS GLADYS NARSIZA</t>
        </is>
      </c>
      <c r="B25" s="65" t="inlineStr">
        <is>
          <t>1 - Persona natural</t>
        </is>
      </c>
      <c r="C25" s="65" t="inlineStr">
        <is>
          <t>R - RUC</t>
        </is>
      </c>
      <c r="D25" s="66" t="inlineStr">
        <is>
          <t>1713377271001</t>
        </is>
      </c>
      <c r="E25" s="65" t="inlineStr">
        <is>
          <t>ECU - En el Ecuador</t>
        </is>
      </c>
      <c r="F25" s="65" t="inlineStr">
        <is>
          <t>593 - ECUADOR</t>
        </is>
      </c>
      <c r="G25" s="65" t="inlineStr">
        <is>
          <t>2 - No</t>
        </is>
      </c>
      <c r="H25" s="65" t="inlineStr"/>
      <c r="I25" s="66" t="inlineStr"/>
      <c r="J25" s="67" t="n">
        <v>2760</v>
      </c>
      <c r="K25" s="63" t="n">
        <v>2760</v>
      </c>
      <c r="L25" s="67">
        <f>K25-J25</f>
        <v/>
      </c>
      <c r="M25" s="68">
        <f>IF(J25=0,"",(K25-J25)/J25)</f>
        <v/>
      </c>
    </row>
    <row r="26">
      <c r="A26" s="61" t="inlineStr">
        <is>
          <t>IMETAM SA</t>
        </is>
      </c>
      <c r="B26" s="60" t="inlineStr">
        <is>
          <t>1 - Persona natural</t>
        </is>
      </c>
      <c r="C26" s="60" t="inlineStr">
        <is>
          <t>R - RUC</t>
        </is>
      </c>
      <c r="D26" s="61" t="inlineStr">
        <is>
          <t>1790589013001</t>
        </is>
      </c>
      <c r="E26" s="60" t="inlineStr">
        <is>
          <t>ECU - En el Ecuador</t>
        </is>
      </c>
      <c r="F26" s="60" t="inlineStr">
        <is>
          <t>593 - ECUADOR</t>
        </is>
      </c>
      <c r="G26" s="60" t="inlineStr">
        <is>
          <t>2 - No</t>
        </is>
      </c>
      <c r="H26" s="60" t="inlineStr"/>
      <c r="I26" s="61" t="inlineStr"/>
      <c r="J26" s="62" t="n">
        <v>1552.84</v>
      </c>
      <c r="K26" s="63" t="n">
        <v>1552.84</v>
      </c>
      <c r="L26" s="62">
        <f>K26-J26</f>
        <v/>
      </c>
      <c r="M26" s="64">
        <f>IF(J26=0,"",(K26-J26)/J26)</f>
        <v/>
      </c>
    </row>
    <row r="27">
      <c r="A27" s="66" t="inlineStr">
        <is>
          <t>INGEVITRO INGENIERIA DEL VIDRIO</t>
        </is>
      </c>
      <c r="B27" s="65" t="inlineStr">
        <is>
          <t>2 - Persona juridica</t>
        </is>
      </c>
      <c r="C27" s="65" t="inlineStr">
        <is>
          <t>R - RUC</t>
        </is>
      </c>
      <c r="D27" s="66" t="inlineStr">
        <is>
          <t>1791399455001</t>
        </is>
      </c>
      <c r="E27" s="65" t="inlineStr">
        <is>
          <t>ECU - En el Ecuador</t>
        </is>
      </c>
      <c r="F27" s="65" t="inlineStr">
        <is>
          <t>593 - ECUADOR</t>
        </is>
      </c>
      <c r="G27" s="65" t="inlineStr">
        <is>
          <t>2 - No</t>
        </is>
      </c>
      <c r="H27" s="65" t="inlineStr"/>
      <c r="I27" s="66" t="inlineStr"/>
      <c r="J27" s="67" t="n">
        <v>2069.81</v>
      </c>
      <c r="K27" s="63" t="n">
        <v>2069.81</v>
      </c>
      <c r="L27" s="67">
        <f>K27-J27</f>
        <v/>
      </c>
      <c r="M27" s="68">
        <f>IF(J27=0,"",(K27-J27)/J27)</f>
        <v/>
      </c>
    </row>
    <row r="28">
      <c r="A28" s="61" t="inlineStr">
        <is>
          <t>JAVIER DIEZ COMUNICACION</t>
        </is>
      </c>
      <c r="B28" s="60" t="inlineStr">
        <is>
          <t>1 - Persona natural</t>
        </is>
      </c>
      <c r="C28" s="60" t="inlineStr">
        <is>
          <t>R - RUC</t>
        </is>
      </c>
      <c r="D28" s="61" t="inlineStr">
        <is>
          <t>1792012058001</t>
        </is>
      </c>
      <c r="E28" s="60" t="inlineStr">
        <is>
          <t>ECU - En el Ecuador</t>
        </is>
      </c>
      <c r="F28" s="60" t="inlineStr">
        <is>
          <t>593 - ECUADOR</t>
        </is>
      </c>
      <c r="G28" s="60" t="inlineStr">
        <is>
          <t>2 - No</t>
        </is>
      </c>
      <c r="H28" s="60" t="inlineStr"/>
      <c r="I28" s="61" t="inlineStr"/>
      <c r="J28" s="62" t="n">
        <v>1005.89</v>
      </c>
      <c r="K28" s="63" t="n">
        <v>1005.89</v>
      </c>
      <c r="L28" s="62">
        <f>K28-J28</f>
        <v/>
      </c>
      <c r="M28" s="64">
        <f>IF(J28=0,"",(K28-J28)/J28)</f>
        <v/>
      </c>
    </row>
    <row r="29">
      <c r="A29" s="66" t="inlineStr">
        <is>
          <t>MARROQUIN TORRES WILSON</t>
        </is>
      </c>
      <c r="B29" s="65" t="inlineStr">
        <is>
          <t>1 - Persona natural</t>
        </is>
      </c>
      <c r="C29" s="65" t="inlineStr">
        <is>
          <t>R - RUC</t>
        </is>
      </c>
      <c r="D29" s="66" t="inlineStr">
        <is>
          <t>1709765042001</t>
        </is>
      </c>
      <c r="E29" s="65" t="inlineStr">
        <is>
          <t>ECU - En el Ecuador</t>
        </is>
      </c>
      <c r="F29" s="65" t="inlineStr">
        <is>
          <t>593 - ECUADOR</t>
        </is>
      </c>
      <c r="G29" s="65" t="inlineStr">
        <is>
          <t>2 - No</t>
        </is>
      </c>
      <c r="H29" s="65" t="inlineStr"/>
      <c r="I29" s="66" t="inlineStr"/>
      <c r="J29" s="67" t="n">
        <v>5166.15</v>
      </c>
      <c r="K29" s="63" t="n">
        <v>5166.15</v>
      </c>
      <c r="L29" s="67">
        <f>K29-J29</f>
        <v/>
      </c>
      <c r="M29" s="68">
        <f>IF(J29=0,"",(K29-J29)/J29)</f>
        <v/>
      </c>
    </row>
    <row r="30">
      <c r="A30" s="61" t="inlineStr">
        <is>
          <t>MAXILIFT</t>
        </is>
      </c>
      <c r="B30" s="60" t="inlineStr">
        <is>
          <t>2 - Persona juridica</t>
        </is>
      </c>
      <c r="C30" s="60" t="inlineStr">
        <is>
          <t>R - RUC</t>
        </is>
      </c>
      <c r="D30" s="61" t="inlineStr">
        <is>
          <t>1792350735001</t>
        </is>
      </c>
      <c r="E30" s="60" t="inlineStr">
        <is>
          <t>ECU - En el Ecuador</t>
        </is>
      </c>
      <c r="F30" s="60" t="inlineStr">
        <is>
          <t>593 - ECUADOR</t>
        </is>
      </c>
      <c r="G30" s="60" t="inlineStr">
        <is>
          <t>2 - No</t>
        </is>
      </c>
      <c r="H30" s="60" t="inlineStr"/>
      <c r="I30" s="61" t="inlineStr"/>
      <c r="J30" s="62" t="n">
        <v>2993.09</v>
      </c>
      <c r="K30" s="63" t="n">
        <v>2993.09</v>
      </c>
      <c r="L30" s="62">
        <f>K30-J30</f>
        <v/>
      </c>
      <c r="M30" s="64">
        <f>IF(J30=0,"",(K30-J30)/J30)</f>
        <v/>
      </c>
    </row>
    <row r="31">
      <c r="A31" s="66" t="inlineStr">
        <is>
          <t>MAYORGA NATA OSCAR</t>
        </is>
      </c>
      <c r="B31" s="65" t="inlineStr">
        <is>
          <t>1 - Persona natural</t>
        </is>
      </c>
      <c r="C31" s="65" t="inlineStr">
        <is>
          <t>R - RUC</t>
        </is>
      </c>
      <c r="D31" s="66" t="inlineStr">
        <is>
          <t>1716647746001</t>
        </is>
      </c>
      <c r="E31" s="65" t="inlineStr">
        <is>
          <t>ECU - En el Ecuador</t>
        </is>
      </c>
      <c r="F31" s="65" t="inlineStr">
        <is>
          <t>593 - ECUADOR</t>
        </is>
      </c>
      <c r="G31" s="65" t="inlineStr">
        <is>
          <t>2 - No</t>
        </is>
      </c>
      <c r="H31" s="65" t="inlineStr"/>
      <c r="I31" s="66" t="inlineStr"/>
      <c r="J31" s="67" t="n">
        <v>1086.04</v>
      </c>
      <c r="K31" s="63" t="n">
        <v>1086.04</v>
      </c>
      <c r="L31" s="67">
        <f>K31-J31</f>
        <v/>
      </c>
      <c r="M31" s="68">
        <f>IF(J31=0,"",(K31-J31)/J31)</f>
        <v/>
      </c>
    </row>
    <row r="32">
      <c r="A32" s="61" t="inlineStr">
        <is>
          <t>MAZON MOYOLEMA FLOR KARINA</t>
        </is>
      </c>
      <c r="B32" s="60" t="inlineStr">
        <is>
          <t>1 - Persona natural</t>
        </is>
      </c>
      <c r="C32" s="60" t="inlineStr">
        <is>
          <t>R - RUC</t>
        </is>
      </c>
      <c r="D32" s="61" t="inlineStr">
        <is>
          <t>1719036426001</t>
        </is>
      </c>
      <c r="E32" s="60" t="inlineStr">
        <is>
          <t>ECU - En el Ecuador</t>
        </is>
      </c>
      <c r="F32" s="60" t="inlineStr">
        <is>
          <t>593 - ECUADOR</t>
        </is>
      </c>
      <c r="G32" s="60" t="inlineStr">
        <is>
          <t>2 - No</t>
        </is>
      </c>
      <c r="H32" s="60" t="inlineStr"/>
      <c r="I32" s="61" t="inlineStr"/>
      <c r="J32" s="62" t="n">
        <v>7062.08</v>
      </c>
      <c r="K32" s="63" t="n">
        <v>7062.08</v>
      </c>
      <c r="L32" s="62">
        <f>K32-J32</f>
        <v/>
      </c>
      <c r="M32" s="64">
        <f>IF(J32=0,"",(K32-J32)/J32)</f>
        <v/>
      </c>
    </row>
    <row r="33">
      <c r="A33" s="66" t="inlineStr">
        <is>
          <t>PAREJA PALACIOS LUIS</t>
        </is>
      </c>
      <c r="B33" s="65" t="inlineStr">
        <is>
          <t>1 - Persona natural</t>
        </is>
      </c>
      <c r="C33" s="65" t="inlineStr">
        <is>
          <t>R - RUC</t>
        </is>
      </c>
      <c r="D33" s="66" t="inlineStr">
        <is>
          <t>1705042719001</t>
        </is>
      </c>
      <c r="E33" s="65" t="inlineStr">
        <is>
          <t>ECU - En el Ecuador</t>
        </is>
      </c>
      <c r="F33" s="65" t="inlineStr">
        <is>
          <t>593 - ECUADOR</t>
        </is>
      </c>
      <c r="G33" s="65" t="inlineStr">
        <is>
          <t>2 - No</t>
        </is>
      </c>
      <c r="H33" s="65" t="inlineStr"/>
      <c r="I33" s="66" t="inlineStr"/>
      <c r="J33" s="67" t="n">
        <v>2445.45</v>
      </c>
      <c r="K33" s="63" t="n">
        <v>2445.45</v>
      </c>
      <c r="L33" s="67">
        <f>K33-J33</f>
        <v/>
      </c>
      <c r="M33" s="68">
        <f>IF(J33=0,"",(K33-J33)/J33)</f>
        <v/>
      </c>
    </row>
    <row r="34">
      <c r="A34" s="61" t="inlineStr">
        <is>
          <t>PATRICIO CEPEDA CIA LTDA</t>
        </is>
      </c>
      <c r="B34" s="60" t="inlineStr">
        <is>
          <t>2 - Persona juridica</t>
        </is>
      </c>
      <c r="C34" s="60" t="inlineStr">
        <is>
          <t>R - RUC</t>
        </is>
      </c>
      <c r="D34" s="61" t="inlineStr">
        <is>
          <t>1891733611001</t>
        </is>
      </c>
      <c r="E34" s="60" t="inlineStr">
        <is>
          <t>ECU - En el Ecuador</t>
        </is>
      </c>
      <c r="F34" s="60" t="inlineStr">
        <is>
          <t>593 - ECUADOR</t>
        </is>
      </c>
      <c r="G34" s="60" t="inlineStr">
        <is>
          <t>2 - No</t>
        </is>
      </c>
      <c r="H34" s="60" t="inlineStr"/>
      <c r="I34" s="61" t="inlineStr"/>
      <c r="J34" s="62" t="n">
        <v>10381.33</v>
      </c>
      <c r="K34" s="63" t="n">
        <v>10381.33</v>
      </c>
      <c r="L34" s="62">
        <f>K34-J34</f>
        <v/>
      </c>
      <c r="M34" s="64">
        <f>IF(J34=0,"",(K34-J34)/J34)</f>
        <v/>
      </c>
    </row>
    <row r="35">
      <c r="A35" s="66" t="inlineStr">
        <is>
          <t>PILLAPA TUZA JORGE</t>
        </is>
      </c>
      <c r="B35" s="65" t="inlineStr">
        <is>
          <t>1 - Persona natural</t>
        </is>
      </c>
      <c r="C35" s="65" t="inlineStr">
        <is>
          <t>R - RUC</t>
        </is>
      </c>
      <c r="D35" s="66" t="inlineStr">
        <is>
          <t>1802211415001</t>
        </is>
      </c>
      <c r="E35" s="65" t="inlineStr">
        <is>
          <t>ECU - En el Ecuador</t>
        </is>
      </c>
      <c r="F35" s="65" t="inlineStr">
        <is>
          <t>593 - ECUADOR</t>
        </is>
      </c>
      <c r="G35" s="65" t="inlineStr">
        <is>
          <t>2 - No</t>
        </is>
      </c>
      <c r="H35" s="65" t="inlineStr"/>
      <c r="I35" s="66" t="inlineStr"/>
      <c r="J35" s="67" t="n">
        <v>13976.98</v>
      </c>
      <c r="K35" s="63" t="n">
        <v>13976.98</v>
      </c>
      <c r="L35" s="67">
        <f>K35-J35</f>
        <v/>
      </c>
      <c r="M35" s="68">
        <f>IF(J35=0,"",(K35-J35)/J35)</f>
        <v/>
      </c>
    </row>
    <row r="36">
      <c r="A36" s="61" t="inlineStr">
        <is>
          <t>PINTUCOLORS SAS</t>
        </is>
      </c>
      <c r="B36" s="60" t="inlineStr">
        <is>
          <t>2 - Persona juridica</t>
        </is>
      </c>
      <c r="C36" s="60" t="inlineStr">
        <is>
          <t>R - RUC</t>
        </is>
      </c>
      <c r="D36" s="61" t="inlineStr">
        <is>
          <t>2390632412001</t>
        </is>
      </c>
      <c r="E36" s="60" t="inlineStr">
        <is>
          <t>ECU - En el Ecuador</t>
        </is>
      </c>
      <c r="F36" s="60" t="inlineStr">
        <is>
          <t>593 - ECUADOR</t>
        </is>
      </c>
      <c r="G36" s="60" t="inlineStr">
        <is>
          <t>2 - No</t>
        </is>
      </c>
      <c r="H36" s="60" t="inlineStr"/>
      <c r="I36" s="61" t="inlineStr"/>
      <c r="J36" s="62" t="n">
        <v>1003.37</v>
      </c>
      <c r="K36" s="63" t="n">
        <v>1003.37</v>
      </c>
      <c r="L36" s="62">
        <f>K36-J36</f>
        <v/>
      </c>
      <c r="M36" s="64">
        <f>IF(J36=0,"",(K36-J36)/J36)</f>
        <v/>
      </c>
    </row>
    <row r="37">
      <c r="A37" s="66" t="inlineStr">
        <is>
          <t>PROFEMAC</t>
        </is>
      </c>
      <c r="B37" s="65" t="inlineStr">
        <is>
          <t>2 - Persona juridica</t>
        </is>
      </c>
      <c r="C37" s="65" t="inlineStr">
        <is>
          <t>R - RUC</t>
        </is>
      </c>
      <c r="D37" s="66" t="inlineStr">
        <is>
          <t>1792543894001</t>
        </is>
      </c>
      <c r="E37" s="65" t="inlineStr">
        <is>
          <t>ECU - En el Ecuador</t>
        </is>
      </c>
      <c r="F37" s="65" t="inlineStr">
        <is>
          <t>593 - ECUADOR</t>
        </is>
      </c>
      <c r="G37" s="65" t="inlineStr">
        <is>
          <t>2 - No</t>
        </is>
      </c>
      <c r="H37" s="65" t="inlineStr"/>
      <c r="I37" s="66" t="inlineStr"/>
      <c r="J37" s="67" t="n">
        <v>7128.96</v>
      </c>
      <c r="K37" s="63" t="n">
        <v>7128.96</v>
      </c>
      <c r="L37" s="67">
        <f>K37-J37</f>
        <v/>
      </c>
      <c r="M37" s="68">
        <f>IF(J37=0,"",(K37-J37)/J37)</f>
        <v/>
      </c>
    </row>
    <row r="38">
      <c r="A38" s="61" t="inlineStr">
        <is>
          <t>RAMIREZ JORGE PATRICIO</t>
        </is>
      </c>
      <c r="B38" s="60" t="inlineStr">
        <is>
          <t>1 - Persona natural</t>
        </is>
      </c>
      <c r="C38" s="60" t="inlineStr">
        <is>
          <t>R - RUC</t>
        </is>
      </c>
      <c r="D38" s="61" t="inlineStr">
        <is>
          <t>1801707041001</t>
        </is>
      </c>
      <c r="E38" s="60" t="inlineStr">
        <is>
          <t>ECU - En el Ecuador</t>
        </is>
      </c>
      <c r="F38" s="60" t="inlineStr">
        <is>
          <t>593 - ECUADOR</t>
        </is>
      </c>
      <c r="G38" s="60" t="inlineStr">
        <is>
          <t>2 - No</t>
        </is>
      </c>
      <c r="H38" s="60" t="inlineStr"/>
      <c r="I38" s="61" t="inlineStr"/>
      <c r="J38" s="62" t="n">
        <v>1440.72</v>
      </c>
      <c r="K38" s="63" t="n">
        <v>1440.72</v>
      </c>
      <c r="L38" s="62">
        <f>K38-J38</f>
        <v/>
      </c>
      <c r="M38" s="64">
        <f>IF(J38=0,"",(K38-J38)/J38)</f>
        <v/>
      </c>
    </row>
    <row r="39">
      <c r="A39" s="66" t="inlineStr">
        <is>
          <t>RIVERA CACERES SAULO</t>
        </is>
      </c>
      <c r="B39" s="65" t="inlineStr">
        <is>
          <t>1 - Persona natural</t>
        </is>
      </c>
      <c r="C39" s="65" t="inlineStr">
        <is>
          <t>R - RUC</t>
        </is>
      </c>
      <c r="D39" s="66" t="inlineStr">
        <is>
          <t>0600476469001</t>
        </is>
      </c>
      <c r="E39" s="65" t="inlineStr">
        <is>
          <t>ECU - En el Ecuador</t>
        </is>
      </c>
      <c r="F39" s="65" t="inlineStr">
        <is>
          <t>593 - ECUADOR</t>
        </is>
      </c>
      <c r="G39" s="65" t="inlineStr">
        <is>
          <t>2 - No</t>
        </is>
      </c>
      <c r="H39" s="65" t="inlineStr"/>
      <c r="I39" s="66" t="inlineStr"/>
      <c r="J39" s="67" t="n">
        <v>3438.72</v>
      </c>
      <c r="K39" s="63" t="n">
        <v>3438.72</v>
      </c>
      <c r="L39" s="67">
        <f>K39-J39</f>
        <v/>
      </c>
      <c r="M39" s="68">
        <f>IF(J39=0,"",(K39-J39)/J39)</f>
        <v/>
      </c>
    </row>
    <row r="40">
      <c r="A40" s="61" t="inlineStr">
        <is>
          <t>SAIGUA GUAMAN BENITO</t>
        </is>
      </c>
      <c r="B40" s="60" t="inlineStr">
        <is>
          <t>1 - Persona natural</t>
        </is>
      </c>
      <c r="C40" s="60" t="inlineStr">
        <is>
          <t>R - RUC</t>
        </is>
      </c>
      <c r="D40" s="61" t="inlineStr">
        <is>
          <t>1718267873001</t>
        </is>
      </c>
      <c r="E40" s="60" t="inlineStr">
        <is>
          <t>ECU - En el Ecuador</t>
        </is>
      </c>
      <c r="F40" s="60" t="inlineStr">
        <is>
          <t>593 - ECUADOR</t>
        </is>
      </c>
      <c r="G40" s="60" t="inlineStr">
        <is>
          <t>2 - No</t>
        </is>
      </c>
      <c r="H40" s="60" t="inlineStr"/>
      <c r="I40" s="61" t="inlineStr"/>
      <c r="J40" s="62" t="n">
        <v>5958.17</v>
      </c>
      <c r="K40" s="63" t="n">
        <v>5958.17</v>
      </c>
      <c r="L40" s="62">
        <f>K40-J40</f>
        <v/>
      </c>
      <c r="M40" s="64">
        <f>IF(J40=0,"",(K40-J40)/J40)</f>
        <v/>
      </c>
    </row>
    <row r="41">
      <c r="A41" s="66" t="inlineStr">
        <is>
          <t>SEDAMOS ESCOBAR GLORIA</t>
        </is>
      </c>
      <c r="B41" s="65" t="inlineStr">
        <is>
          <t>1 - Persona natural</t>
        </is>
      </c>
      <c r="C41" s="65" t="inlineStr">
        <is>
          <t>R - RUC</t>
        </is>
      </c>
      <c r="D41" s="66" t="inlineStr">
        <is>
          <t>1102992813001</t>
        </is>
      </c>
      <c r="E41" s="65" t="inlineStr">
        <is>
          <t>ECU - En el Ecuador</t>
        </is>
      </c>
      <c r="F41" s="65" t="inlineStr">
        <is>
          <t>593 - ECUADOR</t>
        </is>
      </c>
      <c r="G41" s="65" t="inlineStr">
        <is>
          <t>2 - No</t>
        </is>
      </c>
      <c r="H41" s="65" t="inlineStr"/>
      <c r="I41" s="66" t="inlineStr"/>
      <c r="J41" s="67" t="n">
        <v>2473.57</v>
      </c>
      <c r="K41" s="63" t="n">
        <v>2473.57</v>
      </c>
      <c r="L41" s="67">
        <f>K41-J41</f>
        <v/>
      </c>
      <c r="M41" s="68">
        <f>IF(J41=0,"",(K41-J41)/J41)</f>
        <v/>
      </c>
    </row>
    <row r="42">
      <c r="A42" s="61" t="inlineStr">
        <is>
          <t>SEDEMI SERVICIOS DE MECANICA</t>
        </is>
      </c>
      <c r="B42" s="60" t="inlineStr">
        <is>
          <t>2 - Persona juridica</t>
        </is>
      </c>
      <c r="C42" s="60" t="inlineStr">
        <is>
          <t>R - RUC</t>
        </is>
      </c>
      <c r="D42" s="61" t="inlineStr">
        <is>
          <t>1791734920001</t>
        </is>
      </c>
      <c r="E42" s="60" t="inlineStr">
        <is>
          <t>ECU - En el Ecuador</t>
        </is>
      </c>
      <c r="F42" s="60" t="inlineStr">
        <is>
          <t>593 - ECUADOR</t>
        </is>
      </c>
      <c r="G42" s="60" t="inlineStr">
        <is>
          <t>2 - No</t>
        </is>
      </c>
      <c r="H42" s="60" t="inlineStr"/>
      <c r="I42" s="61" t="inlineStr"/>
      <c r="J42" s="62" t="n">
        <v>3146.51</v>
      </c>
      <c r="K42" s="63" t="n">
        <v>3146.51</v>
      </c>
      <c r="L42" s="62">
        <f>K42-J42</f>
        <v/>
      </c>
      <c r="M42" s="64">
        <f>IF(J42=0,"",(K42-J42)/J42)</f>
        <v/>
      </c>
    </row>
    <row r="43">
      <c r="A43" s="66" t="inlineStr">
        <is>
          <t>SERVICIOS MANTENIMIENTO Y RECONSTRUCCION DE CARROCERIAS</t>
        </is>
      </c>
      <c r="B43" s="65" t="inlineStr">
        <is>
          <t>2 - Persona juridica</t>
        </is>
      </c>
      <c r="C43" s="65" t="inlineStr">
        <is>
          <t>R - RUC</t>
        </is>
      </c>
      <c r="D43" s="66" t="inlineStr">
        <is>
          <t>1790484009001</t>
        </is>
      </c>
      <c r="E43" s="65" t="inlineStr">
        <is>
          <t>ECU - En el Ecuador</t>
        </is>
      </c>
      <c r="F43" s="65" t="inlineStr">
        <is>
          <t>593 - ECUADOR</t>
        </is>
      </c>
      <c r="G43" s="65" t="inlineStr">
        <is>
          <t>2 - No</t>
        </is>
      </c>
      <c r="H43" s="65" t="inlineStr"/>
      <c r="I43" s="66" t="inlineStr"/>
      <c r="J43" s="67" t="n">
        <v>1305</v>
      </c>
      <c r="K43" s="63" t="n">
        <v>1305</v>
      </c>
      <c r="L43" s="67">
        <f>K43-J43</f>
        <v/>
      </c>
      <c r="M43" s="68">
        <f>IF(J43=0,"",(K43-J43)/J43)</f>
        <v/>
      </c>
    </row>
    <row r="44">
      <c r="A44" s="61" t="inlineStr">
        <is>
          <t>TACO ALMACHI CHRISTIAN</t>
        </is>
      </c>
      <c r="B44" s="60" t="inlineStr">
        <is>
          <t>1 - Persona natural</t>
        </is>
      </c>
      <c r="C44" s="60" t="inlineStr">
        <is>
          <t>R - RUC</t>
        </is>
      </c>
      <c r="D44" s="61" t="inlineStr">
        <is>
          <t>1719119511001</t>
        </is>
      </c>
      <c r="E44" s="60" t="inlineStr">
        <is>
          <t>ECU - En el Ecuador</t>
        </is>
      </c>
      <c r="F44" s="60" t="inlineStr">
        <is>
          <t>593 - ECUADOR</t>
        </is>
      </c>
      <c r="G44" s="60" t="inlineStr">
        <is>
          <t>2 - No</t>
        </is>
      </c>
      <c r="H44" s="60" t="inlineStr"/>
      <c r="I44" s="61" t="inlineStr"/>
      <c r="J44" s="62" t="n">
        <v>3339.22</v>
      </c>
      <c r="K44" s="63" t="n">
        <v>3339.22</v>
      </c>
      <c r="L44" s="62">
        <f>K44-J44</f>
        <v/>
      </c>
      <c r="M44" s="64">
        <f>IF(J44=0,"",(K44-J44)/J44)</f>
        <v/>
      </c>
    </row>
    <row r="45">
      <c r="A45" s="66" t="inlineStr">
        <is>
          <t>URBINA MONROY EDGAR ANDRES</t>
        </is>
      </c>
      <c r="B45" s="65" t="inlineStr">
        <is>
          <t>1 - Persona natural</t>
        </is>
      </c>
      <c r="C45" s="65" t="inlineStr">
        <is>
          <t>R - RUC</t>
        </is>
      </c>
      <c r="D45" s="66" t="inlineStr">
        <is>
          <t>1716717218001</t>
        </is>
      </c>
      <c r="E45" s="65" t="inlineStr">
        <is>
          <t>ECU - En el Ecuador</t>
        </is>
      </c>
      <c r="F45" s="65" t="inlineStr">
        <is>
          <t>593 - ECUADOR</t>
        </is>
      </c>
      <c r="G45" s="65" t="inlineStr">
        <is>
          <t>2 - No</t>
        </is>
      </c>
      <c r="H45" s="65" t="inlineStr"/>
      <c r="I45" s="66" t="inlineStr"/>
      <c r="J45" s="67" t="n">
        <v>3656.5</v>
      </c>
      <c r="K45" s="63" t="n">
        <v>3656.5</v>
      </c>
      <c r="L45" s="67">
        <f>K45-J45</f>
        <v/>
      </c>
      <c r="M45" s="68">
        <f>IF(J45=0,"",(K45-J45)/J45)</f>
        <v/>
      </c>
    </row>
    <row r="46">
      <c r="A46" s="61" t="inlineStr">
        <is>
          <t>VALVERDE TOPON MARTHA</t>
        </is>
      </c>
      <c r="B46" s="60" t="inlineStr">
        <is>
          <t>1 - Persona natural</t>
        </is>
      </c>
      <c r="C46" s="60" t="inlineStr">
        <is>
          <t>R - RUC</t>
        </is>
      </c>
      <c r="D46" s="61" t="inlineStr">
        <is>
          <t>1717333452001</t>
        </is>
      </c>
      <c r="E46" s="60" t="inlineStr">
        <is>
          <t>ECU - En el Ecuador</t>
        </is>
      </c>
      <c r="F46" s="60" t="inlineStr">
        <is>
          <t>593 - ECUADOR</t>
        </is>
      </c>
      <c r="G46" s="60" t="inlineStr">
        <is>
          <t>2 - No</t>
        </is>
      </c>
      <c r="H46" s="60" t="inlineStr"/>
      <c r="I46" s="61" t="inlineStr"/>
      <c r="J46" s="62" t="n">
        <v>1712.7</v>
      </c>
      <c r="K46" s="63" t="n">
        <v>1712.7</v>
      </c>
      <c r="L46" s="62">
        <f>K46-J46</f>
        <v/>
      </c>
      <c r="M46" s="64">
        <f>IF(J46=0,"",(K46-J46)/J46)</f>
        <v/>
      </c>
    </row>
    <row r="47">
      <c r="A47" s="66" t="inlineStr">
        <is>
          <t>TACO ALMACHI CHRISTIAN ERNESTO</t>
        </is>
      </c>
      <c r="B47" s="65" t="inlineStr">
        <is>
          <t>1 - Persona natural</t>
        </is>
      </c>
      <c r="C47" s="65" t="inlineStr">
        <is>
          <t>R - RUC</t>
        </is>
      </c>
      <c r="D47" s="66" t="inlineStr">
        <is>
          <t>1719119511001</t>
        </is>
      </c>
      <c r="E47" s="65" t="inlineStr">
        <is>
          <t>ECU - En el Ecuador</t>
        </is>
      </c>
      <c r="F47" s="65" t="inlineStr">
        <is>
          <t>593 - ECUADOR</t>
        </is>
      </c>
      <c r="G47" s="65" t="inlineStr">
        <is>
          <t>2 - No</t>
        </is>
      </c>
      <c r="H47" s="65" t="inlineStr"/>
      <c r="I47" s="66" t="inlineStr"/>
      <c r="J47" s="67" t="n">
        <v>3339.22</v>
      </c>
      <c r="K47" s="63" t="n">
        <v>3339.22</v>
      </c>
      <c r="L47" s="67">
        <f>K47-J47</f>
        <v/>
      </c>
      <c r="M47" s="68">
        <f>IF(J47=0,"",(K47-J47)/J47)</f>
        <v/>
      </c>
    </row>
    <row r="48">
      <c r="A48" s="61" t="inlineStr">
        <is>
          <t>TALLER ARTESANAL ALUMCOL</t>
        </is>
      </c>
      <c r="B48" s="60" t="inlineStr">
        <is>
          <t>2 - Persona juridica</t>
        </is>
      </c>
      <c r="C48" s="60" t="inlineStr">
        <is>
          <t>R - RUC</t>
        </is>
      </c>
      <c r="D48" s="61" t="inlineStr">
        <is>
          <t>2390015758001</t>
        </is>
      </c>
      <c r="E48" s="60" t="inlineStr">
        <is>
          <t>ECU - En el Ecuador</t>
        </is>
      </c>
      <c r="F48" s="60" t="inlineStr">
        <is>
          <t>593 - ECUADOR</t>
        </is>
      </c>
      <c r="G48" s="60" t="inlineStr">
        <is>
          <t>2 - No</t>
        </is>
      </c>
      <c r="H48" s="60" t="inlineStr"/>
      <c r="I48" s="61" t="inlineStr"/>
      <c r="J48" s="62" t="n">
        <v>7672.74</v>
      </c>
      <c r="K48" s="63" t="n">
        <v>7672.74</v>
      </c>
      <c r="L48" s="62">
        <f>K48-J48</f>
        <v/>
      </c>
      <c r="M48" s="64">
        <f>IF(J48=0,"",(K48-J48)/J48)</f>
        <v/>
      </c>
    </row>
    <row r="49">
      <c r="A49" s="66" t="inlineStr">
        <is>
          <t>TOCALEMA TENESACA WILSON</t>
        </is>
      </c>
      <c r="B49" s="65" t="inlineStr">
        <is>
          <t>1 - Persona natural</t>
        </is>
      </c>
      <c r="C49" s="65" t="inlineStr">
        <is>
          <t>R - RUC</t>
        </is>
      </c>
      <c r="D49" s="66" t="inlineStr">
        <is>
          <t>1804816864001</t>
        </is>
      </c>
      <c r="E49" s="65" t="inlineStr">
        <is>
          <t>ECU - En el Ecuador</t>
        </is>
      </c>
      <c r="F49" s="65" t="inlineStr">
        <is>
          <t>593 - ECUADOR</t>
        </is>
      </c>
      <c r="G49" s="65" t="inlineStr">
        <is>
          <t>2 - No</t>
        </is>
      </c>
      <c r="H49" s="65" t="inlineStr"/>
      <c r="I49" s="66" t="inlineStr"/>
      <c r="J49" s="67" t="n">
        <v>1163.32</v>
      </c>
      <c r="K49" s="63" t="n">
        <v>1163.32</v>
      </c>
      <c r="L49" s="67">
        <f>K49-J49</f>
        <v/>
      </c>
      <c r="M49" s="68">
        <f>IF(J49=0,"",(K49-J49)/J49)</f>
        <v/>
      </c>
    </row>
    <row r="50">
      <c r="A50" s="61" t="inlineStr">
        <is>
          <t>TRANS ESMERALDAS INTERNACIONAL TEISA</t>
        </is>
      </c>
      <c r="B50" s="60" t="inlineStr">
        <is>
          <t>2 - Persona juridica</t>
        </is>
      </c>
      <c r="C50" s="60" t="inlineStr">
        <is>
          <t>R - RUC</t>
        </is>
      </c>
      <c r="D50" s="61" t="inlineStr">
        <is>
          <t>1790320359001</t>
        </is>
      </c>
      <c r="E50" s="60" t="inlineStr">
        <is>
          <t>ECU - En el Ecuador</t>
        </is>
      </c>
      <c r="F50" s="60" t="inlineStr">
        <is>
          <t>593 - ECUADOR</t>
        </is>
      </c>
      <c r="G50" s="60" t="inlineStr">
        <is>
          <t>2 - No</t>
        </is>
      </c>
      <c r="H50" s="60" t="inlineStr"/>
      <c r="I50" s="61" t="inlineStr"/>
      <c r="J50" s="62" t="n">
        <v>5478.42</v>
      </c>
      <c r="K50" s="63" t="n">
        <v>5478.42</v>
      </c>
      <c r="L50" s="62">
        <f>K50-J50</f>
        <v/>
      </c>
      <c r="M50" s="64">
        <f>IF(J50=0,"",(K50-J50)/J50)</f>
        <v/>
      </c>
    </row>
    <row r="51">
      <c r="A51" s="66" t="inlineStr">
        <is>
          <t>TRUJILLO CHACAN ISABEL</t>
        </is>
      </c>
      <c r="B51" s="65" t="inlineStr">
        <is>
          <t>1 - Persona natural</t>
        </is>
      </c>
      <c r="C51" s="65" t="inlineStr">
        <is>
          <t>R - RUC</t>
        </is>
      </c>
      <c r="D51" s="66" t="inlineStr">
        <is>
          <t>1719422204001</t>
        </is>
      </c>
      <c r="E51" s="65" t="inlineStr">
        <is>
          <t>ECU - En el Ecuador</t>
        </is>
      </c>
      <c r="F51" s="65" t="inlineStr">
        <is>
          <t>593 - ECUADOR</t>
        </is>
      </c>
      <c r="G51" s="65" t="inlineStr">
        <is>
          <t>2 - No</t>
        </is>
      </c>
      <c r="H51" s="65" t="inlineStr"/>
      <c r="I51" s="66" t="inlineStr"/>
      <c r="J51" s="67" t="n">
        <v>2452.12</v>
      </c>
      <c r="K51" s="63" t="n">
        <v>2452.12</v>
      </c>
      <c r="L51" s="67">
        <f>K51-J51</f>
        <v/>
      </c>
      <c r="M51" s="68">
        <f>IF(J51=0,"",(K51-J51)/J51)</f>
        <v/>
      </c>
    </row>
    <row r="52">
      <c r="A52" s="61" t="inlineStr">
        <is>
          <t>TUGUMINAGO MAISINCHO JAVIER</t>
        </is>
      </c>
      <c r="B52" s="60" t="inlineStr">
        <is>
          <t>1 - Persona natural</t>
        </is>
      </c>
      <c r="C52" s="60" t="inlineStr">
        <is>
          <t>R - RUC</t>
        </is>
      </c>
      <c r="D52" s="61" t="inlineStr">
        <is>
          <t>1715690234001</t>
        </is>
      </c>
      <c r="E52" s="60" t="inlineStr">
        <is>
          <t>ECU - En el Ecuador</t>
        </is>
      </c>
      <c r="F52" s="60" t="inlineStr">
        <is>
          <t>593 - ECUADOR</t>
        </is>
      </c>
      <c r="G52" s="60" t="inlineStr">
        <is>
          <t>2 - No</t>
        </is>
      </c>
      <c r="H52" s="60" t="inlineStr"/>
      <c r="I52" s="61" t="inlineStr"/>
      <c r="J52" s="62" t="n">
        <v>1599.95</v>
      </c>
      <c r="K52" s="63" t="n">
        <v>1599.95</v>
      </c>
      <c r="L52" s="62">
        <f>K52-J52</f>
        <v/>
      </c>
      <c r="M52" s="64">
        <f>IF(J52=0,"",(K52-J52)/J52)</f>
        <v/>
      </c>
    </row>
    <row r="53">
      <c r="A53" s="66" t="inlineStr">
        <is>
          <t>URBINA MONROY EDGAR</t>
        </is>
      </c>
      <c r="B53" s="65" t="inlineStr">
        <is>
          <t>1 - Persona natural</t>
        </is>
      </c>
      <c r="C53" s="65" t="inlineStr">
        <is>
          <t>R - RUC</t>
        </is>
      </c>
      <c r="D53" s="66" t="inlineStr">
        <is>
          <t>1716717218001</t>
        </is>
      </c>
      <c r="E53" s="65" t="inlineStr">
        <is>
          <t>ECU - En el Ecuador</t>
        </is>
      </c>
      <c r="F53" s="65" t="inlineStr">
        <is>
          <t>593 - ECUADOR</t>
        </is>
      </c>
      <c r="G53" s="65" t="inlineStr">
        <is>
          <t>2 - No</t>
        </is>
      </c>
      <c r="H53" s="65" t="inlineStr"/>
      <c r="I53" s="66" t="inlineStr"/>
      <c r="J53" s="67" t="n">
        <v>1841.63</v>
      </c>
      <c r="K53" s="63" t="n">
        <v>1841.63</v>
      </c>
      <c r="L53" s="67">
        <f>K53-J53</f>
        <v/>
      </c>
      <c r="M53" s="68">
        <f>IF(J53=0,"",(K53-J53)/J53)</f>
        <v/>
      </c>
    </row>
    <row r="54">
      <c r="A54" s="61" t="inlineStr">
        <is>
          <t>VALVERDE TOPON MARTHA MARISOL</t>
        </is>
      </c>
      <c r="B54" s="60" t="inlineStr">
        <is>
          <t>1 - Persona natural</t>
        </is>
      </c>
      <c r="C54" s="60" t="inlineStr">
        <is>
          <t>R - RUC</t>
        </is>
      </c>
      <c r="D54" s="61" t="inlineStr">
        <is>
          <t>1717333452001</t>
        </is>
      </c>
      <c r="E54" s="60" t="inlineStr">
        <is>
          <t>ECU - En el Ecuador</t>
        </is>
      </c>
      <c r="F54" s="60" t="inlineStr">
        <is>
          <t>593 - ECUADOR</t>
        </is>
      </c>
      <c r="G54" s="60" t="inlineStr">
        <is>
          <t>2 - No</t>
        </is>
      </c>
      <c r="H54" s="60" t="inlineStr"/>
      <c r="I54" s="61" t="inlineStr"/>
      <c r="J54" s="62" t="n">
        <v>1540.08</v>
      </c>
      <c r="K54" s="63" t="n">
        <v>1540.08</v>
      </c>
      <c r="L54" s="62">
        <f>K54-J54</f>
        <v/>
      </c>
      <c r="M54" s="64">
        <f>IF(J54=0,"",(K54-J54)/J54)</f>
        <v/>
      </c>
    </row>
    <row r="55">
      <c r="A55" s="66" t="inlineStr">
        <is>
          <t>VELASCO CIFUENTES WILLIAM</t>
        </is>
      </c>
      <c r="B55" s="65" t="inlineStr">
        <is>
          <t>1 - Persona natural</t>
        </is>
      </c>
      <c r="C55" s="65" t="inlineStr">
        <is>
          <t>R - RUC</t>
        </is>
      </c>
      <c r="D55" s="66" t="inlineStr">
        <is>
          <t>1003004163001</t>
        </is>
      </c>
      <c r="E55" s="65" t="inlineStr">
        <is>
          <t>ECU - En el Ecuador</t>
        </is>
      </c>
      <c r="F55" s="65" t="inlineStr">
        <is>
          <t>593 - ECUADOR</t>
        </is>
      </c>
      <c r="G55" s="65" t="inlineStr">
        <is>
          <t>2 - No</t>
        </is>
      </c>
      <c r="H55" s="65" t="inlineStr"/>
      <c r="I55" s="66" t="inlineStr"/>
      <c r="J55" s="67" t="n">
        <v>1833.84</v>
      </c>
      <c r="K55" s="63" t="n">
        <v>1833.84</v>
      </c>
      <c r="L55" s="67">
        <f>K55-J55</f>
        <v/>
      </c>
      <c r="M55" s="68">
        <f>IF(J55=0,"",(K55-J55)/J55)</f>
        <v/>
      </c>
    </row>
    <row r="56">
      <c r="A56" s="61" t="inlineStr">
        <is>
          <t>YEPEZ DAZA CESAR ANDRES</t>
        </is>
      </c>
      <c r="B56" s="60" t="inlineStr">
        <is>
          <t>1 - Persona natural</t>
        </is>
      </c>
      <c r="C56" s="60" t="inlineStr">
        <is>
          <t>R - RUC</t>
        </is>
      </c>
      <c r="D56" s="61" t="inlineStr">
        <is>
          <t>1001682036001</t>
        </is>
      </c>
      <c r="E56" s="60" t="inlineStr">
        <is>
          <t>ECU - En el Ecuador</t>
        </is>
      </c>
      <c r="F56" s="60" t="inlineStr">
        <is>
          <t>593 - ECUADOR</t>
        </is>
      </c>
      <c r="G56" s="60" t="inlineStr">
        <is>
          <t>2 - No</t>
        </is>
      </c>
      <c r="H56" s="60" t="inlineStr"/>
      <c r="I56" s="61" t="inlineStr"/>
      <c r="J56" s="62" t="n">
        <v>3137.98</v>
      </c>
      <c r="K56" s="63" t="n">
        <v>3137.98</v>
      </c>
      <c r="L56" s="62">
        <f>K56-J56</f>
        <v/>
      </c>
      <c r="M56" s="64">
        <f>IF(J56=0,"",(K56-J56)/J56)</f>
        <v/>
      </c>
    </row>
    <row r="57">
      <c r="A57" s="66" t="inlineStr">
        <is>
          <t>SERVICIO DE RENTAS INTERNAS</t>
        </is>
      </c>
      <c r="B57" s="65" t="inlineStr">
        <is>
          <t>2 - Persona juridica</t>
        </is>
      </c>
      <c r="C57" s="65" t="inlineStr">
        <is>
          <t>R - RUC</t>
        </is>
      </c>
      <c r="D57" s="66" t="inlineStr">
        <is>
          <t>1760013210001</t>
        </is>
      </c>
      <c r="E57" s="65" t="inlineStr">
        <is>
          <t>ECU - En el Ecuador</t>
        </is>
      </c>
      <c r="F57" s="65" t="inlineStr">
        <is>
          <t>593 - ECUADOR</t>
        </is>
      </c>
      <c r="G57" s="65" t="inlineStr">
        <is>
          <t>2 - No</t>
        </is>
      </c>
      <c r="H57" s="65" t="inlineStr"/>
      <c r="I57" s="66" t="inlineStr"/>
      <c r="J57" s="67" t="n">
        <v>19189.82</v>
      </c>
      <c r="K57" s="63" t="n">
        <v>19189.82</v>
      </c>
      <c r="L57" s="67">
        <f>K57-J57</f>
        <v/>
      </c>
      <c r="M57" s="68">
        <f>IF(J57=0,"",(K57-J57)/J57)</f>
        <v/>
      </c>
    </row>
    <row r="58" ht="22" customHeight="1">
      <c r="A58" s="69" t="inlineStr">
        <is>
          <t>TOTAL</t>
        </is>
      </c>
      <c r="B58" s="69" t="n"/>
      <c r="C58" s="69" t="n"/>
      <c r="D58" s="69" t="n"/>
      <c r="E58" s="69" t="n"/>
      <c r="F58" s="69" t="n"/>
      <c r="G58" s="69" t="n"/>
      <c r="H58" s="69" t="n"/>
      <c r="I58" s="69" t="n"/>
      <c r="J58" s="31">
        <f>SUM(J6:J57)</f>
        <v/>
      </c>
      <c r="K58" s="31">
        <f>SUM(K6:K57)</f>
        <v/>
      </c>
      <c r="L58" s="31">
        <f>K58-J58</f>
        <v/>
      </c>
      <c r="M58" s="32">
        <f>IF(J58=0,"",(K58-J58)/J58)</f>
        <v/>
      </c>
    </row>
  </sheetData>
  <mergeCells count="3">
    <mergeCell ref="A3:M3"/>
    <mergeCell ref="A2:M2"/>
    <mergeCell ref="A1:M1"/>
  </mergeCells>
  <dataValidations count="6">
    <dataValidation sqref="B6:B57" showDropDown="0" showInputMessage="0" showErrorMessage="0" allowBlank="1" type="list">
      <formula1>Catalogos!$H$2:$H$3</formula1>
    </dataValidation>
    <dataValidation sqref="C6:C57" showDropDown="0" showInputMessage="0" showErrorMessage="0" allowBlank="1" type="list">
      <formula1>Catalogos!$P$2:$P$5</formula1>
    </dataValidation>
    <dataValidation sqref="E6:E57" showDropDown="0" showInputMessage="0" showErrorMessage="0" allowBlank="1" type="list">
      <formula1>Catalogos!$C$2:$C$3</formula1>
    </dataValidation>
    <dataValidation sqref="F6:F57" showDropDown="0" showInputMessage="0" showErrorMessage="0" allowBlank="1" type="list">
      <formula1>Catalogos!$D$2:$D$258</formula1>
    </dataValidation>
    <dataValidation sqref="G6:G57" showDropDown="0" showInputMessage="0" showErrorMessage="0" allowBlank="1" type="list">
      <formula1>Catalogos!$F$2:$F$3</formula1>
    </dataValidation>
    <dataValidation sqref="H6:H57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7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bien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>
        <is>
          <t>2 - Inventario de mercaderias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/>
      <c r="E6" s="61" t="inlineStr"/>
      <c r="F6" s="62" t="n">
        <v>208043.81</v>
      </c>
      <c r="G6" s="63" t="n">
        <v>208043.81</v>
      </c>
      <c r="H6" s="62">
        <f>G6-F6</f>
        <v/>
      </c>
      <c r="I6" s="64">
        <f>IF(F6=0,"",(G6-F6)/F6)</f>
        <v/>
      </c>
    </row>
    <row r="7" ht="22" customHeight="1">
      <c r="A7" s="69" t="inlineStr">
        <is>
          <t>TOTAL</t>
        </is>
      </c>
      <c r="B7" s="69" t="n"/>
      <c r="C7" s="69" t="n"/>
      <c r="D7" s="69" t="n"/>
      <c r="E7" s="69" t="n"/>
      <c r="F7" s="31">
        <f>SUM(F6:F6)</f>
        <v/>
      </c>
      <c r="G7" s="31">
        <f>SUM(G6:G6)</f>
        <v/>
      </c>
      <c r="H7" s="31">
        <f>G7-F7</f>
        <v/>
      </c>
      <c r="I7" s="32">
        <f>IF(F7=0,"",(G7-F7)/F7)</f>
        <v/>
      </c>
    </row>
  </sheetData>
  <mergeCells count="3">
    <mergeCell ref="A1:I1"/>
    <mergeCell ref="A3:I3"/>
    <mergeCell ref="A2:I2"/>
  </mergeCells>
  <dataValidations count="4">
    <dataValidation sqref="A6" showDropDown="0" showInputMessage="0" showErrorMessage="0" allowBlank="1" type="list">
      <formula1>Catalogos!$I$2:$I$7</formula1>
    </dataValidation>
    <dataValidation sqref="B6" showDropDown="0" showInputMessage="0" showErrorMessage="0" allowBlank="1" type="list">
      <formula1>Catalogos!$C$2:$C$3</formula1>
    </dataValidation>
    <dataValidation sqref="C6" showDropDown="0" showInputMessage="0" showErrorMessage="0" allowBlank="1" type="list">
      <formula1>Catalogos!$D$2:$D$258</formula1>
    </dataValidation>
    <dataValidation sqref="D6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vehiculo</t>
        </is>
      </c>
      <c r="B5" s="26" t="inlineStr">
        <is>
          <t>Registro / placa / chasis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Regularizacion activos</t>
        </is>
      </c>
      <c r="F5" s="26" t="inlineStr">
        <is>
          <t>Anio fiscal adquisicion</t>
        </is>
      </c>
      <c r="G5" s="26" t="inlineStr">
        <is>
          <t>Valor 2025</t>
        </is>
      </c>
      <c r="H5" s="26" t="inlineStr">
        <is>
          <t>Valor 2026</t>
        </is>
      </c>
      <c r="I5" s="26" t="inlineStr">
        <is>
          <t>Variacion</t>
        </is>
      </c>
      <c r="J5" s="26" t="inlineStr">
        <is>
          <t>Variacion %</t>
        </is>
      </c>
    </row>
    <row r="6">
      <c r="A6" s="60" t="inlineStr">
        <is>
          <t>1 - Vehiculos motorizados terrestres</t>
        </is>
      </c>
      <c r="B6" s="61" t="inlineStr">
        <is>
          <t>BBW0338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/>
      <c r="F6" s="61" t="inlineStr"/>
      <c r="G6" s="62" t="n">
        <v>4550</v>
      </c>
      <c r="H6" s="63" t="n">
        <v>4550</v>
      </c>
      <c r="I6" s="62">
        <f>H6-G6</f>
        <v/>
      </c>
      <c r="J6" s="64">
        <f>IF(G6=0,"",(H6-G6)/G6)</f>
        <v/>
      </c>
    </row>
    <row r="7">
      <c r="A7" s="65" t="inlineStr">
        <is>
          <t>1 - Vehiculos motorizados terrestres</t>
        </is>
      </c>
      <c r="B7" s="66" t="inlineStr">
        <is>
          <t>PCT7157</t>
        </is>
      </c>
      <c r="C7" s="65" t="inlineStr">
        <is>
          <t>ECU - En el Ecuador</t>
        </is>
      </c>
      <c r="D7" s="65" t="inlineStr">
        <is>
          <t>593 - ECUADOR</t>
        </is>
      </c>
      <c r="E7" s="65" t="inlineStr"/>
      <c r="F7" s="66" t="inlineStr"/>
      <c r="G7" s="67" t="n">
        <v>4798.24</v>
      </c>
      <c r="H7" s="63" t="n">
        <v>4798.24</v>
      </c>
      <c r="I7" s="67">
        <f>H7-G7</f>
        <v/>
      </c>
      <c r="J7" s="68">
        <f>IF(G7=0,"",(H7-G7)/G7)</f>
        <v/>
      </c>
    </row>
    <row r="8">
      <c r="A8" s="60" t="inlineStr">
        <is>
          <t>1 - Vehiculos motorizados terrestres</t>
        </is>
      </c>
      <c r="B8" s="61" t="inlineStr">
        <is>
          <t>IC9061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/>
      <c r="F8" s="61" t="inlineStr"/>
      <c r="G8" s="62" t="n">
        <v>440</v>
      </c>
      <c r="H8" s="63" t="n">
        <v>440</v>
      </c>
      <c r="I8" s="62">
        <f>H8-G8</f>
        <v/>
      </c>
      <c r="J8" s="64">
        <f>IF(G8=0,"",(H8-G8)/G8)</f>
        <v/>
      </c>
    </row>
    <row r="9">
      <c r="A9" s="65" t="inlineStr">
        <is>
          <t>1 - Vehiculos motorizados terrestres</t>
        </is>
      </c>
      <c r="B9" s="66" t="inlineStr">
        <is>
          <t>TBA6487</t>
        </is>
      </c>
      <c r="C9" s="65" t="inlineStr">
        <is>
          <t>ECU - En el Ecuador</t>
        </is>
      </c>
      <c r="D9" s="65" t="inlineStr">
        <is>
          <t>593 - ECUADOR</t>
        </is>
      </c>
      <c r="E9" s="65" t="inlineStr"/>
      <c r="F9" s="66" t="inlineStr"/>
      <c r="G9" s="67" t="n">
        <v>10640.1</v>
      </c>
      <c r="H9" s="63" t="n">
        <v>10640.1</v>
      </c>
      <c r="I9" s="67">
        <f>H9-G9</f>
        <v/>
      </c>
      <c r="J9" s="68">
        <f>IF(G9=0,"",(H9-G9)/G9)</f>
        <v/>
      </c>
    </row>
    <row r="10">
      <c r="A10" s="60" t="inlineStr">
        <is>
          <t>1 - Vehiculos motorizados terrestres</t>
        </is>
      </c>
      <c r="B10" s="61" t="inlineStr">
        <is>
          <t>PCT1304</t>
        </is>
      </c>
      <c r="C10" s="60" t="inlineStr">
        <is>
          <t>ECU - En el Ecuador</t>
        </is>
      </c>
      <c r="D10" s="60" t="inlineStr">
        <is>
          <t>593 - ECUADOR</t>
        </is>
      </c>
      <c r="E10" s="60" t="inlineStr"/>
      <c r="F10" s="61" t="inlineStr"/>
      <c r="G10" s="62" t="n">
        <v>20250</v>
      </c>
      <c r="H10" s="63" t="n">
        <v>20250</v>
      </c>
      <c r="I10" s="62">
        <f>H10-G10</f>
        <v/>
      </c>
      <c r="J10" s="64">
        <f>IF(G10=0,"",(H10-G10)/G10)</f>
        <v/>
      </c>
    </row>
    <row r="11">
      <c r="A11" s="65" t="inlineStr">
        <is>
          <t>1 - Vehiculos motorizados terrestres</t>
        </is>
      </c>
      <c r="B11" s="66" t="inlineStr">
        <is>
          <t>PDP6212</t>
        </is>
      </c>
      <c r="C11" s="65" t="inlineStr">
        <is>
          <t>ECU - En el Ecuador</t>
        </is>
      </c>
      <c r="D11" s="65" t="inlineStr">
        <is>
          <t>593 - ECUADOR</t>
        </is>
      </c>
      <c r="E11" s="65" t="inlineStr"/>
      <c r="F11" s="66" t="inlineStr"/>
      <c r="G11" s="67" t="n">
        <v>15733.33</v>
      </c>
      <c r="H11" s="63" t="n">
        <v>15733.33</v>
      </c>
      <c r="I11" s="67">
        <f>H11-G11</f>
        <v/>
      </c>
      <c r="J11" s="68">
        <f>IF(G11=0,"",(H11-G11)/G11)</f>
        <v/>
      </c>
    </row>
    <row r="12">
      <c r="A12" s="60" t="inlineStr">
        <is>
          <t>1 - Vehiculos motorizados terrestres</t>
        </is>
      </c>
      <c r="B12" s="61" t="inlineStr">
        <is>
          <t>PDP5685</t>
        </is>
      </c>
      <c r="C12" s="60" t="inlineStr">
        <is>
          <t>ECU - En el Ecuador</t>
        </is>
      </c>
      <c r="D12" s="60" t="inlineStr">
        <is>
          <t>593 - ECUADOR</t>
        </is>
      </c>
      <c r="E12" s="60" t="inlineStr"/>
      <c r="F12" s="61" t="inlineStr"/>
      <c r="G12" s="62" t="n">
        <v>14751.92</v>
      </c>
      <c r="H12" s="63" t="n">
        <v>14751.92</v>
      </c>
      <c r="I12" s="62">
        <f>H12-G12</f>
        <v/>
      </c>
      <c r="J12" s="64">
        <f>IF(G12=0,"",(H12-G12)/G12)</f>
        <v/>
      </c>
    </row>
    <row r="13">
      <c r="A13" s="65" t="inlineStr">
        <is>
          <t>1 - Vehiculos motorizados terrestres</t>
        </is>
      </c>
      <c r="B13" s="66" t="inlineStr">
        <is>
          <t>IBC6684</t>
        </is>
      </c>
      <c r="C13" s="65" t="inlineStr">
        <is>
          <t>ECU - En el Ecuador</t>
        </is>
      </c>
      <c r="D13" s="65" t="inlineStr">
        <is>
          <t>593 - ECUADOR</t>
        </is>
      </c>
      <c r="E13" s="65" t="inlineStr"/>
      <c r="F13" s="66" t="inlineStr"/>
      <c r="G13" s="67" t="n">
        <v>33000</v>
      </c>
      <c r="H13" s="63" t="n">
        <v>33000</v>
      </c>
      <c r="I13" s="67">
        <f>H13-G13</f>
        <v/>
      </c>
      <c r="J13" s="68">
        <f>IF(G13=0,"",(H13-G13)/G13)</f>
        <v/>
      </c>
    </row>
    <row r="14">
      <c r="A14" s="60" t="inlineStr">
        <is>
          <t>1 - Vehiculos motorizados terrestres</t>
        </is>
      </c>
      <c r="B14" s="61" t="inlineStr">
        <is>
          <t>KE312H</t>
        </is>
      </c>
      <c r="C14" s="60" t="inlineStr">
        <is>
          <t>ECU - En el Ecuador</t>
        </is>
      </c>
      <c r="D14" s="60" t="inlineStr">
        <is>
          <t>593 - ECUADOR</t>
        </is>
      </c>
      <c r="E14" s="60" t="inlineStr"/>
      <c r="F14" s="61" t="inlineStr"/>
      <c r="G14" s="62" t="n">
        <v>35000</v>
      </c>
      <c r="H14" s="63" t="n">
        <v>35000</v>
      </c>
      <c r="I14" s="62">
        <f>H14-G14</f>
        <v/>
      </c>
      <c r="J14" s="64">
        <f>IF(G14=0,"",(H14-G14)/G14)</f>
        <v/>
      </c>
    </row>
    <row r="15" ht="22" customHeight="1">
      <c r="A15" s="69" t="inlineStr">
        <is>
          <t>TOTAL</t>
        </is>
      </c>
      <c r="B15" s="69" t="n"/>
      <c r="C15" s="69" t="n"/>
      <c r="D15" s="69" t="n"/>
      <c r="E15" s="69" t="n"/>
      <c r="F15" s="69" t="n"/>
      <c r="G15" s="31">
        <f>SUM(G6:G14)</f>
        <v/>
      </c>
      <c r="H15" s="31">
        <f>SUM(H6:H14)</f>
        <v/>
      </c>
      <c r="I15" s="31">
        <f>H15-G15</f>
        <v/>
      </c>
      <c r="J15" s="32">
        <f>IF(G15=0,"",(H15-G15)/G15)</f>
        <v/>
      </c>
    </row>
  </sheetData>
  <mergeCells count="3">
    <mergeCell ref="A1:J1"/>
    <mergeCell ref="A3:J3"/>
    <mergeCell ref="A2:J2"/>
  </mergeCells>
  <dataValidations count="4">
    <dataValidation sqref="A6:A14" showDropDown="0" showInputMessage="0" showErrorMessage="0" allowBlank="1" type="list">
      <formula1>Catalogos!$J$2:$J$4</formula1>
    </dataValidation>
    <dataValidation sqref="C6:C14" showDropDown="0" showInputMessage="0" showErrorMessage="0" allowBlank="1" type="list">
      <formula1>Catalogos!$C$2:$C$3</formula1>
    </dataValidation>
    <dataValidation sqref="D6:D14" showDropDown="0" showInputMessage="0" showErrorMessage="0" allowBlank="1" type="list">
      <formula1>Catalogos!$D$2:$D$258</formula1>
    </dataValidation>
    <dataValidation sqref="E6:E14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derecho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5" t="inlineStr"/>
      <c r="D7" s="65" t="inlineStr"/>
      <c r="E7" s="66" t="inlineStr"/>
      <c r="F7" s="63" t="n">
        <v>0</v>
      </c>
      <c r="G7" s="63" t="n">
        <v>0</v>
      </c>
      <c r="H7" s="67">
        <f>G7-F7</f>
        <v/>
      </c>
      <c r="I7" s="68">
        <f>IF(F7=0,"",(G7-F7)/F7)</f>
        <v/>
      </c>
    </row>
    <row r="8">
      <c r="A8" s="60" t="inlineStr"/>
      <c r="B8" s="60" t="inlineStr"/>
      <c r="C8" s="60" t="inlineStr"/>
      <c r="D8" s="60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5" t="inlineStr"/>
      <c r="D9" s="65" t="inlineStr"/>
      <c r="E9" s="66" t="inlineStr"/>
      <c r="F9" s="63" t="n">
        <v>0</v>
      </c>
      <c r="G9" s="63" t="n">
        <v>0</v>
      </c>
      <c r="H9" s="67">
        <f>G9-F9</f>
        <v/>
      </c>
      <c r="I9" s="68">
        <f>IF(F9=0,"",(G9-F9)/F9)</f>
        <v/>
      </c>
    </row>
    <row r="10">
      <c r="A10" s="60" t="inlineStr"/>
      <c r="B10" s="60" t="inlineStr"/>
      <c r="C10" s="60" t="inlineStr"/>
      <c r="D10" s="60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5" t="inlineStr"/>
      <c r="D11" s="65" t="inlineStr"/>
      <c r="E11" s="66" t="inlineStr"/>
      <c r="F11" s="63" t="n">
        <v>0</v>
      </c>
      <c r="G11" s="63" t="n">
        <v>0</v>
      </c>
      <c r="H11" s="67">
        <f>G11-F11</f>
        <v/>
      </c>
      <c r="I11" s="68">
        <f>IF(F11=0,"",(G11-F11)/F11)</f>
        <v/>
      </c>
    </row>
    <row r="12">
      <c r="A12" s="60" t="inlineStr"/>
      <c r="B12" s="60" t="inlineStr"/>
      <c r="C12" s="60" t="inlineStr"/>
      <c r="D12" s="60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5" t="inlineStr"/>
      <c r="D13" s="65" t="inlineStr"/>
      <c r="E13" s="66" t="inlineStr"/>
      <c r="F13" s="63" t="n">
        <v>0</v>
      </c>
      <c r="G13" s="63" t="n">
        <v>0</v>
      </c>
      <c r="H13" s="67">
        <f>G13-F13</f>
        <v/>
      </c>
      <c r="I13" s="68">
        <f>IF(F13=0,"",(G13-F13)/F13)</f>
        <v/>
      </c>
    </row>
    <row r="14" ht="22" customHeight="1">
      <c r="A14" s="69" t="inlineStr">
        <is>
          <t>TOTAL</t>
        </is>
      </c>
      <c r="B14" s="69" t="n"/>
      <c r="C14" s="69" t="n"/>
      <c r="D14" s="69" t="n"/>
      <c r="E14" s="69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inmueble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Provincia</t>
        </is>
      </c>
      <c r="E5" s="26" t="inlineStr">
        <is>
          <t>Canton</t>
        </is>
      </c>
      <c r="F5" s="26" t="inlineStr">
        <is>
          <t>Fecha de inscripcion</t>
        </is>
      </c>
      <c r="G5" s="26" t="inlineStr">
        <is>
          <t>Clave catastral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6 - Almacenera o bodega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217 - PICHINCHA</t>
        </is>
      </c>
      <c r="E6" s="60" t="inlineStr">
        <is>
          <t>21701 - QUITO</t>
        </is>
      </c>
      <c r="F6" s="61" t="inlineStr">
        <is>
          <t>24/05/2016</t>
        </is>
      </c>
      <c r="G6" s="61" t="inlineStr">
        <is>
          <t>1160204007</t>
        </is>
      </c>
      <c r="H6" s="60" t="inlineStr"/>
      <c r="I6" s="61" t="inlineStr"/>
      <c r="J6" s="62" t="n">
        <v>350000</v>
      </c>
      <c r="K6" s="63" t="n">
        <v>350000</v>
      </c>
      <c r="L6" s="62">
        <f>K6-J6</f>
        <v/>
      </c>
      <c r="M6" s="64">
        <f>IF(J6=0,"",(K6-J6)/J6)</f>
        <v/>
      </c>
    </row>
    <row r="7">
      <c r="A7" s="65" t="inlineStr">
        <is>
          <t>1 - Casa</t>
        </is>
      </c>
      <c r="B7" s="65" t="inlineStr">
        <is>
          <t>ECU - En el Ecuador</t>
        </is>
      </c>
      <c r="C7" s="65" t="inlineStr">
        <is>
          <t>593 - ECUADOR</t>
        </is>
      </c>
      <c r="D7" s="65" t="inlineStr">
        <is>
          <t>217 - PICHINCHA</t>
        </is>
      </c>
      <c r="E7" s="65" t="inlineStr">
        <is>
          <t>21701 - QUITO</t>
        </is>
      </c>
      <c r="F7" s="66" t="inlineStr">
        <is>
          <t>25/08/2016</t>
        </is>
      </c>
      <c r="G7" s="66" t="inlineStr">
        <is>
          <t>1310112001</t>
        </is>
      </c>
      <c r="H7" s="65" t="inlineStr"/>
      <c r="I7" s="66" t="inlineStr"/>
      <c r="J7" s="67" t="n">
        <v>325000</v>
      </c>
      <c r="K7" s="63" t="n">
        <v>325000</v>
      </c>
      <c r="L7" s="67">
        <f>K7-J7</f>
        <v/>
      </c>
      <c r="M7" s="68">
        <f>IF(J7=0,"",(K7-J7)/J7)</f>
        <v/>
      </c>
    </row>
    <row r="8" ht="22" customHeight="1">
      <c r="A8" s="69" t="inlineStr">
        <is>
          <t>TOTAL</t>
        </is>
      </c>
      <c r="B8" s="69" t="n"/>
      <c r="C8" s="69" t="n"/>
      <c r="D8" s="69" t="n"/>
      <c r="E8" s="69" t="n"/>
      <c r="F8" s="69" t="n"/>
      <c r="G8" s="69" t="n"/>
      <c r="H8" s="69" t="n"/>
      <c r="I8" s="69" t="n"/>
      <c r="J8" s="31">
        <f>SUM(J6:J7)</f>
        <v/>
      </c>
      <c r="K8" s="31">
        <f>SUM(K6:K7)</f>
        <v/>
      </c>
      <c r="L8" s="31">
        <f>K8-J8</f>
        <v/>
      </c>
      <c r="M8" s="32">
        <f>IF(J8=0,"",(K8-J8)/J8)</f>
        <v/>
      </c>
    </row>
  </sheetData>
  <mergeCells count="3">
    <mergeCell ref="A3:M3"/>
    <mergeCell ref="A2:M2"/>
    <mergeCell ref="A1:M1"/>
  </mergeCells>
  <dataValidations count="6">
    <dataValidation sqref="A6:A7" showDropDown="0" showInputMessage="0" showErrorMessage="0" allowBlank="1" type="list">
      <formula1>Catalogos!$L$2:$L$10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D6:D7" showDropDown="0" showInputMessage="0" showErrorMessage="0" allowBlank="1" type="list">
      <formula1>Catalogos!$M$2:$M$25</formula1>
    </dataValidation>
    <dataValidation sqref="E6:E7" showDropDown="0" showInputMessage="0" showErrorMessage="0" allowBlank="1" type="list">
      <formula1>Catalogos!$N$2:$N$222</formula1>
    </dataValidation>
    <dataValidation sqref="H6:H7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Ubicacion</t>
        </is>
      </c>
      <c r="B5" s="26" t="inlineStr">
        <is>
          <t>Pais</t>
        </is>
      </c>
      <c r="C5" s="26" t="inlineStr">
        <is>
          <t>Descripcion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1" t="inlineStr"/>
      <c r="D6" s="60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6" t="inlineStr"/>
      <c r="D7" s="65" t="inlineStr"/>
      <c r="E7" s="66" t="inlineStr"/>
      <c r="F7" s="63" t="n">
        <v>0</v>
      </c>
      <c r="G7" s="63" t="n">
        <v>0</v>
      </c>
      <c r="H7" s="67">
        <f>G7-F7</f>
        <v/>
      </c>
      <c r="I7" s="68">
        <f>IF(F7=0,"",(G7-F7)/F7)</f>
        <v/>
      </c>
    </row>
    <row r="8">
      <c r="A8" s="60" t="inlineStr"/>
      <c r="B8" s="60" t="inlineStr"/>
      <c r="C8" s="61" t="inlineStr"/>
      <c r="D8" s="60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6" t="inlineStr"/>
      <c r="D9" s="65" t="inlineStr"/>
      <c r="E9" s="66" t="inlineStr"/>
      <c r="F9" s="63" t="n">
        <v>0</v>
      </c>
      <c r="G9" s="63" t="n">
        <v>0</v>
      </c>
      <c r="H9" s="67">
        <f>G9-F9</f>
        <v/>
      </c>
      <c r="I9" s="68">
        <f>IF(F9=0,"",(G9-F9)/F9)</f>
        <v/>
      </c>
    </row>
    <row r="10">
      <c r="A10" s="60" t="inlineStr"/>
      <c r="B10" s="60" t="inlineStr"/>
      <c r="C10" s="61" t="inlineStr"/>
      <c r="D10" s="60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6" t="inlineStr"/>
      <c r="D11" s="65" t="inlineStr"/>
      <c r="E11" s="66" t="inlineStr"/>
      <c r="F11" s="63" t="n">
        <v>0</v>
      </c>
      <c r="G11" s="63" t="n">
        <v>0</v>
      </c>
      <c r="H11" s="67">
        <f>G11-F11</f>
        <v/>
      </c>
      <c r="I11" s="68">
        <f>IF(F11=0,"",(G11-F11)/F11)</f>
        <v/>
      </c>
    </row>
    <row r="12">
      <c r="A12" s="60" t="inlineStr"/>
      <c r="B12" s="60" t="inlineStr"/>
      <c r="C12" s="61" t="inlineStr"/>
      <c r="D12" s="60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6" t="inlineStr"/>
      <c r="D13" s="65" t="inlineStr"/>
      <c r="E13" s="66" t="inlineStr"/>
      <c r="F13" s="63" t="n">
        <v>0</v>
      </c>
      <c r="G13" s="63" t="n">
        <v>0</v>
      </c>
      <c r="H13" s="67">
        <f>G13-F13</f>
        <v/>
      </c>
      <c r="I13" s="68">
        <f>IF(F13=0,"",(G13-F13)/F13)</f>
        <v/>
      </c>
    </row>
    <row r="14" ht="22" customHeight="1">
      <c r="A14" s="69" t="inlineStr">
        <is>
          <t>TOTAL</t>
        </is>
      </c>
      <c r="B14" s="69" t="n"/>
      <c r="C14" s="69" t="n"/>
      <c r="D14" s="69" t="n"/>
      <c r="E14" s="69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11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acreedor</t>
        </is>
      </c>
      <c r="B5" s="26" t="inlineStr">
        <is>
          <t>Domicilio del acreedor</t>
        </is>
      </c>
      <c r="C5" s="26" t="inlineStr">
        <is>
          <t>Pais</t>
        </is>
      </c>
      <c r="D5" s="26" t="inlineStr">
        <is>
          <t>Nombre del acreedor</t>
        </is>
      </c>
      <c r="E5" s="26" t="inlineStr">
        <is>
          <t>Tipo de identificacion</t>
        </is>
      </c>
      <c r="F5" s="26" t="inlineStr">
        <is>
          <t>N. de identificacion</t>
        </is>
      </c>
      <c r="G5" s="26" t="inlineStr">
        <is>
          <t>N. registro Banco Central</t>
        </is>
      </c>
      <c r="H5" s="26" t="inlineStr">
        <is>
          <t>Partes relacionadas</t>
        </is>
      </c>
      <c r="I5" s="26" t="inlineStr">
        <is>
          <t>Valor 2025</t>
        </is>
      </c>
      <c r="J5" s="26" t="inlineStr">
        <is>
          <t>Valor 2026</t>
        </is>
      </c>
      <c r="K5" s="26" t="inlineStr">
        <is>
          <t>Variacion</t>
        </is>
      </c>
      <c r="L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ECU - En el Ecuador</t>
        </is>
      </c>
      <c r="C6" s="60" t="inlineStr">
        <is>
          <t>593 - ECUADOR</t>
        </is>
      </c>
      <c r="D6" s="61" t="inlineStr">
        <is>
          <t>BANCO DINERS CLUB DEL ECUADOR</t>
        </is>
      </c>
      <c r="E6" s="60" t="inlineStr">
        <is>
          <t>R - RUC</t>
        </is>
      </c>
      <c r="F6" s="61" t="inlineStr">
        <is>
          <t>1790283380001</t>
        </is>
      </c>
      <c r="G6" s="61" t="inlineStr"/>
      <c r="H6" s="60" t="inlineStr">
        <is>
          <t>2 - No</t>
        </is>
      </c>
      <c r="I6" s="62" t="n">
        <v>22093.72</v>
      </c>
      <c r="J6" s="63" t="n">
        <v>22093.72</v>
      </c>
      <c r="K6" s="62">
        <f>J6-I6</f>
        <v/>
      </c>
      <c r="L6" s="64">
        <f>IF(I6=0,"",(J6-I6)/I6)</f>
        <v/>
      </c>
    </row>
    <row r="7">
      <c r="A7" s="65" t="inlineStr">
        <is>
          <t>IFI - Instituciones financieras</t>
        </is>
      </c>
      <c r="B7" s="65" t="inlineStr">
        <is>
          <t>ECU - En el Ecuador</t>
        </is>
      </c>
      <c r="C7" s="65" t="inlineStr">
        <is>
          <t>593 - ECUADOR</t>
        </is>
      </c>
      <c r="D7" s="66" t="inlineStr">
        <is>
          <t>BANCO PICHINCHA</t>
        </is>
      </c>
      <c r="E7" s="65" t="inlineStr">
        <is>
          <t>R - RUC</t>
        </is>
      </c>
      <c r="F7" s="66" t="inlineStr">
        <is>
          <t>1790010937001</t>
        </is>
      </c>
      <c r="G7" s="66" t="inlineStr"/>
      <c r="H7" s="65" t="inlineStr">
        <is>
          <t>2 - No</t>
        </is>
      </c>
      <c r="I7" s="67" t="n">
        <v>1904.19</v>
      </c>
      <c r="J7" s="63" t="n">
        <v>1904.19</v>
      </c>
      <c r="K7" s="67">
        <f>J7-I7</f>
        <v/>
      </c>
      <c r="L7" s="68">
        <f>IF(I7=0,"",(J7-I7)/I7)</f>
        <v/>
      </c>
    </row>
    <row r="8">
      <c r="A8" s="60" t="inlineStr">
        <is>
          <t>OTR - Otros pasivos</t>
        </is>
      </c>
      <c r="B8" s="60" t="inlineStr">
        <is>
          <t>ECU - En el Ecuador</t>
        </is>
      </c>
      <c r="C8" s="60" t="inlineStr">
        <is>
          <t>593 - ECUADOR</t>
        </is>
      </c>
      <c r="D8" s="61" t="inlineStr">
        <is>
          <t>SIKA ECUATORIANA SA</t>
        </is>
      </c>
      <c r="E8" s="60" t="inlineStr">
        <is>
          <t>R - RUC</t>
        </is>
      </c>
      <c r="F8" s="61" t="inlineStr">
        <is>
          <t>1790753573001</t>
        </is>
      </c>
      <c r="G8" s="61" t="inlineStr"/>
      <c r="H8" s="60" t="inlineStr">
        <is>
          <t>2 - No</t>
        </is>
      </c>
      <c r="I8" s="62" t="n">
        <v>1963.99</v>
      </c>
      <c r="J8" s="63" t="n">
        <v>1963.99</v>
      </c>
      <c r="K8" s="62">
        <f>J8-I8</f>
        <v/>
      </c>
      <c r="L8" s="64">
        <f>IF(I8=0,"",(J8-I8)/I8)</f>
        <v/>
      </c>
    </row>
    <row r="9">
      <c r="A9" s="65" t="inlineStr">
        <is>
          <t>OTR - Otros pasivos</t>
        </is>
      </c>
      <c r="B9" s="65" t="inlineStr">
        <is>
          <t>ECU - En el Ecuador</t>
        </is>
      </c>
      <c r="C9" s="65" t="inlineStr">
        <is>
          <t>593 - ECUADOR</t>
        </is>
      </c>
      <c r="D9" s="66" t="inlineStr">
        <is>
          <t>SERVICIO DE RENTAS INTERNAS</t>
        </is>
      </c>
      <c r="E9" s="65" t="inlineStr">
        <is>
          <t>R - RUC</t>
        </is>
      </c>
      <c r="F9" s="66" t="inlineStr">
        <is>
          <t>1760013210001</t>
        </is>
      </c>
      <c r="G9" s="66" t="inlineStr"/>
      <c r="H9" s="65" t="inlineStr">
        <is>
          <t>2 - No</t>
        </is>
      </c>
      <c r="I9" s="67" t="n">
        <v>6925.06</v>
      </c>
      <c r="J9" s="63" t="n">
        <v>6925.06</v>
      </c>
      <c r="K9" s="67">
        <f>J9-I9</f>
        <v/>
      </c>
      <c r="L9" s="68">
        <f>IF(I9=0,"",(J9-I9)/I9)</f>
        <v/>
      </c>
    </row>
    <row r="10">
      <c r="A10" s="60" t="inlineStr">
        <is>
          <t>IES - IESS</t>
        </is>
      </c>
      <c r="B10" s="60" t="inlineStr">
        <is>
          <t>ECU - En el Ecuador</t>
        </is>
      </c>
      <c r="C10" s="60" t="inlineStr">
        <is>
          <t>593 - ECUADOR</t>
        </is>
      </c>
      <c r="D10" s="61" t="inlineStr">
        <is>
          <t>INSTITUTO ECUATORIANO DE SEGURIDAD SOCIAL</t>
        </is>
      </c>
      <c r="E10" s="60" t="inlineStr">
        <is>
          <t>R - RUC</t>
        </is>
      </c>
      <c r="F10" s="61" t="inlineStr">
        <is>
          <t>1760004650001</t>
        </is>
      </c>
      <c r="G10" s="61" t="inlineStr"/>
      <c r="H10" s="60" t="inlineStr">
        <is>
          <t>2 - No</t>
        </is>
      </c>
      <c r="I10" s="62" t="n">
        <v>3018.61</v>
      </c>
      <c r="J10" s="63" t="n">
        <v>3018.61</v>
      </c>
      <c r="K10" s="62">
        <f>J10-I10</f>
        <v/>
      </c>
      <c r="L10" s="64">
        <f>IF(I10=0,"",(J10-I10)/I10)</f>
        <v/>
      </c>
    </row>
    <row r="11" ht="22" customHeight="1">
      <c r="A11" s="70" t="inlineStr">
        <is>
          <t>TOTAL</t>
        </is>
      </c>
      <c r="B11" s="70" t="n"/>
      <c r="C11" s="70" t="n"/>
      <c r="D11" s="70" t="n"/>
      <c r="E11" s="70" t="n"/>
      <c r="F11" s="70" t="n"/>
      <c r="G11" s="70" t="n"/>
      <c r="H11" s="70" t="n"/>
      <c r="I11" s="38">
        <f>SUM(I6:I10)</f>
        <v/>
      </c>
      <c r="J11" s="38">
        <f>SUM(J6:J10)</f>
        <v/>
      </c>
      <c r="K11" s="38">
        <f>J11-I11</f>
        <v/>
      </c>
      <c r="L11" s="39">
        <f>IF(I11=0,"",(J11-I11)/I11)</f>
        <v/>
      </c>
    </row>
  </sheetData>
  <mergeCells count="3">
    <mergeCell ref="A3:L3"/>
    <mergeCell ref="A2:L2"/>
    <mergeCell ref="A1:L1"/>
  </mergeCells>
  <dataValidations count="5">
    <dataValidation sqref="A6:A10" showDropDown="0" showInputMessage="0" showErrorMessage="0" allowBlank="1" type="list">
      <formula1>Catalogos!$O$2:$O$9</formula1>
    </dataValidation>
    <dataValidation sqref="B6:B10" showDropDown="0" showInputMessage="0" showErrorMessage="0" allowBlank="1" type="list">
      <formula1>Catalogos!$C$2:$C$3</formula1>
    </dataValidation>
    <dataValidation sqref="C6:C10" showDropDown="0" showInputMessage="0" showErrorMessage="0" allowBlank="1" type="list">
      <formula1>Catalogos!$D$2:$D$258</formula1>
    </dataValidation>
    <dataValidation sqref="E6:E10" showDropDown="0" showInputMessage="0" showErrorMessage="0" allowBlank="1" type="list">
      <formula1>Catalogos!$P$2:$P$5</formula1>
    </dataValidation>
    <dataValidation sqref="H6:H10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4" customWidth="1" min="3" max="3"/>
    <col width="14" customWidth="1" min="4" max="4"/>
    <col width="22" customWidth="1" min="5" max="5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Marque 'Si' los conceptos que justifican la variacion patrimonial  -  ejercicio 2025</t>
        </is>
      </c>
    </row>
    <row r="3" ht="5" customHeight="1">
      <c r="A3" s="3" t="n"/>
    </row>
    <row r="5" ht="20" customHeight="1">
      <c r="B5" s="71" t="inlineStr">
        <is>
          <t>Incremento patrimonial declarado en el XML</t>
        </is>
      </c>
      <c r="C5" s="72" t="n"/>
      <c r="D5" s="72" t="n"/>
      <c r="E5" s="73" t="n">
        <v>105337.34</v>
      </c>
    </row>
    <row r="7" ht="26" customHeight="1">
      <c r="B7" s="26" t="inlineStr">
        <is>
          <t>Concepto (Tabla 14 del SRI)</t>
        </is>
      </c>
      <c r="E7" s="26" t="inlineStr">
        <is>
          <t>Justifica la variacion</t>
        </is>
      </c>
    </row>
    <row r="8" ht="22" customHeight="1">
      <c r="B8" s="74" t="inlineStr">
        <is>
          <t>1 - Ingresos locales</t>
        </is>
      </c>
      <c r="C8" s="6" t="n"/>
      <c r="D8" s="6" t="n"/>
      <c r="E8" s="75" t="inlineStr">
        <is>
          <t>Si</t>
        </is>
      </c>
    </row>
    <row r="9" ht="22" customHeight="1">
      <c r="B9" s="74" t="inlineStr">
        <is>
          <t>2 - Ingresos exterior</t>
        </is>
      </c>
      <c r="C9" s="6" t="n"/>
      <c r="D9" s="6" t="n"/>
      <c r="E9" s="75" t="inlineStr">
        <is>
          <t>No</t>
        </is>
      </c>
    </row>
    <row r="10" ht="22" customHeight="1">
      <c r="B10" s="74" t="inlineStr">
        <is>
          <t>3 - Herencias, legados o donaciones</t>
        </is>
      </c>
      <c r="C10" s="6" t="n"/>
      <c r="D10" s="6" t="n"/>
      <c r="E10" s="75" t="inlineStr">
        <is>
          <t>No</t>
        </is>
      </c>
    </row>
    <row r="11" ht="22" customHeight="1">
      <c r="B11" s="74" t="inlineStr">
        <is>
          <t>4 - Loterias o rifas</t>
        </is>
      </c>
      <c r="C11" s="6" t="n"/>
      <c r="D11" s="6" t="n"/>
      <c r="E11" s="75" t="inlineStr">
        <is>
          <t>No</t>
        </is>
      </c>
    </row>
    <row r="12" ht="22" customHeight="1">
      <c r="B12" s="74" t="inlineStr">
        <is>
          <t>5 - Ganancias de capital</t>
        </is>
      </c>
      <c r="C12" s="6" t="n"/>
      <c r="D12" s="6" t="n"/>
      <c r="E12" s="75" t="inlineStr">
        <is>
          <t>No</t>
        </is>
      </c>
    </row>
    <row r="13" ht="22" customHeight="1">
      <c r="B13" s="74" t="inlineStr">
        <is>
          <t>6 - Otros</t>
        </is>
      </c>
      <c r="C13" s="6" t="n"/>
      <c r="D13" s="6" t="n"/>
      <c r="E13" s="75" t="inlineStr">
        <is>
          <t>Si</t>
        </is>
      </c>
    </row>
    <row r="15">
      <c r="B15" s="59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6" t="inlineStr">
        <is>
          <t>►   GENERAR XML</t>
        </is>
      </c>
      <c r="C5" s="6" t="n"/>
      <c r="D5" s="6" t="n"/>
    </row>
    <row r="6">
      <c r="B6" s="6" t="n"/>
      <c r="C6" s="6" t="n"/>
      <c r="D6" s="6" t="n"/>
    </row>
    <row r="7">
      <c r="B7" s="77" t="inlineStr">
        <is>
          <t>En el archivo .xlsm el boton verde ya esta vinculado a la macro GenerarXmlSRI.</t>
        </is>
      </c>
    </row>
    <row r="9">
      <c r="B9" s="78" t="inlineStr">
        <is>
          <t>COMO USAR ESTE ARCHIVO</t>
        </is>
      </c>
    </row>
    <row r="10">
      <c r="B10" s="79" t="inlineStr">
        <is>
          <t>1. Al abrir el archivo .xlsm, pulse 'Habilitar contenido' en la barra de seguridad de Excel.</t>
        </is>
      </c>
    </row>
    <row r="11">
      <c r="B11" s="79" t="inlineStr">
        <is>
          <t>2. Llene las columnas amarillas de cada modulo (Dinero, Vehiculos, etc.) y la hoja Justificacion.</t>
        </is>
      </c>
    </row>
    <row r="12">
      <c r="B12" s="79" t="inlineStr">
        <is>
          <t>3. Pulse el boton verde GENERAR XML, indique el anio y elija donde guardar el archivo.</t>
        </is>
      </c>
    </row>
    <row r="13">
      <c r="B13" s="79" t="inlineStr">
        <is>
          <t>4. El archivo .xml queda listo para subir al portal del SRI.</t>
        </is>
      </c>
    </row>
    <row r="14">
      <c r="B14" s="79" t="inlineStr"/>
    </row>
    <row r="15">
      <c r="B15" s="78" t="inlineStr">
        <is>
          <t>SI EXCEL BLOQUEA LAS MACROS</t>
        </is>
      </c>
    </row>
    <row r="16">
      <c r="B16" s="79" t="inlineStr">
        <is>
          <t>- Cierre Excel. En el Explorador, clic derecho sobre el archivo &gt; Propiedades.</t>
        </is>
      </c>
    </row>
    <row r="17">
      <c r="B17" s="79" t="inlineStr">
        <is>
          <t>- Al final de la pestana General marque 'Desbloquear' y pulse Aceptar.</t>
        </is>
      </c>
    </row>
    <row r="18">
      <c r="B18" s="79" t="inlineStr">
        <is>
          <t>- Vuelva a abrirlo y pulse 'Habilitar contenido'. Conserve siempre la extension .xlsm.</t>
        </is>
      </c>
    </row>
    <row r="19">
      <c r="B19" s="79" t="inlineStr"/>
    </row>
    <row r="20">
      <c r="B20" s="79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40" customWidth="1" min="2" max="2"/>
  </cols>
  <sheetData>
    <row r="1" ht="30" customHeight="1">
      <c r="A1" s="1" t="inlineStr">
        <is>
          <t>DATOS GENERALES DE LA DECLARACION</t>
        </is>
      </c>
    </row>
    <row r="2">
      <c r="A2" s="2" t="inlineStr">
        <is>
          <t>Edite las celdas amarillas para reutilizar la plantilla con otra persona; el XML se genera con estos datos</t>
        </is>
      </c>
    </row>
    <row r="3" ht="5" customHeight="1">
      <c r="A3" s="3" t="n"/>
    </row>
    <row r="5" ht="20" customHeight="1">
      <c r="A5" s="80" t="inlineStr">
        <is>
          <t>IDENTIFICACION DEL DECLARANTE Y CONYUGE  (editable)</t>
        </is>
      </c>
    </row>
    <row r="6">
      <c r="A6" s="81" t="inlineStr">
        <is>
          <t>Anio de la declaracion</t>
        </is>
      </c>
      <c r="B6" s="82" t="n">
        <v>2025</v>
      </c>
    </row>
    <row r="7">
      <c r="A7" s="81" t="inlineStr">
        <is>
          <t>Tipo de declaracion</t>
        </is>
      </c>
      <c r="B7" s="82" t="inlineStr">
        <is>
          <t>SOC - Sociedad conyugal o union de hecho</t>
        </is>
      </c>
    </row>
    <row r="8">
      <c r="A8" s="81" t="inlineStr">
        <is>
          <t>Tipo de identificacion</t>
        </is>
      </c>
      <c r="B8" s="82" t="inlineStr">
        <is>
          <t>R - RUC</t>
        </is>
      </c>
    </row>
    <row r="9">
      <c r="A9" s="81" t="inlineStr">
        <is>
          <t>Numero de identificacion</t>
        </is>
      </c>
      <c r="B9" s="82" t="inlineStr">
        <is>
          <t>0201296480001</t>
        </is>
      </c>
    </row>
    <row r="10">
      <c r="A10" s="81" t="inlineStr">
        <is>
          <t>Nombre del declarante</t>
        </is>
      </c>
      <c r="B10" s="82" t="inlineStr">
        <is>
          <t>GONZALEZ SOLANO GEDEON GUALBERTO</t>
        </is>
      </c>
    </row>
    <row r="11">
      <c r="A11" s="81" t="inlineStr">
        <is>
          <t>Identificacion del conyuge</t>
        </is>
      </c>
      <c r="B11" s="82" t="inlineStr">
        <is>
          <t>C - Cedula</t>
        </is>
      </c>
    </row>
    <row r="12">
      <c r="A12" s="81" t="inlineStr">
        <is>
          <t>Numero ident. conyuge</t>
        </is>
      </c>
      <c r="B12" s="82" t="inlineStr">
        <is>
          <t>0603399890</t>
        </is>
      </c>
    </row>
    <row r="13">
      <c r="A13" s="81" t="inlineStr">
        <is>
          <t>Nombre del conyuge</t>
        </is>
      </c>
      <c r="B13" s="82" t="inlineStr">
        <is>
          <t>ALVEAR OBANDO VERONICA PATRICIA</t>
        </is>
      </c>
    </row>
    <row r="14">
      <c r="A14" s="81" t="inlineStr">
        <is>
          <t>Regularizacion de activos</t>
        </is>
      </c>
      <c r="B14" s="82" t="inlineStr"/>
    </row>
    <row r="16" ht="20" customHeight="1">
      <c r="A16" s="80" t="inlineStr">
        <is>
          <t>PATRIMONIO DECLARADO  (editable)</t>
        </is>
      </c>
    </row>
    <row r="17">
      <c r="A17" s="81" t="inlineStr">
        <is>
          <t>Patrimonio total declarado</t>
        </is>
      </c>
      <c r="B17" s="62" t="n">
        <v>1354534.61</v>
      </c>
    </row>
    <row r="18">
      <c r="A18" s="81" t="inlineStr">
        <is>
          <t>Atribuible a hijos no emancipados</t>
        </is>
      </c>
      <c r="B18" s="63" t="n">
        <v>0</v>
      </c>
    </row>
    <row r="19">
      <c r="A19" s="81" t="inlineStr">
        <is>
          <t>Patrimonio en la sociedad conyugal</t>
        </is>
      </c>
      <c r="B19" s="63" t="n">
        <v>1354534.61</v>
      </c>
    </row>
    <row r="20">
      <c r="A20" s="81" t="inlineStr">
        <is>
          <t>Patrimonio individual del declarante</t>
        </is>
      </c>
      <c r="B20" s="63" t="n">
        <v>0</v>
      </c>
    </row>
    <row r="21">
      <c r="A21" s="81" t="inlineStr">
        <is>
          <t>Patrimonio del anio anterior</t>
        </is>
      </c>
      <c r="B21" s="63" t="n">
        <v>1249197.27</v>
      </c>
    </row>
    <row r="22">
      <c r="A22" s="81" t="inlineStr">
        <is>
          <t>Crecimiento / decremento patrimonial</t>
        </is>
      </c>
      <c r="B22" s="62" t="n">
        <v>105337.34</v>
      </c>
    </row>
    <row r="24" ht="20" customHeight="1">
      <c r="A24" s="80" t="inlineStr">
        <is>
          <t>PATRIMONIO NETO  (calculado - enlazado al Dashboard)</t>
        </is>
      </c>
    </row>
    <row r="25">
      <c r="A25" s="81" t="inlineStr">
        <is>
          <t>Patrimonio neto 2025</t>
        </is>
      </c>
      <c r="B25" s="62">
        <f>Dashboard!D31</f>
        <v/>
      </c>
    </row>
    <row r="26">
      <c r="A26" s="81" t="inlineStr">
        <is>
          <t>Patrimonio neto 2026 (proyectado)</t>
        </is>
      </c>
      <c r="B26" s="62">
        <f>Dashboard!E31</f>
        <v/>
      </c>
    </row>
    <row r="27">
      <c r="A27" s="81" t="inlineStr">
        <is>
          <t>Variacion proyectada</t>
        </is>
      </c>
      <c r="B27" s="62">
        <f>Dashboard!F31</f>
        <v/>
      </c>
    </row>
    <row r="28">
      <c r="A28" s="81" t="inlineStr">
        <is>
          <t>Variacion % proyectada</t>
        </is>
      </c>
      <c r="B28" s="64">
        <f>Dashboard!G31</f>
        <v/>
      </c>
    </row>
    <row r="30">
      <c r="A30" s="78" t="inlineStr">
        <is>
          <t>Justificacion de la variacion (ver hoja Justificacion)</t>
        </is>
      </c>
    </row>
    <row r="31">
      <c r="A31" s="79" t="inlineStr">
        <is>
          <t>- 1 - Ingresos locales</t>
        </is>
      </c>
    </row>
    <row r="32">
      <c r="A32" s="79" t="inlineStr">
        <is>
          <t>- 6 - Otros</t>
        </is>
      </c>
    </row>
    <row r="34">
      <c r="A34" s="59" t="inlineStr">
        <is>
          <t>Las celdas amarillas son editables; los totales de creditos y derechos se calculan automaticamente al generar el XML.</t>
        </is>
      </c>
    </row>
  </sheetData>
  <mergeCells count="6">
    <mergeCell ref="A24:B24"/>
    <mergeCell ref="A16:B16"/>
    <mergeCell ref="A2:B2"/>
    <mergeCell ref="A5:B5"/>
    <mergeCell ref="A1:B1"/>
    <mergeCell ref="A3:B3"/>
  </mergeCells>
  <dataValidations count="4">
    <dataValidation sqref="B7" showDropDown="0" showInputMessage="0" showErrorMessage="0" allowBlank="1" type="list">
      <formula1>"IND - Individual,SCD - Sociedad,SOC - Sociedad conyugal o union de hecho"</formula1>
    </dataValidation>
    <dataValidation sqref="B8" showDropDown="0" showInputMessage="0" showErrorMessage="0" allowBlank="1" type="list">
      <formula1>"C - Cedula,E - Identificacion del exterior,P - Pasaporte,R - RUC"</formula1>
    </dataValidation>
    <dataValidation sqref="B11" showDropDown="0" showInputMessage="0" showErrorMessage="0" allowBlank="1" type="list">
      <formula1>"C - Cedula,E - Identificacion del exterior,P - Pasaporte,R - RUC"</formula1>
    </dataValidation>
    <dataValidation sqref="B14" showDropDown="0" showInputMessage="0" showErrorMessage="0" allowBlank="1" type="list">
      <formula1>"1 - Si,2 - No"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3" t="inlineStr">
        <is>
          <t>DINERO_EN</t>
        </is>
      </c>
      <c r="B1" s="83" t="inlineStr">
        <is>
          <t>TIPO_INVERSION</t>
        </is>
      </c>
      <c r="C1" s="83" t="inlineStr">
        <is>
          <t>UBICACION</t>
        </is>
      </c>
      <c r="D1" s="83" t="inlineStr">
        <is>
          <t>PAIS</t>
        </is>
      </c>
      <c r="E1" s="83" t="inlineStr">
        <is>
          <t>INSTITUCION_FINANCIERA</t>
        </is>
      </c>
      <c r="F1" s="83" t="inlineStr">
        <is>
          <t>PARTES_RELACIONADAS</t>
        </is>
      </c>
      <c r="G1" s="83" t="inlineStr">
        <is>
          <t>TIPO_DRC</t>
        </is>
      </c>
      <c r="H1" s="83" t="inlineStr">
        <is>
          <t>TIPO_PERSONA</t>
        </is>
      </c>
      <c r="I1" s="83" t="inlineStr">
        <is>
          <t>TIPO_BIEN_MUEBLE</t>
        </is>
      </c>
      <c r="J1" s="83" t="inlineStr">
        <is>
          <t>TIPO_VEHICULO</t>
        </is>
      </c>
      <c r="K1" s="83" t="inlineStr">
        <is>
          <t>TIPO_DERECHO</t>
        </is>
      </c>
      <c r="L1" s="83" t="inlineStr">
        <is>
          <t>TIPO_INMUEBLE</t>
        </is>
      </c>
      <c r="M1" s="83" t="inlineStr">
        <is>
          <t>PROVINCIA</t>
        </is>
      </c>
      <c r="N1" s="83" t="inlineStr">
        <is>
          <t>CANTON</t>
        </is>
      </c>
      <c r="O1" s="83" t="inlineStr">
        <is>
          <t>TIPO_ACREEDOR</t>
        </is>
      </c>
      <c r="P1" s="83" t="inlineStr">
        <is>
          <t>TIPO_IDENTIFICACION</t>
        </is>
      </c>
      <c r="Q1" s="83" t="inlineStr">
        <is>
          <t>REGULARIZACION</t>
        </is>
      </c>
      <c r="R1" s="83" t="inlineStr">
        <is>
          <t>JUSTIF_INCREMENTO</t>
        </is>
      </c>
      <c r="S1" s="83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2026-05-23T19:28:41Z</dcterms:created>
  <dcterms:modified xsi:type="dcterms:W3CDTF">2026-05-23T19:28:42Z</dcterms:modified>
</cp:coreProperties>
</file>