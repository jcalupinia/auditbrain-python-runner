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alu\Downloads\"/>
    </mc:Choice>
  </mc:AlternateContent>
  <xr:revisionPtr revIDLastSave="0" documentId="13_ncr:1_{3EC1D358-A208-4DE2-8A9F-D157B5EEA59A}" xr6:coauthVersionLast="47" xr6:coauthVersionMax="47" xr10:uidLastSave="{00000000-0000-0000-0000-000000000000}"/>
  <bookViews>
    <workbookView xWindow="-98" yWindow="-98" windowWidth="21795" windowHeight="13875" firstSheet="8" activeTab="11" xr2:uid="{00000000-000D-0000-FFFF-FFFF00000000}"/>
  </bookViews>
  <sheets>
    <sheet name="Dashboard" sheetId="1" r:id="rId1"/>
    <sheet name="Dinero" sheetId="2" r:id="rId2"/>
    <sheet name="Derechos de Capital" sheetId="3" r:id="rId3"/>
    <sheet name="Cuentas por Cobrar" sheetId="4" r:id="rId4"/>
    <sheet name="Bienes Muebles" sheetId="5" r:id="rId5"/>
    <sheet name="Vehiculos" sheetId="6" r:id="rId6"/>
    <sheet name="Derechos" sheetId="7" r:id="rId7"/>
    <sheet name="Bienes Inmuebles" sheetId="8" r:id="rId8"/>
    <sheet name="Otros Activos" sheetId="9" r:id="rId9"/>
    <sheet name="Pasivos" sheetId="10" r:id="rId10"/>
    <sheet name="Justificacion" sheetId="11" r:id="rId11"/>
    <sheet name="Generar XML" sheetId="12" r:id="rId12"/>
    <sheet name="Datos del XML" sheetId="13" r:id="rId13"/>
    <sheet name="_Mapa" sheetId="14" state="hidden" r:id="rId14"/>
    <sheet name="Catalogos" sheetId="15" state="hidden" r:id="rId15"/>
    <sheet name="Carga_2026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9" i="4" l="1"/>
  <c r="J59" i="4"/>
  <c r="D43" i="16"/>
  <c r="C43" i="16"/>
  <c r="AC31" i="1" l="1"/>
  <c r="P7" i="1"/>
  <c r="P6" i="1"/>
  <c r="F7" i="1"/>
  <c r="F6" i="1"/>
  <c r="J11" i="10"/>
  <c r="K11" i="10" s="1"/>
  <c r="I11" i="10"/>
  <c r="L11" i="10" s="1"/>
  <c r="L10" i="10"/>
  <c r="K10" i="10"/>
  <c r="L9" i="10"/>
  <c r="K9" i="10"/>
  <c r="L8" i="10"/>
  <c r="K8" i="10"/>
  <c r="L7" i="10"/>
  <c r="K7" i="10"/>
  <c r="L6" i="10"/>
  <c r="K6" i="10"/>
  <c r="I14" i="9"/>
  <c r="G14" i="9"/>
  <c r="H14" i="9" s="1"/>
  <c r="F14" i="9"/>
  <c r="D19" i="1" s="1"/>
  <c r="I13" i="9"/>
  <c r="H13" i="9"/>
  <c r="I12" i="9"/>
  <c r="H12" i="9"/>
  <c r="I11" i="9"/>
  <c r="H11" i="9"/>
  <c r="I10" i="9"/>
  <c r="H10" i="9"/>
  <c r="I9" i="9"/>
  <c r="H9" i="9"/>
  <c r="I8" i="9"/>
  <c r="H8" i="9"/>
  <c r="I7" i="9"/>
  <c r="H7" i="9"/>
  <c r="I6" i="9"/>
  <c r="H6" i="9"/>
  <c r="M8" i="8"/>
  <c r="K8" i="8"/>
  <c r="L8" i="8" s="1"/>
  <c r="J8" i="8"/>
  <c r="M7" i="8"/>
  <c r="L7" i="8"/>
  <c r="M6" i="8"/>
  <c r="L6" i="8"/>
  <c r="I14" i="7"/>
  <c r="G14" i="7"/>
  <c r="H14" i="7" s="1"/>
  <c r="F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J15" i="6"/>
  <c r="H15" i="6"/>
  <c r="I15" i="6" s="1"/>
  <c r="G15" i="6"/>
  <c r="J14" i="6"/>
  <c r="I14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6" i="6"/>
  <c r="I6" i="6"/>
  <c r="G7" i="5"/>
  <c r="I7" i="5" s="1"/>
  <c r="F7" i="5"/>
  <c r="I6" i="5"/>
  <c r="H6" i="5"/>
  <c r="D14" i="1"/>
  <c r="M57" i="4"/>
  <c r="L57" i="4"/>
  <c r="M56" i="4"/>
  <c r="L56" i="4"/>
  <c r="M55" i="4"/>
  <c r="L55" i="4"/>
  <c r="M54" i="4"/>
  <c r="L54" i="4"/>
  <c r="M53" i="4"/>
  <c r="L53" i="4"/>
  <c r="M52" i="4"/>
  <c r="L52" i="4"/>
  <c r="M51" i="4"/>
  <c r="L51" i="4"/>
  <c r="M50" i="4"/>
  <c r="L50" i="4"/>
  <c r="M49" i="4"/>
  <c r="L49" i="4"/>
  <c r="M48" i="4"/>
  <c r="L48" i="4"/>
  <c r="M47" i="4"/>
  <c r="L47" i="4"/>
  <c r="M46" i="4"/>
  <c r="L46" i="4"/>
  <c r="M45" i="4"/>
  <c r="L45" i="4"/>
  <c r="M44" i="4"/>
  <c r="L44" i="4"/>
  <c r="M43" i="4"/>
  <c r="L43" i="4"/>
  <c r="M42" i="4"/>
  <c r="L42" i="4"/>
  <c r="M41" i="4"/>
  <c r="L41" i="4"/>
  <c r="M40" i="4"/>
  <c r="L40" i="4"/>
  <c r="M39" i="4"/>
  <c r="L39" i="4"/>
  <c r="M38" i="4"/>
  <c r="L38" i="4"/>
  <c r="M37" i="4"/>
  <c r="L37" i="4"/>
  <c r="M36" i="4"/>
  <c r="L36" i="4"/>
  <c r="M35" i="4"/>
  <c r="L35" i="4"/>
  <c r="M34" i="4"/>
  <c r="L34" i="4"/>
  <c r="M33" i="4"/>
  <c r="L33" i="4"/>
  <c r="M32" i="4"/>
  <c r="L32" i="4"/>
  <c r="M31" i="4"/>
  <c r="L31" i="4"/>
  <c r="M30" i="4"/>
  <c r="L30" i="4"/>
  <c r="M29" i="4"/>
  <c r="L29" i="4"/>
  <c r="M28" i="4"/>
  <c r="L28" i="4"/>
  <c r="M27" i="4"/>
  <c r="L27" i="4"/>
  <c r="M26" i="4"/>
  <c r="L26" i="4"/>
  <c r="M25" i="4"/>
  <c r="L25" i="4"/>
  <c r="M24" i="4"/>
  <c r="L24" i="4"/>
  <c r="M23" i="4"/>
  <c r="L23" i="4"/>
  <c r="M22" i="4"/>
  <c r="L22" i="4"/>
  <c r="M21" i="4"/>
  <c r="L21" i="4"/>
  <c r="M20" i="4"/>
  <c r="L20" i="4"/>
  <c r="M19" i="4"/>
  <c r="L19" i="4"/>
  <c r="M18" i="4"/>
  <c r="L18" i="4"/>
  <c r="M17" i="4"/>
  <c r="L17" i="4"/>
  <c r="M16" i="4"/>
  <c r="L16" i="4"/>
  <c r="M15" i="4"/>
  <c r="L15" i="4"/>
  <c r="M14" i="4"/>
  <c r="L14" i="4"/>
  <c r="M13" i="4"/>
  <c r="L13" i="4"/>
  <c r="M12" i="4"/>
  <c r="L12" i="4"/>
  <c r="M11" i="4"/>
  <c r="L11" i="4"/>
  <c r="M10" i="4"/>
  <c r="L10" i="4"/>
  <c r="M9" i="4"/>
  <c r="L9" i="4"/>
  <c r="M8" i="4"/>
  <c r="L8" i="4"/>
  <c r="M7" i="4"/>
  <c r="L7" i="4"/>
  <c r="M6" i="4"/>
  <c r="L6" i="4"/>
  <c r="M14" i="3"/>
  <c r="K14" i="3"/>
  <c r="L14" i="3" s="1"/>
  <c r="J14" i="3"/>
  <c r="D13" i="1" s="1"/>
  <c r="M13" i="3"/>
  <c r="L13" i="3"/>
  <c r="M12" i="3"/>
  <c r="L12" i="3"/>
  <c r="M11" i="3"/>
  <c r="L11" i="3"/>
  <c r="M10" i="3"/>
  <c r="L10" i="3"/>
  <c r="M9" i="3"/>
  <c r="L9" i="3"/>
  <c r="M8" i="3"/>
  <c r="L8" i="3"/>
  <c r="M7" i="3"/>
  <c r="L7" i="3"/>
  <c r="M6" i="3"/>
  <c r="L6" i="3"/>
  <c r="M11" i="2"/>
  <c r="K11" i="2"/>
  <c r="L11" i="2" s="1"/>
  <c r="J11" i="2"/>
  <c r="M10" i="2"/>
  <c r="L10" i="2"/>
  <c r="M9" i="2"/>
  <c r="L9" i="2"/>
  <c r="M8" i="2"/>
  <c r="L8" i="2"/>
  <c r="M7" i="2"/>
  <c r="L7" i="2"/>
  <c r="M6" i="2"/>
  <c r="L6" i="2"/>
  <c r="E25" i="1"/>
  <c r="E30" i="1" s="1"/>
  <c r="E24" i="1"/>
  <c r="F24" i="1" s="1"/>
  <c r="D24" i="1"/>
  <c r="D25" i="1" s="1"/>
  <c r="E19" i="1"/>
  <c r="E18" i="1"/>
  <c r="D18" i="1"/>
  <c r="AB7" i="1" s="1"/>
  <c r="E17" i="1"/>
  <c r="D17" i="1"/>
  <c r="E16" i="1"/>
  <c r="D16" i="1"/>
  <c r="E15" i="1"/>
  <c r="D15" i="1"/>
  <c r="E13" i="1"/>
  <c r="E12" i="1"/>
  <c r="D12" i="1"/>
  <c r="AB6" i="1"/>
  <c r="AB5" i="1"/>
  <c r="AB3" i="1"/>
  <c r="AB4" i="1" l="1"/>
  <c r="I28" i="1"/>
  <c r="N39" i="1"/>
  <c r="L39" i="1"/>
  <c r="F14" i="1"/>
  <c r="G14" i="1" s="1"/>
  <c r="L59" i="4"/>
  <c r="M59" i="4"/>
  <c r="E14" i="1"/>
  <c r="E20" i="1" s="1"/>
  <c r="D20" i="1"/>
  <c r="D39" i="1"/>
  <c r="G39" i="1" s="1"/>
  <c r="G25" i="1"/>
  <c r="E8" i="1" s="1"/>
  <c r="D30" i="1"/>
  <c r="G30" i="1" s="1"/>
  <c r="G24" i="1"/>
  <c r="F25" i="1"/>
  <c r="E39" i="1"/>
  <c r="H7" i="5"/>
  <c r="N38" i="1" l="1"/>
  <c r="N41" i="1"/>
  <c r="L41" i="1"/>
  <c r="I33" i="1"/>
  <c r="N40" i="1"/>
  <c r="L28" i="1"/>
  <c r="L40" i="1"/>
  <c r="L38" i="1"/>
  <c r="AC18" i="1"/>
  <c r="F17" i="1"/>
  <c r="G17" i="1" s="1"/>
  <c r="F16" i="1"/>
  <c r="G16" i="1" s="1"/>
  <c r="F15" i="1"/>
  <c r="G15" i="1" s="1"/>
  <c r="F12" i="1"/>
  <c r="F19" i="1"/>
  <c r="G19" i="1" s="1"/>
  <c r="F18" i="1"/>
  <c r="G18" i="1" s="1"/>
  <c r="B6" i="1"/>
  <c r="F13" i="1"/>
  <c r="G13" i="1" s="1"/>
  <c r="B7" i="1"/>
  <c r="E29" i="1"/>
  <c r="E31" i="1" s="1"/>
  <c r="E38" i="1"/>
  <c r="F38" i="1" s="1"/>
  <c r="F39" i="1"/>
  <c r="D29" i="1"/>
  <c r="C8" i="1"/>
  <c r="D38" i="1"/>
  <c r="G38" i="1" s="1"/>
  <c r="F30" i="1"/>
  <c r="G12" i="1" l="1"/>
  <c r="F20" i="1"/>
  <c r="D31" i="1"/>
  <c r="G29" i="1"/>
  <c r="F29" i="1"/>
  <c r="E40" i="1"/>
  <c r="F31" i="1"/>
  <c r="B27" i="13" s="1"/>
  <c r="B26" i="13"/>
  <c r="L33" i="1" l="1"/>
  <c r="J6" i="1"/>
  <c r="AC32" i="1"/>
  <c r="AC33" i="1"/>
  <c r="AC34" i="1"/>
  <c r="J7" i="1"/>
  <c r="G31" i="1"/>
  <c r="B25" i="13"/>
  <c r="D40" i="1"/>
  <c r="G40" i="1" s="1"/>
  <c r="B28" i="13" l="1"/>
  <c r="G8" i="1"/>
  <c r="F40" i="1"/>
</calcChain>
</file>

<file path=xl/sharedStrings.xml><?xml version="1.0" encoding="utf-8"?>
<sst xmlns="http://schemas.openxmlformats.org/spreadsheetml/2006/main" count="2475" uniqueCount="1493">
  <si>
    <t>DECLARACION PATRIMONIAL  -  TABLERO EJECUTIVO</t>
  </si>
  <si>
    <t>GONZALEZ SOLANO GEDEON GUALBERTO   |   R - RUC: 0201296480001   |   SOC - Sociedad conyugal o union de hecho   |   Comparativo 2025 vs 2026</t>
  </si>
  <si>
    <t>Dinero e inversiones</t>
  </si>
  <si>
    <t>Cuentas por cobrar</t>
  </si>
  <si>
    <t>Bienes muebles</t>
  </si>
  <si>
    <t>TOTAL ACTIVOS</t>
  </si>
  <si>
    <t>TOTAL PASIVOS</t>
  </si>
  <si>
    <t>PATRIMONIO NETO</t>
  </si>
  <si>
    <t>Vehiculos, naves y aeronaves</t>
  </si>
  <si>
    <t>Bienes inmuebles</t>
  </si>
  <si>
    <t>Var. proyectada</t>
  </si>
  <si>
    <t>Concepto</t>
  </si>
  <si>
    <t>Total 2025</t>
  </si>
  <si>
    <t>Total 2026</t>
  </si>
  <si>
    <t>Variacion</t>
  </si>
  <si>
    <t>Variacion %</t>
  </si>
  <si>
    <t>Otros activos</t>
  </si>
  <si>
    <t>Deudas y obligaciones</t>
  </si>
  <si>
    <t>(+) Total activos</t>
  </si>
  <si>
    <t>(=) PATRIMONIO NETO</t>
  </si>
  <si>
    <t>Activos</t>
  </si>
  <si>
    <t>Pasivos</t>
  </si>
  <si>
    <t>4.1.1   DINERO E INVERSIONES EN INSTITUCIONES FINANCIERAS</t>
  </si>
  <si>
    <t>Declaracion 2025  -  columna 2026 editable</t>
  </si>
  <si>
    <t>Dinero en</t>
  </si>
  <si>
    <t>Tipo de inversion</t>
  </si>
  <si>
    <t>Ubicacion</t>
  </si>
  <si>
    <t>Pais</t>
  </si>
  <si>
    <t>Institucion financiera</t>
  </si>
  <si>
    <t>Tipo de moneda</t>
  </si>
  <si>
    <t>Partes relacionadas</t>
  </si>
  <si>
    <t>Regularizacion activos</t>
  </si>
  <si>
    <t>Anio fiscal adquisicion</t>
  </si>
  <si>
    <t>Valor 2025</t>
  </si>
  <si>
    <t>Valor 2026</t>
  </si>
  <si>
    <t>IFI - Instituciones financieras</t>
  </si>
  <si>
    <t>4 - Cuenta corriente</t>
  </si>
  <si>
    <t>ECU - En el Ecuador</t>
  </si>
  <si>
    <t>593 - ECUADOR</t>
  </si>
  <si>
    <t>1029 - BANCO PICHINCHA C.A.</t>
  </si>
  <si>
    <t>DOLARES</t>
  </si>
  <si>
    <t>2 - No</t>
  </si>
  <si>
    <t>1028 - BANCO DEL PACIFICO S.A.</t>
  </si>
  <si>
    <t>3 - Cuenta de ahorros</t>
  </si>
  <si>
    <t>EFE - Efectivo</t>
  </si>
  <si>
    <t>1 - Efectivo</t>
  </si>
  <si>
    <t>TOTAL</t>
  </si>
  <si>
    <t>4.1.2   INVERSIONES EN DERECHOS REPRESENTATIVOS DE CAPITAL</t>
  </si>
  <si>
    <t>Declaracion 2025  -  columna 2026 editable   |   PLANTILLA EN BLANCO (este modulo no consta en el XML)</t>
  </si>
  <si>
    <t>Empresa / Administradora / Fideicomiso</t>
  </si>
  <si>
    <t>% de participacion</t>
  </si>
  <si>
    <t>N. de acciones / participaciones</t>
  </si>
  <si>
    <t>4.1.3   CREDITOS, DOCUMENTOS Y CUENTAS POR COBRAR</t>
  </si>
  <si>
    <t>Nombre del deudor</t>
  </si>
  <si>
    <t>Tipo de deudor</t>
  </si>
  <si>
    <t>Tipo de identificacion</t>
  </si>
  <si>
    <t>N. de identificacion</t>
  </si>
  <si>
    <t>ACEROS Y MATERIALES PARA LA CONSTRUCCION ACIMCOECUADOR</t>
  </si>
  <si>
    <t>2 - Persona juridica</t>
  </si>
  <si>
    <t>R - RUC</t>
  </si>
  <si>
    <t>1791989937001</t>
  </si>
  <si>
    <t>ACR PROYECTOS SA</t>
  </si>
  <si>
    <t>1792192331001</t>
  </si>
  <si>
    <t>ALMEIDA MORILLO ESTALIN FABIAN</t>
  </si>
  <si>
    <t>1 - Persona natural</t>
  </si>
  <si>
    <t>1001503364001</t>
  </si>
  <si>
    <t>ARTGLASS SA</t>
  </si>
  <si>
    <t>2390004276001</t>
  </si>
  <si>
    <t>BAGANT ECUATORIANA CIA LTDA</t>
  </si>
  <si>
    <t>1790322491001</t>
  </si>
  <si>
    <t>BECERRA ALMEIDA GLADYS VERONICA</t>
  </si>
  <si>
    <t>1711731685001</t>
  </si>
  <si>
    <t>CARROCERIAS METALICAS MONCAYO MONCAYO</t>
  </si>
  <si>
    <t>2390050375001</t>
  </si>
  <si>
    <t>CARROCERIASIMCE SAS</t>
  </si>
  <si>
    <t>1891812059001</t>
  </si>
  <si>
    <t>CEPEDA CIA LTDA</t>
  </si>
  <si>
    <t>1890152909001</t>
  </si>
  <si>
    <t>CONSERDE MILLENIUM</t>
  </si>
  <si>
    <t>1791711238001</t>
  </si>
  <si>
    <t>CORA REFRIGERACION CIA LTDA</t>
  </si>
  <si>
    <t>1791904753001</t>
  </si>
  <si>
    <t>DEALERNEW SA</t>
  </si>
  <si>
    <t>0992527501001</t>
  </si>
  <si>
    <t>DUCHI PILCO SEGUNDO VICENTE</t>
  </si>
  <si>
    <t>0602948002001</t>
  </si>
  <si>
    <t>EKRON CONSTRUCCIONES SA</t>
  </si>
  <si>
    <t>1791945395001</t>
  </si>
  <si>
    <t>ER SERVEIS CIA LTDA</t>
  </si>
  <si>
    <t>1704620713001</t>
  </si>
  <si>
    <t>ESCOBAR TIRADO PIEDAD</t>
  </si>
  <si>
    <t>1000785921001</t>
  </si>
  <si>
    <t>FRANCO GRANDA DIMALVID</t>
  </si>
  <si>
    <t>1792541476001</t>
  </si>
  <si>
    <t>AGUILERA TAPIA WALTER GERMAN</t>
  </si>
  <si>
    <t>0500839543001</t>
  </si>
  <si>
    <t>GRUPOMM REFRIGERACION</t>
  </si>
  <si>
    <t>1792621143001</t>
  </si>
  <si>
    <t>GUAMBA ROSAS GLADYS NARSIZA</t>
  </si>
  <si>
    <t>1713377271001</t>
  </si>
  <si>
    <t>IMETAM SA</t>
  </si>
  <si>
    <t>1790589013001</t>
  </si>
  <si>
    <t>INGEVITRO INGENIERIA DEL VIDRIO</t>
  </si>
  <si>
    <t>1791399455001</t>
  </si>
  <si>
    <t>JAVIER DIEZ COMUNICACION</t>
  </si>
  <si>
    <t>1792012058001</t>
  </si>
  <si>
    <t>MARROQUIN TORRES WILSON</t>
  </si>
  <si>
    <t>1709765042001</t>
  </si>
  <si>
    <t>MAXILIFT</t>
  </si>
  <si>
    <t>1792350735001</t>
  </si>
  <si>
    <t>MAYORGA NATA OSCAR</t>
  </si>
  <si>
    <t>1716647746001</t>
  </si>
  <si>
    <t>MAZON MOYOLEMA FLOR KARINA</t>
  </si>
  <si>
    <t>1719036426001</t>
  </si>
  <si>
    <t>PAREJA PALACIOS LUIS</t>
  </si>
  <si>
    <t>1705042719001</t>
  </si>
  <si>
    <t>PATRICIO CEPEDA CIA LTDA</t>
  </si>
  <si>
    <t>1891733611001</t>
  </si>
  <si>
    <t>PILLAPA TUZA JORGE</t>
  </si>
  <si>
    <t>1802211415001</t>
  </si>
  <si>
    <t>PINTUCOLORS SAS</t>
  </si>
  <si>
    <t>2390632412001</t>
  </si>
  <si>
    <t>PROFEMAC</t>
  </si>
  <si>
    <t>1792543894001</t>
  </si>
  <si>
    <t>RAMIREZ JORGE PATRICIO</t>
  </si>
  <si>
    <t>1801707041001</t>
  </si>
  <si>
    <t>RIVERA CACERES SAULO</t>
  </si>
  <si>
    <t>0600476469001</t>
  </si>
  <si>
    <t>SAIGUA GUAMAN BENITO</t>
  </si>
  <si>
    <t>1718267873001</t>
  </si>
  <si>
    <t>SEDAMOS ESCOBAR GLORIA</t>
  </si>
  <si>
    <t>1102992813001</t>
  </si>
  <si>
    <t>SEDEMI SERVICIOS DE MECANICA</t>
  </si>
  <si>
    <t>1791734920001</t>
  </si>
  <si>
    <t>SERVICIOS MANTENIMIENTO Y RECONSTRUCCION DE CARROCERIAS</t>
  </si>
  <si>
    <t>1790484009001</t>
  </si>
  <si>
    <t>TACO ALMACHI CHRISTIAN</t>
  </si>
  <si>
    <t>1719119511001</t>
  </si>
  <si>
    <t>URBINA MONROY EDGAR ANDRES</t>
  </si>
  <si>
    <t>1716717218001</t>
  </si>
  <si>
    <t>VALVERDE TOPON MARTHA</t>
  </si>
  <si>
    <t>1717333452001</t>
  </si>
  <si>
    <t>TACO ALMACHI CHRISTIAN ERNESTO</t>
  </si>
  <si>
    <t>TALLER ARTESANAL ALUMCOL</t>
  </si>
  <si>
    <t>2390015758001</t>
  </si>
  <si>
    <t>TOCALEMA TENESACA WILSON</t>
  </si>
  <si>
    <t>1804816864001</t>
  </si>
  <si>
    <t>TRANS ESMERALDAS INTERNACIONAL TEISA</t>
  </si>
  <si>
    <t>1790320359001</t>
  </si>
  <si>
    <t>TRUJILLO CHACAN ISABEL</t>
  </si>
  <si>
    <t>1719422204001</t>
  </si>
  <si>
    <t>TUGUMINAGO MAISINCHO JAVIER</t>
  </si>
  <si>
    <t>1715690234001</t>
  </si>
  <si>
    <t>URBINA MONROY EDGAR</t>
  </si>
  <si>
    <t>VALVERDE TOPON MARTHA MARISOL</t>
  </si>
  <si>
    <t>VELASCO CIFUENTES WILLIAM</t>
  </si>
  <si>
    <t>1003004163001</t>
  </si>
  <si>
    <t>YEPEZ DAZA CESAR ANDRES</t>
  </si>
  <si>
    <t>1001682036001</t>
  </si>
  <si>
    <t>SERVICIO DE RENTAS INTERNAS</t>
  </si>
  <si>
    <t>1760013210001</t>
  </si>
  <si>
    <t>4.1.4   BIENES MUEBLES</t>
  </si>
  <si>
    <t>Tipo de bien</t>
  </si>
  <si>
    <t>2 - Inventario de mercaderias</t>
  </si>
  <si>
    <t>4.1.5   VEHICULOS MOTORIZADOS TERRESTRES, NAVES Y AERONAVES</t>
  </si>
  <si>
    <t>Tipo de vehiculo</t>
  </si>
  <si>
    <t>Registro / placa / chasis</t>
  </si>
  <si>
    <t>1 - Vehiculos motorizados terrestres</t>
  </si>
  <si>
    <t>BBW0338</t>
  </si>
  <si>
    <t>PCT7157</t>
  </si>
  <si>
    <t>IC9061</t>
  </si>
  <si>
    <t>TBA6487</t>
  </si>
  <si>
    <t>PCT1304</t>
  </si>
  <si>
    <t>PDP6212</t>
  </si>
  <si>
    <t>PDP5685</t>
  </si>
  <si>
    <t>IBC6684</t>
  </si>
  <si>
    <t>KE312H</t>
  </si>
  <si>
    <t>4.1.6   DERECHOS (USUFRUCTO, USO, HABITACION, MARCAS, ETC.)</t>
  </si>
  <si>
    <t>Tipo de derecho</t>
  </si>
  <si>
    <t>4.1.7   BIENES INMUEBLES</t>
  </si>
  <si>
    <t>Tipo de inmueble</t>
  </si>
  <si>
    <t>Provincia</t>
  </si>
  <si>
    <t>Canton</t>
  </si>
  <si>
    <t>Fecha de inscripcion</t>
  </si>
  <si>
    <t>Clave catastral</t>
  </si>
  <si>
    <t>6 - Almacenera o bodega</t>
  </si>
  <si>
    <t>217 - PICHINCHA</t>
  </si>
  <si>
    <t>21701 - QUITO</t>
  </si>
  <si>
    <t>24/05/2016</t>
  </si>
  <si>
    <t>1160204007</t>
  </si>
  <si>
    <t>1 - Casa</t>
  </si>
  <si>
    <t>25/08/2016</t>
  </si>
  <si>
    <t>1310112001</t>
  </si>
  <si>
    <t>4.1.8   OTROS ACTIVOS (CREDITOS TRIBUTARIOS Y OTROS)</t>
  </si>
  <si>
    <t>Descripcion</t>
  </si>
  <si>
    <t>4.2.1   DEUDAS CONTRAIDAS / PASIVOS</t>
  </si>
  <si>
    <t>Tipo de acreedor</t>
  </si>
  <si>
    <t>Domicilio del acreedor</t>
  </si>
  <si>
    <t>Nombre del acreedor</t>
  </si>
  <si>
    <t>N. registro Banco Central</t>
  </si>
  <si>
    <t>BANCO DINERS CLUB DEL ECUADOR</t>
  </si>
  <si>
    <t>1790283380001</t>
  </si>
  <si>
    <t>BANCO PICHINCHA</t>
  </si>
  <si>
    <t>1790010937001</t>
  </si>
  <si>
    <t>OTR - Otros pasivos</t>
  </si>
  <si>
    <t>SIKA ECUATORIANA SA</t>
  </si>
  <si>
    <t>1790753573001</t>
  </si>
  <si>
    <t>IES - IESS</t>
  </si>
  <si>
    <t>INSTITUTO ECUATORIANO DE SEGURIDAD SOCIAL</t>
  </si>
  <si>
    <t>1760004650001</t>
  </si>
  <si>
    <t>JUSTIFICACION DE LA VARIACION PATRIMONIAL</t>
  </si>
  <si>
    <t>Marque 'Si' los conceptos que justifican la variacion patrimonial  -  ejercicio 2025</t>
  </si>
  <si>
    <t>Incremento patrimonial declarado en el XML</t>
  </si>
  <si>
    <t>Concepto (Tabla 14 del SRI)</t>
  </si>
  <si>
    <t>Justifica la variacion</t>
  </si>
  <si>
    <t>1 - Ingresos locales</t>
  </si>
  <si>
    <t>Si</t>
  </si>
  <si>
    <t>2 - Ingresos exterior</t>
  </si>
  <si>
    <t>No</t>
  </si>
  <si>
    <t>3 - Herencias, legados o donaciones</t>
  </si>
  <si>
    <t>4 - Loterias o rifas</t>
  </si>
  <si>
    <t>5 - Ganancias de capital</t>
  </si>
  <si>
    <t>6 - Otros</t>
  </si>
  <si>
    <t>Esta hoja reproduce la seccion Justificacion del formulario del SRI. Marque 'Si' en los conceptos que apliquen; el generador de XML los toma de aqui.</t>
  </si>
  <si>
    <t>GENERAR XML PARA EL SRI</t>
  </si>
  <si>
    <t>Convierte este libro en el archivo XML de la Declaracion Patrimonial, listo para subir al portal del SRI</t>
  </si>
  <si>
    <t>►   GENERAR XML</t>
  </si>
  <si>
    <t>En el archivo .xlsm el boton verde ya esta vinculado a la macro GenerarXmlSRI.</t>
  </si>
  <si>
    <t>COMO USAR ESTE ARCHIVO</t>
  </si>
  <si>
    <t>1. Al abrir el archivo .xlsm, pulse 'Habilitar contenido' en la barra de seguridad de Excel.</t>
  </si>
  <si>
    <t>2. Llene las columnas amarillas de cada modulo (Dinero, Vehiculos, etc.) y la hoja Justificacion.</t>
  </si>
  <si>
    <t>3. Pulse el boton verde GENERAR XML, indique el anio y elija donde guardar el archivo.</t>
  </si>
  <si>
    <t>4. El archivo .xml queda listo para subir al portal del SRI.</t>
  </si>
  <si>
    <t>SI EXCEL BLOQUEA LAS MACROS</t>
  </si>
  <si>
    <t>- Cierre Excel. En el Explorador, clic derecho sobre el archivo &gt; Propiedades.</t>
  </si>
  <si>
    <t>- Al final de la pestana General marque 'Desbloquear' y pulse Aceptar.</t>
  </si>
  <si>
    <t>- Vuelva a abrirlo y pulse 'Habilitar contenido'. Conserve siempre la extension .xlsm.</t>
  </si>
  <si>
    <t>Alternativa sin macros:  ejecutar  python tools/generar_xml_sri.py  desde la terminal.</t>
  </si>
  <si>
    <t>DATOS GENERALES DE LA DECLARACION</t>
  </si>
  <si>
    <t>Edite las celdas amarillas para reutilizar la plantilla con otra persona; el XML se genera con estos datos</t>
  </si>
  <si>
    <t>IDENTIFICACION DEL DECLARANTE Y CONYUGE  (editable)</t>
  </si>
  <si>
    <t>Anio de la declaracion</t>
  </si>
  <si>
    <t>Tipo de declaracion</t>
  </si>
  <si>
    <t>SOC - Sociedad conyugal o union de hecho</t>
  </si>
  <si>
    <t>Numero de identificacion</t>
  </si>
  <si>
    <t>0201296480001</t>
  </si>
  <si>
    <t>Nombre del declarante</t>
  </si>
  <si>
    <t>GONZALEZ SOLANO GEDEON GUALBERTO</t>
  </si>
  <si>
    <t>Identificacion del conyuge</t>
  </si>
  <si>
    <t>C - Cedula</t>
  </si>
  <si>
    <t>Numero ident. conyuge</t>
  </si>
  <si>
    <t>0603399890</t>
  </si>
  <si>
    <t>Nombre del conyuge</t>
  </si>
  <si>
    <t>ALVEAR OBANDO VERONICA PATRICIA</t>
  </si>
  <si>
    <t>Regularizacion de activos</t>
  </si>
  <si>
    <t>PATRIMONIO DECLARADO  (editable)</t>
  </si>
  <si>
    <t>Patrimonio total declarado</t>
  </si>
  <si>
    <t>Atribuible a hijos no emancipados</t>
  </si>
  <si>
    <t>Patrimonio en la sociedad conyugal</t>
  </si>
  <si>
    <t>Patrimonio individual del declarante</t>
  </si>
  <si>
    <t>Patrimonio del anio anterior</t>
  </si>
  <si>
    <t>Crecimiento / decremento patrimonial</t>
  </si>
  <si>
    <t>PATRIMONIO NETO  (calculado - enlazado al Dashboard)</t>
  </si>
  <si>
    <t>Patrimonio neto 2025</t>
  </si>
  <si>
    <t>Patrimonio neto 2026 (proyectado)</t>
  </si>
  <si>
    <t>Variacion proyectada</t>
  </si>
  <si>
    <t>Variacion % proyectada</t>
  </si>
  <si>
    <t>Justificacion de la variacion (ver hoja Justificacion)</t>
  </si>
  <si>
    <t>- 1 - Ingresos locales</t>
  </si>
  <si>
    <t>- 6 - Otros</t>
  </si>
  <si>
    <t>Las celdas amarillas son editables; los totales de creditos y derechos se calculan automaticamente al generar el XML.</t>
  </si>
  <si>
    <t>key</t>
  </si>
  <si>
    <t>hoja</t>
  </si>
  <si>
    <t>contenedor</t>
  </si>
  <si>
    <t>detalle</t>
  </si>
  <si>
    <t>clase</t>
  </si>
  <si>
    <t>ordenXml</t>
  </si>
  <si>
    <t>tipo</t>
  </si>
  <si>
    <t>xmlTag</t>
  </si>
  <si>
    <t>descIndex</t>
  </si>
  <si>
    <t>dinero</t>
  </si>
  <si>
    <t>Dinero</t>
  </si>
  <si>
    <t>detalleDinero</t>
  </si>
  <si>
    <t>activo</t>
  </si>
  <si>
    <t>cod</t>
  </si>
  <si>
    <t>dineroEn</t>
  </si>
  <si>
    <t>tipoInversion</t>
  </si>
  <si>
    <t>ubicacion</t>
  </si>
  <si>
    <t>pais</t>
  </si>
  <si>
    <t>_ifi</t>
  </si>
  <si>
    <t>txt</t>
  </si>
  <si>
    <t>tipoMoneda</t>
  </si>
  <si>
    <t>val</t>
  </si>
  <si>
    <t>saldo</t>
  </si>
  <si>
    <t>partesRelacionadas</t>
  </si>
  <si>
    <t>regularizacionActivos</t>
  </si>
  <si>
    <t>anioFiscalAdquisicion</t>
  </si>
  <si>
    <t>drc</t>
  </si>
  <si>
    <t>Derechos de Capital</t>
  </si>
  <si>
    <t>inversiones</t>
  </si>
  <si>
    <t>detalleInversiones</t>
  </si>
  <si>
    <t>valor</t>
  </si>
  <si>
    <t>codpais</t>
  </si>
  <si>
    <t>nombempresa</t>
  </si>
  <si>
    <t>porcentpart</t>
  </si>
  <si>
    <t>numAcc</t>
  </si>
  <si>
    <t>relacionadas</t>
  </si>
  <si>
    <t>cxc</t>
  </si>
  <si>
    <t>Cuentas por Cobrar</t>
  </si>
  <si>
    <t>ctasXCobrar</t>
  </si>
  <si>
    <t>detalleCtasXCobrar</t>
  </si>
  <si>
    <t>nombreDeudor</t>
  </si>
  <si>
    <t>tipoDeudor</t>
  </si>
  <si>
    <t>tipoIdentificacion</t>
  </si>
  <si>
    <t>numeroIdentificacion</t>
  </si>
  <si>
    <t>muebles</t>
  </si>
  <si>
    <t>Bienes Muebles</t>
  </si>
  <si>
    <t>otrosBienes</t>
  </si>
  <si>
    <t>detalleOtrosBienes</t>
  </si>
  <si>
    <t>tipoBien</t>
  </si>
  <si>
    <t>vehiculos</t>
  </si>
  <si>
    <t>Vehiculos</t>
  </si>
  <si>
    <t>detalleVehiculos</t>
  </si>
  <si>
    <t>tipoVehiculo</t>
  </si>
  <si>
    <t>placa</t>
  </si>
  <si>
    <t>derechos</t>
  </si>
  <si>
    <t>Derechos</t>
  </si>
  <si>
    <t>detalleDerechos</t>
  </si>
  <si>
    <t>tipoDerecho</t>
  </si>
  <si>
    <t>inmuebles</t>
  </si>
  <si>
    <t>Bienes Inmuebles</t>
  </si>
  <si>
    <t>bienesInmuebles</t>
  </si>
  <si>
    <t>detalleBienesInmuebles</t>
  </si>
  <si>
    <t>tipoInmueble</t>
  </si>
  <si>
    <t>codPais</t>
  </si>
  <si>
    <t>provincia</t>
  </si>
  <si>
    <t>canton</t>
  </si>
  <si>
    <t>fechaInscripcion</t>
  </si>
  <si>
    <t>claveCat</t>
  </si>
  <si>
    <t>otros</t>
  </si>
  <si>
    <t>Otros Activos</t>
  </si>
  <si>
    <t>otrosActivos</t>
  </si>
  <si>
    <t>detalleOtrosActivos</t>
  </si>
  <si>
    <t>descripcion</t>
  </si>
  <si>
    <t>valorTotal</t>
  </si>
  <si>
    <t>pasivo</t>
  </si>
  <si>
    <t>detallePasivo</t>
  </si>
  <si>
    <t>tipoAcreedor</t>
  </si>
  <si>
    <t>domicilioAcreedor</t>
  </si>
  <si>
    <t>valorDeuda</t>
  </si>
  <si>
    <t>paisAcreedor</t>
  </si>
  <si>
    <t>nombreAcreedor</t>
  </si>
  <si>
    <t>tipoIdentificacionAcreedor</t>
  </si>
  <si>
    <t>numeroIdentificacionAcreedor</t>
  </si>
  <si>
    <t>numeroRegistroBancoCentral</t>
  </si>
  <si>
    <t>DINERO_EN</t>
  </si>
  <si>
    <t>TIPO_INVERSION</t>
  </si>
  <si>
    <t>UBICACION</t>
  </si>
  <si>
    <t>PAIS</t>
  </si>
  <si>
    <t>INSTITUCION_FINANCIERA</t>
  </si>
  <si>
    <t>PARTES_RELACIONADAS</t>
  </si>
  <si>
    <t>TIPO_DRC</t>
  </si>
  <si>
    <t>TIPO_PERSONA</t>
  </si>
  <si>
    <t>TIPO_BIEN_MUEBLE</t>
  </si>
  <si>
    <t>TIPO_VEHICULO</t>
  </si>
  <si>
    <t>TIPO_DERECHO</t>
  </si>
  <si>
    <t>TIPO_INMUEBLE</t>
  </si>
  <si>
    <t>PROVINCIA</t>
  </si>
  <si>
    <t>CANTON</t>
  </si>
  <si>
    <t>TIPO_ACREEDOR</t>
  </si>
  <si>
    <t>TIPO_IDENTIFICACION</t>
  </si>
  <si>
    <t>REGULARIZACION</t>
  </si>
  <si>
    <t>JUSTIF_INCREMENTO</t>
  </si>
  <si>
    <t>JUSTIF_DECREMENTO</t>
  </si>
  <si>
    <t>16 - AMERICAN SAMOA</t>
  </si>
  <si>
    <t>1002 - BANCO AMAZONAS S.A.</t>
  </si>
  <si>
    <t>1 - Si</t>
  </si>
  <si>
    <t>2 - Acciones o participaciones en sociedades</t>
  </si>
  <si>
    <t>1 - Maquinaria y equipo</t>
  </si>
  <si>
    <t>1 - Usufructo</t>
  </si>
  <si>
    <t>107 - EL ORO</t>
  </si>
  <si>
    <t>10701 - MACHALA</t>
  </si>
  <si>
    <t>ACC - Accionistas, participes o socios</t>
  </si>
  <si>
    <t>1 - Compra de bienes</t>
  </si>
  <si>
    <t>2 - Inversiones financieras</t>
  </si>
  <si>
    <t>EXT - En el exterior</t>
  </si>
  <si>
    <t>74 - BOUVET ISLAND</t>
  </si>
  <si>
    <t>1004 - BANCO DEL AUSTRO S.A.</t>
  </si>
  <si>
    <t>5 - Fondos de inversion</t>
  </si>
  <si>
    <t>2 - Naves</t>
  </si>
  <si>
    <t>2 - Uso</t>
  </si>
  <si>
    <t>2 - Departamento</t>
  </si>
  <si>
    <t>108 - ESMERALDAS</t>
  </si>
  <si>
    <t>10702 - ARENILLAS</t>
  </si>
  <si>
    <t>CRD - Credito a mutuo</t>
  </si>
  <si>
    <t>E - Identificacion del exterior</t>
  </si>
  <si>
    <t>2 - Pago de servicios</t>
  </si>
  <si>
    <t>OTR - Otros depositarios</t>
  </si>
  <si>
    <t>101 - ARGENTINA</t>
  </si>
  <si>
    <t>1006 - BANCO DE GUAYAQUIL S.A.</t>
  </si>
  <si>
    <t>6 - Fideicomisos</t>
  </si>
  <si>
    <t>3 - Activo biologico (incluye semovientes)</t>
  </si>
  <si>
    <t>3 - Aeronaves</t>
  </si>
  <si>
    <t>3 - Habitacion</t>
  </si>
  <si>
    <t>3 - Terreno</t>
  </si>
  <si>
    <t>109 - GUAYAS</t>
  </si>
  <si>
    <t>10703 - ATAHUALPA</t>
  </si>
  <si>
    <t>CRE - Credito a mutuo</t>
  </si>
  <si>
    <t>P - Pasaporte</t>
  </si>
  <si>
    <t>3 - Nuevas inversiones</t>
  </si>
  <si>
    <t>102 - BOLIVIA</t>
  </si>
  <si>
    <t>1007 - BANCO BOLIVARIANO C.A.</t>
  </si>
  <si>
    <t>4 - Muebles, enseres y otros (incluye obras de arte y joyas)</t>
  </si>
  <si>
    <t>4 - Propiedad intelectual</t>
  </si>
  <si>
    <t>4 - Oficina</t>
  </si>
  <si>
    <t>112 - LOS RIOS</t>
  </si>
  <si>
    <t>10704 - BALSAS</t>
  </si>
  <si>
    <t>DIV - Dividendos</t>
  </si>
  <si>
    <t>4 - Otros</t>
  </si>
  <si>
    <t>5 - Inversiones financieras (bonos, obligaciones y otros)</t>
  </si>
  <si>
    <t>103 - BRASIL</t>
  </si>
  <si>
    <t>1008 - BANCO CENTRO MUNDO S.A.</t>
  </si>
  <si>
    <t>5 - Plantas productoras</t>
  </si>
  <si>
    <t>5 - Plusvalia o goodwill</t>
  </si>
  <si>
    <t>5 - Local comercial</t>
  </si>
  <si>
    <t>113 - MANABI</t>
  </si>
  <si>
    <t>10705 - CHILLA</t>
  </si>
  <si>
    <t>6 - Fondos complementarios previsionales cerrados</t>
  </si>
  <si>
    <t>104 - CANADA</t>
  </si>
  <si>
    <t>1009 - CITIBANK N.A.</t>
  </si>
  <si>
    <t>6 - Construcciones en curso</t>
  </si>
  <si>
    <t>6 - Marcas, patentes</t>
  </si>
  <si>
    <t>124 - SANTA ELENA</t>
  </si>
  <si>
    <t>10706 - EL GUABO</t>
  </si>
  <si>
    <t>7 - En sociedades sin fines de lucro</t>
  </si>
  <si>
    <t>105 - COLOMBIA</t>
  </si>
  <si>
    <t>1010 - BANCO COFIEC C.A.</t>
  </si>
  <si>
    <t>7 - Derechos en acuerdos de concesion</t>
  </si>
  <si>
    <t>7 - Propiedad rural</t>
  </si>
  <si>
    <t>201 - AZUAY</t>
  </si>
  <si>
    <t>10707 - HUAQUILLAS</t>
  </si>
  <si>
    <t>106 - COSTA RICA</t>
  </si>
  <si>
    <t>1011 - BANCO COMERCIAL DE MANABI C.A.</t>
  </si>
  <si>
    <t>8 - Otros</t>
  </si>
  <si>
    <t>202 - BOLIVAR</t>
  </si>
  <si>
    <t>10708 - MARCABELI</t>
  </si>
  <si>
    <t>TRA - Transferencias casa matriz</t>
  </si>
  <si>
    <t>107 - CUBA</t>
  </si>
  <si>
    <t>1014 - BANCO DEL LITORAL S.A.</t>
  </si>
  <si>
    <t>9 - Otros</t>
  </si>
  <si>
    <t>203 - CAÑAR</t>
  </si>
  <si>
    <t>10709 - PASAJE</t>
  </si>
  <si>
    <t>108 - CHILE</t>
  </si>
  <si>
    <t>1016 - RED BANCARIA</t>
  </si>
  <si>
    <t>204 - CARCHI</t>
  </si>
  <si>
    <t>10710 - PIÑAS</t>
  </si>
  <si>
    <t>109 - ANGUILA</t>
  </si>
  <si>
    <t>1020 - BANCO GENERAL RUMIÑAHUI S.A.</t>
  </si>
  <si>
    <t>205 - COTOPAXI</t>
  </si>
  <si>
    <t>10711 - PORTOVELO</t>
  </si>
  <si>
    <t>110 - ESTADOS UNIDOS</t>
  </si>
  <si>
    <t>1022 - ING BANK N.V.</t>
  </si>
  <si>
    <t>206 - CHIMBORAZO</t>
  </si>
  <si>
    <t>10712 - SANTA ROSA</t>
  </si>
  <si>
    <t>111 - GUATEMALA</t>
  </si>
  <si>
    <t>1023 - BANCO INTERNACIONAL S.A.</t>
  </si>
  <si>
    <t>210 - IMBABURA</t>
  </si>
  <si>
    <t>10713 - ZARUMA</t>
  </si>
  <si>
    <t>112 - HAITI</t>
  </si>
  <si>
    <t>1024 - LLOYDS BANK BLSA LIMITED</t>
  </si>
  <si>
    <t>211 - LOJA</t>
  </si>
  <si>
    <t>10714 - LAS LAJAS</t>
  </si>
  <si>
    <t>113 - HONDURAS</t>
  </si>
  <si>
    <t>1025 - BANCO DE LOJA S.A.</t>
  </si>
  <si>
    <t>10801 - ESMERALDAS</t>
  </si>
  <si>
    <t>114 - JAMAICA</t>
  </si>
  <si>
    <t>1026 - BANCO DE MACHALA S.A.</t>
  </si>
  <si>
    <t>218 - TUNGURAHUA</t>
  </si>
  <si>
    <t>10802 - ELOY ALFARO</t>
  </si>
  <si>
    <t>115 - MALVINAS  ISLAS</t>
  </si>
  <si>
    <t>1027 - TRUST FIDUCIARIA S.A.</t>
  </si>
  <si>
    <t>223 - SANTO DOMINGO DE LOS TSÁCHILAS</t>
  </si>
  <si>
    <t>10803 - MUISNE</t>
  </si>
  <si>
    <t>116 - MEXICO</t>
  </si>
  <si>
    <t>314 - MORONA SANTIAGO</t>
  </si>
  <si>
    <t>10804 - QUININDE</t>
  </si>
  <si>
    <t>117 - NICARAGUA</t>
  </si>
  <si>
    <t>315 - NAPO</t>
  </si>
  <si>
    <t>10805 - SAN LORENZO</t>
  </si>
  <si>
    <t>118 - PANAMA</t>
  </si>
  <si>
    <t>1033 - BANCO DE LA PRODUCCION S.A. PRODUBANCO</t>
  </si>
  <si>
    <t>316 - PASTAZA</t>
  </si>
  <si>
    <t>10806 - ATACAMES</t>
  </si>
  <si>
    <t>119 - PARAGUAY</t>
  </si>
  <si>
    <t>1035 - BANCO DE DESARROLLO ECONOMICO Y SOCIAL DE VENEZUELA</t>
  </si>
  <si>
    <t>319 - ZAMORA CHINCHIPE</t>
  </si>
  <si>
    <t>10807 - RIO VERDE</t>
  </si>
  <si>
    <t>120 - PERU</t>
  </si>
  <si>
    <t>1037 - BANCO SOLIDARIO S.A.</t>
  </si>
  <si>
    <t>321 - SUCUMBIOS</t>
  </si>
  <si>
    <t>10808 - LA CONCORDIA</t>
  </si>
  <si>
    <t>121 - PUERTO RICO</t>
  </si>
  <si>
    <t>1038 - BANCO SUDAMERICANO S.A.</t>
  </si>
  <si>
    <t>322 - ORELLANA</t>
  </si>
  <si>
    <t>10901 - GUAYAQUIL</t>
  </si>
  <si>
    <t>122 - REPUBLICA DOMINICANA</t>
  </si>
  <si>
    <t>1039 - BANCO TERRITORIAL S.A.</t>
  </si>
  <si>
    <t>420 - GALAPAGOS</t>
  </si>
  <si>
    <t>10902 - ALFREDO BAQUERIZO MORENO</t>
  </si>
  <si>
    <t>123 - EL SALVADOR</t>
  </si>
  <si>
    <t>1043 - ALMACENERA CONTINENTAL S.A. ALMACONTI</t>
  </si>
  <si>
    <t>10903 - BALAO</t>
  </si>
  <si>
    <t>124 - TRINIDAD Y TOBAGO</t>
  </si>
  <si>
    <t>1044 - ALMACENERA ALMACOPIO S.A.</t>
  </si>
  <si>
    <t>10904 - BALZAR</t>
  </si>
  <si>
    <t>125 - URUGUAY</t>
  </si>
  <si>
    <t>1045 - ALMACENERA DE GRANOS Y MERCADERIAS ALGRACESA</t>
  </si>
  <si>
    <t>10905 - COLIMES</t>
  </si>
  <si>
    <t>126 - VENEZUELA</t>
  </si>
  <si>
    <t>1046 - ALMACENERA DEL AGRO S.A. ALMAGRO</t>
  </si>
  <si>
    <t>10906 - DAULE</t>
  </si>
  <si>
    <t>127 - CURAZAO</t>
  </si>
  <si>
    <t>1047 - ALMACENERA DEL PROGRESO ALMACEPRO</t>
  </si>
  <si>
    <t>10907 - DURAN</t>
  </si>
  <si>
    <t>129 - BAHAMAS</t>
  </si>
  <si>
    <t>1048 - ALMACENERA DEL ECUADOR S.A. ALMESA</t>
  </si>
  <si>
    <t>10908 - EL EMPALME</t>
  </si>
  <si>
    <t>130 - BARBADOS</t>
  </si>
  <si>
    <t>1049 - ALMACENERA GUAYAQUIL S.A. ALMAQUIL</t>
  </si>
  <si>
    <t>10909 - EL TRIUNFO</t>
  </si>
  <si>
    <t>131 - GRANADA</t>
  </si>
  <si>
    <t>1050 - BANCO CENTRAL DEL ECUADOR</t>
  </si>
  <si>
    <t>10910 - MILAGRO</t>
  </si>
  <si>
    <t>132 - GUYANA</t>
  </si>
  <si>
    <t>1051 - BANCO DEL ESTADO</t>
  </si>
  <si>
    <t>10911 - NARANJAL</t>
  </si>
  <si>
    <t>133 - SURINAM</t>
  </si>
  <si>
    <t>1052 - BANCO ECUATORIANO DE LA VIVIENDA</t>
  </si>
  <si>
    <t>10912 - NARANJITO</t>
  </si>
  <si>
    <t>134 - ANTIGUA Y BARBUDA</t>
  </si>
  <si>
    <t>1053 - BANCO NACIONAL DE FOMENTO</t>
  </si>
  <si>
    <t>10913 - PALESTINA</t>
  </si>
  <si>
    <t>135 - BELICE</t>
  </si>
  <si>
    <t>1054 - CORPORACION FINANCIERA NACIONAL</t>
  </si>
  <si>
    <t>10914 - PEDRO CARBO</t>
  </si>
  <si>
    <t>136 - DOMINICA</t>
  </si>
  <si>
    <t>1055 - FONDO DE SOLIDARIDAD</t>
  </si>
  <si>
    <t>10916 - SAMBORONDON</t>
  </si>
  <si>
    <t>137 - SAN CRISTOBAL Y NEVIS</t>
  </si>
  <si>
    <t>1056 - INSTITUTO ECUATORIANO DE CREDITO EDUCATIVO Y BECAS</t>
  </si>
  <si>
    <t>10918 - SANTA LUCIA</t>
  </si>
  <si>
    <t>138 - SANTA LUCIA</t>
  </si>
  <si>
    <t>1057 - CAMBIOS INTERNACIONALES S.A. CAMBIOSA</t>
  </si>
  <si>
    <t>10919 - SALITRE</t>
  </si>
  <si>
    <t>139 - SAN VICENTE Y LAS GRANAD.</t>
  </si>
  <si>
    <t>1058 - CAMBIARIA AUSTRAL SOCIEDAD ANONIMA</t>
  </si>
  <si>
    <t>10920 - SAN JACINTO DE YAGUACHI</t>
  </si>
  <si>
    <t>140 - ANTILLAS HOLANDESAS</t>
  </si>
  <si>
    <t>1059 - CAMBIARIA AMBATO CAMBIATO C.A.</t>
  </si>
  <si>
    <t>10921 - PLAYAS (GENERAL VILLAMIL)</t>
  </si>
  <si>
    <t>141 - ARUBA</t>
  </si>
  <si>
    <t>1060 - CASA DE CAMBIOS CAMBIDEX S.A.</t>
  </si>
  <si>
    <t>10922 - SIMON BOLIVAR</t>
  </si>
  <si>
    <t>142 - BERMUDA</t>
  </si>
  <si>
    <t>1061 - CASA DE CAMBIOS DELGADO S.A.</t>
  </si>
  <si>
    <t>10923 - CORONEL MARCELINO MARIDUEÑA</t>
  </si>
  <si>
    <t>143 - GUADALUPE</t>
  </si>
  <si>
    <t>1062 - INTERFINSA S.A. CASA DE CAMBIOS</t>
  </si>
  <si>
    <t>10924 - LOMAS DE SARGENTILLO</t>
  </si>
  <si>
    <t>144 - GUYANA FRANCESA</t>
  </si>
  <si>
    <t>1063 - CASA DE CAMBIOS JOSE IMBACUAN BUSTOS E HIJOS S.A.</t>
  </si>
  <si>
    <t>10925 - NOBOL (VICENTE PIEDRAHITA)</t>
  </si>
  <si>
    <t>145 - ISLAS CAIMAN</t>
  </si>
  <si>
    <t>1064 - LA MONEDA S.A.</t>
  </si>
  <si>
    <t>10927 - GENERAL ANTONIO ELIZALDE</t>
  </si>
  <si>
    <t>146 - ISLAS VIRGENES (BRITANICAS)</t>
  </si>
  <si>
    <t>1065 - MULTICAMBIO S.A.</t>
  </si>
  <si>
    <t>10928 - ISIDRO AYORA</t>
  </si>
  <si>
    <t>147 - JOHNSTON ISLA</t>
  </si>
  <si>
    <t>1066 - COOPERATIVA DE AHORRO Y CREDITO TEXTIL 14 DE MARZO</t>
  </si>
  <si>
    <t>11201 - BABAHOYO</t>
  </si>
  <si>
    <t>148 - MARTINICA</t>
  </si>
  <si>
    <t>1068 - VICCAMBIOS S.A.</t>
  </si>
  <si>
    <t>11202 - BABA</t>
  </si>
  <si>
    <t>149 - MONTSERRAT ISLA</t>
  </si>
  <si>
    <t>1069 - WANDER CAMBIOS S.A.</t>
  </si>
  <si>
    <t>11203 - MONTALVO</t>
  </si>
  <si>
    <t>151 - TURCAS  Y CAICOS ISLAS</t>
  </si>
  <si>
    <t>1070 - ASOCIACION MUTUALISTA AMBATO</t>
  </si>
  <si>
    <t>11204 - PUEBLO VIEJO</t>
  </si>
  <si>
    <t>152 - VIRGENES,ISLAS(NORT.AMER.)</t>
  </si>
  <si>
    <t>1071 - MUTUALISTA AZUAY</t>
  </si>
  <si>
    <t>11205 - QUEVEDO</t>
  </si>
  <si>
    <t>201 - ALBANIA</t>
  </si>
  <si>
    <t>1073 - MUTUALISTA CHIMBORAZO</t>
  </si>
  <si>
    <t>11206 - URDANETA</t>
  </si>
  <si>
    <t>202 - ALEMANIA</t>
  </si>
  <si>
    <t>1074 - MUTUALISTA IMBABURA</t>
  </si>
  <si>
    <t>11207 - VENTANAS</t>
  </si>
  <si>
    <t>203 - AUSTRIA</t>
  </si>
  <si>
    <t>1076 - ASOCIACION MUTUALISTA PICHINCHA PARA LA VIVIENDA</t>
  </si>
  <si>
    <t>11208 - VINCES</t>
  </si>
  <si>
    <t>204 - BELGICA</t>
  </si>
  <si>
    <t>1077 - ACE SEGUROS S.A.</t>
  </si>
  <si>
    <t>11209 - PALENQUE</t>
  </si>
  <si>
    <t>205 - BULGARIA</t>
  </si>
  <si>
    <t>1078 - AIG METROPOLITANA COMPAÑÍA DE SEGUROS Y REASEGUROS S.A.</t>
  </si>
  <si>
    <t>11210 - BUENA FE</t>
  </si>
  <si>
    <t>207 - ALBORAN Y PEREJIL</t>
  </si>
  <si>
    <t>1079 - ALIANZA COMPAÑÍA DE SEGUROS Y REASEGUROS S.A.</t>
  </si>
  <si>
    <t>11211 - VALENCIA</t>
  </si>
  <si>
    <t>208 - DINAMARCA</t>
  </si>
  <si>
    <t>1080 - ASEGURADORA DEL SUR C.A.</t>
  </si>
  <si>
    <t>11212 - MOCACHE</t>
  </si>
  <si>
    <t>209 - ESPAÑA</t>
  </si>
  <si>
    <t>1081 - ATLAS COMPAÑÍA DE SEGUROS S.A.</t>
  </si>
  <si>
    <t>11213 - QUINSALOMA</t>
  </si>
  <si>
    <t>211 - FRANCIA</t>
  </si>
  <si>
    <t>1082 - BMI DEL ECUADOR COMPAÑÍA DE SEGUROS DE VIDA S.A.</t>
  </si>
  <si>
    <t>11301 - PORTOVIEJO</t>
  </si>
  <si>
    <t>212 - FINLANDIA</t>
  </si>
  <si>
    <t>1083 - AGENCIA COLOCADORA DE SEGUROS BOLIVARIANA S.A BOLIVARSA</t>
  </si>
  <si>
    <t>11302 - BOLIVAR</t>
  </si>
  <si>
    <t>213 - REINO UNIDO</t>
  </si>
  <si>
    <t>1084 - CERVANTES S.A. COMPAÑÍA DE SEGUROS Y REASEGUROS</t>
  </si>
  <si>
    <t>11303 - CHONE</t>
  </si>
  <si>
    <t>214 - GRECIA</t>
  </si>
  <si>
    <t>1085 - COMPAÑÍA DE SEGUROS Y REASEGUROS GENERALES COLON S.A.</t>
  </si>
  <si>
    <t>11304 - EL CARMEN</t>
  </si>
  <si>
    <t>215 - PAISES BAJOS (HOLANDA)</t>
  </si>
  <si>
    <t>1086 - COLONIAL COMPAÑÍA DE SEGUROS Y REASEGUROS S..A</t>
  </si>
  <si>
    <t>11305 - FLAVIO ALFARO</t>
  </si>
  <si>
    <t>216 - HUNGRIA</t>
  </si>
  <si>
    <t>1087 - COMPAÑÍA DE SEGUROS DE VIDA COLVIDA S.A.</t>
  </si>
  <si>
    <t>11306 - JIPIJAPA</t>
  </si>
  <si>
    <t>217 - IRLANDA</t>
  </si>
  <si>
    <t>1088 - COMPAÑIA DE SEGUROS CONDOR S.A.</t>
  </si>
  <si>
    <t>11307 - JUNIN</t>
  </si>
  <si>
    <t>218 - ISLANDIA</t>
  </si>
  <si>
    <t>1089 - SERVICIO DE RENTAS INTERNAS</t>
  </si>
  <si>
    <t>11308 - MANTA</t>
  </si>
  <si>
    <t>219 - ITALIA</t>
  </si>
  <si>
    <t>1090 - COOPSEGUROS DEL ECUADOR S.A.</t>
  </si>
  <si>
    <t>11309 - MONTECRISTI</t>
  </si>
  <si>
    <t>220 - LUXEMBURGO</t>
  </si>
  <si>
    <t>1091 - COOPERATIVA DE AHORRO Y CREDITO ALFONSO JARAMILLO  LEON C.C.C</t>
  </si>
  <si>
    <t>11310 - PAJAN</t>
  </si>
  <si>
    <t>221 - MALTA</t>
  </si>
  <si>
    <t>1092 - SEGUROS DEL PICHINCHA S.A. COMPAÑIA DE SEGUROS Y REASEGUROS</t>
  </si>
  <si>
    <t>11311 - PICHINCHA</t>
  </si>
  <si>
    <t>222 - NORUEGA</t>
  </si>
  <si>
    <t>1093 - COMPAÑIA DE SEGUROS ECUATORIANO-SUIZA S.A.</t>
  </si>
  <si>
    <t>11312 - ROCAFUERTE</t>
  </si>
  <si>
    <t>223 - POLONIA</t>
  </si>
  <si>
    <t>1095 - COMPAÑIA DE SEGUROS GENERALES EQUINOCCIAL S.A.</t>
  </si>
  <si>
    <t>11313 - SANTA ANA</t>
  </si>
  <si>
    <t>224 - PORTUGAL</t>
  </si>
  <si>
    <t>1096 - EQUIVIDA COMPAÑIA DE SEGUROS Y REASEGUROS S.A.</t>
  </si>
  <si>
    <t>11314 - SUCRE</t>
  </si>
  <si>
    <t>225 - RUMANIA</t>
  </si>
  <si>
    <t>1097 - EL FENIX DEL ECUADOR C.A.</t>
  </si>
  <si>
    <t>11315 - TOSAGUA</t>
  </si>
  <si>
    <t>226 - SUECIA</t>
  </si>
  <si>
    <t>1098 - INCA COMPAÑIA DE SEGUROS S.A.</t>
  </si>
  <si>
    <t>11316 - 24 DE MAYO</t>
  </si>
  <si>
    <t>227 - SUIZA</t>
  </si>
  <si>
    <t>1099 - INTEGRAL S.A. COMPAÑIA DE SEGUROS Y REASEGUROS</t>
  </si>
  <si>
    <t>11317 - PEDERNALES</t>
  </si>
  <si>
    <t>228 - CANARIAS  ISLAS</t>
  </si>
  <si>
    <t>1100 - INTEROCEANICA C.A. DE SEGUROS Y REASEGUROS</t>
  </si>
  <si>
    <t>11318 - OLMEDO</t>
  </si>
  <si>
    <t>229 - UCRANIA</t>
  </si>
  <si>
    <t>1101 - SOCIEDAD FINANCIERA VAZCORP S.A.</t>
  </si>
  <si>
    <t>11319 - PUERTO LOPEZ</t>
  </si>
  <si>
    <t>230 - RUSIA</t>
  </si>
  <si>
    <t>1102 - LA UNION COMPAÑIA NACIONAL DE SEGUROS S.A.</t>
  </si>
  <si>
    <t>11320 - JAMA</t>
  </si>
  <si>
    <t>231 - YUGOSLAVIA</t>
  </si>
  <si>
    <t>1103 - MEMORIAS SERVICIOS DEL ECUADOR S.A. MEMOSER COMPAÑIA DE SEGUROS</t>
  </si>
  <si>
    <t>11321 - JARAMIJO</t>
  </si>
  <si>
    <t>233 - ANDORRA</t>
  </si>
  <si>
    <t>1104 - OLYMPUS S.A. SEGUROS Y REASEGUROS</t>
  </si>
  <si>
    <t>11322 - SAN VICENTE</t>
  </si>
  <si>
    <t>234 - LIECHTENSTEIN</t>
  </si>
  <si>
    <t>1105 - SEGUROS ORIENTE S.A.</t>
  </si>
  <si>
    <t>12401 - SANTA ELENA</t>
  </si>
  <si>
    <t>235 - MONACO</t>
  </si>
  <si>
    <t>1107 - PANAMERICANA DEL ECUADOR S.A. CIA. DE SEGUROS Y REASEGUROS</t>
  </si>
  <si>
    <t>12402 - LA LIBERTAD</t>
  </si>
  <si>
    <t>237 - SAN MARINO</t>
  </si>
  <si>
    <t>1109 - PRIMMA COMPAÑIA DE SEGUROS Y REASEGUROS S.A.</t>
  </si>
  <si>
    <t>12403 - SALINAS</t>
  </si>
  <si>
    <t>238 - VATICANO (SANTA SEDE)</t>
  </si>
  <si>
    <t>1110 - PROGRESO COMPAÑIA DE SEGUROS Y REASEGUROS S.A.</t>
  </si>
  <si>
    <t>20101 - CUENCA</t>
  </si>
  <si>
    <t>239 - GIBRALTAR</t>
  </si>
  <si>
    <t>1111 - RIO GUAYAS CIA. DE SEGUROS Y REASEGUROS S.A.</t>
  </si>
  <si>
    <t>20102 - GIRON</t>
  </si>
  <si>
    <t>241 - BELARUS</t>
  </si>
  <si>
    <t>1112 - SEGUROS ROCAFUERTE S.A.</t>
  </si>
  <si>
    <t>20103 - GUALACEO</t>
  </si>
  <si>
    <t>242 - BOSNIA Y HERZEGOVINA</t>
  </si>
  <si>
    <t>1113 - SEGUROS SUCRE S.A.</t>
  </si>
  <si>
    <t>20104 - NABON</t>
  </si>
  <si>
    <t>243 - CROACIA</t>
  </si>
  <si>
    <t>1114 - SUD AMERICA COMPAÑIA DE SEGUROS</t>
  </si>
  <si>
    <t>20105 - PAUTE</t>
  </si>
  <si>
    <t>244 - ESLOVENIA</t>
  </si>
  <si>
    <t>1115 - SUL AMERICA COMPAÑIA DE SEGUROS DEL ECUADOR C.A.</t>
  </si>
  <si>
    <t>20106 - PUCARA</t>
  </si>
  <si>
    <t>245 - ESTONIA</t>
  </si>
  <si>
    <t>1116 - SEGUROS UNIDOS S.A.</t>
  </si>
  <si>
    <t>20107 - SAN FERNANDO</t>
  </si>
  <si>
    <t>246 - GEORGIA</t>
  </si>
  <si>
    <t>1119 - COOPERATIVA DE AHORRO Y CREDITO ONCE DE JUNIO LTDA.</t>
  </si>
  <si>
    <t>20108 - SANTA ISABEL</t>
  </si>
  <si>
    <t>247 - GROENLANDIA</t>
  </si>
  <si>
    <t>1120 - COOPERATIVA DE AHORRO Y CREDITO 15 DE ABRIL LTDA.</t>
  </si>
  <si>
    <t>20109 - SIGSIG</t>
  </si>
  <si>
    <t>248 - LETONIA</t>
  </si>
  <si>
    <t>1121 - COOPERATIVA DE AHORRO Y CREDITO 23 DE JULIO LTDA.</t>
  </si>
  <si>
    <t>20110 - OÑA</t>
  </si>
  <si>
    <t>249 - LITUANIA</t>
  </si>
  <si>
    <t>1122 - COOPERATIVA DE AHORRO Y CREDITO 29 DE OCTUBRE LTDA.</t>
  </si>
  <si>
    <t>20111 - CHORDELEG</t>
  </si>
  <si>
    <t>250 - MOLDOVA</t>
  </si>
  <si>
    <t>1123 - COOPERATIVA DE AHORRO Y CREDITO ANDALUCIA LTDA.</t>
  </si>
  <si>
    <t>20112 - EL PAN</t>
  </si>
  <si>
    <t>251 - MACEDONIA</t>
  </si>
  <si>
    <t>1124 - COOPERATIVA DE AHORRO Y CREDITO ATUNTAQUI LTDA.</t>
  </si>
  <si>
    <t>20113 - SEVILLA DE ORO</t>
  </si>
  <si>
    <t>252 - ESLOVAQUIA</t>
  </si>
  <si>
    <t>1125 - COOPERATIVA DE AHORRO Y CREDITO PEQUEÑA EMPRESA DE COTOPAXI CACPECO</t>
  </si>
  <si>
    <t>20114 - GUACHAPALA</t>
  </si>
  <si>
    <t>253 - ISLAS FAROE</t>
  </si>
  <si>
    <t>1127 - COOPERATIVA DE AHORRO Y CREDITO CHONE LTDA.</t>
  </si>
  <si>
    <t>20115 - CAMILO PONCE ENRIQUEZ</t>
  </si>
  <si>
    <t>260 - FRENCH SOUTHERN TERRITORIES</t>
  </si>
  <si>
    <t>1128 - BANCO DESARROLLO DE LOS PUEBLOS S.A.</t>
  </si>
  <si>
    <t>20201 - GUARANDA</t>
  </si>
  <si>
    <t>301 - AFGANISTAN</t>
  </si>
  <si>
    <t>1129 - COOPERATIVA DE AHORRO Y CREDITO COMERCIO LTDA.</t>
  </si>
  <si>
    <t>20202 - CHILLANES</t>
  </si>
  <si>
    <t>302 - ARABIA SAUDITA</t>
  </si>
  <si>
    <t>1130 - COOPERATIVA DE AHORRO Y CREDITO COTOCOLLAO LTDA</t>
  </si>
  <si>
    <t>20203 - CHIMBO</t>
  </si>
  <si>
    <t>303 - MYANMAR (BURMA)</t>
  </si>
  <si>
    <t>1131 - COOPERATIVA DE AHORRO Y CREDITO EL SAGRARIO LTDA.</t>
  </si>
  <si>
    <t>20204 - ECHEANDIA</t>
  </si>
  <si>
    <t>304 - CAMBOYA</t>
  </si>
  <si>
    <t>1132 - COOPERATIVA DE AHORRO Y CREDITO GUARANDA LTDA.</t>
  </si>
  <si>
    <t>20205 - SAN MIGUEL</t>
  </si>
  <si>
    <t>306 - COREA NORTE</t>
  </si>
  <si>
    <t>1133 - COOPERATIVA DE AHORRO Y CREDITO LA DOLOROSA LTDA.</t>
  </si>
  <si>
    <t>20206 - CALUMA</t>
  </si>
  <si>
    <t>307 - TAIWAN (CHINA)</t>
  </si>
  <si>
    <t>1134 - BANCO COOPNACIONAL S.A.</t>
  </si>
  <si>
    <t>20207 - LAS NAVES</t>
  </si>
  <si>
    <t>308 - FILIPINAS</t>
  </si>
  <si>
    <t>1135 - COOPERATIVA DE AHORRO Y CREDITO OSCUS LTDA.</t>
  </si>
  <si>
    <t>20301 - AZOGUES</t>
  </si>
  <si>
    <t>309 - INDIA</t>
  </si>
  <si>
    <t>1136 - COOPERATIVA DE AHORRO Y CREDITO PABLO MUÑOZ VEGA LTDA.</t>
  </si>
  <si>
    <t>20302 - BIBLIAN</t>
  </si>
  <si>
    <t>310 - INDONESIA</t>
  </si>
  <si>
    <t>1137 - COOPERATIVA DE AHORRO Y CREDITO COOPROGRESO LTDA.</t>
  </si>
  <si>
    <t>20303 - CAÑAR</t>
  </si>
  <si>
    <t>311 - IRAK</t>
  </si>
  <si>
    <t>1138 - COOPERATIVA DE AHORRO Y CREDITO RIOBAMBA LTDA.</t>
  </si>
  <si>
    <t>20304 - LA TRONCAL</t>
  </si>
  <si>
    <t>312 - IRAN (REPUBLICA ISLAMICA)</t>
  </si>
  <si>
    <t>1139 - COOPERATIVA DE AHORRO Y CREDITO SAN FRANCISCO LTDA.</t>
  </si>
  <si>
    <t>20305 - EL TAMBO</t>
  </si>
  <si>
    <t>313 - ISRAEL</t>
  </si>
  <si>
    <t>1140 - COOPERATIVA DE AHORRO Y CREDITO CAMARA DE COMERCIO SANTA ANA LTDA.</t>
  </si>
  <si>
    <t>20306 - DELEG</t>
  </si>
  <si>
    <t>314 - JAPON</t>
  </si>
  <si>
    <t>1141 - COOPERATIVA DE AHORRO Y CREDITO SANTA ROSA LTDA.</t>
  </si>
  <si>
    <t>20307 - SUSCAL</t>
  </si>
  <si>
    <t>315 - JORDANIA</t>
  </si>
  <si>
    <t>1143 - COOPERATIVA DE AHORRO Y CREDITO TULCAN</t>
  </si>
  <si>
    <t>20401 - TULCAN</t>
  </si>
  <si>
    <t>316 - KUWAIT</t>
  </si>
  <si>
    <t>1145 - CORPORACION DE RETROGARANTIA CREDITICIA</t>
  </si>
  <si>
    <t>20402 - BOLIVAR</t>
  </si>
  <si>
    <t>317 - LAOS, REP. POP. DEMOC.</t>
  </si>
  <si>
    <t>1146 - CORPORACION DE DESARROLLO DE MERCADO SECUNDARIO DE HIPOTECAS</t>
  </si>
  <si>
    <t>20403 - ESPEJO</t>
  </si>
  <si>
    <t>318 - LIBANO</t>
  </si>
  <si>
    <t>1148 - BANCO PROCREDIT S.A.</t>
  </si>
  <si>
    <t>20404 - MIRA</t>
  </si>
  <si>
    <t>319 - MALASIA</t>
  </si>
  <si>
    <t>1150 - CONSULCREDITO SOCIEDAD FINANCIERA S.A.</t>
  </si>
  <si>
    <t>20405 - MONTUFAR</t>
  </si>
  <si>
    <t>321 - MONGOLIA (MANCHURIA)</t>
  </si>
  <si>
    <t>1152 - DINERS CLUB DEL ECUADOR S.A. SOCIEDAD FINANCIERA</t>
  </si>
  <si>
    <t>20406 - SAN PEDRO DE HUACA</t>
  </si>
  <si>
    <t>322 - PAKISTAN</t>
  </si>
  <si>
    <t>1153 - BCE-DINERO ELECTRONICO</t>
  </si>
  <si>
    <t>20501 - LATACUNGA</t>
  </si>
  <si>
    <t>323 - SIRIA</t>
  </si>
  <si>
    <t>1155 - SOCIEDAD FINANCIERA DEL AUSTRO 'FIDASA'</t>
  </si>
  <si>
    <t>20502 - LA MANA</t>
  </si>
  <si>
    <t>325 - TAILANDIA</t>
  </si>
  <si>
    <t>1156 - FINANCAPITAL SOCIEDAD FINANCIERA CAPITAL S.A.</t>
  </si>
  <si>
    <t>20503 - PANGUA</t>
  </si>
  <si>
    <t>327 - BAHREIN</t>
  </si>
  <si>
    <t>1158 - FINANCIERA DE LA REPUBLICA S.A. FIRESA</t>
  </si>
  <si>
    <t>20504 - PUJILI</t>
  </si>
  <si>
    <t>328 - BANGLADESH</t>
  </si>
  <si>
    <t>1159 - GLOBAL SOCIEDAD FINANCIERA S.A.</t>
  </si>
  <si>
    <t>20505 - SALCEDO</t>
  </si>
  <si>
    <t>329 - BUTAN</t>
  </si>
  <si>
    <t>1160 - SOCIEDAD FINANCIERA HEMISFERIO S.A.</t>
  </si>
  <si>
    <t>20506 - SAQUISILI</t>
  </si>
  <si>
    <t>330 - COREA DEL SUR</t>
  </si>
  <si>
    <t>1161 - SOCIEDAD FINANCIERA INTERAMERICANA S.A.</t>
  </si>
  <si>
    <t>20507 - SIGCHOS</t>
  </si>
  <si>
    <t>331 - CHINA POPULAR</t>
  </si>
  <si>
    <t>1162 - SOCIEDAD FINANCIERA LEASINGCORP S.A.</t>
  </si>
  <si>
    <t>20601 - RIOBAMBA</t>
  </si>
  <si>
    <t>332 - CHIPRE</t>
  </si>
  <si>
    <t>1166 - COMPAÑIA PROINCO SOCIEDAD FINANCIERA S.A.</t>
  </si>
  <si>
    <t>20602 - ALAUSI</t>
  </si>
  <si>
    <t>333 - EMIRATOS ARABES UNIDOS</t>
  </si>
  <si>
    <t>1167 - CORPORACION DE INVERSION Y DESARROLLO TECFINSA S.A.</t>
  </si>
  <si>
    <t>20603 - COLTA</t>
  </si>
  <si>
    <t>334 - QATAR</t>
  </si>
  <si>
    <t>1168 - UNION FINANCIERA CENTRAL S.A. UNIFINSA</t>
  </si>
  <si>
    <t>20604 - CHAMBO</t>
  </si>
  <si>
    <t>335 - MALDIVAS</t>
  </si>
  <si>
    <t>1170 - CODECA INTERMEDIARIA FINANCIERA S.A.</t>
  </si>
  <si>
    <t>20605 - CHUNCHI</t>
  </si>
  <si>
    <t>336 - NEPAL</t>
  </si>
  <si>
    <t>1172 - INVESTLEASING S.A.</t>
  </si>
  <si>
    <t>20606 - GUAMOTE</t>
  </si>
  <si>
    <t>337 - OMAN</t>
  </si>
  <si>
    <t>1173 - LEASING ATLANTICO S.A. LEASATLANTIC</t>
  </si>
  <si>
    <t>20607 - GUANO</t>
  </si>
  <si>
    <t>338 - SINGAPUR</t>
  </si>
  <si>
    <t>1174 - AMERICAN HOME ASSURANCE COMPANY</t>
  </si>
  <si>
    <t>20608 - PALLATANGA</t>
  </si>
  <si>
    <t>339 - SRI LANKA (CEILAN)</t>
  </si>
  <si>
    <t>1175 - CIGNA WORLDWIDE INSURANCE COMPANY</t>
  </si>
  <si>
    <t>20609 - PENIPE</t>
  </si>
  <si>
    <t>341 - VIETNAM</t>
  </si>
  <si>
    <t>1176 - NORWICH UNION FIRE INSURANCE SOCIETY LTD</t>
  </si>
  <si>
    <t>20610 - CUMANDA</t>
  </si>
  <si>
    <t>342 - YEMEN</t>
  </si>
  <si>
    <t>1177 - PAN AMERICAN LIFE INSURANCE COMPANY</t>
  </si>
  <si>
    <t>21001 - IBARRA</t>
  </si>
  <si>
    <t>343 - ISLAS HEARD Y MCDONALD</t>
  </si>
  <si>
    <t>1178 - COMPAÑIA REASEGURADORA DEL ECUADOR S.A.</t>
  </si>
  <si>
    <t>21002 - ANTONIO ANTE</t>
  </si>
  <si>
    <t>344 - BRUNEI DARUSSALAM</t>
  </si>
  <si>
    <t>1179 - UNIVERSAL COMPAÑIA DE REASEGUROS S.A.</t>
  </si>
  <si>
    <t>21003 - COTACACHI</t>
  </si>
  <si>
    <t>346 - TURQUIA</t>
  </si>
  <si>
    <t>1180 - COOPERATIVA DE AHORRO Y CREDITO 8 DE SEPTIEMBRE LTDA.</t>
  </si>
  <si>
    <t>21004 - OTAVALO</t>
  </si>
  <si>
    <t>347 - AZERBAIJAN</t>
  </si>
  <si>
    <t>1182 - COOPERATIVA DE AHORRO Y CREDITO SAN FRANCISCO DE ASIS</t>
  </si>
  <si>
    <t>21005 - PIMAMPIRO</t>
  </si>
  <si>
    <t>348 - KAZAJSTAN</t>
  </si>
  <si>
    <t>1183 - ALVEXCORP S.A.</t>
  </si>
  <si>
    <t>21006 - SAN MIGUEL DE URCUQUI</t>
  </si>
  <si>
    <t>349 - KIRGUIZISTAN</t>
  </si>
  <si>
    <t>1184 - INMOBILIARIA BANDEL C.A.</t>
  </si>
  <si>
    <t>21101 - LOJA</t>
  </si>
  <si>
    <t>350 - TAJIKISTAN</t>
  </si>
  <si>
    <t>1185 - BENFRATELO S.A.</t>
  </si>
  <si>
    <t>21102 - CALVAS</t>
  </si>
  <si>
    <t>351 - TURKMENISTAN</t>
  </si>
  <si>
    <t>1186 - INMOBILIARIA MOCHA VEINTE S.A.</t>
  </si>
  <si>
    <t>21103 - CATAMAYO</t>
  </si>
  <si>
    <t>352 - UZBEKISTAN</t>
  </si>
  <si>
    <t>1187 - CONCOR S.A.</t>
  </si>
  <si>
    <t>21104 - CELICA</t>
  </si>
  <si>
    <t>353 - PALESTINA</t>
  </si>
  <si>
    <t>1188 - EL CARBAYON S.A. COMPAÑIA INMOBILIARIA</t>
  </si>
  <si>
    <t>21105 - CHAHUARPAMBA</t>
  </si>
  <si>
    <t>354 - HONG KONG</t>
  </si>
  <si>
    <t>1189 - EPIDAURO S.A.</t>
  </si>
  <si>
    <t>21106 - ESPINDOLA</t>
  </si>
  <si>
    <t>355 - MACAO</t>
  </si>
  <si>
    <t>1190 - GETAFECORP</t>
  </si>
  <si>
    <t>21107 - GONZANAMA</t>
  </si>
  <si>
    <t>356 - ARMENIA</t>
  </si>
  <si>
    <t>1191 - INMOBILIARIA EL FLORON S.A. INFLORONSA</t>
  </si>
  <si>
    <t>21108 - MACARA</t>
  </si>
  <si>
    <t>402 - BURKINA FASO</t>
  </si>
  <si>
    <t>1192 - INMOBILIARIA CENTRO MUNDO S.A. MUCENIN</t>
  </si>
  <si>
    <t>21109 - PALTAS</t>
  </si>
  <si>
    <t>403 - ARGELIA</t>
  </si>
  <si>
    <t>1193 - ADMINISTRADORA DE FONDOS INVERS.FIDEI.DESARRO.INVIDEPRO S.A.</t>
  </si>
  <si>
    <t>21110 - PUYANGO</t>
  </si>
  <si>
    <t>404 - BURUNDI</t>
  </si>
  <si>
    <t>1195 - MILNER S.A.</t>
  </si>
  <si>
    <t>21111 - SARAGURO</t>
  </si>
  <si>
    <t>405 - CAMERUN</t>
  </si>
  <si>
    <t>1196 - PREDIAL POCAHONTAS S.A.</t>
  </si>
  <si>
    <t>21112 - SOZORANGA</t>
  </si>
  <si>
    <t>406 - CONGO</t>
  </si>
  <si>
    <t>1197 - PRIMISACORP S.A.</t>
  </si>
  <si>
    <t>21113 - ZAPOTILLO</t>
  </si>
  <si>
    <t>407 - ETIOPIA</t>
  </si>
  <si>
    <t>1198 - SERVICIOS DEL AUSTRO S.A.</t>
  </si>
  <si>
    <t>21114 - PINDAL</t>
  </si>
  <si>
    <t>408 - GAMBIA</t>
  </si>
  <si>
    <t>1199 - EUROASSETS ADMINISTRADORA DE FONDOS Y FIDUCIA S.A.</t>
  </si>
  <si>
    <t>21115 - QUILANGA</t>
  </si>
  <si>
    <t>409 - GUINEA</t>
  </si>
  <si>
    <t>1200 - INTERFONDOS S.A. ADMINISTRADORA DE FONDOS</t>
  </si>
  <si>
    <t>21116 - OLMEDO</t>
  </si>
  <si>
    <t>410 - LIBERIA</t>
  </si>
  <si>
    <t>1201 - FIDELITY TRUST ADMINISTRADORA DE FONDOS Y FIDEICOMISOS S.A. FTAFFSA</t>
  </si>
  <si>
    <t>412 - MADAGASCAR</t>
  </si>
  <si>
    <t>1202 - INTEGRA S.A. ADMINISTRADORA DE FIDEICOMISOS (INTEGRASA)</t>
  </si>
  <si>
    <t>21702 - CAYAMBE</t>
  </si>
  <si>
    <t>413 - MALAWI</t>
  </si>
  <si>
    <t>1203 - MORGAN &amp; MORGAN, FIDUCIARY TRUST CORPORATION  S.A. 'FIDUCIARIA DEL ECUADOR'</t>
  </si>
  <si>
    <t>21703 - MEJIA</t>
  </si>
  <si>
    <t>414 - MALI</t>
  </si>
  <si>
    <t>1205 - STANFORD TRUST COMPANY ADMINISTRADORA DE FONDOS Y FIDEICOMISOS S.A.</t>
  </si>
  <si>
    <t>21704 - PEDRO MONCAYO</t>
  </si>
  <si>
    <t>415 - MARRUECOS</t>
  </si>
  <si>
    <t>1206 - ANALYTICAFINDS MANAGEMENT C.A. ADMINISTRADORA DE FONDOS Y FIDEICOMISOS</t>
  </si>
  <si>
    <t>21705 - RUMIÑAHUI</t>
  </si>
  <si>
    <t>416 - MAURITANIA</t>
  </si>
  <si>
    <t>1210 - COOPERATIVA DE AHORRO Y CREDITO DE LA PEQUEÑA EMPRESA DE PASTAZA</t>
  </si>
  <si>
    <t>21707 - SAN MIGUEL DE LOS BANCOS</t>
  </si>
  <si>
    <t>417 - NIGERIA</t>
  </si>
  <si>
    <t>1211 - COOPERATIVA DE AHORRO Y CREDITO CAJA CENTRAL 'FINANNCOOP'</t>
  </si>
  <si>
    <t>21708 - PEDRO VICENTE MALDONADO</t>
  </si>
  <si>
    <t>419 - ZIMBABWE (RHODESIA)</t>
  </si>
  <si>
    <t>1212 - CASA DE VALORES AFINSOL S.A.</t>
  </si>
  <si>
    <t>21709 - PUERTO QUITO</t>
  </si>
  <si>
    <t>420 - SENEGAL</t>
  </si>
  <si>
    <t>1213 - AGROVALORES S.A. CASA DE VALORES</t>
  </si>
  <si>
    <t>21801 - AMBATO</t>
  </si>
  <si>
    <t>421 - SUDAN</t>
  </si>
  <si>
    <t>1214 - CASA DE VALORES ANDINO CAPITAL MARKETS ANDIVALORES S.A.</t>
  </si>
  <si>
    <t>21802 - BAÑOS DE AGUA SANTA</t>
  </si>
  <si>
    <t>422 - SUDAFRICA  (CISKEI)</t>
  </si>
  <si>
    <t>1215 - AUSTROVALORES S.A.</t>
  </si>
  <si>
    <t>21803 - CEVALLOS</t>
  </si>
  <si>
    <t>423 - SIERRA LEONA</t>
  </si>
  <si>
    <t>1216 - CASA DE VALORES COFIVALORES S.A.</t>
  </si>
  <si>
    <t>21804 - MOCHA</t>
  </si>
  <si>
    <t>425 - TANZANIA</t>
  </si>
  <si>
    <t>1217 - CASA DE VALORES CONTINENTAL CONTIVALORES S.A.</t>
  </si>
  <si>
    <t>21805 - PATATE</t>
  </si>
  <si>
    <t>426 - UGANDA</t>
  </si>
  <si>
    <t>1218 - COOPERATIVA DE AHORRO Y CREDITO ALIANZA DEL VALLE</t>
  </si>
  <si>
    <t>21806 - QUERO</t>
  </si>
  <si>
    <t>427 - ZAMBIA</t>
  </si>
  <si>
    <t>1219 - COOPERATIVA DE AHORRO Y CREDITO CALCETA</t>
  </si>
  <si>
    <t>21807 - SAN PEDRO DE PELILEO</t>
  </si>
  <si>
    <t>428 - ÅLAND ISLANDS</t>
  </si>
  <si>
    <t>1220 - ENLACE VALORES S.A. ENLACEVAL CASA DE VALORES</t>
  </si>
  <si>
    <t>21808 - SANTIAGO DE PILLARO</t>
  </si>
  <si>
    <t>429 - BENIN</t>
  </si>
  <si>
    <t>1221 - FILAN CASA DE VALORES S.A.</t>
  </si>
  <si>
    <t>21809 - TISALEO</t>
  </si>
  <si>
    <t>430 - BOTSWANA</t>
  </si>
  <si>
    <t>1222 - MINISTERIO DE FINANZAS</t>
  </si>
  <si>
    <t>22301 - SANTO DOMINGO</t>
  </si>
  <si>
    <t>431 - REPUBLICA CENTROAFRICANA</t>
  </si>
  <si>
    <t>1223 - CASA DE VALORES FINANZAS E INVERSIONES FINVER S.A.</t>
  </si>
  <si>
    <t>31401 - MORONA</t>
  </si>
  <si>
    <t>432 - COSTA DE MARFIL</t>
  </si>
  <si>
    <t>1224 - INVESTUNION S.A. CASA DE VALORES</t>
  </si>
  <si>
    <t>31402 - GUALAQUIZA</t>
  </si>
  <si>
    <t>433 - CHAD</t>
  </si>
  <si>
    <t>1225 - CASA DE VALORES LADUPONT S.A.</t>
  </si>
  <si>
    <t>31403 - LIMON - INDANZA</t>
  </si>
  <si>
    <t>434 - EGIPTO</t>
  </si>
  <si>
    <t>1226 - CASA DE VALORES MERVALORES S.A.</t>
  </si>
  <si>
    <t>31404 - PALORA</t>
  </si>
  <si>
    <t>435 - GABON</t>
  </si>
  <si>
    <t>1227 - CASA DE VALORES MULTIVALORES BG S.A.</t>
  </si>
  <si>
    <t>31405 - SANTIAGO</t>
  </si>
  <si>
    <t>436 - GHANA</t>
  </si>
  <si>
    <t>1228 - PICHINCHA CASA DE VALORES PICAVAL S.A.</t>
  </si>
  <si>
    <t>31406 - SUCUA</t>
  </si>
  <si>
    <t>437 - GUINEA-BISSAU</t>
  </si>
  <si>
    <t>1230 - PRESBURSATIL S.A. CASA DE VALORES</t>
  </si>
  <si>
    <t>31407 - HUAMBOYA</t>
  </si>
  <si>
    <t>438 - GUINEA ECUATORIAL</t>
  </si>
  <si>
    <t>1231 - CASA DE VALORES PREVIBURSATIL S.A.</t>
  </si>
  <si>
    <t>31408 - SAN JUAN BOSCO</t>
  </si>
  <si>
    <t>439 - KENIA</t>
  </si>
  <si>
    <t>1232 - CASA DE VALORES PRIME S.A.</t>
  </si>
  <si>
    <t>31409 - TAISHA</t>
  </si>
  <si>
    <t>440 - LESOTHO</t>
  </si>
  <si>
    <t>1233 - CASA DE VALORES PRODUVALORES S.A.</t>
  </si>
  <si>
    <t>31410 - LOGROÑO</t>
  </si>
  <si>
    <t>441 - MAURICIO</t>
  </si>
  <si>
    <t>1234 - SU CASA DE VALORES SUCAVAL S.A.</t>
  </si>
  <si>
    <t>31411 - PABLO SEXTO</t>
  </si>
  <si>
    <t>442 - MOZAMBIQUE</t>
  </si>
  <si>
    <t>1235 - CASA DE VALORES TRANSBURSATIL S.A.</t>
  </si>
  <si>
    <t>31412 - TIWINTZA</t>
  </si>
  <si>
    <t>443 - MAYOTTE</t>
  </si>
  <si>
    <t>1236 - CASA DE VALORES DEL PACIFICO VALPACIFIC S.A.</t>
  </si>
  <si>
    <t>31501 - TENA</t>
  </si>
  <si>
    <t>444 - NIGER</t>
  </si>
  <si>
    <t>1237 - ADMINISTRADORA DE FONDOS DE INVERSION Y FIDEICOMISO BG S.A.</t>
  </si>
  <si>
    <t>31503 - ARCHIDONA</t>
  </si>
  <si>
    <t>445 - RWANDA</t>
  </si>
  <si>
    <t>1238 - ACCIONES Y VALORES CASA DE VALORES S.A. ACCIVAL</t>
  </si>
  <si>
    <t>31504 - EL CHACO</t>
  </si>
  <si>
    <t>446 - SEYCHELLES</t>
  </si>
  <si>
    <t>1239 - ADMINISTRADORA DE FONDOS Y FIDEICOMISOS PACIFICO ADPACIFIC S.A.</t>
  </si>
  <si>
    <t>31507 - QUIJOS</t>
  </si>
  <si>
    <t>447 - SAHARA OCCIDENTAL</t>
  </si>
  <si>
    <t>1240 - AFP GENESIS ADMINISTRADORA DE FONDOS Y FIDEICOMISOS S.A.</t>
  </si>
  <si>
    <t>31509 - CARLOS JULIO AROSEMENA T.</t>
  </si>
  <si>
    <t>448 - SOMALIA</t>
  </si>
  <si>
    <t>1241 - ADMINISTRADORA DE FONDOS CONTIFONDOS S.A.</t>
  </si>
  <si>
    <t>31601 - PASTAZA</t>
  </si>
  <si>
    <t>449 - SANTO TOME Y PRINCIPE</t>
  </si>
  <si>
    <t>1242 - ENLACEFONDOS S.A. ADMINISTRADORA DE FONDOS Y FIDEICOMISOS</t>
  </si>
  <si>
    <t>31602 - MERA</t>
  </si>
  <si>
    <t>450 - SWAZILANDIA</t>
  </si>
  <si>
    <t>1243 - FIDEVAL S.A. ADMINISTRADORA DE FONDOS Y FIDEICOMISOS</t>
  </si>
  <si>
    <t>31603 - SANTA CLARA</t>
  </si>
  <si>
    <t>451 - TOGO</t>
  </si>
  <si>
    <t>1244 - FIDUCIA S.A. ADMINISTRADORA DE FONDOS Y FIDEICOMISOS</t>
  </si>
  <si>
    <t>31604 - ARAJUNO</t>
  </si>
  <si>
    <t>452 - TUNEZ</t>
  </si>
  <si>
    <t>1245 - FIDUPRO S.A. ADMINISTRADORA DE FONDOS</t>
  </si>
  <si>
    <t>31901 - ZAMORA</t>
  </si>
  <si>
    <t>453 - ZAIRE</t>
  </si>
  <si>
    <t>1246 - FILANFONDOS S.A. ADMINIS. DE FONDOS Y FIDECOMISOS</t>
  </si>
  <si>
    <t>31902 - CHINCHIPE</t>
  </si>
  <si>
    <t>454 - ANGOLA</t>
  </si>
  <si>
    <t>1248 - FINVERFONDOS ADMINISTRADORA DE FONDOS</t>
  </si>
  <si>
    <t>31903 - NANGARITZA</t>
  </si>
  <si>
    <t>456 - CABO VERDE</t>
  </si>
  <si>
    <t>1249 - ADMINISTRADORA DE FONDOS FODEVA S.A. FODEVASA</t>
  </si>
  <si>
    <t>31904 - YACUAMBI</t>
  </si>
  <si>
    <t>458 - COMORAS</t>
  </si>
  <si>
    <t>1250 - ADMINISTRADORA DE FONDOS DEL PICHINCHA FONDOS PICHINCHA S.A.</t>
  </si>
  <si>
    <t>31905 - YANTZAZA</t>
  </si>
  <si>
    <t>459 - DJIBOUTI</t>
  </si>
  <si>
    <t>1251 - PRESFONDOS S.A. ADMINISTRADORA DE FONDOS</t>
  </si>
  <si>
    <t>31906 - EL PANGUI</t>
  </si>
  <si>
    <t>460 - NAMIBIA</t>
  </si>
  <si>
    <t>1252 - ADMINISTRADORA DE FONDOS PREVIFONDOS S.A.</t>
  </si>
  <si>
    <t>31907 - CENTINELA DEL CONDOR</t>
  </si>
  <si>
    <t>463 - ERITREA</t>
  </si>
  <si>
    <t>1253 - ADMINISTRADORA DE FONDOS PRODUFONDOS S.A.</t>
  </si>
  <si>
    <t>31908 - PALANDA</t>
  </si>
  <si>
    <t>464 - MOROCCO</t>
  </si>
  <si>
    <t>1254 - TRANSFIEC S.A.</t>
  </si>
  <si>
    <t>31909 - PAQUISHA</t>
  </si>
  <si>
    <t>465 - REUNION</t>
  </si>
  <si>
    <t>1255 - A.F.P.V. ADMINISTRADORA DE FONDOS Y FIDUCIARIA  S.A.</t>
  </si>
  <si>
    <t>32101 - LAGO AGRIO</t>
  </si>
  <si>
    <t>466 - SANTA ELENA</t>
  </si>
  <si>
    <t>1256 - AMERAFIN S.A.</t>
  </si>
  <si>
    <t>32102 - GONZALO PIZARRO</t>
  </si>
  <si>
    <t>499 - JERSEY</t>
  </si>
  <si>
    <t>1257 - ASESORES NACIONALES S.A. ANASA</t>
  </si>
  <si>
    <t>32103 - PUTUMAYO</t>
  </si>
  <si>
    <t>501 - AUSTRALIA</t>
  </si>
  <si>
    <t>1262 - CREDI FE DE DESARROLLO MICROEMPRESARIAL S.A.</t>
  </si>
  <si>
    <t>32104 - SHUSHUFINDI</t>
  </si>
  <si>
    <t>503 - NUEVA ZELANDA</t>
  </si>
  <si>
    <t>1263 - DERUGNE S.A.</t>
  </si>
  <si>
    <t>32105 - SUCUMBIOS</t>
  </si>
  <si>
    <t>504 - SAMOA OCCIDENTAL</t>
  </si>
  <si>
    <t>1264 - ECUHABITAT S.A.</t>
  </si>
  <si>
    <t>32106 - CASCALES</t>
  </si>
  <si>
    <t>506 - FIJI</t>
  </si>
  <si>
    <t>1265 - ENLACESERVICIOS S.A.</t>
  </si>
  <si>
    <t>32107 - CUYABENO</t>
  </si>
  <si>
    <t>507 - PAPUA NUEVA GUINEA</t>
  </si>
  <si>
    <t>1267 - FRANISA S.A.</t>
  </si>
  <si>
    <t>32201 - FRANCISCO DE ORELLANA</t>
  </si>
  <si>
    <t>508 - TONGA</t>
  </si>
  <si>
    <t>1269 - INTERDIN S.A. COMPAÑIA DE RECUPERACIONES</t>
  </si>
  <si>
    <t>32202 - AGUARICO</t>
  </si>
  <si>
    <t>509 - PALAO  (BELAU)  ISLAS</t>
  </si>
  <si>
    <t>1270 - NEDERLANDIA S.A.</t>
  </si>
  <si>
    <t>32203 - LA JOYA DE LOS SACHAS</t>
  </si>
  <si>
    <t>510 - KIRIBATI</t>
  </si>
  <si>
    <t>1272 - OTRAPART S.A.</t>
  </si>
  <si>
    <t>32204 - LORETO</t>
  </si>
  <si>
    <t>511 - MARSHALL ISLAS</t>
  </si>
  <si>
    <t>1273 - PROENOC S.A.</t>
  </si>
  <si>
    <t>42001 - SAN CRISTOBAL</t>
  </si>
  <si>
    <t>512 - MICRONESIA</t>
  </si>
  <si>
    <t>1274 - ASESORIA Y RECUPERACIONES S.A. RECUPSA</t>
  </si>
  <si>
    <t>42002 - ISABELA</t>
  </si>
  <si>
    <t>513 - NAURU</t>
  </si>
  <si>
    <t>1275 - COMPAÑIA DE SERVICIOS AUXILIARES DEL PACIFICO S.A. SERENTRESA</t>
  </si>
  <si>
    <t>42003 - SANTA CRUZ</t>
  </si>
  <si>
    <t>514 - SALOMON  ISLAS</t>
  </si>
  <si>
    <t>1276 - SEVIMAC S.A.</t>
  </si>
  <si>
    <t>515 - TUVALU</t>
  </si>
  <si>
    <t>1277 - SICOBRA S.A.</t>
  </si>
  <si>
    <t>516 - VANUATU</t>
  </si>
  <si>
    <t>1279 - TECSOFT S.A.</t>
  </si>
  <si>
    <t>517 - GUAM</t>
  </si>
  <si>
    <t>1280 - COMPAÑIA DE TRANSPORTE DE VALORES Y SEGURIDAD RUMIÑAHUI S.A.</t>
  </si>
  <si>
    <t>518 - ISLAS COCOS (KEELING)</t>
  </si>
  <si>
    <t>1281 - VIVERO MIÑO VIVEMISA S.A.</t>
  </si>
  <si>
    <t>519 - ISLAS COOK</t>
  </si>
  <si>
    <t>1282 - BANCO DE SANTANDER SOCIEDAD ANONIMA DE CREDITO</t>
  </si>
  <si>
    <t>520 - ISLAS NAVIDAD</t>
  </si>
  <si>
    <t>1284 - CHASE MANHATTAN BANK N.A.</t>
  </si>
  <si>
    <t>521 - MIDWAY ISLAS</t>
  </si>
  <si>
    <t>1287 - BANCO DO BRASIL S.A.</t>
  </si>
  <si>
    <t>522 - NIUE ISLA</t>
  </si>
  <si>
    <t>1288 - DRESDNER BANK LATEINAMERIKA AKTIENGESELLSCHAFT</t>
  </si>
  <si>
    <t>523 - NORFOLK ISLA</t>
  </si>
  <si>
    <t>1290 - BANCO DE LA NACION ARGENTINA</t>
  </si>
  <si>
    <t>524 - NUEVA  CALEDONIA</t>
  </si>
  <si>
    <t>1300 - COOPERATIVA DE AHORRO Y CREDITO CONSTRUCCION COMERCIO Y PRODUCCION LTDA.</t>
  </si>
  <si>
    <t>525 - PITCAIRN, ISLA</t>
  </si>
  <si>
    <t>1302 - COOPERATIVA JUVENTUD ECUATORIANA PROGRESISTA</t>
  </si>
  <si>
    <t>526 - POLINESIA FRANCESA</t>
  </si>
  <si>
    <t>1303 - COOPERATIVA DE AHORRO Y CREDITO METROPOLITANA</t>
  </si>
  <si>
    <t>529 - TIMOR DEL ESTE</t>
  </si>
  <si>
    <t>1304 - COOPERATIVA DE AHORRO Y CREDITO PADRE JULIAN LORENT</t>
  </si>
  <si>
    <t>530 - TOKELAI</t>
  </si>
  <si>
    <t>1306 - COOPERATIVA DE AHORRO Y CREDITO VICENTINA MANUEL ESTEBAN GODOY ORTEGA LTDA</t>
  </si>
  <si>
    <t>531 - WAKE ISLA</t>
  </si>
  <si>
    <t>1330 - CAMBIOSUR S.A.</t>
  </si>
  <si>
    <t>532 - WALLIS Y FUTUNA, ISLAS</t>
  </si>
  <si>
    <t>1336 - ASOCIACION MUTUALISTA DE AHORRO Y CREDITO PARA LA VIVIENDA GUAYAQUIL</t>
  </si>
  <si>
    <t>1352 - COOPERATIVA DE AHORRO Y CREDITO DE LA PEQUENA EMPRESA BIBLIAN</t>
  </si>
  <si>
    <t>594 - AGUAS INTERNACIONALES</t>
  </si>
  <si>
    <t>1364 - COOPERATIVA DE AHORRO Y CREDITO SAN JOSE LIMITADA</t>
  </si>
  <si>
    <t>595 - ALTO VOLTA</t>
  </si>
  <si>
    <t>1381 - BOLIVARIANO ADMINISTRADORA DE FONDOS Y FIDEICOMISOS AFFB S.A.</t>
  </si>
  <si>
    <t>596 - BIELORRUSIA</t>
  </si>
  <si>
    <t>1388 - COOPERATIVA DE AHORRO Y CREDITO PAD LTDA. COOPAD</t>
  </si>
  <si>
    <t>597 - COTE DÍVOIRE</t>
  </si>
  <si>
    <t>1400 - DEPOSITO CENTRALIZADO DE COMPENSACION Y LIQUIDACION DE VALORES DECEVALE S.A.</t>
  </si>
  <si>
    <t>598 - CYPRUS</t>
  </si>
  <si>
    <t>1409 - PACIFICARD S.A.</t>
  </si>
  <si>
    <t>599 - REPUBLICA CHECA</t>
  </si>
  <si>
    <t>1418 - BANCO PROMERICA S.A.</t>
  </si>
  <si>
    <t>600 - FALKLAND ISLANDS</t>
  </si>
  <si>
    <t>1422 - BANCO DELBANK S.A.</t>
  </si>
  <si>
    <t>601 - LATVIA</t>
  </si>
  <si>
    <t>1501 - BANCO CAPITAL SOCIEDAD ANONIMA</t>
  </si>
  <si>
    <t>602 - LIBIA</t>
  </si>
  <si>
    <t>1590 - CASA DE CAMBIOS ARGENTUM S.A.</t>
  </si>
  <si>
    <t>603 - NORTHERN MARIANA ISL</t>
  </si>
  <si>
    <t>1615 - COOPERATIVA DE AHORRO Y CREDITO JARDIN AZUAYO LTDA.</t>
  </si>
  <si>
    <t>604 - ST. PIERRE AND MIQUE</t>
  </si>
  <si>
    <t>1616 - COOPERATIVA DE AHORRO Y CREDITO MANANTIAL DE ORO LTDA.</t>
  </si>
  <si>
    <t>605 - SYRIAN ARAB REPUBLIC</t>
  </si>
  <si>
    <t>1617 - COOPERATIVA DE AHORRO Y CREDITO JUAN DE SALINAS</t>
  </si>
  <si>
    <t>606 - TERRITORIO ANTARTICO BRITANICO</t>
  </si>
  <si>
    <t>1618 - COOPERATIVA DE AHORRO Y CREDITO PUELLARO LTDA.</t>
  </si>
  <si>
    <t>607 - TERRITORIO BRITANICO OCEANO IN</t>
  </si>
  <si>
    <t>1619 - COOPERATIVA DE AHORRO Y CREDITO LA NUEVA JERUSALEN</t>
  </si>
  <si>
    <t>688 - SERBIA</t>
  </si>
  <si>
    <t>1620 - COOPERATIVA DE AHORRO Y CREDITO MALCHINGUI LTDA.</t>
  </si>
  <si>
    <t>831 - GUERNSEY</t>
  </si>
  <si>
    <t>1621 - COOPERATIVA DE AHORRO Y CREDITO AMAZONAS LTDA.</t>
  </si>
  <si>
    <t>832 - JERSEY</t>
  </si>
  <si>
    <t>1622 - COOPERATIVA DE AHORRO Y CREDITO AGRARIA MUSHUK KAWSAY LTDA</t>
  </si>
  <si>
    <t>833 - ISLE OF MAN</t>
  </si>
  <si>
    <t>1623 - COOPERATIVA DE AHORRO Y CREDITO TENA LTDA.</t>
  </si>
  <si>
    <t>1624 - COOPERATIVA DE AHORRO Y CREDITO DE LA PEQUEÑA EMPRESA GUALAQUIZA</t>
  </si>
  <si>
    <t>1625 - COOPERATIVA DE AHORRO Y CREDITO ALIANZA MINAS LTDA.</t>
  </si>
  <si>
    <t>1626 - COOPERATIVA DE AHORRO Y CREDITO MI TIERRA</t>
  </si>
  <si>
    <t>1627 - COOPERATIVA DE AHORRO Y CREDITO DE LA PEQUEÑA EMPRESA CACPE YANZATZA LTDA.</t>
  </si>
  <si>
    <t>1628 - COOPERATIVA DE AHORRO Y CREDITO FUTURO Y DESARROLLO FUNDESARROLLO</t>
  </si>
  <si>
    <t>1629 - COOPERATIVA DE AHORRO Y CREDITO DE LA PEQUEÑA EMPRESA ZAMORA CHINCHIPE</t>
  </si>
  <si>
    <t>1630 - COOPERATIVA DE AHORRO Y CREDITO DESARROLLO INTEGRAL</t>
  </si>
  <si>
    <t>1631 - COOPERATIVA DE AHORRO Y CREDITO EDUCADORES DE PASTAZA LTDA</t>
  </si>
  <si>
    <t>1632 - COOPERATIVA DE AHORRO Y CREDITO GRAMEEN AMAZONAS LTDA.</t>
  </si>
  <si>
    <t>1633 - COOP. AHORRO Y CREDITO DE LOS SERVIDORES PUBLICOS DEL MIN DE EDUCACION Y CULTURA</t>
  </si>
  <si>
    <t>1634 - COOPERATIVA DE AHORRO Y CREDITO PEDRO MONCAYO LTDA.</t>
  </si>
  <si>
    <t>1635 - COOPERATIVA DE AHORRO Y CREDITO SAN MIGUEL DE LOS BANCOS LTDA.</t>
  </si>
  <si>
    <t>1636 - COOPERATIVA DE AHORRO Y CREDITO POLICIA NACIONAL LTDA.</t>
  </si>
  <si>
    <t>1637 - COOPERATIVA DE AHORRO Y CREDITO NUEVA HUANCAVILCA</t>
  </si>
  <si>
    <t>1638 - COOPERATIVA DE AHORRO Y CREDITO LA MERCED LTDA.</t>
  </si>
  <si>
    <t>1639 - COOPERATIVA DE AHORRO Y CREDITO PROMOCION DE VIDA ASOCIADA LTDA.</t>
  </si>
  <si>
    <t>1640 - COOPERATIVA DE AHORRO Y CREDITO SAN JOSE S.J.</t>
  </si>
  <si>
    <t>1642 - COOPERATIVA DE AHORRO Y CREDITO SEÑOR DE GIRON</t>
  </si>
  <si>
    <t>1644 - COOPERATIVA DE AHORRO Y CREDITO INTEGRAL</t>
  </si>
  <si>
    <t>1645 - COOPERATIVA DE AHORRO CREDITO ERCO LTDA.</t>
  </si>
  <si>
    <t>1646 - COOPERATIVA DE AHORRO Y CREDITO BAÑOS LTDA</t>
  </si>
  <si>
    <t>1647 - COOPERATIVA DE AHORRO Y CREDITO EDUCADORES DE TUNGURAHUA LTDA</t>
  </si>
  <si>
    <t>1648 - COOPERATIVA DE AHORRO Y CREDITO AMBATO LTDA.</t>
  </si>
  <si>
    <t>1649 - COOPERATIVA DE AHORRO Y CREDITO TUNGURAHUA LTDA.</t>
  </si>
  <si>
    <t>1651 - COOPERATIVA DE AHORRO Y CREDITO LLANGANATES</t>
  </si>
  <si>
    <t>1652 - COOPERATIVA DE AHORRO Y CREDITO DORADO LTDA</t>
  </si>
  <si>
    <t>1653 - COOPERATIVA DE AHORRO Y CREDITO EL CALVARIO LTDA.</t>
  </si>
  <si>
    <t>1654 - COOPERATIVA DE AHORRO Y CREDITO CREDI FACIL LTDA.</t>
  </si>
  <si>
    <t>1655 - COOPERATIVA DE AHORRO Y CREDITO VENCEDORES DE TUNGURAHUA LTDA.</t>
  </si>
  <si>
    <t>1656 - COOPERATIVA DE AHORRO Y CREDITO LOS RIOS</t>
  </si>
  <si>
    <t>1657 - COOPERATIVA DE AHORRO Y CREDITO NUESTROS ABUELOS LTDA</t>
  </si>
  <si>
    <t>1658 - COOPERATIVA DE AHORRO Y CREDITO JUAN PIO DE MORA LTDA.</t>
  </si>
  <si>
    <t>1659 - COOPERATIVA DE AHORRO Y CREDITO ARTESANOS LTDA.</t>
  </si>
  <si>
    <t>1660 - COOPERATIVA DE AHORRO Y CREDITO SANTA ANITA LTDA.</t>
  </si>
  <si>
    <t>1661 - COOPERATIVA DE AHORRO Y CREDITO MUJERES UNIDAS</t>
  </si>
  <si>
    <t>1662 - COOPERATIVA DE AHORRO Y CREDITO SAN ANTONIO LTDA. IMBABURA</t>
  </si>
  <si>
    <t>1663 - COOPERATIVA DE AHORRO Y CREDITO HUAYCO PUNGO</t>
  </si>
  <si>
    <t>1664 - COOPERATIVA DE AHORRO Y CREDITO ANDINA LTDA.</t>
  </si>
  <si>
    <t>1665 - COOPERATIVA DE AHORRO Y CREDITO 15 DE AGOSTO DE PILACOTO</t>
  </si>
  <si>
    <t>1666 - COOPERATIVA DE AHORRO Y CREDITO PILAHUIN</t>
  </si>
  <si>
    <t>1667 - COOPERATIVA DE AHORRO Y CREDITO PUCARA LTDA.</t>
  </si>
  <si>
    <t>1668 - COOPERATIVA DE AHORRO Y CREDITO SINCHI RUNA LTDA.</t>
  </si>
  <si>
    <t>1669 - COOPERATIVA DE AHORRO Y CREDITO CRISTO REY</t>
  </si>
  <si>
    <t>1670 - COOPERATIVA DE AHORRO Y CREDITO SEMILLA DEL PROGRESO LTDA.</t>
  </si>
  <si>
    <t>1671 - COOPERATIVA DE AHORRO Y CREDITO CARIAMANGA LTDA.</t>
  </si>
  <si>
    <t>1672 - COOPERATIVA DE AHORRO Y CREDITO DE LA CAMARA DE COMERCIO DE PINDAL CADECOPI</t>
  </si>
  <si>
    <t>1673 - COOPERATIVA DE AHORRO Y CREDITO GONZANAMA</t>
  </si>
  <si>
    <t>1674 - COOPERATIVA DE AHORRO Y CREDITO QUILANGA LTDA.</t>
  </si>
  <si>
    <t>1675 - COOPERATIVA DE AHORRO Y CREDITO MARCABELI LTDA</t>
  </si>
  <si>
    <t>1676 - COOPERATIVA DE AHORRO Y CREDITO AGRICOLA JUNIN</t>
  </si>
  <si>
    <t>1677 - COOPERATIVA DE AHORRO Y CREDITO PUERTO LOPEZ LTDA.</t>
  </si>
  <si>
    <t>1678 - COOPERATIVA DE AHORRO Y CREDITO CAMARA DE COMERCIO DEL CANTON BOLIVAR LTDA.</t>
  </si>
  <si>
    <t>1679 - COOPERATIVA DE AHORRO Y CREDITO NUEVA ESPERANZA LTDA</t>
  </si>
  <si>
    <t>1680 - COOPERATIVA DE AHORRO Y CREDITO SAN JORGE LTDA</t>
  </si>
  <si>
    <t>1682 - COOPERATIVA DE AHORRO Y CREDITO ACCION Y DESARROLLO LTDA</t>
  </si>
  <si>
    <t>1683 - COOPERATIVA DE AHORRO Y CREDITO EDUCADORES DE CHIMBORAZO</t>
  </si>
  <si>
    <t>1684 - COOPERATIVA DE AHORRO Y CREDITO MINGA LTDA</t>
  </si>
  <si>
    <t>1685 - COOPERATIVA DE AHORRO Y CREDITO 4 DE OCTUBRE</t>
  </si>
  <si>
    <t>1686 - COOPERATIVA DE AHORRO Y CREDITO CAMARA DE COMERCIO INDIGENA DE GUAMOTE LTDA</t>
  </si>
  <si>
    <t>1687 - COOPERATIVA DE AHORRO Y CREDITO FERNANDO DAQUILEMA</t>
  </si>
  <si>
    <t>1688 - COOPERATIVA DE AHORRO Y CREDITO SUMAC LLACTA LTDA.</t>
  </si>
  <si>
    <t>1689 - COOPERATIVA DE AHORRO Y CREDITO SAN GABRIEL LTDA.</t>
  </si>
  <si>
    <t>1690 - COOPERATIVA DE AHORRO Y CREDITO CAMARA DE COMERCIO JOYA DE LOS SACHAS LTDA</t>
  </si>
  <si>
    <t>1691 - COOPERATIVA DE AHORRO Y CREDITO PUERTO FRANCISCO DE ORELLANA</t>
  </si>
  <si>
    <t>1692 - COOPERATIVA DE AHORRO Y CREDITO CRECIENDO JUNTOS LTDA.</t>
  </si>
  <si>
    <t>1693 - COOPERATIVA DE AHORRO Y CREDITO EL COMERCIANTE LTDA.</t>
  </si>
  <si>
    <t>1694 - COOPERATIVA DE AHORRO Y CREDITO EL DISCAPACITADO</t>
  </si>
  <si>
    <t>1695 - COOPERATIVA DE AHORRO Y CREDITO EL MIGRANTE SOLIDARIO</t>
  </si>
  <si>
    <t>1696 - COOPERATIVA DE AHORRO Y CREDITO EL TESORO PILLAREÑO</t>
  </si>
  <si>
    <t>1697 - COOPERATIVA DE AHORRO Y CREDITO EL TRANSPORTISTA CACET</t>
  </si>
  <si>
    <t>1698 - COOPERATIVA DE AHORRO Y CREDITO EMPLEADOS BANCARIOS DE EL ORO LTDA</t>
  </si>
  <si>
    <t>1699 - COOPERATIVA DE AHORRO Y CREDITO ESPERANZA Y PROGRESO DEL VALLE</t>
  </si>
  <si>
    <t>1700 - COOPERATIVA DE AHORRO Y CREDITO FASAYÑAN LTDA.</t>
  </si>
  <si>
    <t>1701 - COOPERATIVA DE AHORRO Y CREDITO FRANDESC LTDA</t>
  </si>
  <si>
    <t>1702 - COOP DE AHORRO Y CREDITO FUERZA ENTRE NOSOTROS PARA IMPULSAR EL EXITO FENIX</t>
  </si>
  <si>
    <t>1703 - COOPERATIVA DE AHORRO Y CREDITO FUNDAR</t>
  </si>
  <si>
    <t>1704 - COOPERATIVA DE AHORRO Y CREDITO GAÑANSOL LTDA.COOP. GAÑANSOL</t>
  </si>
  <si>
    <t>1705 - COOPERATIVA DE AHORRO Y CREDITO GENESIS LTDA</t>
  </si>
  <si>
    <t>1706 - COOPERATIVA DE AHORRO Y CREDITO GUACHAPALA</t>
  </si>
  <si>
    <t>1707 - COOPERATIVA DE AHORRO Y CREDITO GUARUMAL DEL CENTRO LTDA.</t>
  </si>
  <si>
    <t>1708 - COOPERATIVA DE AHORRO Y CREDITO GUEL LTDA.</t>
  </si>
  <si>
    <t>1709 - COOPERATIVA DE AHORRO Y CREDITO HUINARA LTDA.</t>
  </si>
  <si>
    <t>1710 - COOPERATIVA DE AHORRO Y CREDITO ILINIZA LTDA.</t>
  </si>
  <si>
    <t>1711 - COOPERATIVA DE AHORRO Y CREDITO INDIGENA SAC PELILEO LTDA.</t>
  </si>
  <si>
    <t>1712 - COOPERATIVA DE AHORRO Y CREDITO INTERCULTURAL TARPUK RUNA LTDA.</t>
  </si>
  <si>
    <t>1713 - COOPERATIVA DE AHORRO Y CREDITO INTERCULTURAL TAWANTINSUYU LTDA.</t>
  </si>
  <si>
    <t>1714 - COOPERATIVA DE AHORRO Y CREDITO INTI WASI LTDA INTICOOP</t>
  </si>
  <si>
    <t>1715 - COOPERATIVA DE AHORRO Y CREDITO JOYOCOTO LTDA</t>
  </si>
  <si>
    <t>1716 - COOPERATIVA DE AHORRO Y CREDITO JUVENTUD UNIDA LTDA.</t>
  </si>
  <si>
    <t>1717 - COOPERATIVA DE AHORRO Y CREDITO MUSHUC RUNA</t>
  </si>
  <si>
    <t>1718 - COOPERATIVA DE AHORRO Y CREDITO KURI WASI LTDA</t>
  </si>
  <si>
    <t>1719 - COOPERATIVA DE AHORRO Y CREDITO KURIÑAN</t>
  </si>
  <si>
    <t>1720 - COOPERATIVA DE AHORRO Y CREDITO LA BENEFICA LTDA.</t>
  </si>
  <si>
    <t>1721 - COOPERATIVA DE AHORRO Y CREDITO LA FLORESTA LTDA</t>
  </si>
  <si>
    <t>1722 - COOPERATIVA DE AHORRO Y CREDITO LA FLORIDA</t>
  </si>
  <si>
    <t>1723 - COOPERATIVA DE AHORRO Y CREDITO LA INMACULADA DE SAN PLACIDO LTDA.</t>
  </si>
  <si>
    <t>1724 - COOPERATIVA DE AHORRO Y CREDITO LA LIBERTAD LTDA</t>
  </si>
  <si>
    <t>1725 - COOPERATIVA DE AHORRO Y CREDITO LA UNION LTDA</t>
  </si>
  <si>
    <t>1726 - COOPERATIVA DE AHORRO Y CREDITO LAS LAGUNAS</t>
  </si>
  <si>
    <t>1727 - COOPERATIVA DE AHORRO Y CREDITO LOS ANDES LATINOS LTDA.</t>
  </si>
  <si>
    <t>1728 - COOPERATIVA DE AHORRO Y CREDITO LOS CHASQUIS PASTOCALLE LTDA.</t>
  </si>
  <si>
    <t>1729 - COOPERATIVA DE AHORRO Y CREDITO LUZ DEL VALLE</t>
  </si>
  <si>
    <t>1730 - COOPERATIVA DE AHORRO Y CREDITO MACODES LTDA</t>
  </si>
  <si>
    <t>1731 - COOPERATIVA DE AHORRO Y CREDITO MARIA AUXILIADORA DE QUIROGA LTDA.</t>
  </si>
  <si>
    <t>1732 - COOPERATIVA DE AHORRO Y CREDITO MICROEMPRESARIAL SUCRE</t>
  </si>
  <si>
    <t>1733 - COOPERATIVA DE AHORRO Y CREDITO MIGRANTES &amp; EMPRENDEDORES LTDA</t>
  </si>
  <si>
    <t>1734 - COOPERATIVA DE AHORRO Y CREDITO MULTICULTURAL BANCO INDIGENA LTDA.</t>
  </si>
  <si>
    <t>1735 - COOPERATIVA DE AHORRO Y CREDITO MUSHUG CAUSAY LTDA</t>
  </si>
  <si>
    <t>1736 - COOPERATIVA DE AHORRO Y CREDITO MUSHUK PAKARI LTDA</t>
  </si>
  <si>
    <t>1737 - COOPERATIVA DE AHORRO Y CREDITO MUSHUK PAKARIK LTDA.</t>
  </si>
  <si>
    <t>1738 - COOPERATIVA DE AHORRO Y CREDITO MUSHUK YUYAY</t>
  </si>
  <si>
    <t>1739 - COOPERATIVA DE AHORRO Y CREDITO MUSHUKWASI</t>
  </si>
  <si>
    <t>1740 - COOPERATIVA DE AHORRO Y CREDITO NUEVA FUERZA ALIANZA LTDA</t>
  </si>
  <si>
    <t>1741 - COOPERATIVA AHORRO Y CREDITO DE LA PEQUEÑA EMPRESA CACPE LOJA LTDA.</t>
  </si>
  <si>
    <t>1742 - COOPERATIVA DE AHORRO Y CREDITO ÑUKA LLAKTA LTDA</t>
  </si>
  <si>
    <t>1743 - COOPERATIVA DE AHORRO Y CREDITO OCIPSA</t>
  </si>
  <si>
    <t>1744 - COOPERATIVA DE AHORRO Y CREDITO OLMEDO LTDA.</t>
  </si>
  <si>
    <t>1745 - COOPERATIVA DE AHORRO Y CREDITO PADRE VICENTE PONCE RUBIO</t>
  </si>
  <si>
    <t>1746 - COOPERATIVA DE AHORRO Y CREDITO POPULAR Y SOLIDARIA</t>
  </si>
  <si>
    <t>1748 - COOP. DE AHORRO Y CREDITO PRODUCCION AHORRO INVERSION SERVICIO P.A.I.S. LTDA</t>
  </si>
  <si>
    <t>1749 - COOPERATIVA DE AHORRO Y CREDITO PRODUCCION Y DESARROLLO AGRICOLA COOPRODESA LTDA</t>
  </si>
  <si>
    <t>1750 - COOPERATIVA DE AHORRO Y CREDITO PROFUTURO LTDA</t>
  </si>
  <si>
    <t>1751 - COOPERATIVA DE AHORRO Y CREDITO PUJILI LTDA.</t>
  </si>
  <si>
    <t>1752 - COOPERATIVA DE AHORRO Y CREDITO RIOCHICO</t>
  </si>
  <si>
    <t>1753 - COOPERATIVA DE AHORRO Y CREDITO 9 DE OCTUBRE</t>
  </si>
  <si>
    <t>1754 - COOPERATIVA DE AHORRO Y CREDITO SALASACA</t>
  </si>
  <si>
    <t>1755 - COOPERATIVA DE AHORRO Y CREDITO SALATE LTDA.</t>
  </si>
  <si>
    <t>1756 - COOPERATIVA DE AHORRO Y CREDITO SALINAS LIMITADA</t>
  </si>
  <si>
    <t>1757 - COOPERATIVA DE AHORRO Y CREDITO SAN ANTONIO DE TOACASO</t>
  </si>
  <si>
    <t>1758 - COOPERATIVA DE AHORRO Y CREDITO SAN ANTONIO LTDA.</t>
  </si>
  <si>
    <t>1759 - COOPERATIVA DE AHORRO Y CREDITO SAN BARTOLO LTDA.</t>
  </si>
  <si>
    <t>1760 - COOPERATIVA DE AHORRO Y CREDITO SAN BARTOLOME LTDA.</t>
  </si>
  <si>
    <t>1761 - COOPERATIVA DE AHORRO Y CREDITO SAN FERNANDO LIMITADA</t>
  </si>
  <si>
    <t>1762 - COOPERATIVA DE AHORRO Y CREDITO SAN ISIDRO LTDA.</t>
  </si>
  <si>
    <t>1763 - COOPERATIVA DE AHORRO Y CREDITO SAN JOSE - AIRO</t>
  </si>
  <si>
    <t>1764 - COOPERATIVA DE AHORRO Y CREDITO SAN MARCOS</t>
  </si>
  <si>
    <t>1765 - COOPERATIVA DE AHORRO Y CREDITO SAN MARTIN DE TISALEO LTDA</t>
  </si>
  <si>
    <t>1766 - COOPERATIVA DE AHORRO Y CREDITO SAN MIGUEL DE PALLATANGA</t>
  </si>
  <si>
    <t>1767 - COOPERATIVA DE AHORRO Y CREDITO SAN PEDRO DE PELILEO LTDA.</t>
  </si>
  <si>
    <t>1768 - COOPERATIVA DE AHORRO Y CREDITO SAN PEDRO LTDA.</t>
  </si>
  <si>
    <t>1769 - COOPERATIVA DE AHORRO Y CREDITO SAN SANTIAGO DE MOLLETURO</t>
  </si>
  <si>
    <t>1770 - COOPERATIVA DE AHORRO Y CREDITO SAN SEBASTIAN - LOJA</t>
  </si>
  <si>
    <t>1771 - COOPERATIVA DE AHORRO Y CREDITO SANTA ISABEL LTDA</t>
  </si>
  <si>
    <t>1772 - COOPERATIVA DE AHORRO Y CREDITO SARAGUROS</t>
  </si>
  <si>
    <t>1773 - COOPERATIVA DE AHORRO Y CREDITO SERVIDORES MUNICIPALES DE CUENCA</t>
  </si>
  <si>
    <t>1774 - COOPERATIVA DE AHORRO Y CREDITO SIMON BOLIVAR</t>
  </si>
  <si>
    <t>1775 - COOPERATIVA DE AHORRO Y CREDITO SOCIO AMIGO COOPSA</t>
  </si>
  <si>
    <t>1776 - COOPERATIVA DE AHORRO Y CREDITO SOL DE LOS ANDES LTDA</t>
  </si>
  <si>
    <t>1777 - COOPERATIVA DE AHORRO Y CREDITO SOLIDARIA LTDA</t>
  </si>
  <si>
    <t>1778 - COOPERATIVA DE AHORRO Y CREDITO SOLIDARIA LTDA. GUALAQUIZA</t>
  </si>
  <si>
    <t>1779 - COOPERATIVA DE AHORRO Y CREDITO SOLIDARIDAD Y PROGRESO ORIENTAL</t>
  </si>
  <si>
    <t>1780 - COOPERATIVA DE AHORRO Y CREDITO SUMAK SAMY LTDA.</t>
  </si>
  <si>
    <t>1781 - COOPERATIVA DE AHORRO Y CREDITO UNIBLOCK Y SERVICIOS LTDA.</t>
  </si>
  <si>
    <t>1782 - COOPERATIVA DE AHORRO Y CREDITO UNIOTAVALO LTDA</t>
  </si>
  <si>
    <t>1783 - COOPERATIVA DE AHORRO Y CREDITO WARMIKUNAPAK RIKCHARI LTDA.</t>
  </si>
  <si>
    <t>1784 - COOPERATIVA DE AHORRO Y CREDITO WUAMANLOMA LTDA.</t>
  </si>
  <si>
    <t>1785 - COOPERATIVA DE SERVICIOS MULTIPLES AGRO VIDA COOSEMAV</t>
  </si>
  <si>
    <t>1786 - COOPERTATIVA DE AHORRO Y CREDITO UNION QUISAPINCHA LTDA.</t>
  </si>
  <si>
    <t>1787 - COOPJADAN LTDA, COOPERATIVA DE AHORRO Y CREDITO JADAN</t>
  </si>
  <si>
    <t>1788 - COOPERATIVA DE AHORRO Y CREDITO CACPE MANABI</t>
  </si>
  <si>
    <t>1789 - COOPERATIVA DE AHORRO Y CREDITO CRECER WIÑARI LTDA.</t>
  </si>
  <si>
    <t>1790 - COOP. AHORRO Y CREDITO DEL SINDICATO DE CHOFERES PROFESIONALES DEL AZUAY LTDA.</t>
  </si>
  <si>
    <t>1791 - COOPERATIVA DE AHORRO Y CREDITO EMPRENDEDORES 'COOPEMPRENDER' LIMITADA</t>
  </si>
  <si>
    <t>1792 - COOPERATIVA DE AHORRO Y CREDITO NUEVA LOJA LTDA.</t>
  </si>
  <si>
    <t>1793 - COOPERATIVA DE AHORRO Y CREDITO SAN JUAN DE COTOGCHOA</t>
  </si>
  <si>
    <t>1802 - COOPERATIVA DE AHORRO Y CREDITO MAS AHORRO SOLIDARIO MASCOOP</t>
  </si>
  <si>
    <t>1815 - COOPERATIVA DE AHORRO Y CREDITO TIENDA DE DINERO LTDA.</t>
  </si>
  <si>
    <t>1816 - COOPERATIVA DE AHORRO Y CREDITO VILCABAMBA CACVIL</t>
  </si>
  <si>
    <t>1869 - AUSTROBANK OVERSEAS PANAMA S.A</t>
  </si>
  <si>
    <t>1900 - EXTERNALIZACIÓN DE SERVICIOS S.A. EXSERSA</t>
  </si>
  <si>
    <t>1901 - BANCO DEL INSTITUTO ECUATORIANO DE SEGURIDAD SOCIAL</t>
  </si>
  <si>
    <t>1903 - COOPERATIVA DE AHORRO Y CREDITO 23 DE MAYO LTDA.</t>
  </si>
  <si>
    <t>1904 - COOPERATIVA DE AHORRO Y CRÉDITO COCA LTDA</t>
  </si>
  <si>
    <t>1905 - COOPERATIVA  DE AHORRO Y CRÉDITO PILAHUIN TIO LTDA</t>
  </si>
  <si>
    <t>1906 - COOPERATIVA  DE AHORRO Y CRÉDITO HUAICANA LTDA</t>
  </si>
  <si>
    <t>1907 - COOPERATIVA DE AHORRO Y CREDITO  CREDISUR LTDA.</t>
  </si>
  <si>
    <t>1908 - COOPERATIVA DE AHORRO Y CREDITO  MAQUITA CUSHUNCHIC LTDA.</t>
  </si>
  <si>
    <t>1909 - COOPERATIVA DE AHORRO Y CREDITO  GENERAL RUMIÑAHUI</t>
  </si>
  <si>
    <t>1910 - COOPERATIVA DE AHORRO Y CREDITO  CASAG LTDA</t>
  </si>
  <si>
    <t>1911 - COOPERATIVA DE AHORRO Y CREDITO  FOCLA</t>
  </si>
  <si>
    <t>1912 - COOPERATIVA DE AHORRO Y CREDITO  FINANCIERA INDIGENA LTDA.</t>
  </si>
  <si>
    <t>1913 - SOCIEDAD FINANCIERA VISIONFUND ECUADOR S.A.</t>
  </si>
  <si>
    <t>1915 - BANCO-D-MIRO S.A.</t>
  </si>
  <si>
    <t>1916 - COOPERATIVA  DE AHORRO Y CREDITO HUAQUILLAS LTDA.</t>
  </si>
  <si>
    <t>1917 - COOPERATIVA DE AHORRO Y CREDITO  DEL COL. FISC. EXPER. VICENTE ROCAFUERTE</t>
  </si>
  <si>
    <t>1918 - BANCO PARA LA ASISTENCIA COMUNITARIA FINCA S.A.</t>
  </si>
  <si>
    <t>1920 - COOPERATIVA DE AHORRO Y CREDITO  ECUAFUTURO LTDA.</t>
  </si>
  <si>
    <t>1921 - COOPERATIVA DE AHORRO Y CREDITO  MAQUITA CUSHUN LTDA.</t>
  </si>
  <si>
    <t>1922 - COOPERATIVA DE AHORRO Y CREDITO  VALLES DEL LIRIO</t>
  </si>
  <si>
    <t>1923 - COOPERATIVA  ESFUERZO UNIDO PARA EL DESARR. DEL CHILCO LA ESPERANZA</t>
  </si>
  <si>
    <t>1924 - COOPERATIVA  A. Y C. CARROCEROS DE TUNGURAHUA</t>
  </si>
  <si>
    <t>1925 - COOPERATIVA DE AHORRO Y CREDITO  INKA KIPU LTDA.</t>
  </si>
  <si>
    <t>1926 - COOPERATIVA  DE AHORRO Y CRÉDITO 'SIMIATUG LTDA'</t>
  </si>
  <si>
    <t>1928 - COOPERATIVA DE AHORRO Y CREDITO  PIJAL</t>
  </si>
  <si>
    <t>1929 - COOPERATIVA DE AHORRO Y CREDITO  ESCENCIA INDIGENA LTDA.</t>
  </si>
  <si>
    <t>1930 - COOPERATIVA DE AHORRO Y CREDITO  SANTA ROSA DE PATUTAN LTDA.</t>
  </si>
  <si>
    <t>1931 - COOPERATIVA  DE AHORRO Y CREDITO SAN MIGUEL DE SIGCHOS</t>
  </si>
  <si>
    <t>1932 - COOPERATIVA DE AHORRO Y CREDITO  SIERRA CENTRO LTDA.</t>
  </si>
  <si>
    <t>1933 - COOPERATIVA DE AHORRO Y CREDITO  UNION MERCEDARIA LTDA.</t>
  </si>
  <si>
    <t>1935 - COOPERATIVA  DE AHORRO Y CREDITO CREDIAMIGO LTDA. LOJA (MIES)</t>
  </si>
  <si>
    <t>1936 - COOPERATIVA DE AHORRO Y CREDITO FORTUNA (MIES)</t>
  </si>
  <si>
    <t>1937 - COOPERATIVA DE AHORRO Y CREDITO DE LOS PROFESIONALES DEL VOLANTE UNION LTDA</t>
  </si>
  <si>
    <t>1938 - COOPERATIVA DE AHORRO Y CREDITO CACPE CELICA</t>
  </si>
  <si>
    <t>1939 - COOPERATIVA DE AHORRO Y CREDITO CATAMAYO LTDA. (MIES)</t>
  </si>
  <si>
    <t>1940 - COOPERATIVA DE AHORRO Y CREDITO  DE LA PEQ. EMPRESA CACPE MACARÁ</t>
  </si>
  <si>
    <t>1941 - COOPERATIVA  AHO.Y CRED.NUEVOS HORIZONTES EL ORO LTDA.</t>
  </si>
  <si>
    <t>1942 - COOPERATIVA DE AHORRO Y CREDITO  16 DE JUNIO</t>
  </si>
  <si>
    <t>1943 - COOPERATIVA DE AHORRO Y CREDITO  FUTURO Y PROGRESO DE GALAPAGOS LTDA.</t>
  </si>
  <si>
    <t>1944 - COOPERATIVA DE AHORRO Y CREDITO  LUCHA CAMPESINA LTDA.</t>
  </si>
  <si>
    <t>1945 - COOPERATIVA DE AHORRO Y CREDITO  GUAMOTE LTDA.</t>
  </si>
  <si>
    <t>1946 - COOPERATIVA DE AHORRO Y CREDITO  EDUCADORES TULCAN LTDA.</t>
  </si>
  <si>
    <t>1947 - COOPERATIVA DE AHORRO Y CREDITO COOPAC AUSTRO LTDA</t>
  </si>
  <si>
    <t>1948 - COOPERATIVA DE AHORRO Y CREDITO INDIGENA ALFA Y OMEGA LTDA</t>
  </si>
  <si>
    <t>1949 - COOPERATIVA DE AHORRO Y CREDITO CHIBULEO</t>
  </si>
  <si>
    <t>1950 - COOPERATIVA DE AHORRO Y CREDITO KISAPINCHA LTDA.</t>
  </si>
  <si>
    <t>1951 - COOPERATIVA DE AHORRO Y CREDITO VIRGEN DEL CISNE</t>
  </si>
  <si>
    <t>1952 - COOPERATIVA AHORRO Y CREDITO 26 DE SEPTIEMBRE LAZARO CONDO</t>
  </si>
  <si>
    <t>1953 - COOPERATIVA AHORRO Y CREDITO AFRO ECUATORIANA DE LA PEQUEÑA EMPRESA LTDA CACAEPE</t>
  </si>
  <si>
    <t>1954 - COOPERATIVA AHORRO Y CREDITO UNION EL EJIDO</t>
  </si>
  <si>
    <t>1955 - COOPERATIVA DE AHORRO Y CREDITO 13 DE ABRIL</t>
  </si>
  <si>
    <t>1956 - COOPERATIVA DE AHORRO Y CREDITO 15 DE DICIEMBRE LINDERO LTDA</t>
  </si>
  <si>
    <t>1957 - COOPERATIVA DE AHORRO Y CREDITO 15 DE MAYO LTDA</t>
  </si>
  <si>
    <t>1958 - COOPERATIVA DE AHORRO Y CREDITO 20 DE FEBRERO LTDA.</t>
  </si>
  <si>
    <t>1959 - COOPERATIVA DE AHORRO Y CREDITO 21 DE NOVIEMBRE LTDA.</t>
  </si>
  <si>
    <t>1960 - COOPERATIVA DE AHORRO Y CREDITO 22 DE JUNIO</t>
  </si>
  <si>
    <t>1962 - COOPERATIVA DE AHORRO Y CREDITO 27 DE ABRIL</t>
  </si>
  <si>
    <t>1963 - COOPERATIVA DE AHORRO Y CREDITO 4 DE OCTUBRE SAN FRANCISCO DE CHAMBO</t>
  </si>
  <si>
    <t>1964 - COOPERATIVA DE AHORRO Y CREDITO ABDON CALDERON LTDA.</t>
  </si>
  <si>
    <t>1965 - COOPERATIVA DE AHORRO Y CREDITO ACCION TUNGURAHUA LTDA.</t>
  </si>
  <si>
    <t>1966 - COOPERATIVA DE AHORRO Y CREDITO AGRO PRODUCTIVA MANABI LTDA.</t>
  </si>
  <si>
    <t>1967 - COOPERATIVA DE AHORRO Y CREDITO AGUILAS DE CRISTO</t>
  </si>
  <si>
    <t>1968 - COOPERATIVA DE AHORRO Y CREDITO ALLI TARPUC</t>
  </si>
  <si>
    <t>1969 - COOPERATIVA DE AHORRO Y CREDITO BASHALAN LTDA</t>
  </si>
  <si>
    <t>1970 - COOPERATIVA DE AHORRO Y CREDITO BUENA FE LTDA.</t>
  </si>
  <si>
    <t>1971 - COOPERATIVA DE AHORRO Y CREDITO CACIQUE GURITAVE</t>
  </si>
  <si>
    <t>1972 - COOPERATIVA DE AHORRO Y CREDITO CAMARA DE COMERCIO DE RIOBAMBA LTDA</t>
  </si>
  <si>
    <t>1973 - COOPERATIVA DE AHORRO Y CREDITO CAMARA DE COMERCIO DE SANTO DOMINGO</t>
  </si>
  <si>
    <t>1974 - COOPERATIVA DE AHORRO Y CREDITO CAMARA DE COMERCIO DEL CANTON EL CARMEN LTDA.</t>
  </si>
  <si>
    <t>1975 - COOPERATIVA DE AHORRO Y CREDITO CAÑAR LTDA.</t>
  </si>
  <si>
    <t>1976 - COOPERATIVA DE AHORRO Y CREDITO CHOCO TUNGURAHUA RUNA LTDA.</t>
  </si>
  <si>
    <t>1977 - COOPERATIVA DE AHORRO Y CREDITO COLEGIO DE INGENIEROS CIVILES DEL AZUAY C.I.C.A.</t>
  </si>
  <si>
    <t>1978 - COOPERATIVA DE AHORRO Y CREDITO COOPARTAMOS LTDA.</t>
  </si>
  <si>
    <t>1979 - COOPERATIVA DE AHORRO Y CREDITO COOPINDIGENA LTDA.</t>
  </si>
  <si>
    <t>1980 - COOPERATIVA DE AHORRO Y CREDITO COOPTOPAXI LTDA.</t>
  </si>
  <si>
    <t>1981 - COOPERATIVA DE AHORRO Y CREDITO CORDILLERA DE LOS ANDES LTDA.</t>
  </si>
  <si>
    <t>1982 - COOPERATIVA DE AHORRO Y CREDITO CORPORACION CENTRO LTDA.</t>
  </si>
  <si>
    <t>1983 - COOPERATIVA DE AHORRO Y CREDITO CREA LTDA.</t>
  </si>
  <si>
    <t>1984 - COOPERATIVA DE AHORRO Y CREDITO CREDI UNION LTDA</t>
  </si>
  <si>
    <t>1985 - COOPERATIVA DE AHORRO Y CREDITO CREDIL LTDA.</t>
  </si>
  <si>
    <t>1986 - COOPERATIVA DE AHORRO Y CREDITO CUNA DE LA NACIONALIDAD LTDA.</t>
  </si>
  <si>
    <t>1987 - COOPERATIVA DE AHORRO Y CREDITO DE LA CAMARA DE COMERCIO DE GONZANAMA</t>
  </si>
  <si>
    <t>1990 - COOPERATIVA DE AHORRO Y CREDITO DE LA MICROEMPRESA DE CHIMBORAZO LTDA</t>
  </si>
  <si>
    <t>1991 - COOP DE AHORRO Y CREDITO DE LA PEQUEÑA Y MEDIANA EMPRESA COOPYMEC-MACARA</t>
  </si>
  <si>
    <t>1992 - COOPERATIVA DE AHORRO Y CREDITO DE VIVIENDA Y DESARROLLO CASA FACIL LTDA</t>
  </si>
  <si>
    <t>1993 - COOPERATIVA DE AHORRO Y CREDITO DEL AZUAY</t>
  </si>
  <si>
    <t>1994 - COOPERATIVA DE AHORRO Y CREDITO DEL EMIGRANTE ECUATORIANO Y SU FAMILIA LTDA.</t>
  </si>
  <si>
    <t>1995 - COOPERATIVA DE AHORRO Y CREDITO SAN PEDRO DE TABOADA LTDA.</t>
  </si>
  <si>
    <t>1996 - COOPERATIVA DE AHORRO Y CREDITO DESARROLLO POPULAR LTDA.</t>
  </si>
  <si>
    <t>1997 - COOPERATIVA DE AHORRO Y CREDITO ECONOMIA DEL SUR ECOSUR</t>
  </si>
  <si>
    <t>1998 - COOPERATIVA DE AHORRO Y CREDITO EDUCADORES DE EL ORO LTDA</t>
  </si>
  <si>
    <t>1999 - COOPERATIVA DE AHORRO Y CREDITO EDUCADORES DE ZAMORA CHINCHIPE LTDA.</t>
  </si>
  <si>
    <t>TABLERO EJECUTIVO 2025 · 2026</t>
  </si>
  <si>
    <t>CRECIMIENTO XML</t>
  </si>
  <si>
    <t>DESGLOSE DE ACTIVOS</t>
  </si>
  <si>
    <t>CATEGORÍA</t>
  </si>
  <si>
    <t>Derechos de capital</t>
  </si>
  <si>
    <t>Vehículos, naves y aeronaves</t>
  </si>
  <si>
    <t>Derechos (usufructo, uso)</t>
  </si>
  <si>
    <t>CONCEPTO</t>
  </si>
  <si>
    <t>VARIACIÓN</t>
  </si>
  <si>
    <t>VAR %</t>
  </si>
  <si>
    <t>(−) Total pasivos</t>
  </si>
  <si>
    <t>Patrimonio declarado XML 2025</t>
  </si>
  <si>
    <t>Patrimonio neto año anterior</t>
  </si>
  <si>
    <t>Crecimiento patrimonial XML</t>
  </si>
  <si>
    <t xml:space="preserve">  CONSOLIDADO PATRIMONIAL</t>
  </si>
  <si>
    <t>Activos totales</t>
  </si>
  <si>
    <t>Pasivos totales</t>
  </si>
  <si>
    <t xml:space="preserve">  PASIVOS Y OBLIGACIONES</t>
  </si>
  <si>
    <t xml:space="preserve">  PATRIMONIO Y RECONCILIACIÓN XML</t>
  </si>
  <si>
    <t>Dinero efectivo</t>
  </si>
  <si>
    <t>Vehículos</t>
  </si>
  <si>
    <t>Valor</t>
  </si>
  <si>
    <t>Patrimonio Neto</t>
  </si>
  <si>
    <t>Categoría</t>
  </si>
  <si>
    <t>Cuentas x cobrar</t>
  </si>
  <si>
    <t>Deudas</t>
  </si>
  <si>
    <t>01  COMPOSICIÓN DE ACTIVOS</t>
  </si>
  <si>
    <t>El 48.5% del patrimonio está concentrado en bienes inmuebles</t>
  </si>
  <si>
    <t>02  COMPOSICIÓN DE PASIVOS</t>
  </si>
  <si>
    <t>Pasivo único: deudas con instituciones financieras</t>
  </si>
  <si>
    <t>Margen patrimonial</t>
  </si>
  <si>
    <t>INDICADORES FINANCIEROS · SEMÁFOROS</t>
  </si>
  <si>
    <t>Análisis vertical y ratios clave de salud patrimonial</t>
  </si>
  <si>
    <t>● LIQUIDEZ</t>
  </si>
  <si>
    <t>Activo líquido / Pasivo</t>
  </si>
  <si>
    <t>ÓPTIMO  &gt;  1.5x</t>
  </si>
  <si>
    <t>● SOLVENCIA</t>
  </si>
  <si>
    <t>Activos / Pasivos</t>
  </si>
  <si>
    <t>ÓPTIMO  &gt;  2.0x</t>
  </si>
  <si>
    <t>● ENDEUDAMIENTO</t>
  </si>
  <si>
    <t>Pasivos / Activos</t>
  </si>
  <si>
    <t>ÓPTIMO  &lt;  40%</t>
  </si>
  <si>
    <t>● APALANCAMIENTO</t>
  </si>
  <si>
    <t>Pasivos / Patrimonio</t>
  </si>
  <si>
    <t>ÓPTIMO  &lt;  50%</t>
  </si>
  <si>
    <t>ANÁLISIS VERTICAL  ·  % DEL TOTAL DE ACTIVOS</t>
  </si>
  <si>
    <t>Dinero / Efectivo</t>
  </si>
  <si>
    <t>PLANTILLA DE CARGA · CUENTAS POR COBRAR 2026</t>
  </si>
  <si>
    <t>Valor 2025 (referencia)</t>
  </si>
  <si>
    <t>Instrucción: llene SOLO la columna amarilla 'VALOR 2026'. Luego suba este archivo y Claude actualizará la declaración automáticamente.</t>
  </si>
  <si>
    <t>RUC / Identificación</t>
  </si>
  <si>
    <t>✏ VALOR 2026 — LLENAR AQUÍ</t>
  </si>
  <si>
    <t>MAYORCA NATA OSCAR</t>
  </si>
  <si>
    <t>➕  NUEVOS DEUDORES 2026 — No existían en 2025</t>
  </si>
  <si>
    <t>Completa todas las columnas A/B/C antes de ingresar el valor en D</t>
  </si>
  <si>
    <t>RUC / Cédula</t>
  </si>
  <si>
    <t>Tipo de identificación (R=RUC / C=Cédula / P=Pasaporte)</t>
  </si>
  <si>
    <t>✏ Valor 2026</t>
  </si>
  <si>
    <t>1711379766</t>
  </si>
  <si>
    <t>JORGE CALUPINIA</t>
  </si>
  <si>
    <t>C</t>
  </si>
  <si>
    <t>CALUPINIA JORGE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</si>
</sst>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164" formatCode="&quot;$&quot;#,##0.00"/>
    <numFmt numFmtId="165" formatCode="\+0.0%;\-0.0%;0.0%"/>
    <numFmt numFmtId="166" formatCode="&quot;$&quot;#.##0"/>
    <numFmt numFmtId="167" formatCode="0.0%"/>
    <numFmt numFmtId="168" formatCode="&quot;$&quot;#.##0.00;\(&quot;$&quot;#.##0.00\);&quot;—&quot;"/>
    <numFmt numFmtId="169" formatCode="\+0.0%;\-0.0%;&quot;—&quot;"/>
    <numFmt numFmtId="170" formatCode="0.0&quot;x&quot;"/>
    <numFmt numFmtId="171" formatCode="&quot;$&quot;#\ ###\ ##0.00;\-&quot;$&quot;#\ ###\ ##0.00;&quot;$—&quot;"/>
    <numFmt numFmtId="172" formatCode="&quot;$&quot;#\ ###\ ##0.00"/>
    <numFmt numFmtId="173" formatCode="0.00&quot;x&quot;"/>
    <numFmt numFmtId="174" formatCode="&quot;$&quot;\ #.##0.00"/>
    <numFmt numFmtId="175" formatCode="&quot;$&quot;\ #\ ###\ ##0.00"/>
  </numFmts>
  <fonts count="62" x14ac:knownFonts="1">
    <font>
      <sz val="11"/>
      <color theme="1"/>
      <name val="Calibri"/>
      <family val="2"/>
      <scheme val="minor"/>
    </font>
    <font>
      <b/>
      <sz val="11"/>
      <color rgb="FF1A1A1A"/>
      <name val="Calibri"/>
    </font>
    <font>
      <b/>
      <sz val="14"/>
      <color rgb="FFFFFFFF"/>
      <name val="Calibri"/>
    </font>
    <font>
      <i/>
      <sz val="10"/>
      <color rgb="FF7A7A7A"/>
      <name val="Calibri"/>
    </font>
    <font>
      <b/>
      <sz val="10"/>
      <color rgb="FFFFFFFF"/>
      <name val="Calibri"/>
    </font>
    <font>
      <sz val="11"/>
      <color rgb="FF1A1A1A"/>
      <name val="Calibri"/>
    </font>
    <font>
      <b/>
      <sz val="11"/>
      <color rgb="FFFFFFFF"/>
      <name val="Calibri"/>
    </font>
    <font>
      <i/>
      <sz val="9"/>
      <color rgb="FF7A7A7A"/>
      <name val="Calibri"/>
    </font>
    <font>
      <b/>
      <sz val="14"/>
      <color rgb="FFFFFFFF"/>
      <name val="Calibri"/>
    </font>
    <font>
      <i/>
      <sz val="8"/>
      <color rgb="FF7A7A7A"/>
      <name val="Calibri"/>
    </font>
    <font>
      <b/>
      <sz val="11"/>
      <color rgb="FF10243E"/>
      <name val="Calibri"/>
    </font>
    <font>
      <sz val="11"/>
      <color rgb="FFE8EEF7"/>
      <name val="Segoe UI"/>
    </font>
    <font>
      <i/>
      <sz val="10"/>
      <color rgb="FFE8EEF7"/>
      <name val="Segoe UI"/>
    </font>
    <font>
      <b/>
      <sz val="10"/>
      <color rgb="FFE8EEF7"/>
      <name val="Segoe UI"/>
    </font>
    <font>
      <b/>
      <sz val="11"/>
      <color rgb="FFE8EEF7"/>
      <name val="Segoe UI"/>
    </font>
    <font>
      <sz val="10"/>
      <color rgb="FFE8EEF7"/>
      <name val="Segoe UI"/>
    </font>
    <font>
      <sz val="10"/>
      <color rgb="FFFFFFFF"/>
      <name val="Segoe UI"/>
    </font>
    <font>
      <b/>
      <sz val="12"/>
      <color rgb="FFC9A961"/>
      <name val="Segoe UI"/>
    </font>
    <font>
      <sz val="10"/>
      <color rgb="FF9FB3D1"/>
      <name val="Segoe UI"/>
    </font>
    <font>
      <sz val="11"/>
      <color rgb="FF9FB3D1"/>
      <name val="Segoe UI"/>
    </font>
    <font>
      <b/>
      <sz val="10"/>
      <color rgb="FF9FB3D1"/>
      <name val="Segoe UI"/>
    </font>
    <font>
      <b/>
      <sz val="10"/>
      <color rgb="FFFFFFFF"/>
      <name val="Segoe UI"/>
    </font>
    <font>
      <b/>
      <sz val="24"/>
      <color rgb="FFFFFFFF"/>
      <name val="Segoe UI Light"/>
    </font>
    <font>
      <b/>
      <sz val="10"/>
      <color rgb="FF7BD389"/>
      <name val="Segoe UI"/>
    </font>
    <font>
      <b/>
      <sz val="10"/>
      <color rgb="FFE07B7B"/>
      <name val="Segoe UI"/>
    </font>
    <font>
      <b/>
      <sz val="10"/>
      <color rgb="FF0B1F3A"/>
      <name val="Segoe UI"/>
    </font>
    <font>
      <b/>
      <sz val="26"/>
      <color rgb="FF0B1F3A"/>
      <name val="Segoe UI Light"/>
    </font>
    <font>
      <b/>
      <sz val="22"/>
      <color rgb="FF7BD389"/>
      <name val="Segoe UI Light"/>
    </font>
    <font>
      <b/>
      <sz val="13"/>
      <color rgb="FFC9A961"/>
      <name val="Segoe UI"/>
    </font>
    <font>
      <b/>
      <sz val="9"/>
      <color rgb="FF9FB3D1"/>
      <name val="Segoe UI"/>
    </font>
    <font>
      <b/>
      <sz val="10"/>
      <color rgb="FFC9A961"/>
      <name val="Segoe UI"/>
    </font>
    <font>
      <b/>
      <sz val="11"/>
      <color rgb="FFC9A961"/>
      <name val="Segoe UI"/>
    </font>
    <font>
      <sz val="8"/>
      <color rgb="FFC9A961"/>
      <name val="Segoe UI"/>
    </font>
    <font>
      <i/>
      <sz val="10"/>
      <color rgb="FF9FB3D1"/>
      <name val="Segoe UI"/>
    </font>
    <font>
      <b/>
      <i/>
      <sz val="10"/>
      <color rgb="FF7BD389"/>
      <name val="Segoe UI"/>
    </font>
    <font>
      <sz val="9"/>
      <color rgb="FF5A6F8F"/>
      <name val="Segoe UI"/>
    </font>
    <font>
      <sz val="9"/>
      <color rgb="FF5A6F8F"/>
      <name val="Calibri"/>
      <family val="2"/>
      <scheme val="minor"/>
    </font>
    <font>
      <b/>
      <sz val="11"/>
      <color rgb="FF0B1F3A"/>
      <name val="Segoe UI"/>
    </font>
    <font>
      <sz val="10"/>
      <color rgb="FFA8B5CC"/>
      <name val="Segoe UI"/>
    </font>
    <font>
      <b/>
      <sz val="10"/>
      <color rgb="FFA8B5CC"/>
      <name val="Segoe UI"/>
    </font>
    <font>
      <sz val="10"/>
      <color rgb="FFA8B5CC"/>
      <name val="Calibri"/>
      <family val="2"/>
      <scheme val="minor"/>
    </font>
    <font>
      <i/>
      <sz val="10"/>
      <color rgb="FFA8B5CC"/>
      <name val="Segoe UI"/>
    </font>
    <font>
      <i/>
      <sz val="9"/>
      <color rgb="FFA8B5CC"/>
      <name val="Segoe UI"/>
    </font>
    <font>
      <b/>
      <sz val="10"/>
      <color rgb="FF27AE60"/>
      <name val="Segoe UI"/>
    </font>
    <font>
      <b/>
      <sz val="22"/>
      <color rgb="FFFFFFFF"/>
      <name val="Segoe UI"/>
    </font>
    <font>
      <b/>
      <sz val="8"/>
      <color rgb="FF27AE60"/>
      <name val="Segoe UI"/>
    </font>
    <font>
      <sz val="9"/>
      <color rgb="FFFFFFFF"/>
      <name val="Segoe UI"/>
    </font>
    <font>
      <sz val="8"/>
      <color rgb="FFC9A961"/>
      <name val="Consolas"/>
    </font>
    <font>
      <b/>
      <sz val="11"/>
      <color rgb="FF3498DB"/>
      <name val="Segoe UI"/>
    </font>
    <font>
      <sz val="8"/>
      <color rgb="FF3498DB"/>
      <name val="Consolas"/>
    </font>
    <font>
      <b/>
      <sz val="11"/>
      <color rgb="FF27AE60"/>
      <name val="Segoe UI"/>
    </font>
    <font>
      <sz val="8"/>
      <color rgb="FF27AE60"/>
      <name val="Consolas"/>
    </font>
    <font>
      <b/>
      <sz val="11"/>
      <color rgb="FFE67E22"/>
      <name val="Segoe UI"/>
    </font>
    <font>
      <sz val="8"/>
      <color rgb="FFE67E22"/>
      <name val="Consolas"/>
    </font>
    <font>
      <b/>
      <sz val="9"/>
      <color rgb="FFFFFFFF"/>
      <name val="Segoe UI"/>
    </font>
    <font>
      <sz val="10"/>
      <color rgb="FFE8EEF7"/>
      <name val="Calibri"/>
      <family val="2"/>
      <scheme val="minor"/>
    </font>
    <font>
      <sz val="10"/>
      <color rgb="FFFFFFFF"/>
      <name val="Calibri"/>
      <family val="2"/>
      <scheme val="minor"/>
    </font>
    <font>
      <sz val="10"/>
      <color rgb="FF0B1F3A"/>
      <name val="Calibri"/>
      <family val="2"/>
      <scheme val="minor"/>
    </font>
    <font>
      <b/>
      <sz val="10"/>
      <color rgb="FFC9A961"/>
      <name val="Calibri"/>
      <family val="2"/>
      <scheme val="minor"/>
    </font>
    <font>
      <b/>
      <sz val="10"/>
      <color rgb="FFA8B5CC"/>
      <name val="Calibri"/>
      <family val="2"/>
      <scheme val="minor"/>
    </font>
    <font>
      <b/>
      <sz val="10"/>
      <color rgb="FF0B1F3A"/>
      <name val="Calibri"/>
      <family val="2"/>
      <scheme val="minor"/>
    </font>
    <font>
      <sz val="8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10243E"/>
      </patternFill>
    </fill>
    <fill>
      <patternFill patternType="solid">
        <fgColor rgb="FFC8A24B"/>
      </patternFill>
    </fill>
    <fill>
      <patternFill patternType="solid">
        <fgColor rgb="FF1F3B5C"/>
      </patternFill>
    </fill>
    <fill>
      <patternFill patternType="solid">
        <fgColor rgb="FFFCEFC9"/>
      </patternFill>
    </fill>
    <fill>
      <patternFill patternType="solid">
        <fgColor rgb="FFF3F4F6"/>
      </patternFill>
    </fill>
    <fill>
      <patternFill patternType="solid">
        <fgColor rgb="FF1E6B52"/>
      </patternFill>
    </fill>
    <fill>
      <patternFill patternType="solid">
        <fgColor rgb="FFA23B3B"/>
      </patternFill>
    </fill>
    <fill>
      <patternFill patternType="solid">
        <fgColor rgb="FF0B1F3A"/>
        <bgColor indexed="64"/>
      </patternFill>
    </fill>
    <fill>
      <patternFill patternType="solid">
        <fgColor rgb="FF11294C"/>
        <bgColor indexed="64"/>
      </patternFill>
    </fill>
    <fill>
      <patternFill patternType="solid">
        <fgColor rgb="FF0E2444"/>
        <bgColor indexed="64"/>
      </patternFill>
    </fill>
    <fill>
      <patternFill patternType="solid">
        <fgColor rgb="FFC9A961"/>
        <bgColor indexed="64"/>
      </patternFill>
    </fill>
    <fill>
      <patternFill patternType="solid">
        <fgColor rgb="FF17356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1A3A20"/>
        <bgColor indexed="64"/>
      </patternFill>
    </fill>
    <fill>
      <patternFill patternType="solid">
        <fgColor rgb="FFFFF9E6"/>
        <bgColor indexed="64"/>
      </patternFill>
    </fill>
  </fills>
  <borders count="20">
    <border>
      <left/>
      <right/>
      <top/>
      <bottom/>
      <diagonal/>
    </border>
    <border>
      <left style="thin">
        <color rgb="FFD0D3D8"/>
      </left>
      <right style="thin">
        <color rgb="FFD0D3D8"/>
      </right>
      <top style="thin">
        <color rgb="FFD0D3D8"/>
      </top>
      <bottom style="thin">
        <color rgb="FFD0D3D8"/>
      </bottom>
      <diagonal/>
    </border>
    <border>
      <left style="thin">
        <color rgb="FFD0D3D8"/>
      </left>
      <right/>
      <top style="thin">
        <color rgb="FFD0D3D8"/>
      </top>
      <bottom style="thin">
        <color rgb="FFD0D3D8"/>
      </bottom>
      <diagonal/>
    </border>
    <border>
      <left/>
      <right/>
      <top style="thin">
        <color rgb="FFD0D3D8"/>
      </top>
      <bottom style="thin">
        <color rgb="FFD0D3D8"/>
      </bottom>
      <diagonal/>
    </border>
    <border>
      <left style="thin">
        <color rgb="FFD0D3D8"/>
      </left>
      <right/>
      <top/>
      <bottom/>
      <diagonal/>
    </border>
    <border>
      <left style="thin">
        <color rgb="FFD0D3D8"/>
      </left>
      <right style="thin">
        <color rgb="FFD0D3D8"/>
      </right>
      <top/>
      <bottom style="thin">
        <color rgb="FFD0D3D8"/>
      </bottom>
      <diagonal/>
    </border>
    <border>
      <left style="thin">
        <color rgb="FFD0D3D8"/>
      </left>
      <right/>
      <top style="thick">
        <color rgb="FF0B1F3A"/>
      </top>
      <bottom style="thin">
        <color rgb="FFD0D3D8"/>
      </bottom>
      <diagonal/>
    </border>
    <border>
      <left/>
      <right/>
      <top style="thick">
        <color rgb="FF0B1F3A"/>
      </top>
      <bottom style="thin">
        <color rgb="FFD0D3D8"/>
      </bottom>
      <diagonal/>
    </border>
    <border>
      <left style="thin">
        <color rgb="FFD0D3D8"/>
      </left>
      <right/>
      <top style="thin">
        <color rgb="FFD0D3D8"/>
      </top>
      <bottom style="thick">
        <color rgb="FF0B1F3A"/>
      </bottom>
      <diagonal/>
    </border>
    <border>
      <left/>
      <right/>
      <top style="thin">
        <color rgb="FFD0D3D8"/>
      </top>
      <bottom style="thick">
        <color rgb="FF0B1F3A"/>
      </bottom>
      <diagonal/>
    </border>
    <border>
      <left style="thin">
        <color rgb="FFD0D3D8"/>
      </left>
      <right/>
      <top style="thick">
        <color rgb="FF0B1F3A"/>
      </top>
      <bottom/>
      <diagonal/>
    </border>
    <border>
      <left/>
      <right/>
      <top style="thick">
        <color rgb="FF0B1F3A"/>
      </top>
      <bottom/>
      <diagonal/>
    </border>
    <border>
      <left style="thin">
        <color rgb="FFD0D3D8"/>
      </left>
      <right/>
      <top/>
      <bottom style="thick">
        <color rgb="FF0B1F3A"/>
      </bottom>
      <diagonal/>
    </border>
    <border>
      <left/>
      <right/>
      <top/>
      <bottom style="thick">
        <color rgb="FF0B1F3A"/>
      </bottom>
      <diagonal/>
    </border>
    <border>
      <left/>
      <right/>
      <top style="thin">
        <color rgb="FFD0D3D8"/>
      </top>
      <bottom/>
      <diagonal/>
    </border>
    <border>
      <left/>
      <right/>
      <top/>
      <bottom style="thin">
        <color rgb="FFD0D3D8"/>
      </bottom>
      <diagonal/>
    </border>
    <border>
      <left style="thin">
        <color rgb="FFD0D3D8"/>
      </left>
      <right style="thin">
        <color rgb="FFD0D3D8"/>
      </right>
      <top style="thin">
        <color rgb="FFD0D3D8"/>
      </top>
      <bottom/>
      <diagonal/>
    </border>
    <border>
      <left style="thin">
        <color rgb="FFD0D3D8"/>
      </left>
      <right style="thin">
        <color rgb="FFD0D3D8"/>
      </right>
      <top style="medium">
        <color rgb="FFC9A961"/>
      </top>
      <bottom style="thin">
        <color rgb="FFD0D3D8"/>
      </bottom>
      <diagonal/>
    </border>
    <border>
      <left/>
      <right/>
      <top style="medium">
        <color rgb="FFC9A961"/>
      </top>
      <bottom/>
      <diagonal/>
    </border>
    <border>
      <left/>
      <right/>
      <top style="medium">
        <color rgb="FFC9A961"/>
      </top>
      <bottom style="thin">
        <color rgb="FFD0D3D8"/>
      </bottom>
      <diagonal/>
    </border>
  </borders>
  <cellStyleXfs count="1">
    <xf numFmtId="0" fontId="0" fillId="0" borderId="0"/>
  </cellStyleXfs>
  <cellXfs count="175">
    <xf numFmtId="0" fontId="0" fillId="0" borderId="0" xfId="0"/>
    <xf numFmtId="164" fontId="0" fillId="0" borderId="0" xfId="0" applyNumberFormat="1"/>
    <xf numFmtId="0" fontId="4" fillId="4" borderId="1" xfId="0" applyFont="1" applyFill="1" applyBorder="1" applyAlignment="1">
      <alignment horizontal="center" vertical="center" wrapText="1"/>
    </xf>
    <xf numFmtId="164" fontId="6" fillId="7" borderId="1" xfId="0" applyNumberFormat="1" applyFont="1" applyFill="1" applyBorder="1" applyAlignment="1">
      <alignment horizontal="right" vertical="center"/>
    </xf>
    <xf numFmtId="165" fontId="6" fillId="7" borderId="1" xfId="0" applyNumberFormat="1" applyFont="1" applyFill="1" applyBorder="1" applyAlignment="1">
      <alignment horizontal="right" vertical="center"/>
    </xf>
    <xf numFmtId="164" fontId="6" fillId="8" borderId="1" xfId="0" applyNumberFormat="1" applyFont="1" applyFill="1" applyBorder="1" applyAlignment="1">
      <alignment horizontal="right" vertical="center"/>
    </xf>
    <xf numFmtId="165" fontId="6" fillId="8" borderId="1" xfId="0" applyNumberFormat="1" applyFont="1" applyFill="1" applyBorder="1" applyAlignment="1">
      <alignment horizontal="right" vertical="center"/>
    </xf>
    <xf numFmtId="0" fontId="7" fillId="0" borderId="0" xfId="0" applyFont="1"/>
    <xf numFmtId="0" fontId="5" fillId="0" borderId="1" xfId="0" applyFont="1" applyBorder="1" applyAlignment="1">
      <alignment horizontal="left" vertical="center"/>
    </xf>
    <xf numFmtId="164" fontId="5" fillId="0" borderId="1" xfId="0" applyNumberFormat="1" applyFont="1" applyBorder="1" applyAlignment="1">
      <alignment horizontal="right" vertical="center"/>
    </xf>
    <xf numFmtId="164" fontId="5" fillId="5" borderId="1" xfId="0" applyNumberFormat="1" applyFont="1" applyFill="1" applyBorder="1" applyAlignment="1">
      <alignment horizontal="right" vertical="center"/>
    </xf>
    <xf numFmtId="165" fontId="5" fillId="0" borderId="1" xfId="0" applyNumberFormat="1" applyFont="1" applyBorder="1" applyAlignment="1">
      <alignment horizontal="right" vertical="center"/>
    </xf>
    <xf numFmtId="0" fontId="5" fillId="6" borderId="1" xfId="0" applyFont="1" applyFill="1" applyBorder="1" applyAlignment="1">
      <alignment horizontal="left" vertical="center"/>
    </xf>
    <xf numFmtId="164" fontId="5" fillId="6" borderId="1" xfId="0" applyNumberFormat="1" applyFont="1" applyFill="1" applyBorder="1" applyAlignment="1">
      <alignment horizontal="right" vertical="center"/>
    </xf>
    <xf numFmtId="165" fontId="5" fillId="6" borderId="1" xfId="0" applyNumberFormat="1" applyFont="1" applyFill="1" applyBorder="1" applyAlignment="1">
      <alignment horizontal="right" vertical="center"/>
    </xf>
    <xf numFmtId="0" fontId="4" fillId="7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164" fontId="1" fillId="6" borderId="1" xfId="0" applyNumberFormat="1" applyFont="1" applyFill="1" applyBorder="1" applyAlignment="1">
      <alignment horizontal="right" vertical="center"/>
    </xf>
    <xf numFmtId="0" fontId="1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5" fillId="0" borderId="0" xfId="0" applyFont="1"/>
    <xf numFmtId="0" fontId="1" fillId="0" borderId="1" xfId="0" applyFont="1" applyBorder="1" applyAlignment="1">
      <alignment horizontal="left" vertical="center"/>
    </xf>
    <xf numFmtId="0" fontId="5" fillId="5" borderId="1" xfId="0" applyFont="1" applyFill="1" applyBorder="1" applyAlignment="1">
      <alignment horizontal="right" vertical="center"/>
    </xf>
    <xf numFmtId="0" fontId="1" fillId="0" borderId="0" xfId="0" applyFont="1"/>
    <xf numFmtId="0" fontId="15" fillId="9" borderId="0" xfId="0" applyFont="1" applyFill="1"/>
    <xf numFmtId="0" fontId="15" fillId="10" borderId="0" xfId="0" applyFont="1" applyFill="1"/>
    <xf numFmtId="0" fontId="13" fillId="10" borderId="1" xfId="0" applyFont="1" applyFill="1" applyBorder="1" applyAlignment="1">
      <alignment horizontal="center" vertical="center" wrapText="1"/>
    </xf>
    <xf numFmtId="0" fontId="15" fillId="11" borderId="0" xfId="0" applyFont="1" applyFill="1"/>
    <xf numFmtId="0" fontId="15" fillId="12" borderId="0" xfId="0" applyFont="1" applyFill="1"/>
    <xf numFmtId="0" fontId="15" fillId="9" borderId="5" xfId="0" applyFont="1" applyFill="1" applyBorder="1" applyAlignment="1">
      <alignment horizontal="left" vertical="center" indent="1"/>
    </xf>
    <xf numFmtId="165" fontId="13" fillId="9" borderId="5" xfId="0" applyNumberFormat="1" applyFont="1" applyFill="1" applyBorder="1" applyAlignment="1">
      <alignment horizontal="right" vertical="center" indent="1"/>
    </xf>
    <xf numFmtId="165" fontId="32" fillId="10" borderId="1" xfId="0" applyNumberFormat="1" applyFont="1" applyFill="1" applyBorder="1" applyAlignment="1">
      <alignment horizontal="left" vertical="center"/>
    </xf>
    <xf numFmtId="165" fontId="32" fillId="10" borderId="16" xfId="0" applyNumberFormat="1" applyFont="1" applyFill="1" applyBorder="1" applyAlignment="1">
      <alignment horizontal="left" vertical="center"/>
    </xf>
    <xf numFmtId="167" fontId="31" fillId="9" borderId="17" xfId="0" applyNumberFormat="1" applyFont="1" applyFill="1" applyBorder="1" applyAlignment="1">
      <alignment horizontal="right" vertical="center"/>
    </xf>
    <xf numFmtId="167" fontId="18" fillId="10" borderId="1" xfId="0" applyNumberFormat="1" applyFont="1" applyFill="1" applyBorder="1" applyAlignment="1">
      <alignment horizontal="right" vertical="center" indent="1"/>
    </xf>
    <xf numFmtId="167" fontId="18" fillId="10" borderId="16" xfId="0" applyNumberFormat="1" applyFont="1" applyFill="1" applyBorder="1" applyAlignment="1">
      <alignment horizontal="right" vertical="center" indent="1"/>
    </xf>
    <xf numFmtId="167" fontId="31" fillId="9" borderId="17" xfId="0" applyNumberFormat="1" applyFont="1" applyFill="1" applyBorder="1" applyAlignment="1">
      <alignment horizontal="right" vertical="center" indent="1"/>
    </xf>
    <xf numFmtId="0" fontId="29" fillId="9" borderId="1" xfId="0" applyFont="1" applyFill="1" applyBorder="1" applyAlignment="1">
      <alignment horizontal="right" vertical="center" wrapText="1"/>
    </xf>
    <xf numFmtId="168" fontId="18" fillId="10" borderId="16" xfId="0" applyNumberFormat="1" applyFont="1" applyFill="1" applyBorder="1" applyAlignment="1">
      <alignment horizontal="right" vertical="center" indent="1"/>
    </xf>
    <xf numFmtId="169" fontId="18" fillId="10" borderId="16" xfId="0" applyNumberFormat="1" applyFont="1" applyFill="1" applyBorder="1" applyAlignment="1">
      <alignment horizontal="right" vertical="center" indent="1"/>
    </xf>
    <xf numFmtId="168" fontId="31" fillId="9" borderId="17" xfId="0" applyNumberFormat="1" applyFont="1" applyFill="1" applyBorder="1" applyAlignment="1">
      <alignment horizontal="right" vertical="center" indent="1"/>
    </xf>
    <xf numFmtId="169" fontId="31" fillId="9" borderId="17" xfId="0" applyNumberFormat="1" applyFont="1" applyFill="1" applyBorder="1" applyAlignment="1">
      <alignment horizontal="right" vertical="center" indent="1"/>
    </xf>
    <xf numFmtId="168" fontId="18" fillId="10" borderId="1" xfId="0" applyNumberFormat="1" applyFont="1" applyFill="1" applyBorder="1" applyAlignment="1">
      <alignment horizontal="right" vertical="center" indent="1"/>
    </xf>
    <xf numFmtId="169" fontId="18" fillId="10" borderId="1" xfId="0" applyNumberFormat="1" applyFont="1" applyFill="1" applyBorder="1" applyAlignment="1">
      <alignment horizontal="right" vertical="center" indent="1"/>
    </xf>
    <xf numFmtId="0" fontId="15" fillId="10" borderId="5" xfId="0" applyFont="1" applyFill="1" applyBorder="1" applyAlignment="1">
      <alignment indent="1"/>
    </xf>
    <xf numFmtId="0" fontId="15" fillId="10" borderId="1" xfId="0" applyFont="1" applyFill="1" applyBorder="1" applyAlignment="1">
      <alignment indent="1"/>
    </xf>
    <xf numFmtId="168" fontId="20" fillId="10" borderId="1" xfId="0" applyNumberFormat="1" applyFont="1" applyFill="1" applyBorder="1" applyAlignment="1">
      <alignment horizontal="right" vertical="center" indent="1"/>
    </xf>
    <xf numFmtId="169" fontId="20" fillId="10" borderId="1" xfId="0" applyNumberFormat="1" applyFont="1" applyFill="1" applyBorder="1" applyAlignment="1">
      <alignment horizontal="right" vertical="center" indent="1"/>
    </xf>
    <xf numFmtId="168" fontId="20" fillId="10" borderId="16" xfId="0" applyNumberFormat="1" applyFont="1" applyFill="1" applyBorder="1" applyAlignment="1">
      <alignment horizontal="right" vertical="center" indent="1"/>
    </xf>
    <xf numFmtId="169" fontId="20" fillId="10" borderId="16" xfId="0" applyNumberFormat="1" applyFont="1" applyFill="1" applyBorder="1" applyAlignment="1">
      <alignment horizontal="right" vertical="center" indent="1"/>
    </xf>
    <xf numFmtId="168" fontId="17" fillId="9" borderId="17" xfId="0" applyNumberFormat="1" applyFont="1" applyFill="1" applyBorder="1" applyAlignment="1">
      <alignment horizontal="right" vertical="center" indent="1"/>
    </xf>
    <xf numFmtId="169" fontId="17" fillId="9" borderId="17" xfId="0" applyNumberFormat="1" applyFont="1" applyFill="1" applyBorder="1" applyAlignment="1">
      <alignment horizontal="right" vertical="center" indent="1"/>
    </xf>
    <xf numFmtId="0" fontId="0" fillId="9" borderId="0" xfId="0" applyFill="1"/>
    <xf numFmtId="0" fontId="35" fillId="9" borderId="0" xfId="0" applyFont="1" applyFill="1"/>
    <xf numFmtId="0" fontId="36" fillId="9" borderId="0" xfId="0" applyFont="1" applyFill="1"/>
    <xf numFmtId="164" fontId="35" fillId="9" borderId="0" xfId="0" applyNumberFormat="1" applyFont="1" applyFill="1"/>
    <xf numFmtId="171" fontId="16" fillId="10" borderId="1" xfId="0" applyNumberFormat="1" applyFont="1" applyFill="1" applyBorder="1" applyAlignment="1">
      <alignment horizontal="right" vertical="center" indent="1"/>
    </xf>
    <xf numFmtId="171" fontId="16" fillId="10" borderId="16" xfId="0" applyNumberFormat="1" applyFont="1" applyFill="1" applyBorder="1" applyAlignment="1">
      <alignment horizontal="right" vertical="center" indent="1"/>
    </xf>
    <xf numFmtId="171" fontId="31" fillId="9" borderId="17" xfId="0" applyNumberFormat="1" applyFont="1" applyFill="1" applyBorder="1" applyAlignment="1">
      <alignment horizontal="right" vertical="center" indent="1"/>
    </xf>
    <xf numFmtId="171" fontId="12" fillId="10" borderId="5" xfId="0" applyNumberFormat="1" applyFont="1" applyFill="1" applyBorder="1" applyAlignment="1">
      <alignment horizontal="right" vertical="center" indent="1"/>
    </xf>
    <xf numFmtId="171" fontId="15" fillId="10" borderId="5" xfId="0" applyNumberFormat="1" applyFont="1" applyFill="1" applyBorder="1" applyAlignment="1">
      <alignment indent="1"/>
    </xf>
    <xf numFmtId="171" fontId="12" fillId="10" borderId="1" xfId="0" applyNumberFormat="1" applyFont="1" applyFill="1" applyBorder="1" applyAlignment="1">
      <alignment horizontal="right" vertical="center" indent="1"/>
    </xf>
    <xf numFmtId="171" fontId="15" fillId="10" borderId="1" xfId="0" applyNumberFormat="1" applyFont="1" applyFill="1" applyBorder="1" applyAlignment="1">
      <alignment indent="1"/>
    </xf>
    <xf numFmtId="171" fontId="34" fillId="10" borderId="1" xfId="0" applyNumberFormat="1" applyFont="1" applyFill="1" applyBorder="1" applyAlignment="1">
      <alignment horizontal="right" vertical="center" indent="1"/>
    </xf>
    <xf numFmtId="171" fontId="21" fillId="10" borderId="1" xfId="0" applyNumberFormat="1" applyFont="1" applyFill="1" applyBorder="1" applyAlignment="1">
      <alignment horizontal="right" vertical="center" indent="1"/>
    </xf>
    <xf numFmtId="171" fontId="21" fillId="10" borderId="16" xfId="0" applyNumberFormat="1" applyFont="1" applyFill="1" applyBorder="1" applyAlignment="1">
      <alignment horizontal="right" vertical="center" indent="1"/>
    </xf>
    <xf numFmtId="171" fontId="17" fillId="9" borderId="17" xfId="0" applyNumberFormat="1" applyFont="1" applyFill="1" applyBorder="1" applyAlignment="1">
      <alignment horizontal="right" vertical="center" indent="1"/>
    </xf>
    <xf numFmtId="0" fontId="38" fillId="9" borderId="0" xfId="0" applyFont="1" applyFill="1"/>
    <xf numFmtId="172" fontId="0" fillId="0" borderId="0" xfId="0" applyNumberFormat="1"/>
    <xf numFmtId="0" fontId="30" fillId="11" borderId="0" xfId="0" applyFont="1" applyFill="1" applyAlignment="1">
      <alignment horizontal="center"/>
    </xf>
    <xf numFmtId="0" fontId="41" fillId="9" borderId="0" xfId="0" applyFont="1" applyFill="1"/>
    <xf numFmtId="0" fontId="25" fillId="12" borderId="0" xfId="0" applyFont="1" applyFill="1" applyAlignment="1">
      <alignment horizontal="center"/>
    </xf>
    <xf numFmtId="0" fontId="30" fillId="14" borderId="0" xfId="0" applyFont="1" applyFill="1" applyAlignment="1">
      <alignment horizontal="center"/>
    </xf>
    <xf numFmtId="0" fontId="39" fillId="14" borderId="0" xfId="0" applyFont="1" applyFill="1" applyAlignment="1">
      <alignment horizontal="center"/>
    </xf>
    <xf numFmtId="0" fontId="55" fillId="11" borderId="0" xfId="0" applyFont="1" applyFill="1"/>
    <xf numFmtId="49" fontId="55" fillId="11" borderId="0" xfId="0" applyNumberFormat="1" applyFont="1" applyFill="1"/>
    <xf numFmtId="175" fontId="40" fillId="11" borderId="0" xfId="0" applyNumberFormat="1" applyFont="1" applyFill="1"/>
    <xf numFmtId="175" fontId="57" fillId="17" borderId="0" xfId="0" applyNumberFormat="1" applyFont="1" applyFill="1"/>
    <xf numFmtId="0" fontId="55" fillId="10" borderId="0" xfId="0" applyFont="1" applyFill="1"/>
    <xf numFmtId="49" fontId="55" fillId="10" borderId="0" xfId="0" applyNumberFormat="1" applyFont="1" applyFill="1"/>
    <xf numFmtId="175" fontId="40" fillId="10" borderId="0" xfId="0" applyNumberFormat="1" applyFont="1" applyFill="1"/>
    <xf numFmtId="0" fontId="58" fillId="14" borderId="18" xfId="0" applyFont="1" applyFill="1" applyBorder="1"/>
    <xf numFmtId="0" fontId="0" fillId="14" borderId="18" xfId="0" applyFill="1" applyBorder="1"/>
    <xf numFmtId="175" fontId="59" fillId="14" borderId="18" xfId="0" applyNumberFormat="1" applyFont="1" applyFill="1" applyBorder="1"/>
    <xf numFmtId="175" fontId="60" fillId="12" borderId="18" xfId="0" applyNumberFormat="1" applyFont="1" applyFill="1" applyBorder="1"/>
    <xf numFmtId="0" fontId="21" fillId="15" borderId="0" xfId="0" applyFont="1" applyFill="1" applyAlignment="1">
      <alignment horizontal="center"/>
    </xf>
    <xf numFmtId="174" fontId="56" fillId="16" borderId="0" xfId="0" applyNumberFormat="1" applyFont="1" applyFill="1"/>
    <xf numFmtId="0" fontId="28" fillId="9" borderId="0" xfId="0" applyFont="1" applyFill="1" applyAlignment="1">
      <alignment horizontal="center"/>
    </xf>
    <xf numFmtId="0" fontId="42" fillId="9" borderId="0" xfId="0" applyFont="1" applyFill="1"/>
    <xf numFmtId="0" fontId="31" fillId="14" borderId="0" xfId="0" applyFont="1" applyFill="1"/>
    <xf numFmtId="0" fontId="42" fillId="14" borderId="0" xfId="0" applyFont="1" applyFill="1"/>
    <xf numFmtId="0" fontId="46" fillId="11" borderId="0" xfId="0" applyFont="1" applyFill="1"/>
    <xf numFmtId="167" fontId="50" fillId="11" borderId="0" xfId="0" applyNumberFormat="1" applyFont="1" applyFill="1" applyAlignment="1">
      <alignment horizontal="right"/>
    </xf>
    <xf numFmtId="0" fontId="51" fillId="11" borderId="0" xfId="0" applyFont="1" applyFill="1"/>
    <xf numFmtId="167" fontId="52" fillId="11" borderId="0" xfId="0" applyNumberFormat="1" applyFont="1" applyFill="1" applyAlignment="1">
      <alignment horizontal="right"/>
    </xf>
    <xf numFmtId="0" fontId="53" fillId="11" borderId="0" xfId="0" applyFont="1" applyFill="1"/>
    <xf numFmtId="167" fontId="31" fillId="11" borderId="0" xfId="0" applyNumberFormat="1" applyFont="1" applyFill="1" applyAlignment="1">
      <alignment horizontal="right"/>
    </xf>
    <xf numFmtId="0" fontId="47" fillId="11" borderId="0" xfId="0" applyFont="1" applyFill="1"/>
    <xf numFmtId="167" fontId="48" fillId="11" borderId="0" xfId="0" applyNumberFormat="1" applyFont="1" applyFill="1" applyAlignment="1">
      <alignment horizontal="right"/>
    </xf>
    <xf numFmtId="0" fontId="49" fillId="11" borderId="0" xfId="0" applyFont="1" applyFill="1"/>
    <xf numFmtId="0" fontId="43" fillId="10" borderId="0" xfId="0" applyFont="1" applyFill="1" applyAlignment="1">
      <alignment horizontal="left"/>
    </xf>
    <xf numFmtId="167" fontId="44" fillId="10" borderId="0" xfId="0" applyNumberFormat="1" applyFont="1" applyFill="1" applyAlignment="1">
      <alignment horizontal="left"/>
    </xf>
    <xf numFmtId="0" fontId="42" fillId="10" borderId="0" xfId="0" applyFont="1" applyFill="1" applyAlignment="1">
      <alignment horizontal="left"/>
    </xf>
    <xf numFmtId="0" fontId="45" fillId="10" borderId="0" xfId="0" applyFont="1" applyFill="1" applyAlignment="1">
      <alignment horizontal="left"/>
    </xf>
    <xf numFmtId="0" fontId="25" fillId="12" borderId="0" xfId="0" applyFont="1" applyFill="1" applyAlignment="1">
      <alignment horizontal="center"/>
    </xf>
    <xf numFmtId="0" fontId="31" fillId="9" borderId="0" xfId="0" applyFont="1" applyFill="1" applyAlignment="1">
      <alignment horizontal="left" vertical="center"/>
    </xf>
    <xf numFmtId="0" fontId="37" fillId="12" borderId="0" xfId="0" applyFont="1" applyFill="1" applyAlignment="1">
      <alignment horizontal="center" vertical="center"/>
    </xf>
    <xf numFmtId="0" fontId="54" fillId="11" borderId="0" xfId="0" applyFont="1" applyFill="1" applyAlignment="1">
      <alignment horizontal="left" vertical="center"/>
    </xf>
    <xf numFmtId="0" fontId="37" fillId="12" borderId="0" xfId="0" applyFont="1" applyFill="1" applyAlignment="1">
      <alignment horizontal="center"/>
    </xf>
    <xf numFmtId="0" fontId="42" fillId="9" borderId="0" xfId="0" applyFont="1" applyFill="1" applyAlignment="1">
      <alignment horizontal="center"/>
    </xf>
    <xf numFmtId="173" fontId="44" fillId="10" borderId="0" xfId="0" applyNumberFormat="1" applyFont="1" applyFill="1" applyAlignment="1">
      <alignment horizontal="left"/>
    </xf>
    <xf numFmtId="170" fontId="44" fillId="10" borderId="0" xfId="0" applyNumberFormat="1" applyFont="1" applyFill="1" applyAlignment="1">
      <alignment horizontal="left"/>
    </xf>
    <xf numFmtId="0" fontId="17" fillId="9" borderId="0" xfId="0" applyFont="1" applyFill="1" applyAlignment="1">
      <alignment horizontal="right"/>
    </xf>
    <xf numFmtId="0" fontId="19" fillId="9" borderId="0" xfId="0" applyFont="1" applyFill="1"/>
    <xf numFmtId="0" fontId="20" fillId="13" borderId="6" xfId="0" applyFont="1" applyFill="1" applyBorder="1" applyAlignment="1">
      <alignment horizontal="left" indent="1"/>
    </xf>
    <xf numFmtId="0" fontId="20" fillId="13" borderId="7" xfId="0" applyFont="1" applyFill="1" applyBorder="1" applyAlignment="1">
      <alignment horizontal="left" indent="1"/>
    </xf>
    <xf numFmtId="171" fontId="22" fillId="13" borderId="2" xfId="0" applyNumberFormat="1" applyFont="1" applyFill="1" applyBorder="1" applyAlignment="1">
      <alignment horizontal="left" vertical="center" indent="1"/>
    </xf>
    <xf numFmtId="166" fontId="22" fillId="13" borderId="3" xfId="0" applyNumberFormat="1" applyFont="1" applyFill="1" applyBorder="1" applyAlignment="1">
      <alignment horizontal="left" vertical="center" indent="1"/>
    </xf>
    <xf numFmtId="164" fontId="23" fillId="13" borderId="8" xfId="0" applyNumberFormat="1" applyFont="1" applyFill="1" applyBorder="1" applyAlignment="1">
      <alignment horizontal="left" vertical="center" indent="1"/>
    </xf>
    <xf numFmtId="164" fontId="23" fillId="13" borderId="9" xfId="0" applyNumberFormat="1" applyFont="1" applyFill="1" applyBorder="1" applyAlignment="1">
      <alignment horizontal="left" vertical="center" indent="1"/>
    </xf>
    <xf numFmtId="0" fontId="20" fillId="13" borderId="10" xfId="0" applyFont="1" applyFill="1" applyBorder="1" applyAlignment="1">
      <alignment horizontal="left" indent="1"/>
    </xf>
    <xf numFmtId="0" fontId="20" fillId="13" borderId="11" xfId="0" applyFont="1" applyFill="1" applyBorder="1" applyAlignment="1">
      <alignment horizontal="left" indent="1"/>
    </xf>
    <xf numFmtId="0" fontId="20" fillId="9" borderId="11" xfId="0" applyFont="1" applyFill="1" applyBorder="1" applyAlignment="1">
      <alignment horizontal="left" indent="1"/>
    </xf>
    <xf numFmtId="171" fontId="22" fillId="13" borderId="4" xfId="0" applyNumberFormat="1" applyFont="1" applyFill="1" applyBorder="1" applyAlignment="1">
      <alignment horizontal="left" vertical="center" indent="1"/>
    </xf>
    <xf numFmtId="166" fontId="22" fillId="13" borderId="0" xfId="0" applyNumberFormat="1" applyFont="1" applyFill="1" applyAlignment="1">
      <alignment horizontal="left" vertical="center" indent="1"/>
    </xf>
    <xf numFmtId="166" fontId="22" fillId="9" borderId="0" xfId="0" applyNumberFormat="1" applyFont="1" applyFill="1" applyAlignment="1">
      <alignment horizontal="left" vertical="center" indent="1"/>
    </xf>
    <xf numFmtId="164" fontId="24" fillId="13" borderId="12" xfId="0" applyNumberFormat="1" applyFont="1" applyFill="1" applyBorder="1" applyAlignment="1">
      <alignment horizontal="left" vertical="center" indent="1"/>
    </xf>
    <xf numFmtId="164" fontId="24" fillId="13" borderId="13" xfId="0" applyNumberFormat="1" applyFont="1" applyFill="1" applyBorder="1" applyAlignment="1">
      <alignment horizontal="left" vertical="center" indent="1"/>
    </xf>
    <xf numFmtId="164" fontId="24" fillId="9" borderId="13" xfId="0" applyNumberFormat="1" applyFont="1" applyFill="1" applyBorder="1" applyAlignment="1">
      <alignment horizontal="left" vertical="center" indent="1"/>
    </xf>
    <xf numFmtId="0" fontId="25" fillId="12" borderId="11" xfId="0" applyFont="1" applyFill="1" applyBorder="1" applyAlignment="1">
      <alignment horizontal="left" indent="1"/>
    </xf>
    <xf numFmtId="171" fontId="26" fillId="12" borderId="0" xfId="0" applyNumberFormat="1" applyFont="1" applyFill="1" applyAlignment="1">
      <alignment horizontal="left" indent="1"/>
    </xf>
    <xf numFmtId="166" fontId="26" fillId="12" borderId="0" xfId="0" applyNumberFormat="1" applyFont="1" applyFill="1" applyAlignment="1">
      <alignment horizontal="left" indent="1"/>
    </xf>
    <xf numFmtId="0" fontId="25" fillId="12" borderId="13" xfId="0" applyFont="1" applyFill="1" applyBorder="1" applyAlignment="1">
      <alignment horizontal="left" indent="1"/>
    </xf>
    <xf numFmtId="171" fontId="27" fillId="13" borderId="0" xfId="0" applyNumberFormat="1" applyFont="1" applyFill="1" applyAlignment="1">
      <alignment horizontal="left" indent="1"/>
    </xf>
    <xf numFmtId="166" fontId="27" fillId="13" borderId="0" xfId="0" applyNumberFormat="1" applyFont="1" applyFill="1" applyAlignment="1">
      <alignment horizontal="left" indent="1"/>
    </xf>
    <xf numFmtId="0" fontId="23" fillId="13" borderId="13" xfId="0" applyFont="1" applyFill="1" applyBorder="1" applyAlignment="1">
      <alignment horizontal="left" indent="1"/>
    </xf>
    <xf numFmtId="0" fontId="31" fillId="9" borderId="17" xfId="0" applyFont="1" applyFill="1" applyBorder="1" applyAlignment="1">
      <alignment horizontal="left" vertical="center" indent="1"/>
    </xf>
    <xf numFmtId="0" fontId="15" fillId="10" borderId="18" xfId="0" applyFont="1" applyFill="1" applyBorder="1" applyAlignment="1">
      <alignment indent="1"/>
    </xf>
    <xf numFmtId="0" fontId="11" fillId="10" borderId="16" xfId="0" applyFont="1" applyFill="1" applyBorder="1" applyAlignment="1">
      <alignment horizontal="left" vertical="center" indent="1"/>
    </xf>
    <xf numFmtId="0" fontId="15" fillId="10" borderId="0" xfId="0" applyFont="1" applyFill="1" applyAlignment="1">
      <alignment indent="1"/>
    </xf>
    <xf numFmtId="0" fontId="11" fillId="10" borderId="1" xfId="0" applyFont="1" applyFill="1" applyBorder="1" applyAlignment="1">
      <alignment horizontal="left" vertical="center" indent="1"/>
    </xf>
    <xf numFmtId="0" fontId="15" fillId="10" borderId="0" xfId="0" applyFont="1" applyFill="1"/>
    <xf numFmtId="0" fontId="33" fillId="10" borderId="1" xfId="0" applyFont="1" applyFill="1" applyBorder="1" applyAlignment="1">
      <alignment horizontal="left" vertical="center" indent="1"/>
    </xf>
    <xf numFmtId="0" fontId="15" fillId="10" borderId="1" xfId="0" applyFont="1" applyFill="1" applyBorder="1" applyAlignment="1">
      <alignment indent="1"/>
    </xf>
    <xf numFmtId="0" fontId="17" fillId="9" borderId="15" xfId="0" applyFont="1" applyFill="1" applyBorder="1" applyAlignment="1">
      <alignment horizontal="left" vertical="center" indent="1"/>
    </xf>
    <xf numFmtId="0" fontId="28" fillId="10" borderId="15" xfId="0" applyFont="1" applyFill="1" applyBorder="1" applyAlignment="1">
      <alignment horizontal="left" vertical="center" indent="1"/>
    </xf>
    <xf numFmtId="0" fontId="15" fillId="10" borderId="18" xfId="0" applyFont="1" applyFill="1" applyBorder="1"/>
    <xf numFmtId="0" fontId="33" fillId="10" borderId="5" xfId="0" applyFont="1" applyFill="1" applyBorder="1" applyAlignment="1">
      <alignment horizontal="left" vertical="center" indent="1"/>
    </xf>
    <xf numFmtId="0" fontId="15" fillId="10" borderId="5" xfId="0" applyFont="1" applyFill="1" applyBorder="1" applyAlignment="1">
      <alignment indent="1"/>
    </xf>
    <xf numFmtId="0" fontId="28" fillId="10" borderId="14" xfId="0" applyFont="1" applyFill="1" applyBorder="1" applyAlignment="1">
      <alignment horizontal="left" indent="1"/>
    </xf>
    <xf numFmtId="0" fontId="28" fillId="10" borderId="14" xfId="0" applyFont="1" applyFill="1" applyBorder="1" applyAlignment="1">
      <alignment horizontal="left"/>
    </xf>
    <xf numFmtId="0" fontId="34" fillId="10" borderId="1" xfId="0" applyFont="1" applyFill="1" applyBorder="1" applyAlignment="1">
      <alignment horizontal="left" vertical="center" indent="1"/>
    </xf>
    <xf numFmtId="0" fontId="29" fillId="9" borderId="1" xfId="0" applyFont="1" applyFill="1" applyBorder="1" applyAlignment="1">
      <alignment horizontal="left" vertical="center" indent="1"/>
    </xf>
    <xf numFmtId="0" fontId="13" fillId="10" borderId="1" xfId="0" applyFont="1" applyFill="1" applyBorder="1" applyAlignment="1">
      <alignment horizontal="left" vertical="center" indent="1"/>
    </xf>
    <xf numFmtId="0" fontId="12" fillId="9" borderId="0" xfId="0" applyFont="1" applyFill="1" applyAlignment="1">
      <alignment horizontal="left" vertical="center" indent="1"/>
    </xf>
    <xf numFmtId="0" fontId="13" fillId="9" borderId="0" xfId="0" applyFont="1" applyFill="1" applyAlignment="1">
      <alignment horizontal="left" vertical="center" indent="1"/>
    </xf>
    <xf numFmtId="0" fontId="15" fillId="9" borderId="0" xfId="0" applyFont="1" applyFill="1"/>
    <xf numFmtId="0" fontId="14" fillId="10" borderId="16" xfId="0" applyFont="1" applyFill="1" applyBorder="1" applyAlignment="1">
      <alignment horizontal="left" vertical="center" indent="1"/>
    </xf>
    <xf numFmtId="0" fontId="29" fillId="9" borderId="0" xfId="0" applyFont="1" applyFill="1" applyAlignment="1">
      <alignment horizontal="left" vertical="center" indent="1"/>
    </xf>
    <xf numFmtId="0" fontId="29" fillId="9" borderId="0" xfId="0" applyFont="1" applyFill="1" applyAlignment="1">
      <alignment horizontal="right"/>
    </xf>
    <xf numFmtId="0" fontId="29" fillId="9" borderId="0" xfId="0" applyFont="1" applyFill="1" applyAlignment="1">
      <alignment horizontal="center"/>
    </xf>
    <xf numFmtId="0" fontId="14" fillId="10" borderId="1" xfId="0" applyFont="1" applyFill="1" applyBorder="1" applyAlignment="1">
      <alignment horizontal="left" vertical="center" indent="1"/>
    </xf>
    <xf numFmtId="0" fontId="15" fillId="10" borderId="19" xfId="0" applyFont="1" applyFill="1" applyBorder="1" applyAlignment="1">
      <alignment indent="1"/>
    </xf>
    <xf numFmtId="0" fontId="0" fillId="3" borderId="0" xfId="0" applyFill="1"/>
    <xf numFmtId="0" fontId="0" fillId="0" borderId="0" xfId="0"/>
    <xf numFmtId="0" fontId="3" fillId="0" borderId="0" xfId="0" applyFont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horizontal="left" vertical="center" indent="1"/>
    </xf>
    <xf numFmtId="0" fontId="0" fillId="0" borderId="1" xfId="0" applyBorder="1"/>
    <xf numFmtId="0" fontId="4" fillId="4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left" vertical="center" indent="1"/>
    </xf>
    <xf numFmtId="0" fontId="0" fillId="6" borderId="1" xfId="0" applyFill="1" applyBorder="1"/>
    <xf numFmtId="0" fontId="8" fillId="7" borderId="1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1" defaultTableStyle="TableStyleMedium9" defaultPivotStyle="PivotStyleLight16">
    <tableStyle name="Invisible" pivot="0" table="0" count="0" xr9:uid="{C2144EAE-49CC-4D1E-9199-24DC8CF98E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Composición de Pasivos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rgbClr val="FFFFFF"/>
              </a:solidFill>
              <a:latin typeface="Segoe UI"/>
              <a:ea typeface="Segoe UI"/>
              <a:cs typeface="Segoe UI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Dashboard!$AC$16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39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B01-41EE-A693-631EFD7FC8A7}"/>
              </c:ext>
            </c:extLst>
          </c:dPt>
          <c:dLbls>
            <c:numFmt formatCode="&quot;$&quot;#\ ##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Dashboard!$AB$17</c:f>
              <c:strCache>
                <c:ptCount val="1"/>
                <c:pt idx="0">
                  <c:v>Deudas</c:v>
                </c:pt>
              </c:strCache>
            </c:strRef>
          </c:cat>
          <c:val>
            <c:numRef>
              <c:f>Dashboard!$AC$17</c:f>
              <c:numCache>
                <c:formatCode>General</c:formatCode>
                <c:ptCount val="1"/>
                <c:pt idx="0">
                  <c:v>35905.57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1-41EE-A693-631EFD7FC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60128"/>
        <c:axId val="112060608"/>
      </c:barChart>
      <c:catAx>
        <c:axId val="1120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2060608"/>
        <c:crosses val="autoZero"/>
        <c:auto val="1"/>
        <c:lblAlgn val="ctr"/>
        <c:lblOffset val="100"/>
        <c:noMultiLvlLbl val="0"/>
      </c:catAx>
      <c:valAx>
        <c:axId val="11206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8B5CC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12060128"/>
        <c:crosses val="autoZero"/>
        <c:crossBetween val="between"/>
      </c:valAx>
      <c:spPr>
        <a:solidFill>
          <a:srgbClr val="0E2444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E244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Composición: Activos, Pasivos y Patrimonio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rgbClr val="FFFFFF"/>
              </a:solidFill>
              <a:latin typeface="Segoe UI"/>
              <a:ea typeface="Segoe UI"/>
              <a:cs typeface="Segoe UI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Dashboard!$AC$19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7AE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38F-4760-A0FC-76E71D4A971A}"/>
              </c:ext>
            </c:extLst>
          </c:dPt>
          <c:dPt>
            <c:idx val="1"/>
            <c:invertIfNegative val="0"/>
            <c:bubble3D val="0"/>
            <c:spPr>
              <a:solidFill>
                <a:srgbClr val="C0392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38F-4760-A0FC-76E71D4A971A}"/>
              </c:ext>
            </c:extLst>
          </c:dPt>
          <c:dPt>
            <c:idx val="2"/>
            <c:invertIfNegative val="0"/>
            <c:bubble3D val="0"/>
            <c:spPr>
              <a:solidFill>
                <a:srgbClr val="1F4E7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8F-4760-A0FC-76E71D4A971A}"/>
              </c:ext>
            </c:extLst>
          </c:dPt>
          <c:dLbls>
            <c:numFmt formatCode="&quot;$&quot;#\ ##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Dashboard!$AB$20:$AB$22</c:f>
              <c:strCache>
                <c:ptCount val="3"/>
                <c:pt idx="0">
                  <c:v>Activos</c:v>
                </c:pt>
                <c:pt idx="1">
                  <c:v>Pasivos</c:v>
                </c:pt>
                <c:pt idx="2">
                  <c:v>Patrimonio Neto</c:v>
                </c:pt>
              </c:strCache>
            </c:strRef>
          </c:cat>
          <c:val>
            <c:numRef>
              <c:f>Dashboard!$AC$20:$AC$22</c:f>
              <c:numCache>
                <c:formatCode>General</c:formatCode>
                <c:ptCount val="3"/>
                <c:pt idx="0">
                  <c:v>1390440.18</c:v>
                </c:pt>
                <c:pt idx="1">
                  <c:v>35905.57</c:v>
                </c:pt>
                <c:pt idx="2">
                  <c:v>1354534.61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8F-4760-A0FC-76E71D4A9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2556496"/>
        <c:axId val="1882556016"/>
      </c:barChart>
      <c:catAx>
        <c:axId val="188255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82556016"/>
        <c:crosses val="autoZero"/>
        <c:auto val="1"/>
        <c:lblAlgn val="ctr"/>
        <c:lblOffset val="100"/>
        <c:noMultiLvlLbl val="0"/>
      </c:catAx>
      <c:valAx>
        <c:axId val="188255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8B5CC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1882556496"/>
        <c:crosses val="autoZero"/>
        <c:crossBetween val="between"/>
      </c:valAx>
      <c:spPr>
        <a:solidFill>
          <a:srgbClr val="0E2444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E244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300" b="1" i="0" u="none" strike="noStrike" kern="1200" spc="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Composición de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300" b="1" i="0" u="none" strike="noStrike" kern="1200" spc="0" baseline="0">
              <a:solidFill>
                <a:srgbClr val="FFFFFF"/>
              </a:solidFill>
              <a:latin typeface="Segoe UI"/>
              <a:ea typeface="Segoe UI"/>
              <a:cs typeface="Segoe UI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9A96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9D1-4E12-B94B-61763928DF0A}"/>
              </c:ext>
            </c:extLst>
          </c:dPt>
          <c:dPt>
            <c:idx val="1"/>
            <c:invertIfNegative val="0"/>
            <c:bubble3D val="0"/>
            <c:spPr>
              <a:solidFill>
                <a:srgbClr val="3498D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9D1-4E12-B94B-61763928DF0A}"/>
              </c:ext>
            </c:extLst>
          </c:dPt>
          <c:dPt>
            <c:idx val="2"/>
            <c:invertIfNegative val="0"/>
            <c:bubble3D val="0"/>
            <c:spPr>
              <a:solidFill>
                <a:srgbClr val="27AE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9D1-4E12-B94B-61763928DF0A}"/>
              </c:ext>
            </c:extLst>
          </c:dPt>
          <c:dPt>
            <c:idx val="3"/>
            <c:invertIfNegative val="0"/>
            <c:bubble3D val="0"/>
            <c:spPr>
              <a:solidFill>
                <a:srgbClr val="E67E2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9D1-4E12-B94B-61763928DF0A}"/>
              </c:ext>
            </c:extLst>
          </c:dPt>
          <c:dPt>
            <c:idx val="4"/>
            <c:invertIfNegative val="0"/>
            <c:bubble3D val="0"/>
            <c:spPr>
              <a:solidFill>
                <a:srgbClr val="9B59B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9D1-4E12-B94B-61763928DF0A}"/>
              </c:ext>
            </c:extLst>
          </c:dPt>
          <c:dLbls>
            <c:numFmt formatCode="&quot;$&quot;#\ ###\ 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es-EC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Dashboard!$AB$10:$AB$14</c:f>
              <c:strCache>
                <c:ptCount val="5"/>
                <c:pt idx="0">
                  <c:v>Bienes inmuebles</c:v>
                </c:pt>
                <c:pt idx="1">
                  <c:v>Cuentas x cobrar</c:v>
                </c:pt>
                <c:pt idx="2">
                  <c:v>Bienes muebles</c:v>
                </c:pt>
                <c:pt idx="3">
                  <c:v>Dinero efectivo</c:v>
                </c:pt>
                <c:pt idx="4">
                  <c:v>Vehículos</c:v>
                </c:pt>
              </c:strCache>
            </c:strRef>
          </c:cat>
          <c:val>
            <c:numRef>
              <c:f>Dashboard!$AC$10:$AC$14</c:f>
              <c:numCache>
                <c:formatCode>General</c:formatCode>
                <c:ptCount val="5"/>
                <c:pt idx="0">
                  <c:v>675000</c:v>
                </c:pt>
                <c:pt idx="1">
                  <c:v>215293.01</c:v>
                </c:pt>
                <c:pt idx="2">
                  <c:v>208043.81</c:v>
                </c:pt>
                <c:pt idx="3">
                  <c:v>152939.76999999999</c:v>
                </c:pt>
                <c:pt idx="4">
                  <c:v>139163.59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D1-4E12-B94B-61763928D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3599360"/>
        <c:axId val="1133601280"/>
      </c:barChart>
      <c:catAx>
        <c:axId val="113359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endParaRPr lang="es-EC"/>
          </a:p>
        </c:txPr>
        <c:crossAx val="1133601280"/>
        <c:crosses val="autoZero"/>
        <c:auto val="1"/>
        <c:lblAlgn val="ctr"/>
        <c:lblOffset val="100"/>
        <c:noMultiLvlLbl val="0"/>
      </c:catAx>
      <c:valAx>
        <c:axId val="113360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\ ###\ 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A8B5CC"/>
                </a:solidFill>
                <a:latin typeface="Segoe UI"/>
                <a:ea typeface="Segoe UI"/>
                <a:cs typeface="Segoe UI"/>
              </a:defRPr>
            </a:pPr>
            <a:endParaRPr lang="es-EC"/>
          </a:p>
        </c:txPr>
        <c:crossAx val="1133599360"/>
        <c:crosses val="autoZero"/>
        <c:crossBetween val="between"/>
      </c:valAx>
      <c:spPr>
        <a:solidFill>
          <a:srgbClr val="0E2444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E244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42</xdr:row>
      <xdr:rowOff>195262</xdr:rowOff>
    </xdr:from>
    <xdr:to>
      <xdr:col>7</xdr:col>
      <xdr:colOff>0</xdr:colOff>
      <xdr:row>58</xdr:row>
      <xdr:rowOff>0</xdr:rowOff>
    </xdr:to>
    <xdr:graphicFrame macro="">
      <xdr:nvGraphicFramePr>
        <xdr:cNvPr id="32" name="ChartPasivos">
          <a:extLst>
            <a:ext uri="{FF2B5EF4-FFF2-40B4-BE49-F238E27FC236}">
              <a16:creationId xmlns:a16="http://schemas.microsoft.com/office/drawing/2014/main" id="{961E1A13-3AE2-7284-CF0F-D05943515A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195262</xdr:rowOff>
    </xdr:from>
    <xdr:to>
      <xdr:col>16</xdr:col>
      <xdr:colOff>0</xdr:colOff>
      <xdr:row>58</xdr:row>
      <xdr:rowOff>0</xdr:rowOff>
    </xdr:to>
    <xdr:graphicFrame macro="">
      <xdr:nvGraphicFramePr>
        <xdr:cNvPr id="33" name="ChartComposicion">
          <a:extLst>
            <a:ext uri="{FF2B5EF4-FFF2-40B4-BE49-F238E27FC236}">
              <a16:creationId xmlns:a16="http://schemas.microsoft.com/office/drawing/2014/main" id="{DC2F03B7-BA0D-B56B-B728-D264886F3B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9</xdr:row>
      <xdr:rowOff>304799</xdr:rowOff>
    </xdr:from>
    <xdr:to>
      <xdr:col>16</xdr:col>
      <xdr:colOff>0</xdr:colOff>
      <xdr:row>21</xdr:row>
      <xdr:rowOff>352424</xdr:rowOff>
    </xdr:to>
    <xdr:graphicFrame macro="">
      <xdr:nvGraphicFramePr>
        <xdr:cNvPr id="34" name="ChartActivos">
          <a:extLst>
            <a:ext uri="{FF2B5EF4-FFF2-40B4-BE49-F238E27FC236}">
              <a16:creationId xmlns:a16="http://schemas.microsoft.com/office/drawing/2014/main" id="{8AE8F59C-4129-D4DD-0659-F9BD14EF39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4</xdr:row>
          <xdr:rowOff>109538</xdr:rowOff>
        </xdr:from>
        <xdr:to>
          <xdr:col>1</xdr:col>
          <xdr:colOff>604838</xdr:colOff>
          <xdr:row>5</xdr:row>
          <xdr:rowOff>161925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Botón de opción 1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8BBA6DD-4716-4F7E-992F-A6CD831F8C92}">
  <we:reference id="29673e3c-d826-4f00-92ee-162334a52b1a" version="1.0.0.8" store="EXCatalog" storeType="EXCatalog"/>
  <we:alternateReferences>
    <we:reference id="WA200009404" version="1.0.0.8" store="es-ES" storeType="OMEX"/>
  </we:alternateReferences>
  <we:properties>
    <we:property name="claude.fileId" value="&quot;ac695fa5-0bd5-4957-bd49-9bd1cf68260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9A961"/>
  </sheetPr>
  <dimension ref="A1:AC60"/>
  <sheetViews>
    <sheetView showGridLines="0" topLeftCell="F1" zoomScale="50" zoomScaleNormal="50" workbookViewId="0">
      <selection activeCell="Z99" sqref="Z99"/>
    </sheetView>
  </sheetViews>
  <sheetFormatPr baseColWidth="10" defaultColWidth="9.06640625" defaultRowHeight="14.25" outlineLevelCol="2" x14ac:dyDescent="0.45"/>
  <cols>
    <col min="1" max="1" width="12.46484375" customWidth="1"/>
    <col min="2" max="7" width="27.3984375" customWidth="1"/>
    <col min="8" max="8" width="7.46484375" customWidth="1"/>
    <col min="9" max="16" width="22.3984375" customWidth="1"/>
    <col min="17" max="17" width="7.46484375" customWidth="1"/>
    <col min="18" max="26" width="22.3984375" customWidth="1"/>
    <col min="27" max="28" width="22.3984375" customWidth="1" outlineLevel="2"/>
    <col min="29" max="29" width="9.06640625" customWidth="1" outlineLevel="2"/>
    <col min="31" max="31" width="14.6640625" bestFit="1" customWidth="1"/>
  </cols>
  <sheetData>
    <row r="1" spans="1:29" ht="14" customHeight="1" x14ac:dyDescent="0.55000000000000004">
      <c r="A1" s="156" t="s">
        <v>0</v>
      </c>
      <c r="B1" s="157"/>
      <c r="C1" s="157"/>
      <c r="D1" s="157"/>
      <c r="E1" s="157"/>
      <c r="F1" s="157"/>
      <c r="G1" s="157"/>
      <c r="H1" s="157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54"/>
      <c r="AC1" s="55"/>
    </row>
    <row r="2" spans="1:29" ht="50" customHeight="1" x14ac:dyDescent="0.7">
      <c r="A2" s="155" t="s">
        <v>1</v>
      </c>
      <c r="B2" s="155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13" t="s">
        <v>1431</v>
      </c>
      <c r="R2" s="113"/>
      <c r="S2" s="113"/>
      <c r="T2" s="113"/>
      <c r="U2" s="113"/>
      <c r="V2" s="113"/>
      <c r="W2" s="113"/>
      <c r="X2" s="113"/>
      <c r="Y2" s="113"/>
      <c r="Z2" s="113"/>
      <c r="AA2" s="25"/>
      <c r="AB2" s="54"/>
      <c r="AC2" s="55"/>
    </row>
    <row r="3" spans="1:29" ht="28.05" customHeight="1" x14ac:dyDescent="0.6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25" t="s">
        <v>2</v>
      </c>
      <c r="AB3" s="56">
        <f>D12</f>
        <v>152939.76999999999</v>
      </c>
      <c r="AC3" s="55"/>
    </row>
    <row r="4" spans="1:29" ht="3" customHeight="1" thickBot="1" x14ac:dyDescent="0.6">
      <c r="A4" s="25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5" t="s">
        <v>3</v>
      </c>
      <c r="AB4" s="56">
        <f>D14</f>
        <v>215293.01000000004</v>
      </c>
      <c r="AC4" s="55"/>
    </row>
    <row r="5" spans="1:29" ht="22.05" customHeight="1" thickTop="1" x14ac:dyDescent="0.55000000000000004">
      <c r="A5" s="25"/>
      <c r="B5" s="115" t="s">
        <v>5</v>
      </c>
      <c r="C5" s="116"/>
      <c r="D5" s="116"/>
      <c r="E5" s="116"/>
      <c r="F5" s="121" t="s">
        <v>6</v>
      </c>
      <c r="G5" s="122"/>
      <c r="H5" s="123"/>
      <c r="I5" s="122"/>
      <c r="J5" s="130" t="s">
        <v>7</v>
      </c>
      <c r="K5" s="130"/>
      <c r="L5" s="130"/>
      <c r="M5" s="130"/>
      <c r="N5" s="130"/>
      <c r="O5" s="130"/>
      <c r="P5" s="122" t="s">
        <v>1432</v>
      </c>
      <c r="Q5" s="122"/>
      <c r="R5" s="122"/>
      <c r="S5" s="122"/>
      <c r="T5" s="25"/>
      <c r="U5" s="25"/>
      <c r="V5" s="25"/>
      <c r="W5" s="25"/>
      <c r="X5" s="25"/>
      <c r="Y5" s="25"/>
      <c r="Z5" s="25"/>
      <c r="AA5" s="25" t="s">
        <v>4</v>
      </c>
      <c r="AB5" s="56">
        <f>D15</f>
        <v>208043.81</v>
      </c>
      <c r="AC5" s="55"/>
    </row>
    <row r="6" spans="1:29" ht="46.05" customHeight="1" x14ac:dyDescent="1.2">
      <c r="A6" s="25"/>
      <c r="B6" s="117">
        <f>D20</f>
        <v>1390440.1800000002</v>
      </c>
      <c r="C6" s="118"/>
      <c r="D6" s="118"/>
      <c r="E6" s="118"/>
      <c r="F6" s="124">
        <f>D25</f>
        <v>35905.57</v>
      </c>
      <c r="G6" s="125"/>
      <c r="H6" s="126"/>
      <c r="I6" s="125"/>
      <c r="J6" s="131">
        <f>D31</f>
        <v>1354534.61</v>
      </c>
      <c r="K6" s="132"/>
      <c r="L6" s="132"/>
      <c r="M6" s="132"/>
      <c r="N6" s="132"/>
      <c r="O6" s="132"/>
      <c r="P6" s="134">
        <f>D34</f>
        <v>105337.34</v>
      </c>
      <c r="Q6" s="135"/>
      <c r="R6" s="135"/>
      <c r="S6" s="135"/>
      <c r="T6" s="25"/>
      <c r="U6" s="25"/>
      <c r="V6" s="25"/>
      <c r="W6" s="25"/>
      <c r="X6" s="25"/>
      <c r="Y6" s="25"/>
      <c r="Z6" s="25"/>
      <c r="AA6" s="25" t="s">
        <v>8</v>
      </c>
      <c r="AB6" s="56">
        <f>D16</f>
        <v>139163.59</v>
      </c>
      <c r="AC6" s="55"/>
    </row>
    <row r="7" spans="1:29" ht="22.05" customHeight="1" thickBot="1" x14ac:dyDescent="0.6">
      <c r="A7" s="25"/>
      <c r="B7" s="119" t="str">
        <f>IFERROR(IF(D20=0,"",TEXT((E20-D20)/D20,"+0.0%;-0.0%;0.0%")&amp;"  vs 2025"),"")</f>
        <v>-13.7%  vs 2025</v>
      </c>
      <c r="C7" s="120"/>
      <c r="D7" s="120"/>
      <c r="E7" s="120"/>
      <c r="F7" s="127" t="str">
        <f>IFERROR(IF(D25=0,"",TEXT((E25-D25)/D25,"+0.0%;-0.0%;0.0%")&amp;"  vs 2025"),"")</f>
        <v>0.0%  vs 2025</v>
      </c>
      <c r="G7" s="128"/>
      <c r="H7" s="129"/>
      <c r="I7" s="128"/>
      <c r="J7" s="133" t="str">
        <f>IFERROR(IF(D31=0,"",TEXT((E31-D31)/D31,"+0.0%;-0.0%;0.0%")&amp;"  vs 2025"),"")</f>
        <v>-14.0%  vs 2025</v>
      </c>
      <c r="K7" s="133"/>
      <c r="L7" s="133"/>
      <c r="M7" s="133"/>
      <c r="N7" s="133"/>
      <c r="O7" s="133"/>
      <c r="P7" s="136" t="str">
        <f>IFERROR(IF(D33=0,"",TEXT(D34/D33,"+0.0%;-0.0%;0.0%")&amp;"  vs año anterior"),"")</f>
        <v>+8.4%  vs año anterior</v>
      </c>
      <c r="Q7" s="136"/>
      <c r="R7" s="136"/>
      <c r="S7" s="136"/>
      <c r="T7" s="25"/>
      <c r="U7" s="25"/>
      <c r="V7" s="25"/>
      <c r="W7" s="25"/>
      <c r="X7" s="25"/>
      <c r="Y7" s="25"/>
      <c r="Z7" s="25"/>
      <c r="AA7" s="25" t="s">
        <v>9</v>
      </c>
      <c r="AB7" s="56">
        <f>D18</f>
        <v>675000</v>
      </c>
      <c r="AC7" s="55"/>
    </row>
    <row r="8" spans="1:29" ht="16.05" customHeight="1" thickTop="1" x14ac:dyDescent="0.55000000000000004">
      <c r="A8" s="25"/>
      <c r="B8" s="30" t="s">
        <v>10</v>
      </c>
      <c r="C8" s="31">
        <f>G20</f>
        <v>0</v>
      </c>
      <c r="D8" s="30" t="s">
        <v>10</v>
      </c>
      <c r="E8" s="31">
        <f>G25</f>
        <v>0</v>
      </c>
      <c r="F8" s="30" t="s">
        <v>10</v>
      </c>
      <c r="G8" s="31">
        <f>G31</f>
        <v>-0.14048589721897192</v>
      </c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54"/>
      <c r="AC8" s="55"/>
    </row>
    <row r="9" spans="1:29" ht="28.05" customHeight="1" x14ac:dyDescent="0.65">
      <c r="A9" s="25"/>
      <c r="B9" s="150" t="s">
        <v>1433</v>
      </c>
      <c r="C9" s="151"/>
      <c r="D9" s="151"/>
      <c r="E9" s="151"/>
      <c r="F9" s="151"/>
      <c r="G9" s="151"/>
      <c r="H9" s="25"/>
      <c r="I9" s="106" t="s">
        <v>1457</v>
      </c>
      <c r="J9" s="107"/>
      <c r="K9" s="107"/>
      <c r="L9" s="107"/>
      <c r="M9" s="107"/>
      <c r="N9" s="107"/>
      <c r="O9" s="107"/>
      <c r="P9" s="107"/>
      <c r="Q9" s="28"/>
      <c r="R9" s="28"/>
      <c r="S9" s="28"/>
      <c r="T9" s="28"/>
      <c r="U9" s="28"/>
      <c r="V9" s="28"/>
      <c r="W9" s="28"/>
      <c r="X9" s="28"/>
      <c r="Y9" s="28"/>
      <c r="Z9" s="28"/>
      <c r="AB9" t="s">
        <v>1454</v>
      </c>
      <c r="AC9" t="s">
        <v>1452</v>
      </c>
    </row>
    <row r="10" spans="1:29" ht="24" customHeight="1" x14ac:dyDescent="0.55000000000000004">
      <c r="A10" s="25"/>
      <c r="B10" s="159" t="s">
        <v>1434</v>
      </c>
      <c r="C10" s="142"/>
      <c r="D10" s="160"/>
      <c r="E10" s="160"/>
      <c r="F10" s="160"/>
      <c r="G10" s="161"/>
      <c r="H10" s="25"/>
      <c r="I10" s="71" t="s">
        <v>1458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  <c r="AB10" t="s">
        <v>9</v>
      </c>
      <c r="AC10">
        <v>675000</v>
      </c>
    </row>
    <row r="11" spans="1:29" ht="36" customHeight="1" x14ac:dyDescent="0.55000000000000004">
      <c r="A11" s="25"/>
      <c r="B11" s="154" t="s">
        <v>11</v>
      </c>
      <c r="C11" s="154"/>
      <c r="D11" s="27" t="s">
        <v>12</v>
      </c>
      <c r="E11" s="27" t="s">
        <v>13</v>
      </c>
      <c r="F11" s="27" t="s">
        <v>14</v>
      </c>
      <c r="G11" s="27" t="s">
        <v>15</v>
      </c>
      <c r="H11" s="25"/>
      <c r="Q11" s="28"/>
      <c r="R11" s="28"/>
      <c r="S11" s="28"/>
      <c r="T11" s="28"/>
      <c r="U11" s="28"/>
      <c r="V11" s="28"/>
      <c r="W11" s="28"/>
      <c r="X11" s="28"/>
      <c r="Y11" s="28"/>
      <c r="Z11" s="28"/>
      <c r="AB11" t="s">
        <v>1455</v>
      </c>
      <c r="AC11">
        <v>215293.01</v>
      </c>
    </row>
    <row r="12" spans="1:29" ht="18" customHeight="1" x14ac:dyDescent="0.55000000000000004">
      <c r="A12" s="25"/>
      <c r="B12" s="141" t="s">
        <v>2</v>
      </c>
      <c r="C12" s="142"/>
      <c r="D12" s="57">
        <f>Dinero!J11</f>
        <v>152939.76999999999</v>
      </c>
      <c r="E12" s="57">
        <f>Dinero!K11</f>
        <v>152939.76999999999</v>
      </c>
      <c r="F12" s="35">
        <f t="shared" ref="F12:F19" si="0">IFERROR(D12/$D$20,0)</f>
        <v>0.1099937790923159</v>
      </c>
      <c r="G12" s="32" t="str">
        <f t="shared" ref="G12:G19" si="1">REPT("■",ROUND(F12*30,0))</f>
        <v>■■■</v>
      </c>
      <c r="H12" s="25"/>
      <c r="Q12" s="28"/>
      <c r="R12" s="28"/>
      <c r="S12" s="28"/>
      <c r="T12" s="28"/>
      <c r="U12" s="28"/>
      <c r="V12" s="28"/>
      <c r="W12" s="28"/>
      <c r="X12" s="28"/>
      <c r="Y12" s="28"/>
      <c r="Z12" s="28"/>
      <c r="AB12" t="s">
        <v>4</v>
      </c>
      <c r="AC12">
        <v>208043.81</v>
      </c>
    </row>
    <row r="13" spans="1:29" ht="22.05" customHeight="1" x14ac:dyDescent="0.55000000000000004">
      <c r="A13" s="25"/>
      <c r="B13" s="141" t="s">
        <v>1435</v>
      </c>
      <c r="C13" s="142"/>
      <c r="D13" s="57">
        <f>'Derechos de Capital'!J14</f>
        <v>0</v>
      </c>
      <c r="E13" s="57">
        <f>'Derechos de Capital'!K14</f>
        <v>0</v>
      </c>
      <c r="F13" s="35">
        <f t="shared" si="0"/>
        <v>0</v>
      </c>
      <c r="G13" s="32" t="str">
        <f t="shared" si="1"/>
        <v/>
      </c>
      <c r="H13" s="25"/>
      <c r="Q13" s="28"/>
      <c r="R13" s="28"/>
      <c r="S13" s="28"/>
      <c r="T13" s="28"/>
      <c r="U13" s="28"/>
      <c r="V13" s="28"/>
      <c r="W13" s="28"/>
      <c r="X13" s="28"/>
      <c r="Y13" s="28"/>
      <c r="Z13" s="28"/>
      <c r="AB13" t="s">
        <v>1450</v>
      </c>
      <c r="AC13">
        <v>152939.76999999999</v>
      </c>
    </row>
    <row r="14" spans="1:29" ht="22.05" customHeight="1" x14ac:dyDescent="0.55000000000000004">
      <c r="A14" s="25"/>
      <c r="B14" s="141" t="s">
        <v>3</v>
      </c>
      <c r="C14" s="142"/>
      <c r="D14" s="57">
        <f>'Cuentas por Cobrar'!J59</f>
        <v>215293.01000000004</v>
      </c>
      <c r="E14" s="57">
        <f>'Cuentas por Cobrar'!K59</f>
        <v>25000</v>
      </c>
      <c r="F14" s="35">
        <f t="shared" si="0"/>
        <v>0.1548380240277579</v>
      </c>
      <c r="G14" s="32" t="str">
        <f t="shared" si="1"/>
        <v>■■■■■</v>
      </c>
      <c r="H14" s="25"/>
      <c r="Q14" s="28"/>
      <c r="R14" s="28"/>
      <c r="S14" s="28"/>
      <c r="T14" s="28"/>
      <c r="U14" s="28"/>
      <c r="V14" s="28"/>
      <c r="W14" s="28"/>
      <c r="X14" s="28"/>
      <c r="Y14" s="28"/>
      <c r="Z14" s="28"/>
      <c r="AB14" t="s">
        <v>1451</v>
      </c>
      <c r="AC14">
        <v>139163.59</v>
      </c>
    </row>
    <row r="15" spans="1:29" ht="22.05" customHeight="1" x14ac:dyDescent="0.55000000000000004">
      <c r="A15" s="25"/>
      <c r="B15" s="141" t="s">
        <v>4</v>
      </c>
      <c r="C15" s="142"/>
      <c r="D15" s="57">
        <f>'Bienes Muebles'!F7</f>
        <v>208043.81</v>
      </c>
      <c r="E15" s="57">
        <f>'Bienes Muebles'!G7</f>
        <v>208043.81</v>
      </c>
      <c r="F15" s="35">
        <f t="shared" si="0"/>
        <v>0.14962442325278602</v>
      </c>
      <c r="G15" s="32" t="str">
        <f t="shared" si="1"/>
        <v>■■■■</v>
      </c>
      <c r="H15" s="25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9" ht="22.05" customHeight="1" x14ac:dyDescent="0.55000000000000004">
      <c r="A16" s="25"/>
      <c r="B16" s="141" t="s">
        <v>1436</v>
      </c>
      <c r="C16" s="142"/>
      <c r="D16" s="57">
        <f>Vehiculos!G15</f>
        <v>139163.59</v>
      </c>
      <c r="E16" s="57">
        <f>Vehiculos!H15</f>
        <v>139163.59</v>
      </c>
      <c r="F16" s="35">
        <f t="shared" si="0"/>
        <v>0.10008599578875804</v>
      </c>
      <c r="G16" s="32" t="str">
        <f t="shared" si="1"/>
        <v>■■■</v>
      </c>
      <c r="H16" s="25"/>
      <c r="Q16" s="28"/>
      <c r="R16" s="28"/>
      <c r="S16" s="28"/>
      <c r="T16" s="28"/>
      <c r="U16" s="28"/>
      <c r="V16" s="28"/>
      <c r="W16" s="28"/>
      <c r="X16" s="28"/>
      <c r="Y16" s="28"/>
      <c r="Z16" s="28"/>
      <c r="AB16" t="s">
        <v>1454</v>
      </c>
      <c r="AC16" t="s">
        <v>1452</v>
      </c>
    </row>
    <row r="17" spans="1:29" ht="22.05" customHeight="1" x14ac:dyDescent="0.55000000000000004">
      <c r="A17" s="25"/>
      <c r="B17" s="141" t="s">
        <v>1437</v>
      </c>
      <c r="C17" s="142"/>
      <c r="D17" s="57">
        <f>Derechos!F14</f>
        <v>0</v>
      </c>
      <c r="E17" s="57">
        <f>Derechos!G14</f>
        <v>0</v>
      </c>
      <c r="F17" s="35">
        <f t="shared" si="0"/>
        <v>0</v>
      </c>
      <c r="G17" s="32" t="str">
        <f t="shared" si="1"/>
        <v/>
      </c>
      <c r="H17" s="25"/>
      <c r="Q17" s="28"/>
      <c r="R17" s="28"/>
      <c r="S17" s="28"/>
      <c r="T17" s="28"/>
      <c r="U17" s="28"/>
      <c r="V17" s="28"/>
      <c r="W17" s="28"/>
      <c r="X17" s="28"/>
      <c r="Y17" s="28"/>
      <c r="Z17" s="28"/>
      <c r="AB17" t="s">
        <v>1456</v>
      </c>
      <c r="AC17">
        <v>35905.57</v>
      </c>
    </row>
    <row r="18" spans="1:29" ht="22.05" customHeight="1" x14ac:dyDescent="0.55000000000000004">
      <c r="A18" s="25"/>
      <c r="B18" s="141" t="s">
        <v>9</v>
      </c>
      <c r="C18" s="142"/>
      <c r="D18" s="57">
        <f>'Bienes Inmuebles'!J8</f>
        <v>675000</v>
      </c>
      <c r="E18" s="57">
        <f>'Bienes Inmuebles'!K8</f>
        <v>675000</v>
      </c>
      <c r="F18" s="35">
        <f t="shared" si="0"/>
        <v>0.48545777783838201</v>
      </c>
      <c r="G18" s="32" t="str">
        <f t="shared" si="1"/>
        <v>■■■■■■■■■■■■■■■</v>
      </c>
      <c r="H18" s="25"/>
      <c r="Q18" s="28"/>
      <c r="R18" s="28"/>
      <c r="S18" s="28"/>
      <c r="T18" s="28"/>
      <c r="U18" s="28"/>
      <c r="V18" s="28"/>
      <c r="W18" s="28"/>
      <c r="X18" s="28"/>
      <c r="Y18" s="28"/>
      <c r="Z18" s="28"/>
      <c r="AB18" t="s">
        <v>1461</v>
      </c>
      <c r="AC18" s="1">
        <f>D20-D25</f>
        <v>1354534.61</v>
      </c>
    </row>
    <row r="19" spans="1:29" ht="22.05" customHeight="1" thickBot="1" x14ac:dyDescent="0.6">
      <c r="A19" s="25"/>
      <c r="B19" s="139" t="s">
        <v>16</v>
      </c>
      <c r="C19" s="142"/>
      <c r="D19" s="58">
        <f>'Otros Activos'!F14</f>
        <v>0</v>
      </c>
      <c r="E19" s="58">
        <f>'Otros Activos'!G14</f>
        <v>0</v>
      </c>
      <c r="F19" s="36">
        <f t="shared" si="0"/>
        <v>0</v>
      </c>
      <c r="G19" s="33" t="str">
        <f t="shared" si="1"/>
        <v/>
      </c>
      <c r="H19" s="25"/>
      <c r="Q19" s="28"/>
      <c r="R19" s="28"/>
      <c r="S19" s="28"/>
      <c r="T19" s="28"/>
      <c r="U19" s="28"/>
      <c r="V19" s="28"/>
      <c r="W19" s="28"/>
      <c r="X19" s="28"/>
      <c r="Y19" s="28"/>
      <c r="Z19" s="28"/>
      <c r="AB19" t="s">
        <v>1454</v>
      </c>
      <c r="AC19" t="s">
        <v>1452</v>
      </c>
    </row>
    <row r="20" spans="1:29" ht="22.05" customHeight="1" x14ac:dyDescent="0.55000000000000004">
      <c r="A20" s="25"/>
      <c r="B20" s="137" t="s">
        <v>5</v>
      </c>
      <c r="C20" s="147"/>
      <c r="D20" s="59">
        <f>SUM(D12:D19)</f>
        <v>1390440.1800000002</v>
      </c>
      <c r="E20" s="59">
        <f>SUM(E12:E19)</f>
        <v>1200147.17</v>
      </c>
      <c r="F20" s="37">
        <f>SUM(F12:F19)</f>
        <v>0.99999999999999978</v>
      </c>
      <c r="G20" s="34"/>
      <c r="H20" s="25"/>
      <c r="Q20" s="28"/>
      <c r="R20" s="28"/>
      <c r="S20" s="28"/>
      <c r="T20" s="28"/>
      <c r="U20" s="28"/>
      <c r="V20" s="28"/>
      <c r="W20" s="28"/>
      <c r="X20" s="28"/>
      <c r="Y20" s="28"/>
      <c r="Z20" s="28"/>
      <c r="AB20" t="s">
        <v>20</v>
      </c>
      <c r="AC20">
        <v>1390440.18</v>
      </c>
    </row>
    <row r="21" spans="1:29" ht="14" customHeight="1" x14ac:dyDescent="0.55000000000000004">
      <c r="A21" s="25"/>
      <c r="B21" s="26"/>
      <c r="C21" s="26"/>
      <c r="D21" s="26"/>
      <c r="E21" s="26"/>
      <c r="F21" s="26"/>
      <c r="G21" s="26"/>
      <c r="H21" s="25"/>
      <c r="Q21" s="28"/>
      <c r="R21" s="28"/>
      <c r="S21" s="28"/>
      <c r="T21" s="28"/>
      <c r="U21" s="28"/>
      <c r="V21" s="28"/>
      <c r="W21" s="28"/>
      <c r="X21" s="28"/>
      <c r="Y21" s="28"/>
      <c r="Z21" s="28"/>
      <c r="AB21" t="s">
        <v>21</v>
      </c>
      <c r="AC21">
        <v>35905.57</v>
      </c>
    </row>
    <row r="22" spans="1:29" ht="28.05" customHeight="1" x14ac:dyDescent="0.55000000000000004">
      <c r="A22" s="25"/>
      <c r="B22" s="145" t="s">
        <v>1448</v>
      </c>
      <c r="C22" s="146"/>
      <c r="D22" s="146"/>
      <c r="E22" s="146"/>
      <c r="F22" s="146"/>
      <c r="G22" s="146"/>
      <c r="H22" s="25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B22" t="s">
        <v>1453</v>
      </c>
      <c r="AC22">
        <v>1354534.61</v>
      </c>
    </row>
    <row r="23" spans="1:29" ht="24" customHeight="1" x14ac:dyDescent="0.55000000000000004">
      <c r="A23" s="25"/>
      <c r="B23" s="153" t="s">
        <v>1438</v>
      </c>
      <c r="C23" s="154"/>
      <c r="D23" s="38">
        <v>2025</v>
      </c>
      <c r="E23" s="38">
        <v>2026</v>
      </c>
      <c r="F23" s="38" t="s">
        <v>1439</v>
      </c>
      <c r="G23" s="38" t="s">
        <v>1440</v>
      </c>
      <c r="H23" s="25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9" ht="22.05" customHeight="1" thickBot="1" x14ac:dyDescent="0.65">
      <c r="A24" s="25"/>
      <c r="B24" s="139" t="s">
        <v>17</v>
      </c>
      <c r="C24" s="140"/>
      <c r="D24" s="58">
        <f>Pasivos!I11</f>
        <v>35905.57</v>
      </c>
      <c r="E24" s="58">
        <f>Pasivos!J11</f>
        <v>35905.57</v>
      </c>
      <c r="F24" s="39">
        <f>E24-D24</f>
        <v>0</v>
      </c>
      <c r="G24" s="40">
        <f>IF(D24=0,"",(E24-D24)/D24)</f>
        <v>0</v>
      </c>
      <c r="H24" s="25"/>
      <c r="I24" s="109" t="s">
        <v>1462</v>
      </c>
      <c r="J24" s="109"/>
      <c r="K24" s="109"/>
      <c r="L24" s="109"/>
      <c r="M24" s="109"/>
      <c r="N24" s="109"/>
      <c r="O24" s="109"/>
      <c r="P24" s="109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9" ht="18" customHeight="1" x14ac:dyDescent="0.55000000000000004">
      <c r="A25" s="25"/>
      <c r="B25" s="137" t="s">
        <v>6</v>
      </c>
      <c r="C25" s="138"/>
      <c r="D25" s="59">
        <f>SUM(D24:D24)</f>
        <v>35905.57</v>
      </c>
      <c r="E25" s="59">
        <f>SUM(E24:E24)</f>
        <v>35905.57</v>
      </c>
      <c r="F25" s="41">
        <f>E25-D25</f>
        <v>0</v>
      </c>
      <c r="G25" s="42">
        <f>IF(D25=0,"",(E25-D25)/D25)</f>
        <v>0</v>
      </c>
      <c r="H25" s="25"/>
      <c r="I25" s="110" t="s">
        <v>1463</v>
      </c>
      <c r="J25" s="110"/>
      <c r="K25" s="110"/>
      <c r="L25" s="110"/>
      <c r="M25" s="110"/>
      <c r="N25" s="110"/>
      <c r="O25" s="110"/>
      <c r="P25" s="110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9" ht="8" customHeight="1" x14ac:dyDescent="0.55000000000000004">
      <c r="A26" s="25"/>
      <c r="B26" s="26"/>
      <c r="C26" s="26"/>
      <c r="D26" s="26"/>
      <c r="E26" s="26"/>
      <c r="F26" s="26"/>
      <c r="G26" s="26"/>
      <c r="H26" s="25"/>
      <c r="I26" s="25"/>
      <c r="J26" s="25"/>
      <c r="K26" s="25"/>
      <c r="L26" s="25"/>
      <c r="M26" s="25"/>
      <c r="N26" s="25"/>
      <c r="O26" s="25"/>
      <c r="P26" s="25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5"/>
      <c r="AB26" s="54"/>
      <c r="AC26" s="55"/>
    </row>
    <row r="27" spans="1:29" ht="18" customHeight="1" x14ac:dyDescent="0.55000000000000004">
      <c r="A27" s="25"/>
      <c r="B27" s="145" t="s">
        <v>1449</v>
      </c>
      <c r="C27" s="146"/>
      <c r="D27" s="146"/>
      <c r="E27" s="146"/>
      <c r="F27" s="146"/>
      <c r="G27" s="146"/>
      <c r="H27" s="25"/>
      <c r="I27" s="101" t="s">
        <v>1464</v>
      </c>
      <c r="J27" s="101"/>
      <c r="K27" s="101"/>
      <c r="L27" s="101" t="s">
        <v>1467</v>
      </c>
      <c r="M27" s="101"/>
      <c r="N27" s="101"/>
      <c r="O27" s="101"/>
      <c r="P27" s="101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5"/>
      <c r="AB27" s="54"/>
      <c r="AC27" s="55"/>
    </row>
    <row r="28" spans="1:29" ht="32" customHeight="1" x14ac:dyDescent="1">
      <c r="A28" s="25"/>
      <c r="B28" s="153" t="s">
        <v>1438</v>
      </c>
      <c r="C28" s="154"/>
      <c r="D28" s="38">
        <v>2025</v>
      </c>
      <c r="E28" s="38">
        <v>2026</v>
      </c>
      <c r="F28" s="38" t="s">
        <v>1439</v>
      </c>
      <c r="G28" s="38" t="s">
        <v>1440</v>
      </c>
      <c r="H28" s="25"/>
      <c r="I28" s="111">
        <f>(D12+D14)/D25</f>
        <v>10.255589313858547</v>
      </c>
      <c r="J28" s="111"/>
      <c r="K28" s="111"/>
      <c r="L28" s="112">
        <f>D20/D25</f>
        <v>38.72491593922615</v>
      </c>
      <c r="M28" s="112"/>
      <c r="N28" s="112"/>
      <c r="O28" s="112"/>
      <c r="P28" s="112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5"/>
      <c r="AB28" s="54"/>
      <c r="AC28" s="55"/>
    </row>
    <row r="29" spans="1:29" ht="14" customHeight="1" x14ac:dyDescent="0.55000000000000004">
      <c r="A29" s="25"/>
      <c r="B29" s="141" t="s">
        <v>18</v>
      </c>
      <c r="C29" s="140"/>
      <c r="D29" s="57">
        <f>D20</f>
        <v>1390440.1800000002</v>
      </c>
      <c r="E29" s="57">
        <f>E20</f>
        <v>1200147.17</v>
      </c>
      <c r="F29" s="43">
        <f>E29-D29</f>
        <v>-190293.01000000024</v>
      </c>
      <c r="G29" s="44">
        <f>IF(D29=0,"",(E29-D29)/D29)</f>
        <v>-0.1368581063300402</v>
      </c>
      <c r="H29" s="25"/>
      <c r="I29" s="103" t="s">
        <v>1465</v>
      </c>
      <c r="J29" s="103"/>
      <c r="K29" s="103"/>
      <c r="L29" s="103" t="s">
        <v>1468</v>
      </c>
      <c r="M29" s="103"/>
      <c r="N29" s="103"/>
      <c r="O29" s="103"/>
      <c r="P29" s="103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5"/>
      <c r="AB29" s="54"/>
      <c r="AC29" s="55"/>
    </row>
    <row r="30" spans="1:29" ht="14" customHeight="1" thickBot="1" x14ac:dyDescent="0.6">
      <c r="A30" s="25"/>
      <c r="B30" s="139" t="s">
        <v>1441</v>
      </c>
      <c r="C30" s="140"/>
      <c r="D30" s="58">
        <f>D25</f>
        <v>35905.57</v>
      </c>
      <c r="E30" s="58">
        <f>E25</f>
        <v>35905.57</v>
      </c>
      <c r="F30" s="39">
        <f>E30-D30</f>
        <v>0</v>
      </c>
      <c r="G30" s="40">
        <f>IF(D30=0,"",(E30-D30)/D30)</f>
        <v>0</v>
      </c>
      <c r="H30" s="25"/>
      <c r="I30" s="104" t="s">
        <v>1466</v>
      </c>
      <c r="J30" s="104"/>
      <c r="K30" s="104"/>
      <c r="L30" s="104" t="s">
        <v>1469</v>
      </c>
      <c r="M30" s="104"/>
      <c r="N30" s="104"/>
      <c r="O30" s="104"/>
      <c r="P30" s="104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5"/>
      <c r="AB30" s="54"/>
      <c r="AC30" s="55"/>
    </row>
    <row r="31" spans="1:29" ht="8" customHeight="1" x14ac:dyDescent="0.55000000000000004">
      <c r="A31" s="25"/>
      <c r="B31" s="137" t="s">
        <v>19</v>
      </c>
      <c r="C31" s="163"/>
      <c r="D31" s="59">
        <f>D29-D30</f>
        <v>1354534.61</v>
      </c>
      <c r="E31" s="59">
        <f>E29-E30</f>
        <v>1164241.5999999999</v>
      </c>
      <c r="F31" s="41">
        <f>E31-D31</f>
        <v>-190293.01000000024</v>
      </c>
      <c r="G31" s="42">
        <f>IF(D31=0,"",(E31-D31)/D31)</f>
        <v>-0.14048589721897192</v>
      </c>
      <c r="H31" s="25"/>
      <c r="I31" s="25"/>
      <c r="J31" s="25"/>
      <c r="K31" s="25"/>
      <c r="L31" s="25"/>
      <c r="M31" s="25"/>
      <c r="N31" s="25"/>
      <c r="O31" s="25"/>
      <c r="P31" s="25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5"/>
      <c r="AB31" s="68" t="s">
        <v>21</v>
      </c>
      <c r="AC31" s="69">
        <f>D25</f>
        <v>35905.57</v>
      </c>
    </row>
    <row r="32" spans="1:29" ht="18" customHeight="1" x14ac:dyDescent="0.55000000000000004">
      <c r="A32" s="25"/>
      <c r="B32" s="148" t="s">
        <v>1442</v>
      </c>
      <c r="C32" s="149"/>
      <c r="D32" s="60">
        <v>1354534.61</v>
      </c>
      <c r="E32" s="61"/>
      <c r="F32" s="45"/>
      <c r="G32" s="45"/>
      <c r="H32" s="25"/>
      <c r="I32" s="101" t="s">
        <v>1470</v>
      </c>
      <c r="J32" s="101"/>
      <c r="K32" s="101"/>
      <c r="L32" s="101" t="s">
        <v>1473</v>
      </c>
      <c r="M32" s="101"/>
      <c r="N32" s="101"/>
      <c r="O32" s="101"/>
      <c r="P32" s="101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5"/>
      <c r="AB32" s="68" t="s">
        <v>1453</v>
      </c>
      <c r="AC32" s="69">
        <f>D31</f>
        <v>1354534.61</v>
      </c>
    </row>
    <row r="33" spans="1:29" ht="32" customHeight="1" x14ac:dyDescent="1">
      <c r="A33" s="25"/>
      <c r="B33" s="143" t="s">
        <v>1443</v>
      </c>
      <c r="C33" s="144"/>
      <c r="D33" s="62">
        <v>1249197.27</v>
      </c>
      <c r="E33" s="63"/>
      <c r="F33" s="46"/>
      <c r="G33" s="46"/>
      <c r="H33" s="25"/>
      <c r="I33" s="102">
        <f>D25/D20</f>
        <v>2.5823167739585887E-2</v>
      </c>
      <c r="J33" s="102"/>
      <c r="K33" s="102"/>
      <c r="L33" s="102">
        <f>D25/D31</f>
        <v>2.6507680006788454E-2</v>
      </c>
      <c r="M33" s="102"/>
      <c r="N33" s="102"/>
      <c r="O33" s="102"/>
      <c r="P33" s="102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5"/>
      <c r="AB33" s="25" t="s">
        <v>1453</v>
      </c>
      <c r="AC33">
        <f>D31</f>
        <v>1354534.61</v>
      </c>
    </row>
    <row r="34" spans="1:29" ht="14" customHeight="1" x14ac:dyDescent="0.55000000000000004">
      <c r="A34" s="25"/>
      <c r="B34" s="152" t="s">
        <v>1444</v>
      </c>
      <c r="C34" s="144"/>
      <c r="D34" s="64">
        <v>105337.34</v>
      </c>
      <c r="E34" s="63"/>
      <c r="F34" s="46"/>
      <c r="G34" s="46"/>
      <c r="H34" s="25"/>
      <c r="I34" s="103" t="s">
        <v>1471</v>
      </c>
      <c r="J34" s="103"/>
      <c r="K34" s="103"/>
      <c r="L34" s="103" t="s">
        <v>1474</v>
      </c>
      <c r="M34" s="103"/>
      <c r="N34" s="103"/>
      <c r="O34" s="103"/>
      <c r="P34" s="103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5"/>
      <c r="AB34" s="25" t="s">
        <v>1453</v>
      </c>
      <c r="AC34">
        <f>D31</f>
        <v>1354534.61</v>
      </c>
    </row>
    <row r="35" spans="1:29" ht="14" customHeight="1" x14ac:dyDescent="0.55000000000000004">
      <c r="A35" s="25"/>
      <c r="B35" s="26"/>
      <c r="C35" s="26"/>
      <c r="D35" s="26"/>
      <c r="E35" s="26"/>
      <c r="F35" s="26"/>
      <c r="G35" s="26"/>
      <c r="H35" s="25"/>
      <c r="I35" s="104" t="s">
        <v>1472</v>
      </c>
      <c r="J35" s="104"/>
      <c r="K35" s="104"/>
      <c r="L35" s="104" t="s">
        <v>1475</v>
      </c>
      <c r="M35" s="104"/>
      <c r="N35" s="104"/>
      <c r="O35" s="104"/>
      <c r="P35" s="104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5"/>
      <c r="AB35" s="25"/>
    </row>
    <row r="36" spans="1:29" ht="10.050000000000001" customHeight="1" x14ac:dyDescent="0.55000000000000004">
      <c r="A36" s="25"/>
      <c r="B36" s="145" t="s">
        <v>1445</v>
      </c>
      <c r="C36" s="146"/>
      <c r="D36" s="146"/>
      <c r="E36" s="146"/>
      <c r="F36" s="146"/>
      <c r="G36" s="146"/>
      <c r="H36" s="25"/>
      <c r="I36" s="25"/>
      <c r="J36" s="25"/>
      <c r="K36" s="25"/>
      <c r="L36" s="25"/>
      <c r="M36" s="25"/>
      <c r="N36" s="25"/>
      <c r="O36" s="25"/>
      <c r="P36" s="25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5"/>
      <c r="AB36" s="25"/>
    </row>
    <row r="37" spans="1:29" ht="20" customHeight="1" x14ac:dyDescent="0.55000000000000004">
      <c r="A37" s="25"/>
      <c r="B37" s="153" t="s">
        <v>1438</v>
      </c>
      <c r="C37" s="154"/>
      <c r="D37" s="38">
        <v>2025</v>
      </c>
      <c r="E37" s="38">
        <v>2026</v>
      </c>
      <c r="F37" s="38" t="s">
        <v>1439</v>
      </c>
      <c r="G37" s="38" t="s">
        <v>1440</v>
      </c>
      <c r="H37" s="25"/>
      <c r="I37" s="105" t="s">
        <v>1476</v>
      </c>
      <c r="J37" s="105"/>
      <c r="K37" s="105"/>
      <c r="L37" s="105"/>
      <c r="M37" s="105"/>
      <c r="N37" s="105"/>
      <c r="O37" s="105"/>
      <c r="P37" s="105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5"/>
      <c r="AB37" s="25"/>
    </row>
    <row r="38" spans="1:29" ht="18" customHeight="1" x14ac:dyDescent="0.6">
      <c r="A38" s="25"/>
      <c r="B38" s="162" t="s">
        <v>1446</v>
      </c>
      <c r="C38" s="140"/>
      <c r="D38" s="65">
        <f>D20</f>
        <v>1390440.1800000002</v>
      </c>
      <c r="E38" s="65">
        <f>E20</f>
        <v>1200147.17</v>
      </c>
      <c r="F38" s="47">
        <f>E38-D38</f>
        <v>-190293.01000000024</v>
      </c>
      <c r="G38" s="48">
        <f>IF(D38=0,"",(E38-D38)/D38)</f>
        <v>-0.1368581063300402</v>
      </c>
      <c r="H38" s="25"/>
      <c r="I38" s="92" t="s">
        <v>9</v>
      </c>
      <c r="J38" s="92"/>
      <c r="K38" s="92"/>
      <c r="L38" s="97">
        <f>D18/D20</f>
        <v>0.48545777783838201</v>
      </c>
      <c r="M38" s="97"/>
      <c r="N38" s="98" t="str">
        <f>REPT("■",ROUND(D18/D20*30,0))</f>
        <v>■■■■■■■■■■■■■■■</v>
      </c>
      <c r="O38" s="98"/>
      <c r="P38" s="9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5"/>
      <c r="AB38" s="25"/>
    </row>
    <row r="39" spans="1:29" ht="18" customHeight="1" thickBot="1" x14ac:dyDescent="0.65">
      <c r="A39" s="25"/>
      <c r="B39" s="158" t="s">
        <v>1447</v>
      </c>
      <c r="C39" s="140"/>
      <c r="D39" s="66">
        <f>D25</f>
        <v>35905.57</v>
      </c>
      <c r="E39" s="66">
        <f>E25</f>
        <v>35905.57</v>
      </c>
      <c r="F39" s="49">
        <f>E39-D39</f>
        <v>0</v>
      </c>
      <c r="G39" s="50">
        <f>IF(D39=0,"",(E39-D39)/D39)</f>
        <v>0</v>
      </c>
      <c r="H39" s="25"/>
      <c r="I39" s="92" t="s">
        <v>3</v>
      </c>
      <c r="J39" s="92"/>
      <c r="K39" s="92"/>
      <c r="L39" s="99">
        <f>D14/D20</f>
        <v>0.1548380240277579</v>
      </c>
      <c r="M39" s="99"/>
      <c r="N39" s="100" t="str">
        <f>REPT("■",ROUND(D14/D20*30,0))</f>
        <v>■■■■■</v>
      </c>
      <c r="O39" s="100"/>
      <c r="P39" s="100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5"/>
      <c r="AB39" s="25"/>
    </row>
    <row r="40" spans="1:29" ht="18" customHeight="1" x14ac:dyDescent="0.6">
      <c r="A40" s="25"/>
      <c r="B40" s="137" t="s">
        <v>7</v>
      </c>
      <c r="C40" s="138"/>
      <c r="D40" s="67">
        <f>D31</f>
        <v>1354534.61</v>
      </c>
      <c r="E40" s="67">
        <f>E31</f>
        <v>1164241.5999999999</v>
      </c>
      <c r="F40" s="51">
        <f>E40-D40</f>
        <v>-190293.01000000024</v>
      </c>
      <c r="G40" s="52">
        <f>IF(D40=0,"",(E40-D40)/D40)</f>
        <v>-0.14048589721897192</v>
      </c>
      <c r="H40" s="25"/>
      <c r="I40" s="92" t="s">
        <v>4</v>
      </c>
      <c r="J40" s="92"/>
      <c r="K40" s="92"/>
      <c r="L40" s="93">
        <f>D15/D20</f>
        <v>0.14962442325278602</v>
      </c>
      <c r="M40" s="93"/>
      <c r="N40" s="94" t="str">
        <f>REPT("■",ROUND(D15/D20*30,0))</f>
        <v>■■■■</v>
      </c>
      <c r="O40" s="94"/>
      <c r="P40" s="94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5"/>
      <c r="AB40" s="25"/>
    </row>
    <row r="41" spans="1:29" ht="18" customHeight="1" x14ac:dyDescent="0.6">
      <c r="A41" s="25"/>
      <c r="B41" s="25"/>
      <c r="C41" s="25"/>
      <c r="D41" s="25"/>
      <c r="E41" s="25"/>
      <c r="F41" s="25"/>
      <c r="G41" s="25"/>
      <c r="H41" s="25"/>
      <c r="I41" s="92" t="s">
        <v>1477</v>
      </c>
      <c r="J41" s="92"/>
      <c r="K41" s="92"/>
      <c r="L41" s="95">
        <f>D12/D20</f>
        <v>0.1099937790923159</v>
      </c>
      <c r="M41" s="95"/>
      <c r="N41" s="96" t="str">
        <f>REPT("■",ROUND(D12/D20*30,0))</f>
        <v>■■■</v>
      </c>
      <c r="O41" s="96"/>
      <c r="P41" s="96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</row>
    <row r="42" spans="1:29" ht="18" customHeight="1" x14ac:dyDescent="0.55000000000000004">
      <c r="A42" s="25"/>
      <c r="B42" s="106" t="s">
        <v>1459</v>
      </c>
      <c r="C42" s="107"/>
      <c r="D42" s="107"/>
      <c r="E42" s="107"/>
      <c r="F42" s="107"/>
      <c r="G42" s="107"/>
      <c r="H42" s="25"/>
      <c r="I42" s="108" t="s">
        <v>1451</v>
      </c>
      <c r="J42" s="108"/>
      <c r="K42" s="108"/>
      <c r="L42" s="108"/>
      <c r="M42" s="108"/>
      <c r="N42" s="108"/>
      <c r="O42" s="108"/>
      <c r="P42" s="108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</row>
    <row r="43" spans="1:29" ht="15.4" x14ac:dyDescent="0.55000000000000004">
      <c r="A43" s="25"/>
      <c r="B43" s="71" t="s">
        <v>1460</v>
      </c>
      <c r="H43" s="25"/>
      <c r="I43" s="53"/>
      <c r="J43" s="53"/>
      <c r="K43" s="53"/>
      <c r="L43" s="53"/>
      <c r="M43" s="53"/>
      <c r="N43" s="53"/>
      <c r="O43" s="53"/>
      <c r="P43" s="53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</row>
    <row r="44" spans="1:29" ht="15.4" x14ac:dyDescent="0.55000000000000004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</row>
    <row r="45" spans="1:29" ht="15.4" x14ac:dyDescent="0.55000000000000004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:29" ht="15.4" x14ac:dyDescent="0.55000000000000004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</row>
    <row r="47" spans="1:29" ht="15.4" x14ac:dyDescent="0.55000000000000004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</row>
    <row r="48" spans="1:29" ht="15.4" x14ac:dyDescent="0.55000000000000004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</row>
    <row r="49" spans="1:28" ht="15.4" x14ac:dyDescent="0.55000000000000004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</row>
    <row r="50" spans="1:28" ht="15.4" x14ac:dyDescent="0.55000000000000004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</row>
    <row r="51" spans="1:28" ht="15.4" x14ac:dyDescent="0.55000000000000004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</row>
    <row r="52" spans="1:28" ht="15.4" x14ac:dyDescent="0.55000000000000004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</row>
    <row r="53" spans="1:28" ht="15.4" x14ac:dyDescent="0.55000000000000004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</row>
    <row r="54" spans="1:28" ht="15.4" x14ac:dyDescent="0.55000000000000004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</row>
    <row r="55" spans="1:28" ht="15.4" x14ac:dyDescent="0.55000000000000004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</row>
    <row r="56" spans="1:28" ht="15.4" x14ac:dyDescent="0.55000000000000004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</row>
    <row r="57" spans="1:28" ht="15.4" x14ac:dyDescent="0.55000000000000004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</row>
    <row r="58" spans="1:28" ht="15.4" x14ac:dyDescent="0.55000000000000004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</row>
    <row r="59" spans="1:28" ht="15.4" x14ac:dyDescent="0.55000000000000004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</row>
    <row r="60" spans="1:28" ht="15.4" x14ac:dyDescent="0.55000000000000004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</row>
  </sheetData>
  <mergeCells count="79">
    <mergeCell ref="I9:P9"/>
    <mergeCell ref="A1:H1"/>
    <mergeCell ref="B18:C18"/>
    <mergeCell ref="B12:C12"/>
    <mergeCell ref="B39:C39"/>
    <mergeCell ref="B10:G10"/>
    <mergeCell ref="B11:C11"/>
    <mergeCell ref="B23:C23"/>
    <mergeCell ref="B14:C14"/>
    <mergeCell ref="B17:C17"/>
    <mergeCell ref="B13:C13"/>
    <mergeCell ref="B38:C38"/>
    <mergeCell ref="B29:C29"/>
    <mergeCell ref="B16:C16"/>
    <mergeCell ref="B25:C25"/>
    <mergeCell ref="B31:C31"/>
    <mergeCell ref="B9:G9"/>
    <mergeCell ref="B36:G36"/>
    <mergeCell ref="B19:C19"/>
    <mergeCell ref="B34:C34"/>
    <mergeCell ref="B37:C37"/>
    <mergeCell ref="B28:C28"/>
    <mergeCell ref="B40:C40"/>
    <mergeCell ref="B24:C24"/>
    <mergeCell ref="B30:C30"/>
    <mergeCell ref="B15:C15"/>
    <mergeCell ref="B33:C33"/>
    <mergeCell ref="B22:G22"/>
    <mergeCell ref="B20:C20"/>
    <mergeCell ref="B27:G27"/>
    <mergeCell ref="B32:C32"/>
    <mergeCell ref="Q2:Z2"/>
    <mergeCell ref="A3:Z3"/>
    <mergeCell ref="B5:E5"/>
    <mergeCell ref="B6:E6"/>
    <mergeCell ref="B7:E7"/>
    <mergeCell ref="F5:I5"/>
    <mergeCell ref="F6:I6"/>
    <mergeCell ref="F7:I7"/>
    <mergeCell ref="J5:O5"/>
    <mergeCell ref="J6:O6"/>
    <mergeCell ref="J7:O7"/>
    <mergeCell ref="P5:S5"/>
    <mergeCell ref="P6:S6"/>
    <mergeCell ref="P7:S7"/>
    <mergeCell ref="A2:P2"/>
    <mergeCell ref="B42:G42"/>
    <mergeCell ref="I42:P42"/>
    <mergeCell ref="I24:P24"/>
    <mergeCell ref="I25:P25"/>
    <mergeCell ref="I27:K27"/>
    <mergeCell ref="I28:K28"/>
    <mergeCell ref="I29:K29"/>
    <mergeCell ref="I30:K30"/>
    <mergeCell ref="L27:P27"/>
    <mergeCell ref="L28:P28"/>
    <mergeCell ref="L29:P29"/>
    <mergeCell ref="L30:P30"/>
    <mergeCell ref="I32:K32"/>
    <mergeCell ref="I33:K33"/>
    <mergeCell ref="I34:K34"/>
    <mergeCell ref="I35:K35"/>
    <mergeCell ref="L32:P32"/>
    <mergeCell ref="L33:P33"/>
    <mergeCell ref="L34:P34"/>
    <mergeCell ref="L35:P35"/>
    <mergeCell ref="I37:P37"/>
    <mergeCell ref="I38:K38"/>
    <mergeCell ref="L38:M38"/>
    <mergeCell ref="N38:P38"/>
    <mergeCell ref="I39:K39"/>
    <mergeCell ref="L39:M39"/>
    <mergeCell ref="N39:P39"/>
    <mergeCell ref="I40:K40"/>
    <mergeCell ref="L40:M40"/>
    <mergeCell ref="N40:P40"/>
    <mergeCell ref="I41:K41"/>
    <mergeCell ref="L41:M41"/>
    <mergeCell ref="N41:P41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11"/>
  <sheetViews>
    <sheetView showGridLines="0" workbookViewId="0">
      <pane ySplit="5" topLeftCell="A6" activePane="bottomLeft" state="frozen"/>
      <selection pane="bottomLeft" sqref="A1:M1"/>
    </sheetView>
  </sheetViews>
  <sheetFormatPr baseColWidth="10" defaultColWidth="9.06640625" defaultRowHeight="14.25" x14ac:dyDescent="0.45"/>
  <cols>
    <col min="1" max="1" width="18" customWidth="1"/>
    <col min="2" max="2" width="26" customWidth="1"/>
    <col min="3" max="3" width="15" customWidth="1"/>
    <col min="4" max="4" width="18" customWidth="1"/>
    <col min="5" max="5" width="28" customWidth="1"/>
    <col min="6" max="6" width="13" customWidth="1"/>
    <col min="7" max="7" width="15" customWidth="1"/>
    <col min="8" max="8" width="16" customWidth="1"/>
    <col min="9" max="9" width="15" customWidth="1"/>
    <col min="10" max="13" width="16" customWidth="1"/>
  </cols>
  <sheetData>
    <row r="1" spans="1:13" ht="30" customHeight="1" x14ac:dyDescent="0.45">
      <c r="A1" s="167" t="s">
        <v>22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</row>
    <row r="2" spans="1:13" x14ac:dyDescent="0.45">
      <c r="A2" s="166" t="s">
        <v>23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</row>
    <row r="3" spans="1:13" ht="5" customHeight="1" x14ac:dyDescent="0.45">
      <c r="A3" s="164"/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</row>
    <row r="5" spans="1:13" ht="32" customHeight="1" x14ac:dyDescent="0.45">
      <c r="A5" s="2" t="s">
        <v>24</v>
      </c>
      <c r="B5" s="2" t="s">
        <v>25</v>
      </c>
      <c r="C5" s="2" t="s">
        <v>26</v>
      </c>
      <c r="D5" s="2" t="s">
        <v>27</v>
      </c>
      <c r="E5" s="2" t="s">
        <v>28</v>
      </c>
      <c r="F5" s="2" t="s">
        <v>29</v>
      </c>
      <c r="G5" s="2" t="s">
        <v>30</v>
      </c>
      <c r="H5" s="2" t="s">
        <v>31</v>
      </c>
      <c r="I5" s="2" t="s">
        <v>32</v>
      </c>
      <c r="J5" s="2" t="s">
        <v>33</v>
      </c>
      <c r="K5" s="2" t="s">
        <v>34</v>
      </c>
      <c r="L5" s="2" t="s">
        <v>14</v>
      </c>
      <c r="M5" s="2" t="s">
        <v>15</v>
      </c>
    </row>
    <row r="6" spans="1:13" x14ac:dyDescent="0.45">
      <c r="A6" s="8" t="s">
        <v>35</v>
      </c>
      <c r="B6" s="8" t="s">
        <v>36</v>
      </c>
      <c r="C6" s="8" t="s">
        <v>37</v>
      </c>
      <c r="D6" s="8" t="s">
        <v>38</v>
      </c>
      <c r="E6" s="8" t="s">
        <v>39</v>
      </c>
      <c r="F6" s="8" t="s">
        <v>40</v>
      </c>
      <c r="G6" s="8" t="s">
        <v>41</v>
      </c>
      <c r="H6" s="8"/>
      <c r="I6" s="8"/>
      <c r="J6" s="9">
        <v>16096.93</v>
      </c>
      <c r="K6" s="10">
        <v>16096.93</v>
      </c>
      <c r="L6" s="9">
        <f t="shared" ref="L6:L11" si="0">K6-J6</f>
        <v>0</v>
      </c>
      <c r="M6" s="11">
        <f t="shared" ref="M6:M11" si="1">IF(J6=0,"",(K6-J6)/J6)</f>
        <v>0</v>
      </c>
    </row>
    <row r="7" spans="1:13" x14ac:dyDescent="0.45">
      <c r="A7" s="12" t="s">
        <v>35</v>
      </c>
      <c r="B7" s="12" t="s">
        <v>36</v>
      </c>
      <c r="C7" s="12" t="s">
        <v>37</v>
      </c>
      <c r="D7" s="12" t="s">
        <v>38</v>
      </c>
      <c r="E7" s="12" t="s">
        <v>42</v>
      </c>
      <c r="F7" s="12" t="s">
        <v>40</v>
      </c>
      <c r="G7" s="12" t="s">
        <v>41</v>
      </c>
      <c r="H7" s="12"/>
      <c r="I7" s="12"/>
      <c r="J7" s="13">
        <v>187.78</v>
      </c>
      <c r="K7" s="10">
        <v>187.78</v>
      </c>
      <c r="L7" s="13">
        <f t="shared" si="0"/>
        <v>0</v>
      </c>
      <c r="M7" s="14">
        <f t="shared" si="1"/>
        <v>0</v>
      </c>
    </row>
    <row r="8" spans="1:13" x14ac:dyDescent="0.45">
      <c r="A8" s="8" t="s">
        <v>35</v>
      </c>
      <c r="B8" s="8" t="s">
        <v>43</v>
      </c>
      <c r="C8" s="8" t="s">
        <v>37</v>
      </c>
      <c r="D8" s="8" t="s">
        <v>38</v>
      </c>
      <c r="E8" s="8" t="s">
        <v>39</v>
      </c>
      <c r="F8" s="8" t="s">
        <v>40</v>
      </c>
      <c r="G8" s="8" t="s">
        <v>41</v>
      </c>
      <c r="H8" s="8"/>
      <c r="I8" s="8"/>
      <c r="J8" s="9">
        <v>1062.33</v>
      </c>
      <c r="K8" s="10">
        <v>1062.33</v>
      </c>
      <c r="L8" s="9">
        <f t="shared" si="0"/>
        <v>0</v>
      </c>
      <c r="M8" s="11">
        <f t="shared" si="1"/>
        <v>0</v>
      </c>
    </row>
    <row r="9" spans="1:13" x14ac:dyDescent="0.45">
      <c r="A9" s="12" t="s">
        <v>35</v>
      </c>
      <c r="B9" s="12" t="s">
        <v>43</v>
      </c>
      <c r="C9" s="12" t="s">
        <v>37</v>
      </c>
      <c r="D9" s="12" t="s">
        <v>38</v>
      </c>
      <c r="E9" s="12" t="s">
        <v>42</v>
      </c>
      <c r="F9" s="12" t="s">
        <v>40</v>
      </c>
      <c r="G9" s="12" t="s">
        <v>41</v>
      </c>
      <c r="H9" s="12"/>
      <c r="I9" s="12"/>
      <c r="J9" s="13">
        <v>129291.29</v>
      </c>
      <c r="K9" s="10">
        <v>129291.29</v>
      </c>
      <c r="L9" s="13">
        <f t="shared" si="0"/>
        <v>0</v>
      </c>
      <c r="M9" s="14">
        <f t="shared" si="1"/>
        <v>0</v>
      </c>
    </row>
    <row r="10" spans="1:13" x14ac:dyDescent="0.45">
      <c r="A10" s="8" t="s">
        <v>44</v>
      </c>
      <c r="B10" s="8" t="s">
        <v>45</v>
      </c>
      <c r="C10" s="8" t="s">
        <v>37</v>
      </c>
      <c r="D10" s="8" t="s">
        <v>38</v>
      </c>
      <c r="E10" s="8"/>
      <c r="F10" s="8" t="s">
        <v>40</v>
      </c>
      <c r="G10" s="8" t="s">
        <v>41</v>
      </c>
      <c r="H10" s="8"/>
      <c r="I10" s="8"/>
      <c r="J10" s="9">
        <v>6301.44</v>
      </c>
      <c r="K10" s="10">
        <v>6301.44</v>
      </c>
      <c r="L10" s="9">
        <f t="shared" si="0"/>
        <v>0</v>
      </c>
      <c r="M10" s="11">
        <f t="shared" si="1"/>
        <v>0</v>
      </c>
    </row>
    <row r="11" spans="1:13" ht="22.05" customHeight="1" x14ac:dyDescent="0.45">
      <c r="A11" s="15" t="s">
        <v>46</v>
      </c>
      <c r="B11" s="15"/>
      <c r="C11" s="15"/>
      <c r="D11" s="15"/>
      <c r="E11" s="15"/>
      <c r="F11" s="15"/>
      <c r="G11" s="15"/>
      <c r="H11" s="15"/>
      <c r="I11" s="15"/>
      <c r="J11" s="3">
        <f>SUM(J6:J10)</f>
        <v>152939.76999999999</v>
      </c>
      <c r="K11" s="3">
        <f>SUM(K6:K10)</f>
        <v>152939.76999999999</v>
      </c>
      <c r="L11" s="3">
        <f t="shared" si="0"/>
        <v>0</v>
      </c>
      <c r="M11" s="4">
        <f t="shared" si="1"/>
        <v>0</v>
      </c>
    </row>
  </sheetData>
  <mergeCells count="3">
    <mergeCell ref="A3:M3"/>
    <mergeCell ref="A2:M2"/>
    <mergeCell ref="A1:M1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xr:uid="{00000000-0002-0000-0100-000000000000}">
          <x14:formula1>
            <xm:f>Catalogos!$A$2:$A$4</xm:f>
          </x14:formula1>
          <xm:sqref>A6:A10</xm:sqref>
        </x14:dataValidation>
        <x14:dataValidation type="list" allowBlank="1" xr:uid="{00000000-0002-0000-0100-000001000000}">
          <x14:formula1>
            <xm:f>Catalogos!$B$2:$B$8</xm:f>
          </x14:formula1>
          <xm:sqref>B6:B10</xm:sqref>
        </x14:dataValidation>
        <x14:dataValidation type="list" allowBlank="1" xr:uid="{00000000-0002-0000-0100-000002000000}">
          <x14:formula1>
            <xm:f>Catalogos!$C$2:$C$3</xm:f>
          </x14:formula1>
          <xm:sqref>C6:C10</xm:sqref>
        </x14:dataValidation>
        <x14:dataValidation type="list" allowBlank="1" xr:uid="{00000000-0002-0000-0100-000003000000}">
          <x14:formula1>
            <xm:f>Catalogos!$D$2:$D$258</xm:f>
          </x14:formula1>
          <xm:sqref>D6:D10</xm:sqref>
        </x14:dataValidation>
        <x14:dataValidation type="list" allowBlank="1" xr:uid="{00000000-0002-0000-0100-000004000000}">
          <x14:formula1>
            <xm:f>Catalogos!$E$2:$E$519</xm:f>
          </x14:formula1>
          <xm:sqref>E6:E10</xm:sqref>
        </x14:dataValidation>
        <x14:dataValidation type="list" allowBlank="1" xr:uid="{00000000-0002-0000-0100-000005000000}">
          <x14:formula1>
            <xm:f>Catalogos!$F$2:$F$3</xm:f>
          </x14:formula1>
          <xm:sqref>G6:G10</xm:sqref>
        </x14:dataValidation>
        <x14:dataValidation type="list" allowBlank="1" xr:uid="{00000000-0002-0000-0100-000006000000}">
          <x14:formula1>
            <xm:f>Catalogos!$Q$2:$Q$3</xm:f>
          </x14:formula1>
          <xm:sqref>H6:H10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M14"/>
  <sheetViews>
    <sheetView showGridLines="0" workbookViewId="0">
      <pane ySplit="5" topLeftCell="A6" activePane="bottomLeft" state="frozen"/>
      <selection pane="bottomLeft" sqref="A1:M1"/>
    </sheetView>
  </sheetViews>
  <sheetFormatPr baseColWidth="10" defaultColWidth="9.06640625" defaultRowHeight="14.25" x14ac:dyDescent="0.45"/>
  <cols>
    <col min="1" max="1" width="30" customWidth="1"/>
    <col min="2" max="2" width="15" customWidth="1"/>
    <col min="3" max="3" width="18" customWidth="1"/>
    <col min="4" max="4" width="30" customWidth="1"/>
    <col min="5" max="5" width="14" customWidth="1"/>
    <col min="6" max="6" width="16" customWidth="1"/>
    <col min="7" max="7" width="15" customWidth="1"/>
    <col min="8" max="8" width="16" customWidth="1"/>
    <col min="9" max="9" width="15" customWidth="1"/>
    <col min="10" max="13" width="16" customWidth="1"/>
  </cols>
  <sheetData>
    <row r="1" spans="1:13" ht="30" customHeight="1" x14ac:dyDescent="0.45">
      <c r="A1" s="167" t="s">
        <v>47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</row>
    <row r="2" spans="1:13" x14ac:dyDescent="0.45">
      <c r="A2" s="166" t="s">
        <v>48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</row>
    <row r="3" spans="1:13" ht="5" customHeight="1" x14ac:dyDescent="0.45">
      <c r="A3" s="164"/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</row>
    <row r="5" spans="1:13" ht="32" customHeight="1" x14ac:dyDescent="0.45">
      <c r="A5" s="2" t="s">
        <v>25</v>
      </c>
      <c r="B5" s="2" t="s">
        <v>26</v>
      </c>
      <c r="C5" s="2" t="s">
        <v>27</v>
      </c>
      <c r="D5" s="2" t="s">
        <v>49</v>
      </c>
      <c r="E5" s="2" t="s">
        <v>50</v>
      </c>
      <c r="F5" s="2" t="s">
        <v>51</v>
      </c>
      <c r="G5" s="2" t="s">
        <v>30</v>
      </c>
      <c r="H5" s="2" t="s">
        <v>31</v>
      </c>
      <c r="I5" s="2" t="s">
        <v>32</v>
      </c>
      <c r="J5" s="2" t="s">
        <v>33</v>
      </c>
      <c r="K5" s="2" t="s">
        <v>34</v>
      </c>
      <c r="L5" s="2" t="s">
        <v>14</v>
      </c>
      <c r="M5" s="2" t="s">
        <v>15</v>
      </c>
    </row>
    <row r="6" spans="1:13" x14ac:dyDescent="0.45">
      <c r="A6" s="8"/>
      <c r="B6" s="8"/>
      <c r="C6" s="8"/>
      <c r="D6" s="8"/>
      <c r="E6" s="8"/>
      <c r="F6" s="8"/>
      <c r="G6" s="8"/>
      <c r="H6" s="8"/>
      <c r="I6" s="8"/>
      <c r="J6" s="10">
        <v>0</v>
      </c>
      <c r="K6" s="10">
        <v>0</v>
      </c>
      <c r="L6" s="9">
        <f t="shared" ref="L6:L14" si="0">K6-J6</f>
        <v>0</v>
      </c>
      <c r="M6" s="11" t="str">
        <f t="shared" ref="M6:M14" si="1">IF(J6=0,"",(K6-J6)/J6)</f>
        <v/>
      </c>
    </row>
    <row r="7" spans="1:13" x14ac:dyDescent="0.45">
      <c r="A7" s="12"/>
      <c r="B7" s="12"/>
      <c r="C7" s="12"/>
      <c r="D7" s="12"/>
      <c r="E7" s="12"/>
      <c r="F7" s="12"/>
      <c r="G7" s="12"/>
      <c r="H7" s="12"/>
      <c r="I7" s="12"/>
      <c r="J7" s="10">
        <v>0</v>
      </c>
      <c r="K7" s="10">
        <v>0</v>
      </c>
      <c r="L7" s="13">
        <f t="shared" si="0"/>
        <v>0</v>
      </c>
      <c r="M7" s="14" t="str">
        <f t="shared" si="1"/>
        <v/>
      </c>
    </row>
    <row r="8" spans="1:13" x14ac:dyDescent="0.45">
      <c r="A8" s="8"/>
      <c r="B8" s="8"/>
      <c r="C8" s="8"/>
      <c r="D8" s="8"/>
      <c r="E8" s="8"/>
      <c r="F8" s="8"/>
      <c r="G8" s="8"/>
      <c r="H8" s="8"/>
      <c r="I8" s="8"/>
      <c r="J8" s="10">
        <v>0</v>
      </c>
      <c r="K8" s="10">
        <v>0</v>
      </c>
      <c r="L8" s="9">
        <f t="shared" si="0"/>
        <v>0</v>
      </c>
      <c r="M8" s="11" t="str">
        <f t="shared" si="1"/>
        <v/>
      </c>
    </row>
    <row r="9" spans="1:13" x14ac:dyDescent="0.45">
      <c r="A9" s="12"/>
      <c r="B9" s="12"/>
      <c r="C9" s="12"/>
      <c r="D9" s="12"/>
      <c r="E9" s="12"/>
      <c r="F9" s="12"/>
      <c r="G9" s="12"/>
      <c r="H9" s="12"/>
      <c r="I9" s="12"/>
      <c r="J9" s="10">
        <v>0</v>
      </c>
      <c r="K9" s="10">
        <v>0</v>
      </c>
      <c r="L9" s="13">
        <f t="shared" si="0"/>
        <v>0</v>
      </c>
      <c r="M9" s="14" t="str">
        <f t="shared" si="1"/>
        <v/>
      </c>
    </row>
    <row r="10" spans="1:13" x14ac:dyDescent="0.45">
      <c r="A10" s="8"/>
      <c r="B10" s="8"/>
      <c r="C10" s="8"/>
      <c r="D10" s="8"/>
      <c r="E10" s="8"/>
      <c r="F10" s="8"/>
      <c r="G10" s="8"/>
      <c r="H10" s="8"/>
      <c r="I10" s="8"/>
      <c r="J10" s="10">
        <v>0</v>
      </c>
      <c r="K10" s="10">
        <v>0</v>
      </c>
      <c r="L10" s="9">
        <f t="shared" si="0"/>
        <v>0</v>
      </c>
      <c r="M10" s="11" t="str">
        <f t="shared" si="1"/>
        <v/>
      </c>
    </row>
    <row r="11" spans="1:13" x14ac:dyDescent="0.45">
      <c r="A11" s="12"/>
      <c r="B11" s="12"/>
      <c r="C11" s="12"/>
      <c r="D11" s="12"/>
      <c r="E11" s="12"/>
      <c r="F11" s="12"/>
      <c r="G11" s="12"/>
      <c r="H11" s="12"/>
      <c r="I11" s="12"/>
      <c r="J11" s="10">
        <v>0</v>
      </c>
      <c r="K11" s="10">
        <v>0</v>
      </c>
      <c r="L11" s="13">
        <f t="shared" si="0"/>
        <v>0</v>
      </c>
      <c r="M11" s="14" t="str">
        <f t="shared" si="1"/>
        <v/>
      </c>
    </row>
    <row r="12" spans="1:13" x14ac:dyDescent="0.45">
      <c r="A12" s="8"/>
      <c r="B12" s="8"/>
      <c r="C12" s="8"/>
      <c r="D12" s="8"/>
      <c r="E12" s="8"/>
      <c r="F12" s="8"/>
      <c r="G12" s="8"/>
      <c r="H12" s="8"/>
      <c r="I12" s="8"/>
      <c r="J12" s="10">
        <v>0</v>
      </c>
      <c r="K12" s="10">
        <v>0</v>
      </c>
      <c r="L12" s="9">
        <f t="shared" si="0"/>
        <v>0</v>
      </c>
      <c r="M12" s="11" t="str">
        <f t="shared" si="1"/>
        <v/>
      </c>
    </row>
    <row r="13" spans="1:13" x14ac:dyDescent="0.45">
      <c r="A13" s="12"/>
      <c r="B13" s="12"/>
      <c r="C13" s="12"/>
      <c r="D13" s="12"/>
      <c r="E13" s="12"/>
      <c r="F13" s="12"/>
      <c r="G13" s="12"/>
      <c r="H13" s="12"/>
      <c r="I13" s="12"/>
      <c r="J13" s="10">
        <v>0</v>
      </c>
      <c r="K13" s="10">
        <v>0</v>
      </c>
      <c r="L13" s="13">
        <f t="shared" si="0"/>
        <v>0</v>
      </c>
      <c r="M13" s="14" t="str">
        <f t="shared" si="1"/>
        <v/>
      </c>
    </row>
    <row r="14" spans="1:13" ht="22.05" customHeight="1" x14ac:dyDescent="0.45">
      <c r="A14" s="15" t="s">
        <v>46</v>
      </c>
      <c r="B14" s="15"/>
      <c r="C14" s="15"/>
      <c r="D14" s="15"/>
      <c r="E14" s="15"/>
      <c r="F14" s="15"/>
      <c r="G14" s="15"/>
      <c r="H14" s="15"/>
      <c r="I14" s="15"/>
      <c r="J14" s="3">
        <f>SUM(J6:J13)</f>
        <v>0</v>
      </c>
      <c r="K14" s="3">
        <f>SUM(K6:K13)</f>
        <v>0</v>
      </c>
      <c r="L14" s="3">
        <f t="shared" si="0"/>
        <v>0</v>
      </c>
      <c r="M14" s="4" t="str">
        <f t="shared" si="1"/>
        <v/>
      </c>
    </row>
  </sheetData>
  <mergeCells count="3">
    <mergeCell ref="A3:M3"/>
    <mergeCell ref="A2:M2"/>
    <mergeCell ref="A1:M1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200-000000000000}">
          <x14:formula1>
            <xm:f>Catalogos!$G$2:$G$4</xm:f>
          </x14:formula1>
          <xm:sqref>A6:A13</xm:sqref>
        </x14:dataValidation>
        <x14:dataValidation type="list" allowBlank="1" xr:uid="{00000000-0002-0000-0200-000001000000}">
          <x14:formula1>
            <xm:f>Catalogos!$C$2:$C$3</xm:f>
          </x14:formula1>
          <xm:sqref>B6:B13</xm:sqref>
        </x14:dataValidation>
        <x14:dataValidation type="list" allowBlank="1" xr:uid="{00000000-0002-0000-0200-000002000000}">
          <x14:formula1>
            <xm:f>Catalogos!$D$2:$D$258</xm:f>
          </x14:formula1>
          <xm:sqref>C6:C13</xm:sqref>
        </x14:dataValidation>
        <x14:dataValidation type="list" allowBlank="1" xr:uid="{00000000-0002-0000-0200-000003000000}">
          <x14:formula1>
            <xm:f>Catalogos!$F$2:$F$3</xm:f>
          </x14:formula1>
          <xm:sqref>G6:G13</xm:sqref>
        </x14:dataValidation>
        <x14:dataValidation type="list" allowBlank="1" xr:uid="{00000000-0002-0000-0200-000004000000}">
          <x14:formula1>
            <xm:f>Catalogos!$Q$2:$Q$3</xm:f>
          </x14:formula1>
          <xm:sqref>H6:H13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M59"/>
  <sheetViews>
    <sheetView showGridLines="0" topLeftCell="G1" zoomScale="94" zoomScaleNormal="50" workbookViewId="0">
      <pane ySplit="5" topLeftCell="A34" activePane="bottomLeft" state="frozen"/>
      <selection pane="bottomLeft" activeCell="Q58" sqref="Q58"/>
    </sheetView>
  </sheetViews>
  <sheetFormatPr baseColWidth="10" defaultColWidth="9.06640625" defaultRowHeight="14.25" x14ac:dyDescent="0.45"/>
  <cols>
    <col min="1" max="1" width="28" customWidth="1"/>
    <col min="2" max="2" width="16" customWidth="1"/>
    <col min="3" max="3" width="18" customWidth="1"/>
    <col min="4" max="4" width="20" customWidth="1"/>
    <col min="5" max="5" width="15" customWidth="1"/>
    <col min="6" max="6" width="18" customWidth="1"/>
    <col min="7" max="7" width="15" customWidth="1"/>
    <col min="8" max="8" width="16" customWidth="1"/>
    <col min="9" max="9" width="15" customWidth="1"/>
    <col min="10" max="13" width="16" customWidth="1"/>
  </cols>
  <sheetData>
    <row r="1" spans="1:13" ht="30" customHeight="1" x14ac:dyDescent="0.45">
      <c r="A1" s="167" t="s">
        <v>52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</row>
    <row r="2" spans="1:13" x14ac:dyDescent="0.45">
      <c r="A2" s="166" t="s">
        <v>23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</row>
    <row r="3" spans="1:13" ht="5" customHeight="1" x14ac:dyDescent="0.45">
      <c r="A3" s="164"/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</row>
    <row r="5" spans="1:13" ht="32" customHeight="1" x14ac:dyDescent="0.45">
      <c r="A5" s="2" t="s">
        <v>53</v>
      </c>
      <c r="B5" s="2" t="s">
        <v>54</v>
      </c>
      <c r="C5" s="2" t="s">
        <v>55</v>
      </c>
      <c r="D5" s="2" t="s">
        <v>56</v>
      </c>
      <c r="E5" s="2" t="s">
        <v>26</v>
      </c>
      <c r="F5" s="2" t="s">
        <v>27</v>
      </c>
      <c r="G5" s="2" t="s">
        <v>30</v>
      </c>
      <c r="H5" s="2" t="s">
        <v>31</v>
      </c>
      <c r="I5" s="2" t="s">
        <v>32</v>
      </c>
      <c r="J5" s="2" t="s">
        <v>33</v>
      </c>
      <c r="K5" s="2" t="s">
        <v>34</v>
      </c>
      <c r="L5" s="2" t="s">
        <v>14</v>
      </c>
      <c r="M5" s="2" t="s">
        <v>15</v>
      </c>
    </row>
    <row r="6" spans="1:13" x14ac:dyDescent="0.45">
      <c r="A6" s="8" t="s">
        <v>57</v>
      </c>
      <c r="B6" s="8" t="s">
        <v>58</v>
      </c>
      <c r="C6" s="8" t="s">
        <v>59</v>
      </c>
      <c r="D6" s="8" t="s">
        <v>60</v>
      </c>
      <c r="E6" s="8" t="s">
        <v>37</v>
      </c>
      <c r="F6" s="8" t="s">
        <v>38</v>
      </c>
      <c r="G6" s="8" t="s">
        <v>41</v>
      </c>
      <c r="H6" s="8"/>
      <c r="I6" s="8"/>
      <c r="J6" s="9">
        <v>11111.26</v>
      </c>
      <c r="K6" s="10">
        <v>20000</v>
      </c>
      <c r="L6" s="9">
        <f t="shared" ref="L6:L37" si="0">K6-J6</f>
        <v>8888.74</v>
      </c>
      <c r="M6" s="11">
        <f t="shared" ref="M6:M37" si="1">IF(J6=0,"",(K6-J6)/J6)</f>
        <v>0.79997588032320366</v>
      </c>
    </row>
    <row r="7" spans="1:13" x14ac:dyDescent="0.45">
      <c r="A7" s="12" t="s">
        <v>61</v>
      </c>
      <c r="B7" s="12" t="s">
        <v>58</v>
      </c>
      <c r="C7" s="12" t="s">
        <v>59</v>
      </c>
      <c r="D7" s="12" t="s">
        <v>62</v>
      </c>
      <c r="E7" s="12" t="s">
        <v>37</v>
      </c>
      <c r="F7" s="12" t="s">
        <v>38</v>
      </c>
      <c r="G7" s="12" t="s">
        <v>41</v>
      </c>
      <c r="H7" s="12"/>
      <c r="I7" s="12"/>
      <c r="J7" s="13">
        <v>2702.01</v>
      </c>
      <c r="K7" s="10"/>
      <c r="L7" s="13">
        <f t="shared" si="0"/>
        <v>-2702.01</v>
      </c>
      <c r="M7" s="14">
        <f t="shared" si="1"/>
        <v>-1</v>
      </c>
    </row>
    <row r="8" spans="1:13" x14ac:dyDescent="0.45">
      <c r="A8" s="8" t="s">
        <v>63</v>
      </c>
      <c r="B8" s="8" t="s">
        <v>64</v>
      </c>
      <c r="C8" s="8" t="s">
        <v>59</v>
      </c>
      <c r="D8" s="8" t="s">
        <v>65</v>
      </c>
      <c r="E8" s="8" t="s">
        <v>37</v>
      </c>
      <c r="F8" s="8" t="s">
        <v>38</v>
      </c>
      <c r="G8" s="8" t="s">
        <v>41</v>
      </c>
      <c r="H8" s="8"/>
      <c r="I8" s="8"/>
      <c r="J8" s="9">
        <v>1247.75</v>
      </c>
      <c r="K8" s="10"/>
      <c r="L8" s="9">
        <f t="shared" si="0"/>
        <v>-1247.75</v>
      </c>
      <c r="M8" s="11">
        <f t="shared" si="1"/>
        <v>-1</v>
      </c>
    </row>
    <row r="9" spans="1:13" x14ac:dyDescent="0.45">
      <c r="A9" s="12" t="s">
        <v>66</v>
      </c>
      <c r="B9" s="12" t="s">
        <v>58</v>
      </c>
      <c r="C9" s="12" t="s">
        <v>59</v>
      </c>
      <c r="D9" s="12" t="s">
        <v>67</v>
      </c>
      <c r="E9" s="12" t="s">
        <v>37</v>
      </c>
      <c r="F9" s="12" t="s">
        <v>38</v>
      </c>
      <c r="G9" s="12" t="s">
        <v>41</v>
      </c>
      <c r="H9" s="12"/>
      <c r="I9" s="12"/>
      <c r="J9" s="13">
        <v>1204.75</v>
      </c>
      <c r="K9" s="10"/>
      <c r="L9" s="13">
        <f t="shared" si="0"/>
        <v>-1204.75</v>
      </c>
      <c r="M9" s="14">
        <f t="shared" si="1"/>
        <v>-1</v>
      </c>
    </row>
    <row r="10" spans="1:13" x14ac:dyDescent="0.45">
      <c r="A10" s="8" t="s">
        <v>68</v>
      </c>
      <c r="B10" s="8" t="s">
        <v>58</v>
      </c>
      <c r="C10" s="8" t="s">
        <v>59</v>
      </c>
      <c r="D10" s="8" t="s">
        <v>69</v>
      </c>
      <c r="E10" s="8" t="s">
        <v>37</v>
      </c>
      <c r="F10" s="8" t="s">
        <v>38</v>
      </c>
      <c r="G10" s="8" t="s">
        <v>41</v>
      </c>
      <c r="H10" s="8"/>
      <c r="I10" s="8"/>
      <c r="J10" s="9">
        <v>7847.87</v>
      </c>
      <c r="K10" s="10"/>
      <c r="L10" s="9">
        <f t="shared" si="0"/>
        <v>-7847.87</v>
      </c>
      <c r="M10" s="11">
        <f t="shared" si="1"/>
        <v>-1</v>
      </c>
    </row>
    <row r="11" spans="1:13" x14ac:dyDescent="0.45">
      <c r="A11" s="12" t="s">
        <v>70</v>
      </c>
      <c r="B11" s="12" t="s">
        <v>64</v>
      </c>
      <c r="C11" s="12" t="s">
        <v>59</v>
      </c>
      <c r="D11" s="12" t="s">
        <v>71</v>
      </c>
      <c r="E11" s="12" t="s">
        <v>37</v>
      </c>
      <c r="F11" s="12" t="s">
        <v>38</v>
      </c>
      <c r="G11" s="12" t="s">
        <v>41</v>
      </c>
      <c r="H11" s="12"/>
      <c r="I11" s="12"/>
      <c r="J11" s="13">
        <v>1230.82</v>
      </c>
      <c r="K11" s="10"/>
      <c r="L11" s="13">
        <f t="shared" si="0"/>
        <v>-1230.82</v>
      </c>
      <c r="M11" s="14">
        <f t="shared" si="1"/>
        <v>-1</v>
      </c>
    </row>
    <row r="12" spans="1:13" x14ac:dyDescent="0.45">
      <c r="A12" s="8" t="s">
        <v>72</v>
      </c>
      <c r="B12" s="8" t="s">
        <v>58</v>
      </c>
      <c r="C12" s="8" t="s">
        <v>59</v>
      </c>
      <c r="D12" s="8" t="s">
        <v>73</v>
      </c>
      <c r="E12" s="8" t="s">
        <v>37</v>
      </c>
      <c r="F12" s="8" t="s">
        <v>38</v>
      </c>
      <c r="G12" s="8" t="s">
        <v>41</v>
      </c>
      <c r="H12" s="8"/>
      <c r="I12" s="8"/>
      <c r="J12" s="9">
        <v>10060.030000000001</v>
      </c>
      <c r="K12" s="10"/>
      <c r="L12" s="9">
        <f t="shared" si="0"/>
        <v>-10060.030000000001</v>
      </c>
      <c r="M12" s="11">
        <f t="shared" si="1"/>
        <v>-1</v>
      </c>
    </row>
    <row r="13" spans="1:13" x14ac:dyDescent="0.45">
      <c r="A13" s="12" t="s">
        <v>74</v>
      </c>
      <c r="B13" s="12" t="s">
        <v>64</v>
      </c>
      <c r="C13" s="12" t="s">
        <v>59</v>
      </c>
      <c r="D13" s="12" t="s">
        <v>75</v>
      </c>
      <c r="E13" s="12" t="s">
        <v>37</v>
      </c>
      <c r="F13" s="12" t="s">
        <v>38</v>
      </c>
      <c r="G13" s="12" t="s">
        <v>41</v>
      </c>
      <c r="H13" s="12"/>
      <c r="I13" s="12"/>
      <c r="J13" s="13">
        <v>1481.2</v>
      </c>
      <c r="K13" s="10"/>
      <c r="L13" s="13">
        <f t="shared" si="0"/>
        <v>-1481.2</v>
      </c>
      <c r="M13" s="14">
        <f t="shared" si="1"/>
        <v>-1</v>
      </c>
    </row>
    <row r="14" spans="1:13" x14ac:dyDescent="0.45">
      <c r="A14" s="8" t="s">
        <v>76</v>
      </c>
      <c r="B14" s="8" t="s">
        <v>64</v>
      </c>
      <c r="C14" s="8" t="s">
        <v>59</v>
      </c>
      <c r="D14" s="8" t="s">
        <v>77</v>
      </c>
      <c r="E14" s="8" t="s">
        <v>37</v>
      </c>
      <c r="F14" s="8" t="s">
        <v>38</v>
      </c>
      <c r="G14" s="8" t="s">
        <v>41</v>
      </c>
      <c r="H14" s="8"/>
      <c r="I14" s="8"/>
      <c r="J14" s="9">
        <v>8329.34</v>
      </c>
      <c r="K14" s="10"/>
      <c r="L14" s="9">
        <f t="shared" si="0"/>
        <v>-8329.34</v>
      </c>
      <c r="M14" s="11">
        <f t="shared" si="1"/>
        <v>-1</v>
      </c>
    </row>
    <row r="15" spans="1:13" x14ac:dyDescent="0.45">
      <c r="A15" s="12" t="s">
        <v>78</v>
      </c>
      <c r="B15" s="12" t="s">
        <v>58</v>
      </c>
      <c r="C15" s="12" t="s">
        <v>59</v>
      </c>
      <c r="D15" s="12" t="s">
        <v>79</v>
      </c>
      <c r="E15" s="12" t="s">
        <v>37</v>
      </c>
      <c r="F15" s="12" t="s">
        <v>38</v>
      </c>
      <c r="G15" s="12" t="s">
        <v>41</v>
      </c>
      <c r="H15" s="12"/>
      <c r="I15" s="12"/>
      <c r="J15" s="13">
        <v>4992.21</v>
      </c>
      <c r="K15" s="10"/>
      <c r="L15" s="13">
        <f t="shared" si="0"/>
        <v>-4992.21</v>
      </c>
      <c r="M15" s="14">
        <f t="shared" si="1"/>
        <v>-1</v>
      </c>
    </row>
    <row r="16" spans="1:13" x14ac:dyDescent="0.45">
      <c r="A16" s="8" t="s">
        <v>80</v>
      </c>
      <c r="B16" s="8" t="s">
        <v>58</v>
      </c>
      <c r="C16" s="8" t="s">
        <v>59</v>
      </c>
      <c r="D16" s="8" t="s">
        <v>81</v>
      </c>
      <c r="E16" s="8" t="s">
        <v>37</v>
      </c>
      <c r="F16" s="8" t="s">
        <v>38</v>
      </c>
      <c r="G16" s="8" t="s">
        <v>41</v>
      </c>
      <c r="H16" s="8"/>
      <c r="I16" s="8"/>
      <c r="J16" s="9">
        <v>1111.8599999999999</v>
      </c>
      <c r="K16" s="10"/>
      <c r="L16" s="9">
        <f t="shared" si="0"/>
        <v>-1111.8599999999999</v>
      </c>
      <c r="M16" s="11">
        <f t="shared" si="1"/>
        <v>-1</v>
      </c>
    </row>
    <row r="17" spans="1:13" x14ac:dyDescent="0.45">
      <c r="A17" s="12" t="s">
        <v>82</v>
      </c>
      <c r="B17" s="12" t="s">
        <v>58</v>
      </c>
      <c r="C17" s="12" t="s">
        <v>59</v>
      </c>
      <c r="D17" s="12" t="s">
        <v>83</v>
      </c>
      <c r="E17" s="12" t="s">
        <v>37</v>
      </c>
      <c r="F17" s="12" t="s">
        <v>38</v>
      </c>
      <c r="G17" s="12" t="s">
        <v>41</v>
      </c>
      <c r="H17" s="12"/>
      <c r="I17" s="12"/>
      <c r="J17" s="13">
        <v>4354.71</v>
      </c>
      <c r="K17" s="10"/>
      <c r="L17" s="13">
        <f t="shared" si="0"/>
        <v>-4354.71</v>
      </c>
      <c r="M17" s="14">
        <f t="shared" si="1"/>
        <v>-1</v>
      </c>
    </row>
    <row r="18" spans="1:13" x14ac:dyDescent="0.45">
      <c r="A18" s="8" t="s">
        <v>84</v>
      </c>
      <c r="B18" s="8" t="s">
        <v>58</v>
      </c>
      <c r="C18" s="8" t="s">
        <v>59</v>
      </c>
      <c r="D18" s="8" t="s">
        <v>85</v>
      </c>
      <c r="E18" s="8" t="s">
        <v>37</v>
      </c>
      <c r="F18" s="8" t="s">
        <v>38</v>
      </c>
      <c r="G18" s="8" t="s">
        <v>41</v>
      </c>
      <c r="H18" s="8"/>
      <c r="I18" s="8"/>
      <c r="J18" s="9">
        <v>2776.68</v>
      </c>
      <c r="K18" s="10"/>
      <c r="L18" s="9">
        <f t="shared" si="0"/>
        <v>-2776.68</v>
      </c>
      <c r="M18" s="11">
        <f t="shared" si="1"/>
        <v>-1</v>
      </c>
    </row>
    <row r="19" spans="1:13" x14ac:dyDescent="0.45">
      <c r="A19" s="12" t="s">
        <v>86</v>
      </c>
      <c r="B19" s="12" t="s">
        <v>64</v>
      </c>
      <c r="C19" s="12" t="s">
        <v>59</v>
      </c>
      <c r="D19" s="12" t="s">
        <v>87</v>
      </c>
      <c r="E19" s="12" t="s">
        <v>37</v>
      </c>
      <c r="F19" s="12" t="s">
        <v>38</v>
      </c>
      <c r="G19" s="12" t="s">
        <v>41</v>
      </c>
      <c r="H19" s="12"/>
      <c r="I19" s="12"/>
      <c r="J19" s="13">
        <v>4809.53</v>
      </c>
      <c r="K19" s="10"/>
      <c r="L19" s="13">
        <f t="shared" si="0"/>
        <v>-4809.53</v>
      </c>
      <c r="M19" s="14">
        <f t="shared" si="1"/>
        <v>-1</v>
      </c>
    </row>
    <row r="20" spans="1:13" x14ac:dyDescent="0.45">
      <c r="A20" s="8" t="s">
        <v>88</v>
      </c>
      <c r="B20" s="8" t="s">
        <v>58</v>
      </c>
      <c r="C20" s="8" t="s">
        <v>59</v>
      </c>
      <c r="D20" s="8" t="s">
        <v>89</v>
      </c>
      <c r="E20" s="8" t="s">
        <v>37</v>
      </c>
      <c r="F20" s="8" t="s">
        <v>38</v>
      </c>
      <c r="G20" s="8" t="s">
        <v>41</v>
      </c>
      <c r="H20" s="8"/>
      <c r="I20" s="8"/>
      <c r="J20" s="9">
        <v>2167.7399999999998</v>
      </c>
      <c r="K20" s="10"/>
      <c r="L20" s="9">
        <f t="shared" si="0"/>
        <v>-2167.7399999999998</v>
      </c>
      <c r="M20" s="11">
        <f t="shared" si="1"/>
        <v>-1</v>
      </c>
    </row>
    <row r="21" spans="1:13" x14ac:dyDescent="0.45">
      <c r="A21" s="12" t="s">
        <v>90</v>
      </c>
      <c r="B21" s="12" t="s">
        <v>58</v>
      </c>
      <c r="C21" s="12" t="s">
        <v>59</v>
      </c>
      <c r="D21" s="12" t="s">
        <v>91</v>
      </c>
      <c r="E21" s="12" t="s">
        <v>37</v>
      </c>
      <c r="F21" s="12" t="s">
        <v>38</v>
      </c>
      <c r="G21" s="12" t="s">
        <v>41</v>
      </c>
      <c r="H21" s="12"/>
      <c r="I21" s="12"/>
      <c r="J21" s="13">
        <v>1062.51</v>
      </c>
      <c r="K21" s="10"/>
      <c r="L21" s="13">
        <f t="shared" si="0"/>
        <v>-1062.51</v>
      </c>
      <c r="M21" s="14">
        <f t="shared" si="1"/>
        <v>-1</v>
      </c>
    </row>
    <row r="22" spans="1:13" x14ac:dyDescent="0.45">
      <c r="A22" s="8" t="s">
        <v>92</v>
      </c>
      <c r="B22" s="8" t="s">
        <v>64</v>
      </c>
      <c r="C22" s="8" t="s">
        <v>59</v>
      </c>
      <c r="D22" s="8" t="s">
        <v>93</v>
      </c>
      <c r="E22" s="8" t="s">
        <v>37</v>
      </c>
      <c r="F22" s="8" t="s">
        <v>38</v>
      </c>
      <c r="G22" s="8" t="s">
        <v>41</v>
      </c>
      <c r="H22" s="8"/>
      <c r="I22" s="8"/>
      <c r="J22" s="9">
        <v>10693.63</v>
      </c>
      <c r="K22" s="10"/>
      <c r="L22" s="9">
        <f t="shared" si="0"/>
        <v>-10693.63</v>
      </c>
      <c r="M22" s="11">
        <f t="shared" si="1"/>
        <v>-1</v>
      </c>
    </row>
    <row r="23" spans="1:13" x14ac:dyDescent="0.45">
      <c r="A23" s="12" t="s">
        <v>94</v>
      </c>
      <c r="B23" s="12" t="s">
        <v>64</v>
      </c>
      <c r="C23" s="12" t="s">
        <v>59</v>
      </c>
      <c r="D23" s="12" t="s">
        <v>95</v>
      </c>
      <c r="E23" s="12" t="s">
        <v>37</v>
      </c>
      <c r="F23" s="12" t="s">
        <v>38</v>
      </c>
      <c r="G23" s="12" t="s">
        <v>41</v>
      </c>
      <c r="H23" s="12"/>
      <c r="I23" s="12"/>
      <c r="J23" s="13">
        <v>2281.14</v>
      </c>
      <c r="K23" s="10"/>
      <c r="L23" s="13">
        <f t="shared" si="0"/>
        <v>-2281.14</v>
      </c>
      <c r="M23" s="14">
        <f t="shared" si="1"/>
        <v>-1</v>
      </c>
    </row>
    <row r="24" spans="1:13" x14ac:dyDescent="0.45">
      <c r="A24" s="8" t="s">
        <v>96</v>
      </c>
      <c r="B24" s="8" t="s">
        <v>58</v>
      </c>
      <c r="C24" s="8" t="s">
        <v>59</v>
      </c>
      <c r="D24" s="8" t="s">
        <v>97</v>
      </c>
      <c r="E24" s="8" t="s">
        <v>37</v>
      </c>
      <c r="F24" s="8" t="s">
        <v>38</v>
      </c>
      <c r="G24" s="8" t="s">
        <v>41</v>
      </c>
      <c r="H24" s="8"/>
      <c r="I24" s="8"/>
      <c r="J24" s="9">
        <v>1475.75</v>
      </c>
      <c r="K24" s="10"/>
      <c r="L24" s="9">
        <f t="shared" si="0"/>
        <v>-1475.75</v>
      </c>
      <c r="M24" s="11">
        <f t="shared" si="1"/>
        <v>-1</v>
      </c>
    </row>
    <row r="25" spans="1:13" x14ac:dyDescent="0.45">
      <c r="A25" s="12" t="s">
        <v>98</v>
      </c>
      <c r="B25" s="12" t="s">
        <v>64</v>
      </c>
      <c r="C25" s="12" t="s">
        <v>59</v>
      </c>
      <c r="D25" s="12" t="s">
        <v>99</v>
      </c>
      <c r="E25" s="12" t="s">
        <v>37</v>
      </c>
      <c r="F25" s="12" t="s">
        <v>38</v>
      </c>
      <c r="G25" s="12" t="s">
        <v>41</v>
      </c>
      <c r="H25" s="12"/>
      <c r="I25" s="12"/>
      <c r="J25" s="13">
        <v>2760</v>
      </c>
      <c r="K25" s="10"/>
      <c r="L25" s="13">
        <f t="shared" si="0"/>
        <v>-2760</v>
      </c>
      <c r="M25" s="14">
        <f t="shared" si="1"/>
        <v>-1</v>
      </c>
    </row>
    <row r="26" spans="1:13" x14ac:dyDescent="0.45">
      <c r="A26" s="8" t="s">
        <v>100</v>
      </c>
      <c r="B26" s="8" t="s">
        <v>64</v>
      </c>
      <c r="C26" s="8" t="s">
        <v>59</v>
      </c>
      <c r="D26" s="8" t="s">
        <v>101</v>
      </c>
      <c r="E26" s="8" t="s">
        <v>37</v>
      </c>
      <c r="F26" s="8" t="s">
        <v>38</v>
      </c>
      <c r="G26" s="8" t="s">
        <v>41</v>
      </c>
      <c r="H26" s="8"/>
      <c r="I26" s="8"/>
      <c r="J26" s="9">
        <v>1552.84</v>
      </c>
      <c r="K26" s="10"/>
      <c r="L26" s="9">
        <f t="shared" si="0"/>
        <v>-1552.84</v>
      </c>
      <c r="M26" s="11">
        <f t="shared" si="1"/>
        <v>-1</v>
      </c>
    </row>
    <row r="27" spans="1:13" x14ac:dyDescent="0.45">
      <c r="A27" s="12" t="s">
        <v>102</v>
      </c>
      <c r="B27" s="12" t="s">
        <v>58</v>
      </c>
      <c r="C27" s="12" t="s">
        <v>59</v>
      </c>
      <c r="D27" s="12" t="s">
        <v>103</v>
      </c>
      <c r="E27" s="12" t="s">
        <v>37</v>
      </c>
      <c r="F27" s="12" t="s">
        <v>38</v>
      </c>
      <c r="G27" s="12" t="s">
        <v>41</v>
      </c>
      <c r="H27" s="12"/>
      <c r="I27" s="12"/>
      <c r="J27" s="13">
        <v>2069.81</v>
      </c>
      <c r="K27" s="10"/>
      <c r="L27" s="13">
        <f t="shared" si="0"/>
        <v>-2069.81</v>
      </c>
      <c r="M27" s="14">
        <f t="shared" si="1"/>
        <v>-1</v>
      </c>
    </row>
    <row r="28" spans="1:13" x14ac:dyDescent="0.45">
      <c r="A28" s="8" t="s">
        <v>104</v>
      </c>
      <c r="B28" s="8" t="s">
        <v>64</v>
      </c>
      <c r="C28" s="8" t="s">
        <v>59</v>
      </c>
      <c r="D28" s="8" t="s">
        <v>105</v>
      </c>
      <c r="E28" s="8" t="s">
        <v>37</v>
      </c>
      <c r="F28" s="8" t="s">
        <v>38</v>
      </c>
      <c r="G28" s="8" t="s">
        <v>41</v>
      </c>
      <c r="H28" s="8"/>
      <c r="I28" s="8"/>
      <c r="J28" s="9">
        <v>1005.89</v>
      </c>
      <c r="K28" s="10"/>
      <c r="L28" s="9">
        <f t="shared" si="0"/>
        <v>-1005.89</v>
      </c>
      <c r="M28" s="11">
        <f t="shared" si="1"/>
        <v>-1</v>
      </c>
    </row>
    <row r="29" spans="1:13" x14ac:dyDescent="0.45">
      <c r="A29" s="12" t="s">
        <v>106</v>
      </c>
      <c r="B29" s="12" t="s">
        <v>64</v>
      </c>
      <c r="C29" s="12" t="s">
        <v>59</v>
      </c>
      <c r="D29" s="12" t="s">
        <v>107</v>
      </c>
      <c r="E29" s="12" t="s">
        <v>37</v>
      </c>
      <c r="F29" s="12" t="s">
        <v>38</v>
      </c>
      <c r="G29" s="12" t="s">
        <v>41</v>
      </c>
      <c r="H29" s="12"/>
      <c r="I29" s="12"/>
      <c r="J29" s="13">
        <v>5166.1499999999996</v>
      </c>
      <c r="K29" s="10"/>
      <c r="L29" s="13">
        <f t="shared" si="0"/>
        <v>-5166.1499999999996</v>
      </c>
      <c r="M29" s="14">
        <f t="shared" si="1"/>
        <v>-1</v>
      </c>
    </row>
    <row r="30" spans="1:13" x14ac:dyDescent="0.45">
      <c r="A30" s="8" t="s">
        <v>108</v>
      </c>
      <c r="B30" s="8" t="s">
        <v>58</v>
      </c>
      <c r="C30" s="8" t="s">
        <v>59</v>
      </c>
      <c r="D30" s="8" t="s">
        <v>109</v>
      </c>
      <c r="E30" s="8" t="s">
        <v>37</v>
      </c>
      <c r="F30" s="8" t="s">
        <v>38</v>
      </c>
      <c r="G30" s="8" t="s">
        <v>41</v>
      </c>
      <c r="H30" s="8"/>
      <c r="I30" s="8"/>
      <c r="J30" s="9">
        <v>2993.09</v>
      </c>
      <c r="K30" s="10"/>
      <c r="L30" s="9">
        <f t="shared" si="0"/>
        <v>-2993.09</v>
      </c>
      <c r="M30" s="11">
        <f t="shared" si="1"/>
        <v>-1</v>
      </c>
    </row>
    <row r="31" spans="1:13" x14ac:dyDescent="0.45">
      <c r="A31" s="12" t="s">
        <v>110</v>
      </c>
      <c r="B31" s="12" t="s">
        <v>64</v>
      </c>
      <c r="C31" s="12" t="s">
        <v>59</v>
      </c>
      <c r="D31" s="12" t="s">
        <v>111</v>
      </c>
      <c r="E31" s="12" t="s">
        <v>37</v>
      </c>
      <c r="F31" s="12" t="s">
        <v>38</v>
      </c>
      <c r="G31" s="12" t="s">
        <v>41</v>
      </c>
      <c r="H31" s="12"/>
      <c r="I31" s="12"/>
      <c r="J31" s="13">
        <v>1086.04</v>
      </c>
      <c r="K31" s="10"/>
      <c r="L31" s="13">
        <f t="shared" si="0"/>
        <v>-1086.04</v>
      </c>
      <c r="M31" s="14">
        <f t="shared" si="1"/>
        <v>-1</v>
      </c>
    </row>
    <row r="32" spans="1:13" x14ac:dyDescent="0.45">
      <c r="A32" s="8" t="s">
        <v>112</v>
      </c>
      <c r="B32" s="8" t="s">
        <v>64</v>
      </c>
      <c r="C32" s="8" t="s">
        <v>59</v>
      </c>
      <c r="D32" s="8" t="s">
        <v>113</v>
      </c>
      <c r="E32" s="8" t="s">
        <v>37</v>
      </c>
      <c r="F32" s="8" t="s">
        <v>38</v>
      </c>
      <c r="G32" s="8" t="s">
        <v>41</v>
      </c>
      <c r="H32" s="8"/>
      <c r="I32" s="8"/>
      <c r="J32" s="9">
        <v>7062.08</v>
      </c>
      <c r="K32" s="10"/>
      <c r="L32" s="9">
        <f t="shared" si="0"/>
        <v>-7062.08</v>
      </c>
      <c r="M32" s="11">
        <f t="shared" si="1"/>
        <v>-1</v>
      </c>
    </row>
    <row r="33" spans="1:13" x14ac:dyDescent="0.45">
      <c r="A33" s="12" t="s">
        <v>114</v>
      </c>
      <c r="B33" s="12" t="s">
        <v>64</v>
      </c>
      <c r="C33" s="12" t="s">
        <v>59</v>
      </c>
      <c r="D33" s="12" t="s">
        <v>115</v>
      </c>
      <c r="E33" s="12" t="s">
        <v>37</v>
      </c>
      <c r="F33" s="12" t="s">
        <v>38</v>
      </c>
      <c r="G33" s="12" t="s">
        <v>41</v>
      </c>
      <c r="H33" s="12"/>
      <c r="I33" s="12"/>
      <c r="J33" s="13">
        <v>2445.4499999999998</v>
      </c>
      <c r="K33" s="10"/>
      <c r="L33" s="13">
        <f t="shared" si="0"/>
        <v>-2445.4499999999998</v>
      </c>
      <c r="M33" s="14">
        <f t="shared" si="1"/>
        <v>-1</v>
      </c>
    </row>
    <row r="34" spans="1:13" x14ac:dyDescent="0.45">
      <c r="A34" s="8" t="s">
        <v>116</v>
      </c>
      <c r="B34" s="8" t="s">
        <v>58</v>
      </c>
      <c r="C34" s="8" t="s">
        <v>59</v>
      </c>
      <c r="D34" s="8" t="s">
        <v>117</v>
      </c>
      <c r="E34" s="8" t="s">
        <v>37</v>
      </c>
      <c r="F34" s="8" t="s">
        <v>38</v>
      </c>
      <c r="G34" s="8" t="s">
        <v>41</v>
      </c>
      <c r="H34" s="8"/>
      <c r="I34" s="8"/>
      <c r="J34" s="9">
        <v>10381.33</v>
      </c>
      <c r="K34" s="10"/>
      <c r="L34" s="9">
        <f t="shared" si="0"/>
        <v>-10381.33</v>
      </c>
      <c r="M34" s="11">
        <f t="shared" si="1"/>
        <v>-1</v>
      </c>
    </row>
    <row r="35" spans="1:13" x14ac:dyDescent="0.45">
      <c r="A35" s="12" t="s">
        <v>118</v>
      </c>
      <c r="B35" s="12" t="s">
        <v>64</v>
      </c>
      <c r="C35" s="12" t="s">
        <v>59</v>
      </c>
      <c r="D35" s="12" t="s">
        <v>119</v>
      </c>
      <c r="E35" s="12" t="s">
        <v>37</v>
      </c>
      <c r="F35" s="12" t="s">
        <v>38</v>
      </c>
      <c r="G35" s="12" t="s">
        <v>41</v>
      </c>
      <c r="H35" s="12"/>
      <c r="I35" s="12"/>
      <c r="J35" s="13">
        <v>13976.98</v>
      </c>
      <c r="K35" s="10"/>
      <c r="L35" s="13">
        <f t="shared" si="0"/>
        <v>-13976.98</v>
      </c>
      <c r="M35" s="14">
        <f t="shared" si="1"/>
        <v>-1</v>
      </c>
    </row>
    <row r="36" spans="1:13" x14ac:dyDescent="0.45">
      <c r="A36" s="8" t="s">
        <v>120</v>
      </c>
      <c r="B36" s="8" t="s">
        <v>58</v>
      </c>
      <c r="C36" s="8" t="s">
        <v>59</v>
      </c>
      <c r="D36" s="8" t="s">
        <v>121</v>
      </c>
      <c r="E36" s="8" t="s">
        <v>37</v>
      </c>
      <c r="F36" s="8" t="s">
        <v>38</v>
      </c>
      <c r="G36" s="8" t="s">
        <v>41</v>
      </c>
      <c r="H36" s="8"/>
      <c r="I36" s="8"/>
      <c r="J36" s="9">
        <v>1003.37</v>
      </c>
      <c r="K36" s="10"/>
      <c r="L36" s="9">
        <f t="shared" si="0"/>
        <v>-1003.37</v>
      </c>
      <c r="M36" s="11">
        <f t="shared" si="1"/>
        <v>-1</v>
      </c>
    </row>
    <row r="37" spans="1:13" x14ac:dyDescent="0.45">
      <c r="A37" s="12" t="s">
        <v>122</v>
      </c>
      <c r="B37" s="12" t="s">
        <v>58</v>
      </c>
      <c r="C37" s="12" t="s">
        <v>59</v>
      </c>
      <c r="D37" s="12" t="s">
        <v>123</v>
      </c>
      <c r="E37" s="12" t="s">
        <v>37</v>
      </c>
      <c r="F37" s="12" t="s">
        <v>38</v>
      </c>
      <c r="G37" s="12" t="s">
        <v>41</v>
      </c>
      <c r="H37" s="12"/>
      <c r="I37" s="12"/>
      <c r="J37" s="13">
        <v>7128.96</v>
      </c>
      <c r="K37" s="10"/>
      <c r="L37" s="13">
        <f t="shared" si="0"/>
        <v>-7128.96</v>
      </c>
      <c r="M37" s="14">
        <f t="shared" si="1"/>
        <v>-1</v>
      </c>
    </row>
    <row r="38" spans="1:13" x14ac:dyDescent="0.45">
      <c r="A38" s="8" t="s">
        <v>124</v>
      </c>
      <c r="B38" s="8" t="s">
        <v>64</v>
      </c>
      <c r="C38" s="8" t="s">
        <v>59</v>
      </c>
      <c r="D38" s="8" t="s">
        <v>125</v>
      </c>
      <c r="E38" s="8" t="s">
        <v>37</v>
      </c>
      <c r="F38" s="8" t="s">
        <v>38</v>
      </c>
      <c r="G38" s="8" t="s">
        <v>41</v>
      </c>
      <c r="H38" s="8"/>
      <c r="I38" s="8"/>
      <c r="J38" s="9">
        <v>1440.72</v>
      </c>
      <c r="K38" s="10"/>
      <c r="L38" s="9">
        <f t="shared" ref="L38:L59" si="2">K38-J38</f>
        <v>-1440.72</v>
      </c>
      <c r="M38" s="11">
        <f t="shared" ref="M38:M59" si="3">IF(J38=0,"",(K38-J38)/J38)</f>
        <v>-1</v>
      </c>
    </row>
    <row r="39" spans="1:13" x14ac:dyDescent="0.45">
      <c r="A39" s="12" t="s">
        <v>126</v>
      </c>
      <c r="B39" s="12" t="s">
        <v>64</v>
      </c>
      <c r="C39" s="12" t="s">
        <v>59</v>
      </c>
      <c r="D39" s="12" t="s">
        <v>127</v>
      </c>
      <c r="E39" s="12" t="s">
        <v>37</v>
      </c>
      <c r="F39" s="12" t="s">
        <v>38</v>
      </c>
      <c r="G39" s="12" t="s">
        <v>41</v>
      </c>
      <c r="H39" s="12"/>
      <c r="I39" s="12"/>
      <c r="J39" s="13">
        <v>3438.72</v>
      </c>
      <c r="K39" s="10"/>
      <c r="L39" s="13">
        <f t="shared" si="2"/>
        <v>-3438.72</v>
      </c>
      <c r="M39" s="14">
        <f t="shared" si="3"/>
        <v>-1</v>
      </c>
    </row>
    <row r="40" spans="1:13" x14ac:dyDescent="0.45">
      <c r="A40" s="8" t="s">
        <v>128</v>
      </c>
      <c r="B40" s="8" t="s">
        <v>64</v>
      </c>
      <c r="C40" s="8" t="s">
        <v>59</v>
      </c>
      <c r="D40" s="8" t="s">
        <v>129</v>
      </c>
      <c r="E40" s="8" t="s">
        <v>37</v>
      </c>
      <c r="F40" s="8" t="s">
        <v>38</v>
      </c>
      <c r="G40" s="8" t="s">
        <v>41</v>
      </c>
      <c r="H40" s="8"/>
      <c r="I40" s="8"/>
      <c r="J40" s="9">
        <v>5958.17</v>
      </c>
      <c r="K40" s="10"/>
      <c r="L40" s="9">
        <f t="shared" si="2"/>
        <v>-5958.17</v>
      </c>
      <c r="M40" s="11">
        <f t="shared" si="3"/>
        <v>-1</v>
      </c>
    </row>
    <row r="41" spans="1:13" x14ac:dyDescent="0.45">
      <c r="A41" s="12" t="s">
        <v>130</v>
      </c>
      <c r="B41" s="12" t="s">
        <v>64</v>
      </c>
      <c r="C41" s="12" t="s">
        <v>59</v>
      </c>
      <c r="D41" s="12" t="s">
        <v>131</v>
      </c>
      <c r="E41" s="12" t="s">
        <v>37</v>
      </c>
      <c r="F41" s="12" t="s">
        <v>38</v>
      </c>
      <c r="G41" s="12" t="s">
        <v>41</v>
      </c>
      <c r="H41" s="12"/>
      <c r="I41" s="12"/>
      <c r="J41" s="13">
        <v>2473.5700000000002</v>
      </c>
      <c r="K41" s="10"/>
      <c r="L41" s="13">
        <f t="shared" si="2"/>
        <v>-2473.5700000000002</v>
      </c>
      <c r="M41" s="14">
        <f t="shared" si="3"/>
        <v>-1</v>
      </c>
    </row>
    <row r="42" spans="1:13" x14ac:dyDescent="0.45">
      <c r="A42" s="8" t="s">
        <v>132</v>
      </c>
      <c r="B42" s="8" t="s">
        <v>58</v>
      </c>
      <c r="C42" s="8" t="s">
        <v>59</v>
      </c>
      <c r="D42" s="8" t="s">
        <v>133</v>
      </c>
      <c r="E42" s="8" t="s">
        <v>37</v>
      </c>
      <c r="F42" s="8" t="s">
        <v>38</v>
      </c>
      <c r="G42" s="8" t="s">
        <v>41</v>
      </c>
      <c r="H42" s="8"/>
      <c r="I42" s="8"/>
      <c r="J42" s="9">
        <v>3146.51</v>
      </c>
      <c r="K42" s="10"/>
      <c r="L42" s="9">
        <f t="shared" si="2"/>
        <v>-3146.51</v>
      </c>
      <c r="M42" s="11">
        <f t="shared" si="3"/>
        <v>-1</v>
      </c>
    </row>
    <row r="43" spans="1:13" x14ac:dyDescent="0.45">
      <c r="A43" s="12" t="s">
        <v>134</v>
      </c>
      <c r="B43" s="12" t="s">
        <v>58</v>
      </c>
      <c r="C43" s="12" t="s">
        <v>59</v>
      </c>
      <c r="D43" s="12" t="s">
        <v>135</v>
      </c>
      <c r="E43" s="12" t="s">
        <v>37</v>
      </c>
      <c r="F43" s="12" t="s">
        <v>38</v>
      </c>
      <c r="G43" s="12" t="s">
        <v>41</v>
      </c>
      <c r="H43" s="12"/>
      <c r="I43" s="12"/>
      <c r="J43" s="13">
        <v>1305</v>
      </c>
      <c r="K43" s="10"/>
      <c r="L43" s="13">
        <f t="shared" si="2"/>
        <v>-1305</v>
      </c>
      <c r="M43" s="14">
        <f t="shared" si="3"/>
        <v>-1</v>
      </c>
    </row>
    <row r="44" spans="1:13" x14ac:dyDescent="0.45">
      <c r="A44" s="8" t="s">
        <v>136</v>
      </c>
      <c r="B44" s="8" t="s">
        <v>64</v>
      </c>
      <c r="C44" s="8" t="s">
        <v>59</v>
      </c>
      <c r="D44" s="8" t="s">
        <v>137</v>
      </c>
      <c r="E44" s="8" t="s">
        <v>37</v>
      </c>
      <c r="F44" s="8" t="s">
        <v>38</v>
      </c>
      <c r="G44" s="8" t="s">
        <v>41</v>
      </c>
      <c r="H44" s="8"/>
      <c r="I44" s="8"/>
      <c r="J44" s="9">
        <v>3339.22</v>
      </c>
      <c r="K44" s="10"/>
      <c r="L44" s="9">
        <f t="shared" si="2"/>
        <v>-3339.22</v>
      </c>
      <c r="M44" s="11">
        <f t="shared" si="3"/>
        <v>-1</v>
      </c>
    </row>
    <row r="45" spans="1:13" x14ac:dyDescent="0.45">
      <c r="A45" s="12" t="s">
        <v>138</v>
      </c>
      <c r="B45" s="12" t="s">
        <v>64</v>
      </c>
      <c r="C45" s="12" t="s">
        <v>59</v>
      </c>
      <c r="D45" s="12" t="s">
        <v>139</v>
      </c>
      <c r="E45" s="12" t="s">
        <v>37</v>
      </c>
      <c r="F45" s="12" t="s">
        <v>38</v>
      </c>
      <c r="G45" s="12" t="s">
        <v>41</v>
      </c>
      <c r="H45" s="12"/>
      <c r="I45" s="12"/>
      <c r="J45" s="13">
        <v>3656.5</v>
      </c>
      <c r="K45" s="10"/>
      <c r="L45" s="13">
        <f t="shared" si="2"/>
        <v>-3656.5</v>
      </c>
      <c r="M45" s="14">
        <f t="shared" si="3"/>
        <v>-1</v>
      </c>
    </row>
    <row r="46" spans="1:13" x14ac:dyDescent="0.45">
      <c r="A46" s="8" t="s">
        <v>140</v>
      </c>
      <c r="B46" s="8" t="s">
        <v>64</v>
      </c>
      <c r="C46" s="8" t="s">
        <v>59</v>
      </c>
      <c r="D46" s="8" t="s">
        <v>141</v>
      </c>
      <c r="E46" s="8" t="s">
        <v>37</v>
      </c>
      <c r="F46" s="8" t="s">
        <v>38</v>
      </c>
      <c r="G46" s="8" t="s">
        <v>41</v>
      </c>
      <c r="H46" s="8"/>
      <c r="I46" s="8"/>
      <c r="J46" s="9">
        <v>1712.7</v>
      </c>
      <c r="K46" s="10"/>
      <c r="L46" s="9">
        <f t="shared" si="2"/>
        <v>-1712.7</v>
      </c>
      <c r="M46" s="11">
        <f t="shared" si="3"/>
        <v>-1</v>
      </c>
    </row>
    <row r="47" spans="1:13" x14ac:dyDescent="0.45">
      <c r="A47" s="12" t="s">
        <v>142</v>
      </c>
      <c r="B47" s="12" t="s">
        <v>64</v>
      </c>
      <c r="C47" s="12" t="s">
        <v>59</v>
      </c>
      <c r="D47" s="12" t="s">
        <v>137</v>
      </c>
      <c r="E47" s="12" t="s">
        <v>37</v>
      </c>
      <c r="F47" s="12" t="s">
        <v>38</v>
      </c>
      <c r="G47" s="12" t="s">
        <v>41</v>
      </c>
      <c r="H47" s="12"/>
      <c r="I47" s="12"/>
      <c r="J47" s="13">
        <v>3339.22</v>
      </c>
      <c r="K47" s="10"/>
      <c r="L47" s="13">
        <f t="shared" si="2"/>
        <v>-3339.22</v>
      </c>
      <c r="M47" s="14">
        <f t="shared" si="3"/>
        <v>-1</v>
      </c>
    </row>
    <row r="48" spans="1:13" x14ac:dyDescent="0.45">
      <c r="A48" s="8" t="s">
        <v>143</v>
      </c>
      <c r="B48" s="8" t="s">
        <v>58</v>
      </c>
      <c r="C48" s="8" t="s">
        <v>59</v>
      </c>
      <c r="D48" s="8" t="s">
        <v>144</v>
      </c>
      <c r="E48" s="8" t="s">
        <v>37</v>
      </c>
      <c r="F48" s="8" t="s">
        <v>38</v>
      </c>
      <c r="G48" s="8" t="s">
        <v>41</v>
      </c>
      <c r="H48" s="8"/>
      <c r="I48" s="8"/>
      <c r="J48" s="9">
        <v>7672.74</v>
      </c>
      <c r="K48" s="10"/>
      <c r="L48" s="9">
        <f t="shared" si="2"/>
        <v>-7672.74</v>
      </c>
      <c r="M48" s="11">
        <f t="shared" si="3"/>
        <v>-1</v>
      </c>
    </row>
    <row r="49" spans="1:13" x14ac:dyDescent="0.45">
      <c r="A49" s="12" t="s">
        <v>145</v>
      </c>
      <c r="B49" s="12" t="s">
        <v>64</v>
      </c>
      <c r="C49" s="12" t="s">
        <v>59</v>
      </c>
      <c r="D49" s="12" t="s">
        <v>146</v>
      </c>
      <c r="E49" s="12" t="s">
        <v>37</v>
      </c>
      <c r="F49" s="12" t="s">
        <v>38</v>
      </c>
      <c r="G49" s="12" t="s">
        <v>41</v>
      </c>
      <c r="H49" s="12"/>
      <c r="I49" s="12"/>
      <c r="J49" s="13">
        <v>1163.32</v>
      </c>
      <c r="K49" s="10"/>
      <c r="L49" s="13">
        <f t="shared" si="2"/>
        <v>-1163.32</v>
      </c>
      <c r="M49" s="14">
        <f t="shared" si="3"/>
        <v>-1</v>
      </c>
    </row>
    <row r="50" spans="1:13" x14ac:dyDescent="0.45">
      <c r="A50" s="8" t="s">
        <v>147</v>
      </c>
      <c r="B50" s="8" t="s">
        <v>58</v>
      </c>
      <c r="C50" s="8" t="s">
        <v>59</v>
      </c>
      <c r="D50" s="8" t="s">
        <v>148</v>
      </c>
      <c r="E50" s="8" t="s">
        <v>37</v>
      </c>
      <c r="F50" s="8" t="s">
        <v>38</v>
      </c>
      <c r="G50" s="8" t="s">
        <v>41</v>
      </c>
      <c r="H50" s="8"/>
      <c r="I50" s="8"/>
      <c r="J50" s="9">
        <v>5478.42</v>
      </c>
      <c r="K50" s="10"/>
      <c r="L50" s="9">
        <f t="shared" si="2"/>
        <v>-5478.42</v>
      </c>
      <c r="M50" s="11">
        <f t="shared" si="3"/>
        <v>-1</v>
      </c>
    </row>
    <row r="51" spans="1:13" x14ac:dyDescent="0.45">
      <c r="A51" s="12" t="s">
        <v>149</v>
      </c>
      <c r="B51" s="12" t="s">
        <v>64</v>
      </c>
      <c r="C51" s="12" t="s">
        <v>59</v>
      </c>
      <c r="D51" s="12" t="s">
        <v>150</v>
      </c>
      <c r="E51" s="12" t="s">
        <v>37</v>
      </c>
      <c r="F51" s="12" t="s">
        <v>38</v>
      </c>
      <c r="G51" s="12" t="s">
        <v>41</v>
      </c>
      <c r="H51" s="12"/>
      <c r="I51" s="12"/>
      <c r="J51" s="13">
        <v>2452.12</v>
      </c>
      <c r="K51" s="10"/>
      <c r="L51" s="13">
        <f t="shared" si="2"/>
        <v>-2452.12</v>
      </c>
      <c r="M51" s="14">
        <f t="shared" si="3"/>
        <v>-1</v>
      </c>
    </row>
    <row r="52" spans="1:13" x14ac:dyDescent="0.45">
      <c r="A52" s="8" t="s">
        <v>151</v>
      </c>
      <c r="B52" s="8" t="s">
        <v>64</v>
      </c>
      <c r="C52" s="8" t="s">
        <v>59</v>
      </c>
      <c r="D52" s="8" t="s">
        <v>152</v>
      </c>
      <c r="E52" s="8" t="s">
        <v>37</v>
      </c>
      <c r="F52" s="8" t="s">
        <v>38</v>
      </c>
      <c r="G52" s="8" t="s">
        <v>41</v>
      </c>
      <c r="H52" s="8"/>
      <c r="I52" s="8"/>
      <c r="J52" s="9">
        <v>1599.95</v>
      </c>
      <c r="K52" s="10"/>
      <c r="L52" s="9">
        <f t="shared" si="2"/>
        <v>-1599.95</v>
      </c>
      <c r="M52" s="11">
        <f t="shared" si="3"/>
        <v>-1</v>
      </c>
    </row>
    <row r="53" spans="1:13" x14ac:dyDescent="0.45">
      <c r="A53" s="12" t="s">
        <v>153</v>
      </c>
      <c r="B53" s="12" t="s">
        <v>64</v>
      </c>
      <c r="C53" s="12" t="s">
        <v>59</v>
      </c>
      <c r="D53" s="12" t="s">
        <v>139</v>
      </c>
      <c r="E53" s="12" t="s">
        <v>37</v>
      </c>
      <c r="F53" s="12" t="s">
        <v>38</v>
      </c>
      <c r="G53" s="12" t="s">
        <v>41</v>
      </c>
      <c r="H53" s="12"/>
      <c r="I53" s="12"/>
      <c r="J53" s="13">
        <v>1841.63</v>
      </c>
      <c r="K53" s="10"/>
      <c r="L53" s="13">
        <f t="shared" si="2"/>
        <v>-1841.63</v>
      </c>
      <c r="M53" s="14">
        <f t="shared" si="3"/>
        <v>-1</v>
      </c>
    </row>
    <row r="54" spans="1:13" x14ac:dyDescent="0.45">
      <c r="A54" s="8" t="s">
        <v>154</v>
      </c>
      <c r="B54" s="8" t="s">
        <v>64</v>
      </c>
      <c r="C54" s="8" t="s">
        <v>59</v>
      </c>
      <c r="D54" s="8" t="s">
        <v>141</v>
      </c>
      <c r="E54" s="8" t="s">
        <v>37</v>
      </c>
      <c r="F54" s="8" t="s">
        <v>38</v>
      </c>
      <c r="G54" s="8" t="s">
        <v>41</v>
      </c>
      <c r="H54" s="8"/>
      <c r="I54" s="8"/>
      <c r="J54" s="9">
        <v>1540.08</v>
      </c>
      <c r="K54" s="10"/>
      <c r="L54" s="9">
        <f t="shared" si="2"/>
        <v>-1540.08</v>
      </c>
      <c r="M54" s="11">
        <f t="shared" si="3"/>
        <v>-1</v>
      </c>
    </row>
    <row r="55" spans="1:13" x14ac:dyDescent="0.45">
      <c r="A55" s="12" t="s">
        <v>155</v>
      </c>
      <c r="B55" s="12" t="s">
        <v>64</v>
      </c>
      <c r="C55" s="12" t="s">
        <v>59</v>
      </c>
      <c r="D55" s="12" t="s">
        <v>156</v>
      </c>
      <c r="E55" s="12" t="s">
        <v>37</v>
      </c>
      <c r="F55" s="12" t="s">
        <v>38</v>
      </c>
      <c r="G55" s="12" t="s">
        <v>41</v>
      </c>
      <c r="H55" s="12"/>
      <c r="I55" s="12"/>
      <c r="J55" s="13">
        <v>1833.84</v>
      </c>
      <c r="K55" s="10"/>
      <c r="L55" s="13">
        <f t="shared" si="2"/>
        <v>-1833.84</v>
      </c>
      <c r="M55" s="14">
        <f t="shared" si="3"/>
        <v>-1</v>
      </c>
    </row>
    <row r="56" spans="1:13" x14ac:dyDescent="0.45">
      <c r="A56" s="8" t="s">
        <v>157</v>
      </c>
      <c r="B56" s="8" t="s">
        <v>64</v>
      </c>
      <c r="C56" s="8" t="s">
        <v>59</v>
      </c>
      <c r="D56" s="8" t="s">
        <v>158</v>
      </c>
      <c r="E56" s="8" t="s">
        <v>37</v>
      </c>
      <c r="F56" s="8" t="s">
        <v>38</v>
      </c>
      <c r="G56" s="8" t="s">
        <v>41</v>
      </c>
      <c r="H56" s="8"/>
      <c r="I56" s="8"/>
      <c r="J56" s="9">
        <v>3137.98</v>
      </c>
      <c r="K56" s="10"/>
      <c r="L56" s="9">
        <f t="shared" si="2"/>
        <v>-3137.98</v>
      </c>
      <c r="M56" s="11">
        <f t="shared" si="3"/>
        <v>-1</v>
      </c>
    </row>
    <row r="57" spans="1:13" x14ac:dyDescent="0.45">
      <c r="A57" s="12" t="s">
        <v>159</v>
      </c>
      <c r="B57" s="12" t="s">
        <v>58</v>
      </c>
      <c r="C57" s="12" t="s">
        <v>59</v>
      </c>
      <c r="D57" s="12" t="s">
        <v>160</v>
      </c>
      <c r="E57" s="12" t="s">
        <v>37</v>
      </c>
      <c r="F57" s="12" t="s">
        <v>38</v>
      </c>
      <c r="G57" s="12" t="s">
        <v>41</v>
      </c>
      <c r="H57" s="12"/>
      <c r="I57" s="12"/>
      <c r="J57" s="13">
        <v>19189.82</v>
      </c>
      <c r="K57" s="10"/>
      <c r="L57" s="13">
        <f t="shared" si="2"/>
        <v>-19189.82</v>
      </c>
      <c r="M57" s="14">
        <f t="shared" si="3"/>
        <v>-1</v>
      </c>
    </row>
    <row r="58" spans="1:13" x14ac:dyDescent="0.45">
      <c r="A58" s="12" t="s">
        <v>1492</v>
      </c>
      <c r="B58" s="12" t="s">
        <v>64</v>
      </c>
      <c r="C58" s="12" t="s">
        <v>249</v>
      </c>
      <c r="D58" s="12">
        <v>1711379766</v>
      </c>
      <c r="E58" s="12" t="s">
        <v>37</v>
      </c>
      <c r="F58" s="12" t="s">
        <v>38</v>
      </c>
      <c r="G58" s="12" t="s">
        <v>41</v>
      </c>
      <c r="H58" s="12"/>
      <c r="I58" s="12"/>
      <c r="J58" s="13">
        <v>0</v>
      </c>
      <c r="K58" s="10">
        <v>5000</v>
      </c>
      <c r="L58" s="13"/>
      <c r="M58" s="14"/>
    </row>
    <row r="59" spans="1:13" ht="22.05" customHeight="1" x14ac:dyDescent="0.45">
      <c r="A59" s="15" t="s">
        <v>46</v>
      </c>
      <c r="B59" s="15"/>
      <c r="C59" s="15"/>
      <c r="D59" s="15"/>
      <c r="E59" s="15"/>
      <c r="F59" s="15"/>
      <c r="G59" s="15"/>
      <c r="H59" s="15"/>
      <c r="I59" s="15"/>
      <c r="J59" s="3">
        <f>SUM(J6:J58)</f>
        <v>215293.01000000004</v>
      </c>
      <c r="K59" s="3">
        <f>SUM(K6:K58)</f>
        <v>25000</v>
      </c>
      <c r="L59" s="3">
        <f t="shared" si="2"/>
        <v>-190293.01000000004</v>
      </c>
      <c r="M59" s="4">
        <f t="shared" si="3"/>
        <v>-0.88387918400137566</v>
      </c>
    </row>
  </sheetData>
  <mergeCells count="3">
    <mergeCell ref="A3:M3"/>
    <mergeCell ref="A2:M2"/>
    <mergeCell ref="A1:M1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00000000-0002-0000-0300-000000000000}">
          <x14:formula1>
            <xm:f>Catalogos!$H$2:$H$3</xm:f>
          </x14:formula1>
          <xm:sqref>B6:B58</xm:sqref>
        </x14:dataValidation>
        <x14:dataValidation type="list" allowBlank="1" xr:uid="{00000000-0002-0000-0300-000001000000}">
          <x14:formula1>
            <xm:f>Catalogos!$P$2:$P$5</xm:f>
          </x14:formula1>
          <xm:sqref>C6:C58</xm:sqref>
        </x14:dataValidation>
        <x14:dataValidation type="list" allowBlank="1" xr:uid="{00000000-0002-0000-0300-000002000000}">
          <x14:formula1>
            <xm:f>Catalogos!$C$2:$C$3</xm:f>
          </x14:formula1>
          <xm:sqref>E6:E58</xm:sqref>
        </x14:dataValidation>
        <x14:dataValidation type="list" allowBlank="1" xr:uid="{00000000-0002-0000-0300-000003000000}">
          <x14:formula1>
            <xm:f>Catalogos!$D$2:$D$258</xm:f>
          </x14:formula1>
          <xm:sqref>F6:F58</xm:sqref>
        </x14:dataValidation>
        <x14:dataValidation type="list" allowBlank="1" xr:uid="{00000000-0002-0000-0300-000004000000}">
          <x14:formula1>
            <xm:f>Catalogos!$F$2:$F$3</xm:f>
          </x14:formula1>
          <xm:sqref>G6:G58</xm:sqref>
        </x14:dataValidation>
        <x14:dataValidation type="list" allowBlank="1" xr:uid="{00000000-0002-0000-0300-000005000000}">
          <x14:formula1>
            <xm:f>Catalogos!$Q$2:$Q$3</xm:f>
          </x14:formula1>
          <xm:sqref>H6:H58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7"/>
  <sheetViews>
    <sheetView showGridLines="0" zoomScale="85" zoomScaleNormal="85" workbookViewId="0">
      <pane ySplit="5" topLeftCell="A6" activePane="bottomLeft" state="frozen"/>
      <selection pane="bottomLeft" activeCell="I6" sqref="I6"/>
    </sheetView>
  </sheetViews>
  <sheetFormatPr baseColWidth="10" defaultColWidth="9.06640625" defaultRowHeight="14.25" x14ac:dyDescent="0.45"/>
  <cols>
    <col min="1" max="1" width="36" customWidth="1"/>
    <col min="2" max="2" width="15" customWidth="1"/>
    <col min="3" max="3" width="18" customWidth="1"/>
    <col min="4" max="4" width="16" customWidth="1"/>
    <col min="5" max="5" width="15" customWidth="1"/>
    <col min="6" max="9" width="16" customWidth="1"/>
  </cols>
  <sheetData>
    <row r="1" spans="1:9" ht="30" customHeight="1" x14ac:dyDescent="0.45">
      <c r="A1" s="167" t="s">
        <v>161</v>
      </c>
      <c r="B1" s="165"/>
      <c r="C1" s="165"/>
      <c r="D1" s="165"/>
      <c r="E1" s="165"/>
      <c r="F1" s="165"/>
      <c r="G1" s="165"/>
      <c r="H1" s="165"/>
      <c r="I1" s="165"/>
    </row>
    <row r="2" spans="1:9" x14ac:dyDescent="0.45">
      <c r="A2" s="166" t="s">
        <v>23</v>
      </c>
      <c r="B2" s="165"/>
      <c r="C2" s="165"/>
      <c r="D2" s="165"/>
      <c r="E2" s="165"/>
      <c r="F2" s="165"/>
      <c r="G2" s="165"/>
      <c r="H2" s="165"/>
      <c r="I2" s="165"/>
    </row>
    <row r="3" spans="1:9" ht="5" customHeight="1" x14ac:dyDescent="0.45">
      <c r="A3" s="164"/>
      <c r="B3" s="165"/>
      <c r="C3" s="165"/>
      <c r="D3" s="165"/>
      <c r="E3" s="165"/>
      <c r="F3" s="165"/>
      <c r="G3" s="165"/>
      <c r="H3" s="165"/>
      <c r="I3" s="165"/>
    </row>
    <row r="5" spans="1:9" ht="32" customHeight="1" x14ac:dyDescent="0.45">
      <c r="A5" s="2" t="s">
        <v>162</v>
      </c>
      <c r="B5" s="2" t="s">
        <v>26</v>
      </c>
      <c r="C5" s="2" t="s">
        <v>27</v>
      </c>
      <c r="D5" s="2" t="s">
        <v>31</v>
      </c>
      <c r="E5" s="2" t="s">
        <v>32</v>
      </c>
      <c r="F5" s="2" t="s">
        <v>33</v>
      </c>
      <c r="G5" s="2" t="s">
        <v>34</v>
      </c>
      <c r="H5" s="2" t="s">
        <v>14</v>
      </c>
      <c r="I5" s="2" t="s">
        <v>15</v>
      </c>
    </row>
    <row r="6" spans="1:9" x14ac:dyDescent="0.45">
      <c r="A6" s="8" t="s">
        <v>163</v>
      </c>
      <c r="B6" s="8" t="s">
        <v>37</v>
      </c>
      <c r="C6" s="8" t="s">
        <v>38</v>
      </c>
      <c r="D6" s="8"/>
      <c r="E6" s="8"/>
      <c r="F6" s="9">
        <v>208043.81</v>
      </c>
      <c r="G6" s="10">
        <v>208043.81</v>
      </c>
      <c r="H6" s="9">
        <f>G6-F6</f>
        <v>0</v>
      </c>
      <c r="I6" s="11">
        <f>IF(F6=0,"",(G6-F6)/F6)</f>
        <v>0</v>
      </c>
    </row>
    <row r="7" spans="1:9" ht="22.05" customHeight="1" x14ac:dyDescent="0.45">
      <c r="A7" s="15" t="s">
        <v>46</v>
      </c>
      <c r="B7" s="15"/>
      <c r="C7" s="15"/>
      <c r="D7" s="15"/>
      <c r="E7" s="15"/>
      <c r="F7" s="3">
        <f>SUM(F6:F6)</f>
        <v>208043.81</v>
      </c>
      <c r="G7" s="3">
        <f>SUM(G6:G6)</f>
        <v>208043.81</v>
      </c>
      <c r="H7" s="3">
        <f>G7-F7</f>
        <v>0</v>
      </c>
      <c r="I7" s="4">
        <f>IF(F7=0,"",(G7-F7)/F7)</f>
        <v>0</v>
      </c>
    </row>
  </sheetData>
  <mergeCells count="3">
    <mergeCell ref="A1:I1"/>
    <mergeCell ref="A3:I3"/>
    <mergeCell ref="A2:I2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400-000000000000}">
          <x14:formula1>
            <xm:f>Catalogos!$I$2:$I$7</xm:f>
          </x14:formula1>
          <xm:sqref>A6</xm:sqref>
        </x14:dataValidation>
        <x14:dataValidation type="list" allowBlank="1" xr:uid="{00000000-0002-0000-0400-000001000000}">
          <x14:formula1>
            <xm:f>Catalogos!$C$2:$C$3</xm:f>
          </x14:formula1>
          <xm:sqref>B6</xm:sqref>
        </x14:dataValidation>
        <x14:dataValidation type="list" allowBlank="1" xr:uid="{00000000-0002-0000-0400-000002000000}">
          <x14:formula1>
            <xm:f>Catalogos!$D$2:$D$258</xm:f>
          </x14:formula1>
          <xm:sqref>C6</xm:sqref>
        </x14:dataValidation>
        <x14:dataValidation type="list" allowBlank="1" xr:uid="{00000000-0002-0000-0400-000003000000}">
          <x14:formula1>
            <xm:f>Catalogos!$Q$2:$Q$3</xm:f>
          </x14:formula1>
          <xm:sqref>D6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J15"/>
  <sheetViews>
    <sheetView showGridLines="0" workbookViewId="0">
      <pane ySplit="5" topLeftCell="A6" activePane="bottomLeft" state="frozen"/>
      <selection pane="bottomLeft" activeCell="A28" sqref="A28"/>
    </sheetView>
  </sheetViews>
  <sheetFormatPr baseColWidth="10" defaultColWidth="9.06640625" defaultRowHeight="14.25" x14ac:dyDescent="0.45"/>
  <cols>
    <col min="1" max="1" width="26" customWidth="1"/>
    <col min="2" max="2" width="20" customWidth="1"/>
    <col min="3" max="3" width="15" customWidth="1"/>
    <col min="4" max="4" width="18" customWidth="1"/>
    <col min="5" max="5" width="16" customWidth="1"/>
    <col min="6" max="6" width="15" customWidth="1"/>
    <col min="7" max="10" width="16" customWidth="1"/>
  </cols>
  <sheetData>
    <row r="1" spans="1:10" ht="30" customHeight="1" x14ac:dyDescent="0.45">
      <c r="A1" s="167" t="s">
        <v>164</v>
      </c>
      <c r="B1" s="165"/>
      <c r="C1" s="165"/>
      <c r="D1" s="165"/>
      <c r="E1" s="165"/>
      <c r="F1" s="165"/>
      <c r="G1" s="165"/>
      <c r="H1" s="165"/>
      <c r="I1" s="165"/>
      <c r="J1" s="165"/>
    </row>
    <row r="2" spans="1:10" x14ac:dyDescent="0.45">
      <c r="A2" s="166" t="s">
        <v>23</v>
      </c>
      <c r="B2" s="165"/>
      <c r="C2" s="165"/>
      <c r="D2" s="165"/>
      <c r="E2" s="165"/>
      <c r="F2" s="165"/>
      <c r="G2" s="165"/>
      <c r="H2" s="165"/>
      <c r="I2" s="165"/>
      <c r="J2" s="165"/>
    </row>
    <row r="3" spans="1:10" ht="5" customHeight="1" x14ac:dyDescent="0.45">
      <c r="A3" s="164"/>
      <c r="B3" s="165"/>
      <c r="C3" s="165"/>
      <c r="D3" s="165"/>
      <c r="E3" s="165"/>
      <c r="F3" s="165"/>
      <c r="G3" s="165"/>
      <c r="H3" s="165"/>
      <c r="I3" s="165"/>
      <c r="J3" s="165"/>
    </row>
    <row r="5" spans="1:10" ht="32" customHeight="1" x14ac:dyDescent="0.45">
      <c r="A5" s="2" t="s">
        <v>165</v>
      </c>
      <c r="B5" s="2" t="s">
        <v>166</v>
      </c>
      <c r="C5" s="2" t="s">
        <v>26</v>
      </c>
      <c r="D5" s="2" t="s">
        <v>27</v>
      </c>
      <c r="E5" s="2" t="s">
        <v>31</v>
      </c>
      <c r="F5" s="2" t="s">
        <v>32</v>
      </c>
      <c r="G5" s="2" t="s">
        <v>33</v>
      </c>
      <c r="H5" s="2" t="s">
        <v>34</v>
      </c>
      <c r="I5" s="2" t="s">
        <v>14</v>
      </c>
      <c r="J5" s="2" t="s">
        <v>15</v>
      </c>
    </row>
    <row r="6" spans="1:10" x14ac:dyDescent="0.45">
      <c r="A6" s="8" t="s">
        <v>167</v>
      </c>
      <c r="B6" s="8" t="s">
        <v>168</v>
      </c>
      <c r="C6" s="8" t="s">
        <v>37</v>
      </c>
      <c r="D6" s="8" t="s">
        <v>38</v>
      </c>
      <c r="E6" s="8"/>
      <c r="F6" s="8"/>
      <c r="G6" s="9">
        <v>4550</v>
      </c>
      <c r="H6" s="10">
        <v>4550</v>
      </c>
      <c r="I6" s="9">
        <f t="shared" ref="I6:I15" si="0">H6-G6</f>
        <v>0</v>
      </c>
      <c r="J6" s="11">
        <f t="shared" ref="J6:J15" si="1">IF(G6=0,"",(H6-G6)/G6)</f>
        <v>0</v>
      </c>
    </row>
    <row r="7" spans="1:10" x14ac:dyDescent="0.45">
      <c r="A7" s="12" t="s">
        <v>167</v>
      </c>
      <c r="B7" s="12" t="s">
        <v>169</v>
      </c>
      <c r="C7" s="12" t="s">
        <v>37</v>
      </c>
      <c r="D7" s="12" t="s">
        <v>38</v>
      </c>
      <c r="E7" s="12"/>
      <c r="F7" s="12"/>
      <c r="G7" s="13">
        <v>4798.24</v>
      </c>
      <c r="H7" s="10">
        <v>4798.24</v>
      </c>
      <c r="I7" s="13">
        <f t="shared" si="0"/>
        <v>0</v>
      </c>
      <c r="J7" s="14">
        <f t="shared" si="1"/>
        <v>0</v>
      </c>
    </row>
    <row r="8" spans="1:10" x14ac:dyDescent="0.45">
      <c r="A8" s="8" t="s">
        <v>167</v>
      </c>
      <c r="B8" s="8" t="s">
        <v>170</v>
      </c>
      <c r="C8" s="8" t="s">
        <v>37</v>
      </c>
      <c r="D8" s="8" t="s">
        <v>38</v>
      </c>
      <c r="E8" s="8"/>
      <c r="F8" s="8"/>
      <c r="G8" s="9">
        <v>440</v>
      </c>
      <c r="H8" s="10">
        <v>440</v>
      </c>
      <c r="I8" s="9">
        <f t="shared" si="0"/>
        <v>0</v>
      </c>
      <c r="J8" s="11">
        <f t="shared" si="1"/>
        <v>0</v>
      </c>
    </row>
    <row r="9" spans="1:10" x14ac:dyDescent="0.45">
      <c r="A9" s="12" t="s">
        <v>167</v>
      </c>
      <c r="B9" s="12" t="s">
        <v>171</v>
      </c>
      <c r="C9" s="12" t="s">
        <v>37</v>
      </c>
      <c r="D9" s="12" t="s">
        <v>38</v>
      </c>
      <c r="E9" s="12"/>
      <c r="F9" s="12"/>
      <c r="G9" s="13">
        <v>10640.1</v>
      </c>
      <c r="H9" s="10">
        <v>10640.1</v>
      </c>
      <c r="I9" s="13">
        <f t="shared" si="0"/>
        <v>0</v>
      </c>
      <c r="J9" s="14">
        <f t="shared" si="1"/>
        <v>0</v>
      </c>
    </row>
    <row r="10" spans="1:10" x14ac:dyDescent="0.45">
      <c r="A10" s="8" t="s">
        <v>167</v>
      </c>
      <c r="B10" s="8" t="s">
        <v>172</v>
      </c>
      <c r="C10" s="8" t="s">
        <v>37</v>
      </c>
      <c r="D10" s="8" t="s">
        <v>38</v>
      </c>
      <c r="E10" s="8"/>
      <c r="F10" s="8"/>
      <c r="G10" s="9">
        <v>20250</v>
      </c>
      <c r="H10" s="10">
        <v>20250</v>
      </c>
      <c r="I10" s="9">
        <f t="shared" si="0"/>
        <v>0</v>
      </c>
      <c r="J10" s="11">
        <f t="shared" si="1"/>
        <v>0</v>
      </c>
    </row>
    <row r="11" spans="1:10" x14ac:dyDescent="0.45">
      <c r="A11" s="12" t="s">
        <v>167</v>
      </c>
      <c r="B11" s="12" t="s">
        <v>173</v>
      </c>
      <c r="C11" s="12" t="s">
        <v>37</v>
      </c>
      <c r="D11" s="12" t="s">
        <v>38</v>
      </c>
      <c r="E11" s="12"/>
      <c r="F11" s="12"/>
      <c r="G11" s="13">
        <v>15733.33</v>
      </c>
      <c r="H11" s="10">
        <v>15733.33</v>
      </c>
      <c r="I11" s="13">
        <f t="shared" si="0"/>
        <v>0</v>
      </c>
      <c r="J11" s="14">
        <f t="shared" si="1"/>
        <v>0</v>
      </c>
    </row>
    <row r="12" spans="1:10" x14ac:dyDescent="0.45">
      <c r="A12" s="8" t="s">
        <v>167</v>
      </c>
      <c r="B12" s="8" t="s">
        <v>174</v>
      </c>
      <c r="C12" s="8" t="s">
        <v>37</v>
      </c>
      <c r="D12" s="8" t="s">
        <v>38</v>
      </c>
      <c r="E12" s="8"/>
      <c r="F12" s="8"/>
      <c r="G12" s="9">
        <v>14751.92</v>
      </c>
      <c r="H12" s="10">
        <v>14751.92</v>
      </c>
      <c r="I12" s="9">
        <f t="shared" si="0"/>
        <v>0</v>
      </c>
      <c r="J12" s="11">
        <f t="shared" si="1"/>
        <v>0</v>
      </c>
    </row>
    <row r="13" spans="1:10" x14ac:dyDescent="0.45">
      <c r="A13" s="12" t="s">
        <v>167</v>
      </c>
      <c r="B13" s="12" t="s">
        <v>175</v>
      </c>
      <c r="C13" s="12" t="s">
        <v>37</v>
      </c>
      <c r="D13" s="12" t="s">
        <v>38</v>
      </c>
      <c r="E13" s="12"/>
      <c r="F13" s="12"/>
      <c r="G13" s="13">
        <v>33000</v>
      </c>
      <c r="H13" s="10">
        <v>33000</v>
      </c>
      <c r="I13" s="13">
        <f t="shared" si="0"/>
        <v>0</v>
      </c>
      <c r="J13" s="14">
        <f t="shared" si="1"/>
        <v>0</v>
      </c>
    </row>
    <row r="14" spans="1:10" x14ac:dyDescent="0.45">
      <c r="A14" s="8" t="s">
        <v>167</v>
      </c>
      <c r="B14" s="8" t="s">
        <v>176</v>
      </c>
      <c r="C14" s="8" t="s">
        <v>37</v>
      </c>
      <c r="D14" s="8" t="s">
        <v>38</v>
      </c>
      <c r="E14" s="8"/>
      <c r="F14" s="8"/>
      <c r="G14" s="9">
        <v>35000</v>
      </c>
      <c r="H14" s="10">
        <v>35000</v>
      </c>
      <c r="I14" s="9">
        <f t="shared" si="0"/>
        <v>0</v>
      </c>
      <c r="J14" s="11">
        <f t="shared" si="1"/>
        <v>0</v>
      </c>
    </row>
    <row r="15" spans="1:10" ht="22.05" customHeight="1" x14ac:dyDescent="0.45">
      <c r="A15" s="15" t="s">
        <v>46</v>
      </c>
      <c r="B15" s="15"/>
      <c r="C15" s="15"/>
      <c r="D15" s="15"/>
      <c r="E15" s="15"/>
      <c r="F15" s="15"/>
      <c r="G15" s="3">
        <f>SUM(G6:G14)</f>
        <v>139163.59</v>
      </c>
      <c r="H15" s="3">
        <f>SUM(H6:H14)</f>
        <v>139163.59</v>
      </c>
      <c r="I15" s="3">
        <f t="shared" si="0"/>
        <v>0</v>
      </c>
      <c r="J15" s="4">
        <f t="shared" si="1"/>
        <v>0</v>
      </c>
    </row>
  </sheetData>
  <mergeCells count="3">
    <mergeCell ref="A1:J1"/>
    <mergeCell ref="A3:J3"/>
    <mergeCell ref="A2:J2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500-000000000000}">
          <x14:formula1>
            <xm:f>Catalogos!$J$2:$J$4</xm:f>
          </x14:formula1>
          <xm:sqref>A6:A14</xm:sqref>
        </x14:dataValidation>
        <x14:dataValidation type="list" allowBlank="1" xr:uid="{00000000-0002-0000-0500-000001000000}">
          <x14:formula1>
            <xm:f>Catalogos!$C$2:$C$3</xm:f>
          </x14:formula1>
          <xm:sqref>C6:C14</xm:sqref>
        </x14:dataValidation>
        <x14:dataValidation type="list" allowBlank="1" xr:uid="{00000000-0002-0000-0500-000002000000}">
          <x14:formula1>
            <xm:f>Catalogos!$D$2:$D$258</xm:f>
          </x14:formula1>
          <xm:sqref>D6:D14</xm:sqref>
        </x14:dataValidation>
        <x14:dataValidation type="list" allowBlank="1" xr:uid="{00000000-0002-0000-0500-000003000000}">
          <x14:formula1>
            <xm:f>Catalogos!$Q$2:$Q$3</xm:f>
          </x14:formula1>
          <xm:sqref>E6:E14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14"/>
  <sheetViews>
    <sheetView showGridLines="0" workbookViewId="0">
      <pane ySplit="5" topLeftCell="A6" activePane="bottomLeft" state="frozen"/>
      <selection pane="bottomLeft" sqref="A1:I1"/>
    </sheetView>
  </sheetViews>
  <sheetFormatPr baseColWidth="10" defaultColWidth="9.06640625" defaultRowHeight="14.25" x14ac:dyDescent="0.45"/>
  <cols>
    <col min="1" max="1" width="28" customWidth="1"/>
    <col min="2" max="2" width="15" customWidth="1"/>
    <col min="3" max="3" width="18" customWidth="1"/>
    <col min="4" max="4" width="16" customWidth="1"/>
    <col min="5" max="5" width="15" customWidth="1"/>
    <col min="6" max="9" width="16" customWidth="1"/>
  </cols>
  <sheetData>
    <row r="1" spans="1:9" ht="30" customHeight="1" x14ac:dyDescent="0.45">
      <c r="A1" s="167" t="s">
        <v>177</v>
      </c>
      <c r="B1" s="165"/>
      <c r="C1" s="165"/>
      <c r="D1" s="165"/>
      <c r="E1" s="165"/>
      <c r="F1" s="165"/>
      <c r="G1" s="165"/>
      <c r="H1" s="165"/>
      <c r="I1" s="165"/>
    </row>
    <row r="2" spans="1:9" x14ac:dyDescent="0.45">
      <c r="A2" s="166" t="s">
        <v>48</v>
      </c>
      <c r="B2" s="165"/>
      <c r="C2" s="165"/>
      <c r="D2" s="165"/>
      <c r="E2" s="165"/>
      <c r="F2" s="165"/>
      <c r="G2" s="165"/>
      <c r="H2" s="165"/>
      <c r="I2" s="165"/>
    </row>
    <row r="3" spans="1:9" ht="5" customHeight="1" x14ac:dyDescent="0.45">
      <c r="A3" s="164"/>
      <c r="B3" s="165"/>
      <c r="C3" s="165"/>
      <c r="D3" s="165"/>
      <c r="E3" s="165"/>
      <c r="F3" s="165"/>
      <c r="G3" s="165"/>
      <c r="H3" s="165"/>
      <c r="I3" s="165"/>
    </row>
    <row r="5" spans="1:9" ht="32" customHeight="1" x14ac:dyDescent="0.45">
      <c r="A5" s="2" t="s">
        <v>178</v>
      </c>
      <c r="B5" s="2" t="s">
        <v>26</v>
      </c>
      <c r="C5" s="2" t="s">
        <v>27</v>
      </c>
      <c r="D5" s="2" t="s">
        <v>31</v>
      </c>
      <c r="E5" s="2" t="s">
        <v>32</v>
      </c>
      <c r="F5" s="2" t="s">
        <v>33</v>
      </c>
      <c r="G5" s="2" t="s">
        <v>34</v>
      </c>
      <c r="H5" s="2" t="s">
        <v>14</v>
      </c>
      <c r="I5" s="2" t="s">
        <v>15</v>
      </c>
    </row>
    <row r="6" spans="1:9" x14ac:dyDescent="0.45">
      <c r="A6" s="8"/>
      <c r="B6" s="8"/>
      <c r="C6" s="8"/>
      <c r="D6" s="8"/>
      <c r="E6" s="8"/>
      <c r="F6" s="10">
        <v>0</v>
      </c>
      <c r="G6" s="10">
        <v>0</v>
      </c>
      <c r="H6" s="9">
        <f t="shared" ref="H6:H14" si="0">G6-F6</f>
        <v>0</v>
      </c>
      <c r="I6" s="11" t="str">
        <f t="shared" ref="I6:I14" si="1">IF(F6=0,"",(G6-F6)/F6)</f>
        <v/>
      </c>
    </row>
    <row r="7" spans="1:9" x14ac:dyDescent="0.45">
      <c r="A7" s="12"/>
      <c r="B7" s="12"/>
      <c r="C7" s="12"/>
      <c r="D7" s="12"/>
      <c r="E7" s="12"/>
      <c r="F7" s="10">
        <v>0</v>
      </c>
      <c r="G7" s="10">
        <v>0</v>
      </c>
      <c r="H7" s="13">
        <f t="shared" si="0"/>
        <v>0</v>
      </c>
      <c r="I7" s="14" t="str">
        <f t="shared" si="1"/>
        <v/>
      </c>
    </row>
    <row r="8" spans="1:9" x14ac:dyDescent="0.45">
      <c r="A8" s="8"/>
      <c r="B8" s="8"/>
      <c r="C8" s="8"/>
      <c r="D8" s="8"/>
      <c r="E8" s="8"/>
      <c r="F8" s="10">
        <v>0</v>
      </c>
      <c r="G8" s="10">
        <v>0</v>
      </c>
      <c r="H8" s="9">
        <f t="shared" si="0"/>
        <v>0</v>
      </c>
      <c r="I8" s="11" t="str">
        <f t="shared" si="1"/>
        <v/>
      </c>
    </row>
    <row r="9" spans="1:9" x14ac:dyDescent="0.45">
      <c r="A9" s="12"/>
      <c r="B9" s="12"/>
      <c r="C9" s="12"/>
      <c r="D9" s="12"/>
      <c r="E9" s="12"/>
      <c r="F9" s="10">
        <v>0</v>
      </c>
      <c r="G9" s="10">
        <v>0</v>
      </c>
      <c r="H9" s="13">
        <f t="shared" si="0"/>
        <v>0</v>
      </c>
      <c r="I9" s="14" t="str">
        <f t="shared" si="1"/>
        <v/>
      </c>
    </row>
    <row r="10" spans="1:9" x14ac:dyDescent="0.45">
      <c r="A10" s="8"/>
      <c r="B10" s="8"/>
      <c r="C10" s="8"/>
      <c r="D10" s="8"/>
      <c r="E10" s="8"/>
      <c r="F10" s="10">
        <v>0</v>
      </c>
      <c r="G10" s="10">
        <v>0</v>
      </c>
      <c r="H10" s="9">
        <f t="shared" si="0"/>
        <v>0</v>
      </c>
      <c r="I10" s="11" t="str">
        <f t="shared" si="1"/>
        <v/>
      </c>
    </row>
    <row r="11" spans="1:9" x14ac:dyDescent="0.45">
      <c r="A11" s="12"/>
      <c r="B11" s="12"/>
      <c r="C11" s="12"/>
      <c r="D11" s="12"/>
      <c r="E11" s="12"/>
      <c r="F11" s="10">
        <v>0</v>
      </c>
      <c r="G11" s="10">
        <v>0</v>
      </c>
      <c r="H11" s="13">
        <f t="shared" si="0"/>
        <v>0</v>
      </c>
      <c r="I11" s="14" t="str">
        <f t="shared" si="1"/>
        <v/>
      </c>
    </row>
    <row r="12" spans="1:9" x14ac:dyDescent="0.45">
      <c r="A12" s="8"/>
      <c r="B12" s="8"/>
      <c r="C12" s="8"/>
      <c r="D12" s="8"/>
      <c r="E12" s="8"/>
      <c r="F12" s="10">
        <v>0</v>
      </c>
      <c r="G12" s="10">
        <v>0</v>
      </c>
      <c r="H12" s="9">
        <f t="shared" si="0"/>
        <v>0</v>
      </c>
      <c r="I12" s="11" t="str">
        <f t="shared" si="1"/>
        <v/>
      </c>
    </row>
    <row r="13" spans="1:9" x14ac:dyDescent="0.45">
      <c r="A13" s="12"/>
      <c r="B13" s="12"/>
      <c r="C13" s="12"/>
      <c r="D13" s="12"/>
      <c r="E13" s="12"/>
      <c r="F13" s="10">
        <v>0</v>
      </c>
      <c r="G13" s="10">
        <v>0</v>
      </c>
      <c r="H13" s="13">
        <f t="shared" si="0"/>
        <v>0</v>
      </c>
      <c r="I13" s="14" t="str">
        <f t="shared" si="1"/>
        <v/>
      </c>
    </row>
    <row r="14" spans="1:9" ht="22.05" customHeight="1" x14ac:dyDescent="0.45">
      <c r="A14" s="15" t="s">
        <v>46</v>
      </c>
      <c r="B14" s="15"/>
      <c r="C14" s="15"/>
      <c r="D14" s="15"/>
      <c r="E14" s="15"/>
      <c r="F14" s="3">
        <f>SUM(F6:F13)</f>
        <v>0</v>
      </c>
      <c r="G14" s="3">
        <f>SUM(G6:G13)</f>
        <v>0</v>
      </c>
      <c r="H14" s="3">
        <f t="shared" si="0"/>
        <v>0</v>
      </c>
      <c r="I14" s="4" t="str">
        <f t="shared" si="1"/>
        <v/>
      </c>
    </row>
  </sheetData>
  <mergeCells count="3">
    <mergeCell ref="A1:I1"/>
    <mergeCell ref="A3:I3"/>
    <mergeCell ref="A2:I2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xr:uid="{00000000-0002-0000-0600-000000000000}">
          <x14:formula1>
            <xm:f>Catalogos!$K$2:$K$9</xm:f>
          </x14:formula1>
          <xm:sqref>A6:A13</xm:sqref>
        </x14:dataValidation>
        <x14:dataValidation type="list" allowBlank="1" xr:uid="{00000000-0002-0000-0600-000001000000}">
          <x14:formula1>
            <xm:f>Catalogos!$C$2:$C$3</xm:f>
          </x14:formula1>
          <xm:sqref>B6:B13</xm:sqref>
        </x14:dataValidation>
        <x14:dataValidation type="list" allowBlank="1" xr:uid="{00000000-0002-0000-0600-000002000000}">
          <x14:formula1>
            <xm:f>Catalogos!$D$2:$D$258</xm:f>
          </x14:formula1>
          <xm:sqref>C6:C13</xm:sqref>
        </x14:dataValidation>
        <x14:dataValidation type="list" allowBlank="1" xr:uid="{00000000-0002-0000-0600-000003000000}">
          <x14:formula1>
            <xm:f>Catalogos!$Q$2:$Q$3</xm:f>
          </x14:formula1>
          <xm:sqref>D6:D13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M8"/>
  <sheetViews>
    <sheetView showGridLines="0" workbookViewId="0">
      <pane ySplit="5" topLeftCell="A6" activePane="bottomLeft" state="frozen"/>
      <selection pane="bottomLeft" sqref="A1:M1"/>
    </sheetView>
  </sheetViews>
  <sheetFormatPr baseColWidth="10" defaultColWidth="9.06640625" defaultRowHeight="14.25" x14ac:dyDescent="0.45"/>
  <cols>
    <col min="1" max="1" width="20" customWidth="1"/>
    <col min="2" max="2" width="15" customWidth="1"/>
    <col min="3" max="3" width="18" customWidth="1"/>
    <col min="4" max="5" width="22" customWidth="1"/>
    <col min="6" max="6" width="16" customWidth="1"/>
    <col min="7" max="7" width="22" customWidth="1"/>
    <col min="8" max="8" width="16" customWidth="1"/>
    <col min="9" max="9" width="15" customWidth="1"/>
    <col min="10" max="13" width="16" customWidth="1"/>
  </cols>
  <sheetData>
    <row r="1" spans="1:13" ht="30" customHeight="1" x14ac:dyDescent="0.45">
      <c r="A1" s="167" t="s">
        <v>179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</row>
    <row r="2" spans="1:13" x14ac:dyDescent="0.45">
      <c r="A2" s="166" t="s">
        <v>23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65"/>
    </row>
    <row r="3" spans="1:13" ht="5" customHeight="1" x14ac:dyDescent="0.45">
      <c r="A3" s="164"/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</row>
    <row r="5" spans="1:13" ht="32" customHeight="1" x14ac:dyDescent="0.45">
      <c r="A5" s="2" t="s">
        <v>180</v>
      </c>
      <c r="B5" s="2" t="s">
        <v>26</v>
      </c>
      <c r="C5" s="2" t="s">
        <v>27</v>
      </c>
      <c r="D5" s="2" t="s">
        <v>181</v>
      </c>
      <c r="E5" s="2" t="s">
        <v>182</v>
      </c>
      <c r="F5" s="2" t="s">
        <v>183</v>
      </c>
      <c r="G5" s="2" t="s">
        <v>184</v>
      </c>
      <c r="H5" s="2" t="s">
        <v>31</v>
      </c>
      <c r="I5" s="2" t="s">
        <v>32</v>
      </c>
      <c r="J5" s="2" t="s">
        <v>33</v>
      </c>
      <c r="K5" s="2" t="s">
        <v>34</v>
      </c>
      <c r="L5" s="2" t="s">
        <v>14</v>
      </c>
      <c r="M5" s="2" t="s">
        <v>15</v>
      </c>
    </row>
    <row r="6" spans="1:13" x14ac:dyDescent="0.45">
      <c r="A6" s="8" t="s">
        <v>185</v>
      </c>
      <c r="B6" s="8" t="s">
        <v>37</v>
      </c>
      <c r="C6" s="8" t="s">
        <v>38</v>
      </c>
      <c r="D6" s="8" t="s">
        <v>186</v>
      </c>
      <c r="E6" s="8" t="s">
        <v>187</v>
      </c>
      <c r="F6" s="8" t="s">
        <v>188</v>
      </c>
      <c r="G6" s="8" t="s">
        <v>189</v>
      </c>
      <c r="H6" s="8"/>
      <c r="I6" s="8"/>
      <c r="J6" s="9">
        <v>350000</v>
      </c>
      <c r="K6" s="10">
        <v>350000</v>
      </c>
      <c r="L6" s="9">
        <f>K6-J6</f>
        <v>0</v>
      </c>
      <c r="M6" s="11">
        <f>IF(J6=0,"",(K6-J6)/J6)</f>
        <v>0</v>
      </c>
    </row>
    <row r="7" spans="1:13" x14ac:dyDescent="0.45">
      <c r="A7" s="12" t="s">
        <v>190</v>
      </c>
      <c r="B7" s="12" t="s">
        <v>37</v>
      </c>
      <c r="C7" s="12" t="s">
        <v>38</v>
      </c>
      <c r="D7" s="12" t="s">
        <v>186</v>
      </c>
      <c r="E7" s="12" t="s">
        <v>187</v>
      </c>
      <c r="F7" s="12" t="s">
        <v>191</v>
      </c>
      <c r="G7" s="12" t="s">
        <v>192</v>
      </c>
      <c r="H7" s="12"/>
      <c r="I7" s="12"/>
      <c r="J7" s="13">
        <v>325000</v>
      </c>
      <c r="K7" s="10">
        <v>325000</v>
      </c>
      <c r="L7" s="13">
        <f>K7-J7</f>
        <v>0</v>
      </c>
      <c r="M7" s="14">
        <f>IF(J7=0,"",(K7-J7)/J7)</f>
        <v>0</v>
      </c>
    </row>
    <row r="8" spans="1:13" ht="22.05" customHeight="1" x14ac:dyDescent="0.45">
      <c r="A8" s="15" t="s">
        <v>46</v>
      </c>
      <c r="B8" s="15"/>
      <c r="C8" s="15"/>
      <c r="D8" s="15"/>
      <c r="E8" s="15"/>
      <c r="F8" s="15"/>
      <c r="G8" s="15"/>
      <c r="H8" s="15"/>
      <c r="I8" s="15"/>
      <c r="J8" s="3">
        <f>SUM(J6:J7)</f>
        <v>675000</v>
      </c>
      <c r="K8" s="3">
        <f>SUM(K6:K7)</f>
        <v>675000</v>
      </c>
      <c r="L8" s="3">
        <f>K8-J8</f>
        <v>0</v>
      </c>
      <c r="M8" s="4">
        <f>IF(J8=0,"",(K8-J8)/J8)</f>
        <v>0</v>
      </c>
    </row>
  </sheetData>
  <mergeCells count="3">
    <mergeCell ref="A3:M3"/>
    <mergeCell ref="A2:M2"/>
    <mergeCell ref="A1:M1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00000000-0002-0000-0700-000000000000}">
          <x14:formula1>
            <xm:f>Catalogos!$L$2:$L$10</xm:f>
          </x14:formula1>
          <xm:sqref>A6:A7</xm:sqref>
        </x14:dataValidation>
        <x14:dataValidation type="list" allowBlank="1" xr:uid="{00000000-0002-0000-0700-000001000000}">
          <x14:formula1>
            <xm:f>Catalogos!$C$2:$C$3</xm:f>
          </x14:formula1>
          <xm:sqref>B6:B7</xm:sqref>
        </x14:dataValidation>
        <x14:dataValidation type="list" allowBlank="1" xr:uid="{00000000-0002-0000-0700-000002000000}">
          <x14:formula1>
            <xm:f>Catalogos!$D$2:$D$258</xm:f>
          </x14:formula1>
          <xm:sqref>C6:C7</xm:sqref>
        </x14:dataValidation>
        <x14:dataValidation type="list" allowBlank="1" xr:uid="{00000000-0002-0000-0700-000003000000}">
          <x14:formula1>
            <xm:f>Catalogos!$M$2:$M$25</xm:f>
          </x14:formula1>
          <xm:sqref>D6:D7</xm:sqref>
        </x14:dataValidation>
        <x14:dataValidation type="list" allowBlank="1" xr:uid="{00000000-0002-0000-0700-000004000000}">
          <x14:formula1>
            <xm:f>Catalogos!$N$2:$N$222</xm:f>
          </x14:formula1>
          <xm:sqref>E6:E7</xm:sqref>
        </x14:dataValidation>
        <x14:dataValidation type="list" allowBlank="1" xr:uid="{00000000-0002-0000-0700-000005000000}">
          <x14:formula1>
            <xm:f>Catalogos!$Q$2:$Q$3</xm:f>
          </x14:formula1>
          <xm:sqref>H6:H7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I14"/>
  <sheetViews>
    <sheetView showGridLines="0" workbookViewId="0">
      <pane ySplit="5" topLeftCell="A6" activePane="bottomLeft" state="frozen"/>
      <selection pane="bottomLeft" sqref="A1:I1"/>
    </sheetView>
  </sheetViews>
  <sheetFormatPr baseColWidth="10" defaultColWidth="9.06640625" defaultRowHeight="14.25" x14ac:dyDescent="0.45"/>
  <cols>
    <col min="1" max="1" width="16" customWidth="1"/>
    <col min="2" max="2" width="20" customWidth="1"/>
    <col min="3" max="3" width="32" customWidth="1"/>
    <col min="4" max="4" width="16" customWidth="1"/>
    <col min="5" max="5" width="15" customWidth="1"/>
    <col min="6" max="9" width="16" customWidth="1"/>
  </cols>
  <sheetData>
    <row r="1" spans="1:9" ht="30" customHeight="1" x14ac:dyDescent="0.45">
      <c r="A1" s="167" t="s">
        <v>193</v>
      </c>
      <c r="B1" s="165"/>
      <c r="C1" s="165"/>
      <c r="D1" s="165"/>
      <c r="E1" s="165"/>
      <c r="F1" s="165"/>
      <c r="G1" s="165"/>
      <c r="H1" s="165"/>
      <c r="I1" s="165"/>
    </row>
    <row r="2" spans="1:9" x14ac:dyDescent="0.45">
      <c r="A2" s="166" t="s">
        <v>48</v>
      </c>
      <c r="B2" s="165"/>
      <c r="C2" s="165"/>
      <c r="D2" s="165"/>
      <c r="E2" s="165"/>
      <c r="F2" s="165"/>
      <c r="G2" s="165"/>
      <c r="H2" s="165"/>
      <c r="I2" s="165"/>
    </row>
    <row r="3" spans="1:9" ht="5" customHeight="1" x14ac:dyDescent="0.45">
      <c r="A3" s="164"/>
      <c r="B3" s="165"/>
      <c r="C3" s="165"/>
      <c r="D3" s="165"/>
      <c r="E3" s="165"/>
      <c r="F3" s="165"/>
      <c r="G3" s="165"/>
      <c r="H3" s="165"/>
      <c r="I3" s="165"/>
    </row>
    <row r="5" spans="1:9" ht="32" customHeight="1" x14ac:dyDescent="0.45">
      <c r="A5" s="2" t="s">
        <v>26</v>
      </c>
      <c r="B5" s="2" t="s">
        <v>27</v>
      </c>
      <c r="C5" s="2" t="s">
        <v>194</v>
      </c>
      <c r="D5" s="2" t="s">
        <v>31</v>
      </c>
      <c r="E5" s="2" t="s">
        <v>32</v>
      </c>
      <c r="F5" s="2" t="s">
        <v>33</v>
      </c>
      <c r="G5" s="2" t="s">
        <v>34</v>
      </c>
      <c r="H5" s="2" t="s">
        <v>14</v>
      </c>
      <c r="I5" s="2" t="s">
        <v>15</v>
      </c>
    </row>
    <row r="6" spans="1:9" x14ac:dyDescent="0.45">
      <c r="A6" s="8"/>
      <c r="B6" s="8"/>
      <c r="C6" s="8"/>
      <c r="D6" s="8"/>
      <c r="E6" s="8"/>
      <c r="F6" s="10">
        <v>0</v>
      </c>
      <c r="G6" s="10">
        <v>0</v>
      </c>
      <c r="H6" s="9">
        <f t="shared" ref="H6:H14" si="0">G6-F6</f>
        <v>0</v>
      </c>
      <c r="I6" s="11" t="str">
        <f t="shared" ref="I6:I14" si="1">IF(F6=0,"",(G6-F6)/F6)</f>
        <v/>
      </c>
    </row>
    <row r="7" spans="1:9" x14ac:dyDescent="0.45">
      <c r="A7" s="12"/>
      <c r="B7" s="12"/>
      <c r="C7" s="12"/>
      <c r="D7" s="12"/>
      <c r="E7" s="12"/>
      <c r="F7" s="10">
        <v>0</v>
      </c>
      <c r="G7" s="10">
        <v>0</v>
      </c>
      <c r="H7" s="13">
        <f t="shared" si="0"/>
        <v>0</v>
      </c>
      <c r="I7" s="14" t="str">
        <f t="shared" si="1"/>
        <v/>
      </c>
    </row>
    <row r="8" spans="1:9" x14ac:dyDescent="0.45">
      <c r="A8" s="8"/>
      <c r="B8" s="8"/>
      <c r="C8" s="8"/>
      <c r="D8" s="8"/>
      <c r="E8" s="8"/>
      <c r="F8" s="10">
        <v>0</v>
      </c>
      <c r="G8" s="10">
        <v>0</v>
      </c>
      <c r="H8" s="9">
        <f t="shared" si="0"/>
        <v>0</v>
      </c>
      <c r="I8" s="11" t="str">
        <f t="shared" si="1"/>
        <v/>
      </c>
    </row>
    <row r="9" spans="1:9" x14ac:dyDescent="0.45">
      <c r="A9" s="12"/>
      <c r="B9" s="12"/>
      <c r="C9" s="12"/>
      <c r="D9" s="12"/>
      <c r="E9" s="12"/>
      <c r="F9" s="10">
        <v>0</v>
      </c>
      <c r="G9" s="10">
        <v>0</v>
      </c>
      <c r="H9" s="13">
        <f t="shared" si="0"/>
        <v>0</v>
      </c>
      <c r="I9" s="14" t="str">
        <f t="shared" si="1"/>
        <v/>
      </c>
    </row>
    <row r="10" spans="1:9" x14ac:dyDescent="0.45">
      <c r="A10" s="8"/>
      <c r="B10" s="8"/>
      <c r="C10" s="8"/>
      <c r="D10" s="8"/>
      <c r="E10" s="8"/>
      <c r="F10" s="10">
        <v>0</v>
      </c>
      <c r="G10" s="10">
        <v>0</v>
      </c>
      <c r="H10" s="9">
        <f t="shared" si="0"/>
        <v>0</v>
      </c>
      <c r="I10" s="11" t="str">
        <f t="shared" si="1"/>
        <v/>
      </c>
    </row>
    <row r="11" spans="1:9" x14ac:dyDescent="0.45">
      <c r="A11" s="12"/>
      <c r="B11" s="12"/>
      <c r="C11" s="12"/>
      <c r="D11" s="12"/>
      <c r="E11" s="12"/>
      <c r="F11" s="10">
        <v>0</v>
      </c>
      <c r="G11" s="10">
        <v>0</v>
      </c>
      <c r="H11" s="13">
        <f t="shared" si="0"/>
        <v>0</v>
      </c>
      <c r="I11" s="14" t="str">
        <f t="shared" si="1"/>
        <v/>
      </c>
    </row>
    <row r="12" spans="1:9" x14ac:dyDescent="0.45">
      <c r="A12" s="8"/>
      <c r="B12" s="8"/>
      <c r="C12" s="8"/>
      <c r="D12" s="8"/>
      <c r="E12" s="8"/>
      <c r="F12" s="10">
        <v>0</v>
      </c>
      <c r="G12" s="10">
        <v>0</v>
      </c>
      <c r="H12" s="9">
        <f t="shared" si="0"/>
        <v>0</v>
      </c>
      <c r="I12" s="11" t="str">
        <f t="shared" si="1"/>
        <v/>
      </c>
    </row>
    <row r="13" spans="1:9" x14ac:dyDescent="0.45">
      <c r="A13" s="12"/>
      <c r="B13" s="12"/>
      <c r="C13" s="12"/>
      <c r="D13" s="12"/>
      <c r="E13" s="12"/>
      <c r="F13" s="10">
        <v>0</v>
      </c>
      <c r="G13" s="10">
        <v>0</v>
      </c>
      <c r="H13" s="13">
        <f t="shared" si="0"/>
        <v>0</v>
      </c>
      <c r="I13" s="14" t="str">
        <f t="shared" si="1"/>
        <v/>
      </c>
    </row>
    <row r="14" spans="1:9" ht="22.05" customHeight="1" x14ac:dyDescent="0.45">
      <c r="A14" s="15" t="s">
        <v>46</v>
      </c>
      <c r="B14" s="15"/>
      <c r="C14" s="15"/>
      <c r="D14" s="15"/>
      <c r="E14" s="15"/>
      <c r="F14" s="3">
        <f>SUM(F6:F13)</f>
        <v>0</v>
      </c>
      <c r="G14" s="3">
        <f>SUM(G6:G13)</f>
        <v>0</v>
      </c>
      <c r="H14" s="3">
        <f t="shared" si="0"/>
        <v>0</v>
      </c>
      <c r="I14" s="4" t="str">
        <f t="shared" si="1"/>
        <v/>
      </c>
    </row>
  </sheetData>
  <mergeCells count="3">
    <mergeCell ref="A1:I1"/>
    <mergeCell ref="A3:I3"/>
    <mergeCell ref="A2:I2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800-000000000000}">
          <x14:formula1>
            <xm:f>Catalogos!$C$2:$C$3</xm:f>
          </x14:formula1>
          <xm:sqref>A6:A13</xm:sqref>
        </x14:dataValidation>
        <x14:dataValidation type="list" allowBlank="1" xr:uid="{00000000-0002-0000-0800-000001000000}">
          <x14:formula1>
            <xm:f>Catalogos!$D$2:$D$258</xm:f>
          </x14:formula1>
          <xm:sqref>B6:B13</xm:sqref>
        </x14:dataValidation>
        <x14:dataValidation type="list" allowBlank="1" xr:uid="{00000000-0002-0000-0800-000002000000}">
          <x14:formula1>
            <xm:f>Catalogos!$Q$2:$Q$3</xm:f>
          </x14:formula1>
          <xm:sqref>D6:D13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L11"/>
  <sheetViews>
    <sheetView showGridLines="0" workbookViewId="0">
      <pane ySplit="5" topLeftCell="A6" activePane="bottomLeft" state="frozen"/>
      <selection pane="bottomLeft" sqref="A1:L1"/>
    </sheetView>
  </sheetViews>
  <sheetFormatPr baseColWidth="10" defaultColWidth="9.06640625" defaultRowHeight="14.25" x14ac:dyDescent="0.45"/>
  <cols>
    <col min="1" max="1" width="22" customWidth="1"/>
    <col min="2" max="3" width="18" customWidth="1"/>
    <col min="4" max="4" width="26" customWidth="1"/>
    <col min="5" max="5" width="18" customWidth="1"/>
    <col min="6" max="6" width="20" customWidth="1"/>
    <col min="7" max="7" width="18" customWidth="1"/>
    <col min="8" max="8" width="15" customWidth="1"/>
    <col min="9" max="12" width="16" customWidth="1"/>
  </cols>
  <sheetData>
    <row r="1" spans="1:12" ht="30" customHeight="1" x14ac:dyDescent="0.45">
      <c r="A1" s="167" t="s">
        <v>195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</row>
    <row r="2" spans="1:12" x14ac:dyDescent="0.45">
      <c r="A2" s="166" t="s">
        <v>23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</row>
    <row r="3" spans="1:12" ht="5" customHeight="1" x14ac:dyDescent="0.45">
      <c r="A3" s="164"/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5" spans="1:12" ht="32" customHeight="1" x14ac:dyDescent="0.45">
      <c r="A5" s="2" t="s">
        <v>196</v>
      </c>
      <c r="B5" s="2" t="s">
        <v>197</v>
      </c>
      <c r="C5" s="2" t="s">
        <v>27</v>
      </c>
      <c r="D5" s="2" t="s">
        <v>198</v>
      </c>
      <c r="E5" s="2" t="s">
        <v>55</v>
      </c>
      <c r="F5" s="2" t="s">
        <v>56</v>
      </c>
      <c r="G5" s="2" t="s">
        <v>199</v>
      </c>
      <c r="H5" s="2" t="s">
        <v>30</v>
      </c>
      <c r="I5" s="2" t="s">
        <v>33</v>
      </c>
      <c r="J5" s="2" t="s">
        <v>34</v>
      </c>
      <c r="K5" s="2" t="s">
        <v>14</v>
      </c>
      <c r="L5" s="2" t="s">
        <v>15</v>
      </c>
    </row>
    <row r="6" spans="1:12" x14ac:dyDescent="0.45">
      <c r="A6" s="8" t="s">
        <v>35</v>
      </c>
      <c r="B6" s="8" t="s">
        <v>37</v>
      </c>
      <c r="C6" s="8" t="s">
        <v>38</v>
      </c>
      <c r="D6" s="8" t="s">
        <v>200</v>
      </c>
      <c r="E6" s="8" t="s">
        <v>59</v>
      </c>
      <c r="F6" s="8" t="s">
        <v>201</v>
      </c>
      <c r="G6" s="8"/>
      <c r="H6" s="8" t="s">
        <v>41</v>
      </c>
      <c r="I6" s="9">
        <v>22093.72</v>
      </c>
      <c r="J6" s="10">
        <v>22093.72</v>
      </c>
      <c r="K6" s="9">
        <f t="shared" ref="K6:K11" si="0">J6-I6</f>
        <v>0</v>
      </c>
      <c r="L6" s="11">
        <f t="shared" ref="L6:L11" si="1">IF(I6=0,"",(J6-I6)/I6)</f>
        <v>0</v>
      </c>
    </row>
    <row r="7" spans="1:12" x14ac:dyDescent="0.45">
      <c r="A7" s="12" t="s">
        <v>35</v>
      </c>
      <c r="B7" s="12" t="s">
        <v>37</v>
      </c>
      <c r="C7" s="12" t="s">
        <v>38</v>
      </c>
      <c r="D7" s="12" t="s">
        <v>202</v>
      </c>
      <c r="E7" s="12" t="s">
        <v>59</v>
      </c>
      <c r="F7" s="12" t="s">
        <v>203</v>
      </c>
      <c r="G7" s="12"/>
      <c r="H7" s="12" t="s">
        <v>41</v>
      </c>
      <c r="I7" s="13">
        <v>1904.19</v>
      </c>
      <c r="J7" s="10">
        <v>1904.19</v>
      </c>
      <c r="K7" s="13">
        <f t="shared" si="0"/>
        <v>0</v>
      </c>
      <c r="L7" s="14">
        <f t="shared" si="1"/>
        <v>0</v>
      </c>
    </row>
    <row r="8" spans="1:12" x14ac:dyDescent="0.45">
      <c r="A8" s="8" t="s">
        <v>204</v>
      </c>
      <c r="B8" s="8" t="s">
        <v>37</v>
      </c>
      <c r="C8" s="8" t="s">
        <v>38</v>
      </c>
      <c r="D8" s="8" t="s">
        <v>205</v>
      </c>
      <c r="E8" s="8" t="s">
        <v>59</v>
      </c>
      <c r="F8" s="8" t="s">
        <v>206</v>
      </c>
      <c r="G8" s="8"/>
      <c r="H8" s="8" t="s">
        <v>41</v>
      </c>
      <c r="I8" s="9">
        <v>1963.99</v>
      </c>
      <c r="J8" s="10">
        <v>1963.99</v>
      </c>
      <c r="K8" s="9">
        <f t="shared" si="0"/>
        <v>0</v>
      </c>
      <c r="L8" s="11">
        <f t="shared" si="1"/>
        <v>0</v>
      </c>
    </row>
    <row r="9" spans="1:12" x14ac:dyDescent="0.45">
      <c r="A9" s="12" t="s">
        <v>204</v>
      </c>
      <c r="B9" s="12" t="s">
        <v>37</v>
      </c>
      <c r="C9" s="12" t="s">
        <v>38</v>
      </c>
      <c r="D9" s="12" t="s">
        <v>159</v>
      </c>
      <c r="E9" s="12" t="s">
        <v>59</v>
      </c>
      <c r="F9" s="12" t="s">
        <v>160</v>
      </c>
      <c r="G9" s="12"/>
      <c r="H9" s="12" t="s">
        <v>41</v>
      </c>
      <c r="I9" s="13">
        <v>6925.06</v>
      </c>
      <c r="J9" s="10">
        <v>6925.06</v>
      </c>
      <c r="K9" s="13">
        <f t="shared" si="0"/>
        <v>0</v>
      </c>
      <c r="L9" s="14">
        <f t="shared" si="1"/>
        <v>0</v>
      </c>
    </row>
    <row r="10" spans="1:12" x14ac:dyDescent="0.45">
      <c r="A10" s="8" t="s">
        <v>207</v>
      </c>
      <c r="B10" s="8" t="s">
        <v>37</v>
      </c>
      <c r="C10" s="8" t="s">
        <v>38</v>
      </c>
      <c r="D10" s="8" t="s">
        <v>208</v>
      </c>
      <c r="E10" s="8" t="s">
        <v>59</v>
      </c>
      <c r="F10" s="8" t="s">
        <v>209</v>
      </c>
      <c r="G10" s="8"/>
      <c r="H10" s="8" t="s">
        <v>41</v>
      </c>
      <c r="I10" s="9">
        <v>3018.61</v>
      </c>
      <c r="J10" s="10">
        <v>3018.61</v>
      </c>
      <c r="K10" s="9">
        <f t="shared" si="0"/>
        <v>0</v>
      </c>
      <c r="L10" s="11">
        <f t="shared" si="1"/>
        <v>0</v>
      </c>
    </row>
    <row r="11" spans="1:12" ht="22.05" customHeight="1" x14ac:dyDescent="0.45">
      <c r="A11" s="16" t="s">
        <v>46</v>
      </c>
      <c r="B11" s="16"/>
      <c r="C11" s="16"/>
      <c r="D11" s="16"/>
      <c r="E11" s="16"/>
      <c r="F11" s="16"/>
      <c r="G11" s="16"/>
      <c r="H11" s="16"/>
      <c r="I11" s="5">
        <f>SUM(I6:I10)</f>
        <v>35905.57</v>
      </c>
      <c r="J11" s="5">
        <f>SUM(J6:J10)</f>
        <v>35905.57</v>
      </c>
      <c r="K11" s="5">
        <f t="shared" si="0"/>
        <v>0</v>
      </c>
      <c r="L11" s="6">
        <f t="shared" si="1"/>
        <v>0</v>
      </c>
    </row>
  </sheetData>
  <mergeCells count="3">
    <mergeCell ref="A3:L3"/>
    <mergeCell ref="A2:L2"/>
    <mergeCell ref="A1:L1"/>
  </mergeCell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00000000-0002-0000-0900-000000000000}">
          <x14:formula1>
            <xm:f>Catalogos!$O$2:$O$9</xm:f>
          </x14:formula1>
          <xm:sqref>A6:A10</xm:sqref>
        </x14:dataValidation>
        <x14:dataValidation type="list" allowBlank="1" xr:uid="{00000000-0002-0000-0900-000001000000}">
          <x14:formula1>
            <xm:f>Catalogos!$C$2:$C$3</xm:f>
          </x14:formula1>
          <xm:sqref>B6:B10</xm:sqref>
        </x14:dataValidation>
        <x14:dataValidation type="list" allowBlank="1" xr:uid="{00000000-0002-0000-0900-000002000000}">
          <x14:formula1>
            <xm:f>Catalogos!$D$2:$D$258</xm:f>
          </x14:formula1>
          <xm:sqref>C6:C10</xm:sqref>
        </x14:dataValidation>
        <x14:dataValidation type="list" allowBlank="1" xr:uid="{00000000-0002-0000-0900-000003000000}">
          <x14:formula1>
            <xm:f>Catalogos!$P$2:$P$5</xm:f>
          </x14:formula1>
          <xm:sqref>E6:E10</xm:sqref>
        </x14:dataValidation>
        <x14:dataValidation type="list" allowBlank="1" xr:uid="{00000000-0002-0000-0900-000004000000}">
          <x14:formula1>
            <xm:f>Catalogos!$F$2:$F$3</xm:f>
          </x14:formula1>
          <xm:sqref>H6:H10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15"/>
  <sheetViews>
    <sheetView showGridLines="0" workbookViewId="0">
      <selection sqref="A1:E1"/>
    </sheetView>
  </sheetViews>
  <sheetFormatPr baseColWidth="10" defaultColWidth="9.06640625" defaultRowHeight="14.25" x14ac:dyDescent="0.45"/>
  <cols>
    <col min="1" max="1" width="3" customWidth="1"/>
    <col min="2" max="2" width="32" customWidth="1"/>
    <col min="3" max="4" width="14" customWidth="1"/>
    <col min="5" max="5" width="22" customWidth="1"/>
  </cols>
  <sheetData>
    <row r="1" spans="1:5" ht="30" customHeight="1" x14ac:dyDescent="0.45">
      <c r="A1" s="167" t="s">
        <v>210</v>
      </c>
      <c r="B1" s="165"/>
      <c r="C1" s="165"/>
      <c r="D1" s="165"/>
      <c r="E1" s="165"/>
    </row>
    <row r="2" spans="1:5" x14ac:dyDescent="0.45">
      <c r="A2" s="166" t="s">
        <v>211</v>
      </c>
      <c r="B2" s="165"/>
      <c r="C2" s="165"/>
      <c r="D2" s="165"/>
      <c r="E2" s="165"/>
    </row>
    <row r="3" spans="1:5" ht="5" customHeight="1" x14ac:dyDescent="0.45">
      <c r="A3" s="164"/>
      <c r="B3" s="165"/>
      <c r="C3" s="165"/>
      <c r="D3" s="165"/>
      <c r="E3" s="165"/>
    </row>
    <row r="5" spans="1:5" ht="20" customHeight="1" x14ac:dyDescent="0.45">
      <c r="B5" s="171" t="s">
        <v>212</v>
      </c>
      <c r="C5" s="172"/>
      <c r="D5" s="172"/>
      <c r="E5" s="17">
        <v>105337.34</v>
      </c>
    </row>
    <row r="7" spans="1:5" ht="26" customHeight="1" x14ac:dyDescent="0.45">
      <c r="B7" s="170" t="s">
        <v>213</v>
      </c>
      <c r="C7" s="165"/>
      <c r="D7" s="165"/>
      <c r="E7" s="2" t="s">
        <v>214</v>
      </c>
    </row>
    <row r="8" spans="1:5" ht="22.05" customHeight="1" x14ac:dyDescent="0.45">
      <c r="B8" s="168" t="s">
        <v>215</v>
      </c>
      <c r="C8" s="169"/>
      <c r="D8" s="169"/>
      <c r="E8" s="18" t="s">
        <v>216</v>
      </c>
    </row>
    <row r="9" spans="1:5" ht="22.05" customHeight="1" x14ac:dyDescent="0.45">
      <c r="B9" s="168" t="s">
        <v>217</v>
      </c>
      <c r="C9" s="169"/>
      <c r="D9" s="169"/>
      <c r="E9" s="18" t="s">
        <v>218</v>
      </c>
    </row>
    <row r="10" spans="1:5" ht="22.05" customHeight="1" x14ac:dyDescent="0.45">
      <c r="B10" s="168" t="s">
        <v>219</v>
      </c>
      <c r="C10" s="169"/>
      <c r="D10" s="169"/>
      <c r="E10" s="18" t="s">
        <v>218</v>
      </c>
    </row>
    <row r="11" spans="1:5" ht="22.05" customHeight="1" x14ac:dyDescent="0.45">
      <c r="B11" s="168" t="s">
        <v>220</v>
      </c>
      <c r="C11" s="169"/>
      <c r="D11" s="169"/>
      <c r="E11" s="18" t="s">
        <v>218</v>
      </c>
    </row>
    <row r="12" spans="1:5" ht="22.05" customHeight="1" x14ac:dyDescent="0.45">
      <c r="B12" s="168" t="s">
        <v>221</v>
      </c>
      <c r="C12" s="169"/>
      <c r="D12" s="169"/>
      <c r="E12" s="18" t="s">
        <v>218</v>
      </c>
    </row>
    <row r="13" spans="1:5" ht="22.05" customHeight="1" x14ac:dyDescent="0.45">
      <c r="B13" s="168" t="s">
        <v>222</v>
      </c>
      <c r="C13" s="169"/>
      <c r="D13" s="169"/>
      <c r="E13" s="18" t="s">
        <v>216</v>
      </c>
    </row>
    <row r="15" spans="1:5" x14ac:dyDescent="0.45">
      <c r="B15" s="7" t="s">
        <v>223</v>
      </c>
    </row>
  </sheetData>
  <mergeCells count="11">
    <mergeCell ref="B13:D13"/>
    <mergeCell ref="A1:E1"/>
    <mergeCell ref="B12:D12"/>
    <mergeCell ref="B7:D7"/>
    <mergeCell ref="A3:E3"/>
    <mergeCell ref="B10:D10"/>
    <mergeCell ref="B11:D11"/>
    <mergeCell ref="B5:D5"/>
    <mergeCell ref="A2:E2"/>
    <mergeCell ref="B8:D8"/>
    <mergeCell ref="B9:D9"/>
  </mergeCells>
  <dataValidations count="1">
    <dataValidation type="list" sqref="E8:E13" xr:uid="{00000000-0002-0000-0A00-000000000000}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F20"/>
  <sheetViews>
    <sheetView showGridLines="0" tabSelected="1" workbookViewId="0">
      <selection activeCell="A2" sqref="A1:F2"/>
    </sheetView>
  </sheetViews>
  <sheetFormatPr baseColWidth="10" defaultColWidth="9.06640625" defaultRowHeight="14.25" x14ac:dyDescent="0.45"/>
  <cols>
    <col min="1" max="1" width="3" customWidth="1"/>
    <col min="2" max="5" width="22" customWidth="1"/>
  </cols>
  <sheetData>
    <row r="1" spans="1:6" ht="30" customHeight="1" x14ac:dyDescent="0.45">
      <c r="A1" s="167" t="s">
        <v>224</v>
      </c>
      <c r="B1" s="165"/>
      <c r="C1" s="165"/>
      <c r="D1" s="165"/>
      <c r="E1" s="165"/>
      <c r="F1" s="165"/>
    </row>
    <row r="2" spans="1:6" x14ac:dyDescent="0.45">
      <c r="A2" s="166" t="s">
        <v>225</v>
      </c>
      <c r="B2" s="165"/>
      <c r="C2" s="165"/>
      <c r="D2" s="165"/>
      <c r="E2" s="165"/>
      <c r="F2" s="165"/>
    </row>
    <row r="3" spans="1:6" ht="5" customHeight="1" x14ac:dyDescent="0.45">
      <c r="A3" s="164"/>
      <c r="B3" s="165"/>
      <c r="C3" s="165"/>
      <c r="D3" s="165"/>
      <c r="E3" s="165"/>
      <c r="F3" s="165"/>
    </row>
    <row r="5" spans="1:6" x14ac:dyDescent="0.45">
      <c r="B5" s="173" t="s">
        <v>226</v>
      </c>
      <c r="C5" s="169"/>
      <c r="D5" s="169"/>
    </row>
    <row r="6" spans="1:6" x14ac:dyDescent="0.45">
      <c r="B6" s="169"/>
      <c r="C6" s="169"/>
      <c r="D6" s="169"/>
    </row>
    <row r="7" spans="1:6" x14ac:dyDescent="0.45">
      <c r="B7" s="19" t="s">
        <v>227</v>
      </c>
    </row>
    <row r="9" spans="1:6" x14ac:dyDescent="0.45">
      <c r="B9" s="20" t="s">
        <v>228</v>
      </c>
    </row>
    <row r="10" spans="1:6" x14ac:dyDescent="0.45">
      <c r="B10" s="21" t="s">
        <v>229</v>
      </c>
    </row>
    <row r="11" spans="1:6" x14ac:dyDescent="0.45">
      <c r="B11" s="21" t="s">
        <v>230</v>
      </c>
    </row>
    <row r="12" spans="1:6" x14ac:dyDescent="0.45">
      <c r="B12" s="21" t="s">
        <v>231</v>
      </c>
    </row>
    <row r="13" spans="1:6" x14ac:dyDescent="0.45">
      <c r="B13" s="21" t="s">
        <v>232</v>
      </c>
    </row>
    <row r="14" spans="1:6" x14ac:dyDescent="0.45">
      <c r="B14" s="21"/>
    </row>
    <row r="15" spans="1:6" x14ac:dyDescent="0.45">
      <c r="B15" s="20" t="s">
        <v>233</v>
      </c>
    </row>
    <row r="16" spans="1:6" x14ac:dyDescent="0.45">
      <c r="B16" s="21" t="s">
        <v>234</v>
      </c>
    </row>
    <row r="17" spans="2:2" x14ac:dyDescent="0.45">
      <c r="B17" s="21" t="s">
        <v>235</v>
      </c>
    </row>
    <row r="18" spans="2:2" x14ac:dyDescent="0.45">
      <c r="B18" s="21" t="s">
        <v>236</v>
      </c>
    </row>
    <row r="19" spans="2:2" x14ac:dyDescent="0.45">
      <c r="B19" s="21"/>
    </row>
    <row r="20" spans="2:2" x14ac:dyDescent="0.45">
      <c r="B20" s="21" t="s">
        <v>237</v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ption Button 1">
              <controlPr defaultSize="0" autoFill="0" autoLine="0" autoPict="0" macro="[0]!GenerarXmlSRI.GenerarXmlSRI">
                <anchor moveWithCells="1">
                  <from>
                    <xdr:col>1</xdr:col>
                    <xdr:colOff>295275</xdr:colOff>
                    <xdr:row>4</xdr:row>
                    <xdr:rowOff>109538</xdr:rowOff>
                  </from>
                  <to>
                    <xdr:col>1</xdr:col>
                    <xdr:colOff>604838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B34"/>
  <sheetViews>
    <sheetView showGridLines="0" topLeftCell="A17" workbookViewId="0">
      <selection activeCell="E36" sqref="E36"/>
    </sheetView>
  </sheetViews>
  <sheetFormatPr baseColWidth="10" defaultColWidth="9.06640625" defaultRowHeight="14.25" x14ac:dyDescent="0.45"/>
  <cols>
    <col min="1" max="1" width="42" customWidth="1"/>
    <col min="2" max="2" width="40" customWidth="1"/>
  </cols>
  <sheetData>
    <row r="1" spans="1:2" ht="30" customHeight="1" x14ac:dyDescent="0.45">
      <c r="A1" s="167" t="s">
        <v>238</v>
      </c>
      <c r="B1" s="165"/>
    </row>
    <row r="2" spans="1:2" x14ac:dyDescent="0.45">
      <c r="A2" s="166" t="s">
        <v>239</v>
      </c>
      <c r="B2" s="165"/>
    </row>
    <row r="3" spans="1:2" ht="5" customHeight="1" x14ac:dyDescent="0.45">
      <c r="A3" s="164"/>
      <c r="B3" s="165"/>
    </row>
    <row r="5" spans="1:2" ht="20" customHeight="1" x14ac:dyDescent="0.45">
      <c r="A5" s="174" t="s">
        <v>240</v>
      </c>
      <c r="B5" s="165"/>
    </row>
    <row r="6" spans="1:2" x14ac:dyDescent="0.45">
      <c r="A6" s="22" t="s">
        <v>241</v>
      </c>
      <c r="B6" s="23">
        <v>2025</v>
      </c>
    </row>
    <row r="7" spans="1:2" x14ac:dyDescent="0.45">
      <c r="A7" s="22" t="s">
        <v>242</v>
      </c>
      <c r="B7" s="23" t="s">
        <v>243</v>
      </c>
    </row>
    <row r="8" spans="1:2" x14ac:dyDescent="0.45">
      <c r="A8" s="22" t="s">
        <v>55</v>
      </c>
      <c r="B8" s="23" t="s">
        <v>59</v>
      </c>
    </row>
    <row r="9" spans="1:2" x14ac:dyDescent="0.45">
      <c r="A9" s="22" t="s">
        <v>244</v>
      </c>
      <c r="B9" s="23" t="s">
        <v>245</v>
      </c>
    </row>
    <row r="10" spans="1:2" x14ac:dyDescent="0.45">
      <c r="A10" s="22" t="s">
        <v>246</v>
      </c>
      <c r="B10" s="23" t="s">
        <v>247</v>
      </c>
    </row>
    <row r="11" spans="1:2" x14ac:dyDescent="0.45">
      <c r="A11" s="22" t="s">
        <v>248</v>
      </c>
      <c r="B11" s="23" t="s">
        <v>249</v>
      </c>
    </row>
    <row r="12" spans="1:2" x14ac:dyDescent="0.45">
      <c r="A12" s="22" t="s">
        <v>250</v>
      </c>
      <c r="B12" s="23" t="s">
        <v>251</v>
      </c>
    </row>
    <row r="13" spans="1:2" x14ac:dyDescent="0.45">
      <c r="A13" s="22" t="s">
        <v>252</v>
      </c>
      <c r="B13" s="23" t="s">
        <v>253</v>
      </c>
    </row>
    <row r="14" spans="1:2" x14ac:dyDescent="0.45">
      <c r="A14" s="22" t="s">
        <v>254</v>
      </c>
      <c r="B14" s="23"/>
    </row>
    <row r="16" spans="1:2" ht="20" customHeight="1" x14ac:dyDescent="0.45">
      <c r="A16" s="174" t="s">
        <v>255</v>
      </c>
      <c r="B16" s="165"/>
    </row>
    <row r="17" spans="1:2" x14ac:dyDescent="0.45">
      <c r="A17" s="22" t="s">
        <v>256</v>
      </c>
      <c r="B17" s="9">
        <v>1354534.61</v>
      </c>
    </row>
    <row r="18" spans="1:2" x14ac:dyDescent="0.45">
      <c r="A18" s="22" t="s">
        <v>257</v>
      </c>
      <c r="B18" s="10">
        <v>0</v>
      </c>
    </row>
    <row r="19" spans="1:2" x14ac:dyDescent="0.45">
      <c r="A19" s="22" t="s">
        <v>258</v>
      </c>
      <c r="B19" s="10">
        <v>1354534.61</v>
      </c>
    </row>
    <row r="20" spans="1:2" x14ac:dyDescent="0.45">
      <c r="A20" s="22" t="s">
        <v>259</v>
      </c>
      <c r="B20" s="10">
        <v>0</v>
      </c>
    </row>
    <row r="21" spans="1:2" x14ac:dyDescent="0.45">
      <c r="A21" s="22" t="s">
        <v>260</v>
      </c>
      <c r="B21" s="10">
        <v>1249197.27</v>
      </c>
    </row>
    <row r="22" spans="1:2" x14ac:dyDescent="0.45">
      <c r="A22" s="22" t="s">
        <v>261</v>
      </c>
      <c r="B22" s="9">
        <v>105337.34</v>
      </c>
    </row>
    <row r="24" spans="1:2" ht="20" customHeight="1" x14ac:dyDescent="0.45">
      <c r="A24" s="174" t="s">
        <v>262</v>
      </c>
      <c r="B24" s="165"/>
    </row>
    <row r="25" spans="1:2" x14ac:dyDescent="0.45">
      <c r="A25" s="22" t="s">
        <v>263</v>
      </c>
      <c r="B25" s="9">
        <f>Dashboard!D31</f>
        <v>1354534.61</v>
      </c>
    </row>
    <row r="26" spans="1:2" x14ac:dyDescent="0.45">
      <c r="A26" s="22" t="s">
        <v>264</v>
      </c>
      <c r="B26" s="9">
        <f>Dashboard!E31</f>
        <v>1164241.5999999999</v>
      </c>
    </row>
    <row r="27" spans="1:2" x14ac:dyDescent="0.45">
      <c r="A27" s="22" t="s">
        <v>265</v>
      </c>
      <c r="B27" s="9">
        <f>Dashboard!F31</f>
        <v>-190293.01000000024</v>
      </c>
    </row>
    <row r="28" spans="1:2" x14ac:dyDescent="0.45">
      <c r="A28" s="22" t="s">
        <v>266</v>
      </c>
      <c r="B28" s="11">
        <f>Dashboard!G31</f>
        <v>-0.14048589721897192</v>
      </c>
    </row>
    <row r="30" spans="1:2" x14ac:dyDescent="0.45">
      <c r="A30" s="20" t="s">
        <v>267</v>
      </c>
    </row>
    <row r="31" spans="1:2" x14ac:dyDescent="0.45">
      <c r="A31" s="21" t="s">
        <v>268</v>
      </c>
    </row>
    <row r="32" spans="1:2" x14ac:dyDescent="0.45">
      <c r="A32" s="21" t="s">
        <v>269</v>
      </c>
    </row>
    <row r="34" spans="1:1" x14ac:dyDescent="0.45">
      <c r="A34" s="7" t="s">
        <v>270</v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3">
    <dataValidation type="list" allowBlank="1" sqref="B7" xr:uid="{00000000-0002-0000-0C00-000000000000}">
      <formula1>"IND - Individual,SCD - Sociedad,SOC - Sociedad conyugal o union de hecho"</formula1>
    </dataValidation>
    <dataValidation type="list" allowBlank="1" sqref="B8 B11" xr:uid="{00000000-0002-0000-0C00-000001000000}">
      <formula1>"C - Cedula,E - Identificacion del exterior,P - Pasaporte,R - RUC"</formula1>
    </dataValidation>
    <dataValidation type="list" allowBlank="1" sqref="B14" xr:uid="{00000000-0002-0000-0C00-000003000000}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I75"/>
  <sheetViews>
    <sheetView workbookViewId="0"/>
  </sheetViews>
  <sheetFormatPr baseColWidth="10" defaultColWidth="9.06640625" defaultRowHeight="14.25" x14ac:dyDescent="0.45"/>
  <sheetData>
    <row r="1" spans="1:9" x14ac:dyDescent="0.45">
      <c r="A1" t="s">
        <v>271</v>
      </c>
      <c r="B1" t="s">
        <v>272</v>
      </c>
      <c r="C1" t="s">
        <v>273</v>
      </c>
      <c r="D1" t="s">
        <v>274</v>
      </c>
      <c r="E1" t="s">
        <v>275</v>
      </c>
      <c r="F1" t="s">
        <v>276</v>
      </c>
      <c r="G1" t="s">
        <v>277</v>
      </c>
      <c r="H1" t="s">
        <v>278</v>
      </c>
      <c r="I1" t="s">
        <v>279</v>
      </c>
    </row>
    <row r="2" spans="1:9" x14ac:dyDescent="0.45">
      <c r="A2" t="s">
        <v>280</v>
      </c>
      <c r="B2" t="s">
        <v>281</v>
      </c>
      <c r="C2" t="s">
        <v>280</v>
      </c>
      <c r="D2" t="s">
        <v>282</v>
      </c>
      <c r="E2" t="s">
        <v>283</v>
      </c>
      <c r="F2">
        <v>0</v>
      </c>
      <c r="G2" t="s">
        <v>284</v>
      </c>
      <c r="H2" t="s">
        <v>285</v>
      </c>
      <c r="I2">
        <v>1</v>
      </c>
    </row>
    <row r="3" spans="1:9" x14ac:dyDescent="0.45">
      <c r="A3" t="s">
        <v>280</v>
      </c>
      <c r="B3" t="s">
        <v>281</v>
      </c>
      <c r="C3" t="s">
        <v>280</v>
      </c>
      <c r="D3" t="s">
        <v>282</v>
      </c>
      <c r="E3" t="s">
        <v>283</v>
      </c>
      <c r="F3">
        <v>0</v>
      </c>
      <c r="G3" t="s">
        <v>284</v>
      </c>
      <c r="H3" t="s">
        <v>286</v>
      </c>
      <c r="I3">
        <v>2</v>
      </c>
    </row>
    <row r="4" spans="1:9" x14ac:dyDescent="0.45">
      <c r="A4" t="s">
        <v>280</v>
      </c>
      <c r="B4" t="s">
        <v>281</v>
      </c>
      <c r="C4" t="s">
        <v>280</v>
      </c>
      <c r="D4" t="s">
        <v>282</v>
      </c>
      <c r="E4" t="s">
        <v>283</v>
      </c>
      <c r="F4">
        <v>0</v>
      </c>
      <c r="G4" t="s">
        <v>284</v>
      </c>
      <c r="H4" t="s">
        <v>287</v>
      </c>
      <c r="I4">
        <v>3</v>
      </c>
    </row>
    <row r="5" spans="1:9" x14ac:dyDescent="0.45">
      <c r="A5" t="s">
        <v>280</v>
      </c>
      <c r="B5" t="s">
        <v>281</v>
      </c>
      <c r="C5" t="s">
        <v>280</v>
      </c>
      <c r="D5" t="s">
        <v>282</v>
      </c>
      <c r="E5" t="s">
        <v>283</v>
      </c>
      <c r="F5">
        <v>0</v>
      </c>
      <c r="G5" t="s">
        <v>284</v>
      </c>
      <c r="H5" t="s">
        <v>288</v>
      </c>
      <c r="I5">
        <v>4</v>
      </c>
    </row>
    <row r="6" spans="1:9" x14ac:dyDescent="0.45">
      <c r="A6" t="s">
        <v>280</v>
      </c>
      <c r="B6" t="s">
        <v>281</v>
      </c>
      <c r="C6" t="s">
        <v>280</v>
      </c>
      <c r="D6" t="s">
        <v>282</v>
      </c>
      <c r="E6" t="s">
        <v>283</v>
      </c>
      <c r="F6">
        <v>0</v>
      </c>
      <c r="G6" t="s">
        <v>284</v>
      </c>
      <c r="H6" t="s">
        <v>289</v>
      </c>
      <c r="I6">
        <v>5</v>
      </c>
    </row>
    <row r="7" spans="1:9" x14ac:dyDescent="0.45">
      <c r="A7" t="s">
        <v>280</v>
      </c>
      <c r="B7" t="s">
        <v>281</v>
      </c>
      <c r="C7" t="s">
        <v>280</v>
      </c>
      <c r="D7" t="s">
        <v>282</v>
      </c>
      <c r="E7" t="s">
        <v>283</v>
      </c>
      <c r="F7">
        <v>0</v>
      </c>
      <c r="G7" t="s">
        <v>290</v>
      </c>
      <c r="H7" t="s">
        <v>291</v>
      </c>
      <c r="I7">
        <v>6</v>
      </c>
    </row>
    <row r="8" spans="1:9" x14ac:dyDescent="0.45">
      <c r="A8" t="s">
        <v>280</v>
      </c>
      <c r="B8" t="s">
        <v>281</v>
      </c>
      <c r="C8" t="s">
        <v>280</v>
      </c>
      <c r="D8" t="s">
        <v>282</v>
      </c>
      <c r="E8" t="s">
        <v>283</v>
      </c>
      <c r="F8">
        <v>0</v>
      </c>
      <c r="G8" t="s">
        <v>292</v>
      </c>
      <c r="H8" t="s">
        <v>293</v>
      </c>
      <c r="I8">
        <v>0</v>
      </c>
    </row>
    <row r="9" spans="1:9" x14ac:dyDescent="0.45">
      <c r="A9" t="s">
        <v>280</v>
      </c>
      <c r="B9" t="s">
        <v>281</v>
      </c>
      <c r="C9" t="s">
        <v>280</v>
      </c>
      <c r="D9" t="s">
        <v>282</v>
      </c>
      <c r="E9" t="s">
        <v>283</v>
      </c>
      <c r="F9">
        <v>0</v>
      </c>
      <c r="G9" t="s">
        <v>284</v>
      </c>
      <c r="H9" t="s">
        <v>294</v>
      </c>
      <c r="I9">
        <v>7</v>
      </c>
    </row>
    <row r="10" spans="1:9" x14ac:dyDescent="0.45">
      <c r="A10" t="s">
        <v>280</v>
      </c>
      <c r="B10" t="s">
        <v>281</v>
      </c>
      <c r="C10" t="s">
        <v>280</v>
      </c>
      <c r="D10" t="s">
        <v>282</v>
      </c>
      <c r="E10" t="s">
        <v>283</v>
      </c>
      <c r="F10">
        <v>0</v>
      </c>
      <c r="G10" t="s">
        <v>284</v>
      </c>
      <c r="H10" t="s">
        <v>295</v>
      </c>
      <c r="I10">
        <v>8</v>
      </c>
    </row>
    <row r="11" spans="1:9" x14ac:dyDescent="0.45">
      <c r="A11" t="s">
        <v>280</v>
      </c>
      <c r="B11" t="s">
        <v>281</v>
      </c>
      <c r="C11" t="s">
        <v>280</v>
      </c>
      <c r="D11" t="s">
        <v>282</v>
      </c>
      <c r="E11" t="s">
        <v>283</v>
      </c>
      <c r="F11">
        <v>0</v>
      </c>
      <c r="G11" t="s">
        <v>290</v>
      </c>
      <c r="H11" t="s">
        <v>296</v>
      </c>
      <c r="I11">
        <v>9</v>
      </c>
    </row>
    <row r="12" spans="1:9" x14ac:dyDescent="0.45">
      <c r="A12" t="s">
        <v>297</v>
      </c>
      <c r="B12" t="s">
        <v>298</v>
      </c>
      <c r="C12" t="s">
        <v>299</v>
      </c>
      <c r="D12" t="s">
        <v>300</v>
      </c>
      <c r="E12" t="s">
        <v>283</v>
      </c>
      <c r="F12">
        <v>1</v>
      </c>
      <c r="G12" t="s">
        <v>284</v>
      </c>
      <c r="H12" t="s">
        <v>286</v>
      </c>
      <c r="I12">
        <v>1</v>
      </c>
    </row>
    <row r="13" spans="1:9" x14ac:dyDescent="0.45">
      <c r="A13" t="s">
        <v>297</v>
      </c>
      <c r="B13" t="s">
        <v>298</v>
      </c>
      <c r="C13" t="s">
        <v>299</v>
      </c>
      <c r="D13" t="s">
        <v>300</v>
      </c>
      <c r="E13" t="s">
        <v>283</v>
      </c>
      <c r="F13">
        <v>1</v>
      </c>
      <c r="G13" t="s">
        <v>284</v>
      </c>
      <c r="H13" t="s">
        <v>287</v>
      </c>
      <c r="I13">
        <v>2</v>
      </c>
    </row>
    <row r="14" spans="1:9" x14ac:dyDescent="0.45">
      <c r="A14" t="s">
        <v>297</v>
      </c>
      <c r="B14" t="s">
        <v>298</v>
      </c>
      <c r="C14" t="s">
        <v>299</v>
      </c>
      <c r="D14" t="s">
        <v>300</v>
      </c>
      <c r="E14" t="s">
        <v>283</v>
      </c>
      <c r="F14">
        <v>1</v>
      </c>
      <c r="G14" t="s">
        <v>292</v>
      </c>
      <c r="H14" t="s">
        <v>301</v>
      </c>
      <c r="I14">
        <v>0</v>
      </c>
    </row>
    <row r="15" spans="1:9" x14ac:dyDescent="0.45">
      <c r="A15" t="s">
        <v>297</v>
      </c>
      <c r="B15" t="s">
        <v>298</v>
      </c>
      <c r="C15" t="s">
        <v>299</v>
      </c>
      <c r="D15" t="s">
        <v>300</v>
      </c>
      <c r="E15" t="s">
        <v>283</v>
      </c>
      <c r="F15">
        <v>1</v>
      </c>
      <c r="G15" t="s">
        <v>284</v>
      </c>
      <c r="H15" t="s">
        <v>302</v>
      </c>
      <c r="I15">
        <v>3</v>
      </c>
    </row>
    <row r="16" spans="1:9" x14ac:dyDescent="0.45">
      <c r="A16" t="s">
        <v>297</v>
      </c>
      <c r="B16" t="s">
        <v>298</v>
      </c>
      <c r="C16" t="s">
        <v>299</v>
      </c>
      <c r="D16" t="s">
        <v>300</v>
      </c>
      <c r="E16" t="s">
        <v>283</v>
      </c>
      <c r="F16">
        <v>1</v>
      </c>
      <c r="G16" t="s">
        <v>290</v>
      </c>
      <c r="H16" t="s">
        <v>303</v>
      </c>
      <c r="I16">
        <v>4</v>
      </c>
    </row>
    <row r="17" spans="1:9" x14ac:dyDescent="0.45">
      <c r="A17" t="s">
        <v>297</v>
      </c>
      <c r="B17" t="s">
        <v>298</v>
      </c>
      <c r="C17" t="s">
        <v>299</v>
      </c>
      <c r="D17" t="s">
        <v>300</v>
      </c>
      <c r="E17" t="s">
        <v>283</v>
      </c>
      <c r="F17">
        <v>1</v>
      </c>
      <c r="G17" t="s">
        <v>290</v>
      </c>
      <c r="H17" t="s">
        <v>304</v>
      </c>
      <c r="I17">
        <v>5</v>
      </c>
    </row>
    <row r="18" spans="1:9" x14ac:dyDescent="0.45">
      <c r="A18" t="s">
        <v>297</v>
      </c>
      <c r="B18" t="s">
        <v>298</v>
      </c>
      <c r="C18" t="s">
        <v>299</v>
      </c>
      <c r="D18" t="s">
        <v>300</v>
      </c>
      <c r="E18" t="s">
        <v>283</v>
      </c>
      <c r="F18">
        <v>1</v>
      </c>
      <c r="G18" t="s">
        <v>290</v>
      </c>
      <c r="H18" t="s">
        <v>305</v>
      </c>
      <c r="I18">
        <v>6</v>
      </c>
    </row>
    <row r="19" spans="1:9" x14ac:dyDescent="0.45">
      <c r="A19" t="s">
        <v>297</v>
      </c>
      <c r="B19" t="s">
        <v>298</v>
      </c>
      <c r="C19" t="s">
        <v>299</v>
      </c>
      <c r="D19" t="s">
        <v>300</v>
      </c>
      <c r="E19" t="s">
        <v>283</v>
      </c>
      <c r="F19">
        <v>1</v>
      </c>
      <c r="G19" t="s">
        <v>284</v>
      </c>
      <c r="H19" t="s">
        <v>306</v>
      </c>
      <c r="I19">
        <v>7</v>
      </c>
    </row>
    <row r="20" spans="1:9" x14ac:dyDescent="0.45">
      <c r="A20" t="s">
        <v>297</v>
      </c>
      <c r="B20" t="s">
        <v>298</v>
      </c>
      <c r="C20" t="s">
        <v>299</v>
      </c>
      <c r="D20" t="s">
        <v>300</v>
      </c>
      <c r="E20" t="s">
        <v>283</v>
      </c>
      <c r="F20">
        <v>1</v>
      </c>
      <c r="G20" t="s">
        <v>284</v>
      </c>
      <c r="H20" t="s">
        <v>295</v>
      </c>
      <c r="I20">
        <v>8</v>
      </c>
    </row>
    <row r="21" spans="1:9" x14ac:dyDescent="0.45">
      <c r="A21" t="s">
        <v>297</v>
      </c>
      <c r="B21" t="s">
        <v>298</v>
      </c>
      <c r="C21" t="s">
        <v>299</v>
      </c>
      <c r="D21" t="s">
        <v>300</v>
      </c>
      <c r="E21" t="s">
        <v>283</v>
      </c>
      <c r="F21">
        <v>1</v>
      </c>
      <c r="G21" t="s">
        <v>290</v>
      </c>
      <c r="H21" t="s">
        <v>296</v>
      </c>
      <c r="I21">
        <v>9</v>
      </c>
    </row>
    <row r="22" spans="1:9" x14ac:dyDescent="0.45">
      <c r="A22" t="s">
        <v>307</v>
      </c>
      <c r="B22" t="s">
        <v>308</v>
      </c>
      <c r="C22" t="s">
        <v>309</v>
      </c>
      <c r="D22" t="s">
        <v>310</v>
      </c>
      <c r="E22" t="s">
        <v>283</v>
      </c>
      <c r="F22">
        <v>2</v>
      </c>
      <c r="G22" t="s">
        <v>290</v>
      </c>
      <c r="H22" t="s">
        <v>311</v>
      </c>
      <c r="I22">
        <v>1</v>
      </c>
    </row>
    <row r="23" spans="1:9" x14ac:dyDescent="0.45">
      <c r="A23" t="s">
        <v>307</v>
      </c>
      <c r="B23" t="s">
        <v>308</v>
      </c>
      <c r="C23" t="s">
        <v>309</v>
      </c>
      <c r="D23" t="s">
        <v>310</v>
      </c>
      <c r="E23" t="s">
        <v>283</v>
      </c>
      <c r="F23">
        <v>2</v>
      </c>
      <c r="G23" t="s">
        <v>284</v>
      </c>
      <c r="H23" t="s">
        <v>312</v>
      </c>
      <c r="I23">
        <v>2</v>
      </c>
    </row>
    <row r="24" spans="1:9" x14ac:dyDescent="0.45">
      <c r="A24" t="s">
        <v>307</v>
      </c>
      <c r="B24" t="s">
        <v>308</v>
      </c>
      <c r="C24" t="s">
        <v>309</v>
      </c>
      <c r="D24" t="s">
        <v>310</v>
      </c>
      <c r="E24" t="s">
        <v>283</v>
      </c>
      <c r="F24">
        <v>2</v>
      </c>
      <c r="G24" t="s">
        <v>284</v>
      </c>
      <c r="H24" t="s">
        <v>313</v>
      </c>
      <c r="I24">
        <v>3</v>
      </c>
    </row>
    <row r="25" spans="1:9" x14ac:dyDescent="0.45">
      <c r="A25" t="s">
        <v>307</v>
      </c>
      <c r="B25" t="s">
        <v>308</v>
      </c>
      <c r="C25" t="s">
        <v>309</v>
      </c>
      <c r="D25" t="s">
        <v>310</v>
      </c>
      <c r="E25" t="s">
        <v>283</v>
      </c>
      <c r="F25">
        <v>2</v>
      </c>
      <c r="G25" t="s">
        <v>290</v>
      </c>
      <c r="H25" t="s">
        <v>314</v>
      </c>
      <c r="I25">
        <v>4</v>
      </c>
    </row>
    <row r="26" spans="1:9" x14ac:dyDescent="0.45">
      <c r="A26" t="s">
        <v>307</v>
      </c>
      <c r="B26" t="s">
        <v>308</v>
      </c>
      <c r="C26" t="s">
        <v>309</v>
      </c>
      <c r="D26" t="s">
        <v>310</v>
      </c>
      <c r="E26" t="s">
        <v>283</v>
      </c>
      <c r="F26">
        <v>2</v>
      </c>
      <c r="G26" t="s">
        <v>284</v>
      </c>
      <c r="H26" t="s">
        <v>287</v>
      </c>
      <c r="I26">
        <v>5</v>
      </c>
    </row>
    <row r="27" spans="1:9" x14ac:dyDescent="0.45">
      <c r="A27" t="s">
        <v>307</v>
      </c>
      <c r="B27" t="s">
        <v>308</v>
      </c>
      <c r="C27" t="s">
        <v>309</v>
      </c>
      <c r="D27" t="s">
        <v>310</v>
      </c>
      <c r="E27" t="s">
        <v>283</v>
      </c>
      <c r="F27">
        <v>2</v>
      </c>
      <c r="G27" t="s">
        <v>284</v>
      </c>
      <c r="H27" t="s">
        <v>288</v>
      </c>
      <c r="I27">
        <v>6</v>
      </c>
    </row>
    <row r="28" spans="1:9" x14ac:dyDescent="0.45">
      <c r="A28" t="s">
        <v>307</v>
      </c>
      <c r="B28" t="s">
        <v>308</v>
      </c>
      <c r="C28" t="s">
        <v>309</v>
      </c>
      <c r="D28" t="s">
        <v>310</v>
      </c>
      <c r="E28" t="s">
        <v>283</v>
      </c>
      <c r="F28">
        <v>2</v>
      </c>
      <c r="G28" t="s">
        <v>284</v>
      </c>
      <c r="H28" t="s">
        <v>294</v>
      </c>
      <c r="I28">
        <v>7</v>
      </c>
    </row>
    <row r="29" spans="1:9" x14ac:dyDescent="0.45">
      <c r="A29" t="s">
        <v>307</v>
      </c>
      <c r="B29" t="s">
        <v>308</v>
      </c>
      <c r="C29" t="s">
        <v>309</v>
      </c>
      <c r="D29" t="s">
        <v>310</v>
      </c>
      <c r="E29" t="s">
        <v>283</v>
      </c>
      <c r="F29">
        <v>2</v>
      </c>
      <c r="G29" t="s">
        <v>292</v>
      </c>
      <c r="H29" t="s">
        <v>293</v>
      </c>
      <c r="I29">
        <v>0</v>
      </c>
    </row>
    <row r="30" spans="1:9" x14ac:dyDescent="0.45">
      <c r="A30" t="s">
        <v>307</v>
      </c>
      <c r="B30" t="s">
        <v>308</v>
      </c>
      <c r="C30" t="s">
        <v>309</v>
      </c>
      <c r="D30" t="s">
        <v>310</v>
      </c>
      <c r="E30" t="s">
        <v>283</v>
      </c>
      <c r="F30">
        <v>2</v>
      </c>
      <c r="G30" t="s">
        <v>284</v>
      </c>
      <c r="H30" t="s">
        <v>295</v>
      </c>
      <c r="I30">
        <v>8</v>
      </c>
    </row>
    <row r="31" spans="1:9" x14ac:dyDescent="0.45">
      <c r="A31" t="s">
        <v>307</v>
      </c>
      <c r="B31" t="s">
        <v>308</v>
      </c>
      <c r="C31" t="s">
        <v>309</v>
      </c>
      <c r="D31" t="s">
        <v>310</v>
      </c>
      <c r="E31" t="s">
        <v>283</v>
      </c>
      <c r="F31">
        <v>2</v>
      </c>
      <c r="G31" t="s">
        <v>290</v>
      </c>
      <c r="H31" t="s">
        <v>296</v>
      </c>
      <c r="I31">
        <v>9</v>
      </c>
    </row>
    <row r="32" spans="1:9" x14ac:dyDescent="0.45">
      <c r="A32" t="s">
        <v>315</v>
      </c>
      <c r="B32" t="s">
        <v>316</v>
      </c>
      <c r="C32" t="s">
        <v>317</v>
      </c>
      <c r="D32" t="s">
        <v>318</v>
      </c>
      <c r="E32" t="s">
        <v>283</v>
      </c>
      <c r="F32">
        <v>4</v>
      </c>
      <c r="G32" t="s">
        <v>284</v>
      </c>
      <c r="H32" t="s">
        <v>319</v>
      </c>
      <c r="I32">
        <v>1</v>
      </c>
    </row>
    <row r="33" spans="1:9" x14ac:dyDescent="0.45">
      <c r="A33" t="s">
        <v>315</v>
      </c>
      <c r="B33" t="s">
        <v>316</v>
      </c>
      <c r="C33" t="s">
        <v>317</v>
      </c>
      <c r="D33" t="s">
        <v>318</v>
      </c>
      <c r="E33" t="s">
        <v>283</v>
      </c>
      <c r="F33">
        <v>4</v>
      </c>
      <c r="G33" t="s">
        <v>284</v>
      </c>
      <c r="H33" t="s">
        <v>287</v>
      </c>
      <c r="I33">
        <v>2</v>
      </c>
    </row>
    <row r="34" spans="1:9" x14ac:dyDescent="0.45">
      <c r="A34" t="s">
        <v>315</v>
      </c>
      <c r="B34" t="s">
        <v>316</v>
      </c>
      <c r="C34" t="s">
        <v>317</v>
      </c>
      <c r="D34" t="s">
        <v>318</v>
      </c>
      <c r="E34" t="s">
        <v>283</v>
      </c>
      <c r="F34">
        <v>4</v>
      </c>
      <c r="G34" t="s">
        <v>284</v>
      </c>
      <c r="H34" t="s">
        <v>288</v>
      </c>
      <c r="I34">
        <v>3</v>
      </c>
    </row>
    <row r="35" spans="1:9" x14ac:dyDescent="0.45">
      <c r="A35" t="s">
        <v>315</v>
      </c>
      <c r="B35" t="s">
        <v>316</v>
      </c>
      <c r="C35" t="s">
        <v>317</v>
      </c>
      <c r="D35" t="s">
        <v>318</v>
      </c>
      <c r="E35" t="s">
        <v>283</v>
      </c>
      <c r="F35">
        <v>4</v>
      </c>
      <c r="G35" t="s">
        <v>292</v>
      </c>
      <c r="H35" t="s">
        <v>301</v>
      </c>
      <c r="I35">
        <v>0</v>
      </c>
    </row>
    <row r="36" spans="1:9" x14ac:dyDescent="0.45">
      <c r="A36" t="s">
        <v>315</v>
      </c>
      <c r="B36" t="s">
        <v>316</v>
      </c>
      <c r="C36" t="s">
        <v>317</v>
      </c>
      <c r="D36" t="s">
        <v>318</v>
      </c>
      <c r="E36" t="s">
        <v>283</v>
      </c>
      <c r="F36">
        <v>4</v>
      </c>
      <c r="G36" t="s">
        <v>284</v>
      </c>
      <c r="H36" t="s">
        <v>295</v>
      </c>
      <c r="I36">
        <v>4</v>
      </c>
    </row>
    <row r="37" spans="1:9" x14ac:dyDescent="0.45">
      <c r="A37" t="s">
        <v>315</v>
      </c>
      <c r="B37" t="s">
        <v>316</v>
      </c>
      <c r="C37" t="s">
        <v>317</v>
      </c>
      <c r="D37" t="s">
        <v>318</v>
      </c>
      <c r="E37" t="s">
        <v>283</v>
      </c>
      <c r="F37">
        <v>4</v>
      </c>
      <c r="G37" t="s">
        <v>290</v>
      </c>
      <c r="H37" t="s">
        <v>296</v>
      </c>
      <c r="I37">
        <v>5</v>
      </c>
    </row>
    <row r="38" spans="1:9" x14ac:dyDescent="0.45">
      <c r="A38" t="s">
        <v>320</v>
      </c>
      <c r="B38" t="s">
        <v>321</v>
      </c>
      <c r="C38" t="s">
        <v>320</v>
      </c>
      <c r="D38" t="s">
        <v>322</v>
      </c>
      <c r="E38" t="s">
        <v>283</v>
      </c>
      <c r="F38">
        <v>3</v>
      </c>
      <c r="G38" t="s">
        <v>284</v>
      </c>
      <c r="H38" t="s">
        <v>323</v>
      </c>
      <c r="I38">
        <v>1</v>
      </c>
    </row>
    <row r="39" spans="1:9" x14ac:dyDescent="0.45">
      <c r="A39" t="s">
        <v>320</v>
      </c>
      <c r="B39" t="s">
        <v>321</v>
      </c>
      <c r="C39" t="s">
        <v>320</v>
      </c>
      <c r="D39" t="s">
        <v>322</v>
      </c>
      <c r="E39" t="s">
        <v>283</v>
      </c>
      <c r="F39">
        <v>3</v>
      </c>
      <c r="G39" t="s">
        <v>290</v>
      </c>
      <c r="H39" t="s">
        <v>324</v>
      </c>
      <c r="I39">
        <v>2</v>
      </c>
    </row>
    <row r="40" spans="1:9" x14ac:dyDescent="0.45">
      <c r="A40" t="s">
        <v>320</v>
      </c>
      <c r="B40" t="s">
        <v>321</v>
      </c>
      <c r="C40" t="s">
        <v>320</v>
      </c>
      <c r="D40" t="s">
        <v>322</v>
      </c>
      <c r="E40" t="s">
        <v>283</v>
      </c>
      <c r="F40">
        <v>3</v>
      </c>
      <c r="G40" t="s">
        <v>284</v>
      </c>
      <c r="H40" t="s">
        <v>287</v>
      </c>
      <c r="I40">
        <v>3</v>
      </c>
    </row>
    <row r="41" spans="1:9" x14ac:dyDescent="0.45">
      <c r="A41" t="s">
        <v>320</v>
      </c>
      <c r="B41" t="s">
        <v>321</v>
      </c>
      <c r="C41" t="s">
        <v>320</v>
      </c>
      <c r="D41" t="s">
        <v>322</v>
      </c>
      <c r="E41" t="s">
        <v>283</v>
      </c>
      <c r="F41">
        <v>3</v>
      </c>
      <c r="G41" t="s">
        <v>284</v>
      </c>
      <c r="H41" t="s">
        <v>288</v>
      </c>
      <c r="I41">
        <v>4</v>
      </c>
    </row>
    <row r="42" spans="1:9" x14ac:dyDescent="0.45">
      <c r="A42" t="s">
        <v>320</v>
      </c>
      <c r="B42" t="s">
        <v>321</v>
      </c>
      <c r="C42" t="s">
        <v>320</v>
      </c>
      <c r="D42" t="s">
        <v>322</v>
      </c>
      <c r="E42" t="s">
        <v>283</v>
      </c>
      <c r="F42">
        <v>3</v>
      </c>
      <c r="G42" t="s">
        <v>292</v>
      </c>
      <c r="H42" t="s">
        <v>301</v>
      </c>
      <c r="I42">
        <v>0</v>
      </c>
    </row>
    <row r="43" spans="1:9" x14ac:dyDescent="0.45">
      <c r="A43" t="s">
        <v>320</v>
      </c>
      <c r="B43" t="s">
        <v>321</v>
      </c>
      <c r="C43" t="s">
        <v>320</v>
      </c>
      <c r="D43" t="s">
        <v>322</v>
      </c>
      <c r="E43" t="s">
        <v>283</v>
      </c>
      <c r="F43">
        <v>3</v>
      </c>
      <c r="G43" t="s">
        <v>284</v>
      </c>
      <c r="H43" t="s">
        <v>295</v>
      </c>
      <c r="I43">
        <v>5</v>
      </c>
    </row>
    <row r="44" spans="1:9" x14ac:dyDescent="0.45">
      <c r="A44" t="s">
        <v>320</v>
      </c>
      <c r="B44" t="s">
        <v>321</v>
      </c>
      <c r="C44" t="s">
        <v>320</v>
      </c>
      <c r="D44" t="s">
        <v>322</v>
      </c>
      <c r="E44" t="s">
        <v>283</v>
      </c>
      <c r="F44">
        <v>3</v>
      </c>
      <c r="G44" t="s">
        <v>290</v>
      </c>
      <c r="H44" t="s">
        <v>296</v>
      </c>
      <c r="I44">
        <v>6</v>
      </c>
    </row>
    <row r="45" spans="1:9" x14ac:dyDescent="0.45">
      <c r="A45" t="s">
        <v>325</v>
      </c>
      <c r="B45" t="s">
        <v>326</v>
      </c>
      <c r="C45" t="s">
        <v>325</v>
      </c>
      <c r="D45" t="s">
        <v>327</v>
      </c>
      <c r="E45" t="s">
        <v>283</v>
      </c>
      <c r="F45">
        <v>8</v>
      </c>
      <c r="G45" t="s">
        <v>284</v>
      </c>
      <c r="H45" t="s">
        <v>328</v>
      </c>
      <c r="I45">
        <v>1</v>
      </c>
    </row>
    <row r="46" spans="1:9" x14ac:dyDescent="0.45">
      <c r="A46" t="s">
        <v>325</v>
      </c>
      <c r="B46" t="s">
        <v>326</v>
      </c>
      <c r="C46" t="s">
        <v>325</v>
      </c>
      <c r="D46" t="s">
        <v>327</v>
      </c>
      <c r="E46" t="s">
        <v>283</v>
      </c>
      <c r="F46">
        <v>8</v>
      </c>
      <c r="G46" t="s">
        <v>284</v>
      </c>
      <c r="H46" t="s">
        <v>287</v>
      </c>
      <c r="I46">
        <v>2</v>
      </c>
    </row>
    <row r="47" spans="1:9" x14ac:dyDescent="0.45">
      <c r="A47" t="s">
        <v>325</v>
      </c>
      <c r="B47" t="s">
        <v>326</v>
      </c>
      <c r="C47" t="s">
        <v>325</v>
      </c>
      <c r="D47" t="s">
        <v>327</v>
      </c>
      <c r="E47" t="s">
        <v>283</v>
      </c>
      <c r="F47">
        <v>8</v>
      </c>
      <c r="G47" t="s">
        <v>284</v>
      </c>
      <c r="H47" t="s">
        <v>288</v>
      </c>
      <c r="I47">
        <v>3</v>
      </c>
    </row>
    <row r="48" spans="1:9" x14ac:dyDescent="0.45">
      <c r="A48" t="s">
        <v>325</v>
      </c>
      <c r="B48" t="s">
        <v>326</v>
      </c>
      <c r="C48" t="s">
        <v>325</v>
      </c>
      <c r="D48" t="s">
        <v>327</v>
      </c>
      <c r="E48" t="s">
        <v>283</v>
      </c>
      <c r="F48">
        <v>8</v>
      </c>
      <c r="G48" t="s">
        <v>292</v>
      </c>
      <c r="H48" t="s">
        <v>301</v>
      </c>
      <c r="I48">
        <v>0</v>
      </c>
    </row>
    <row r="49" spans="1:9" x14ac:dyDescent="0.45">
      <c r="A49" t="s">
        <v>325</v>
      </c>
      <c r="B49" t="s">
        <v>326</v>
      </c>
      <c r="C49" t="s">
        <v>325</v>
      </c>
      <c r="D49" t="s">
        <v>327</v>
      </c>
      <c r="E49" t="s">
        <v>283</v>
      </c>
      <c r="F49">
        <v>8</v>
      </c>
      <c r="G49" t="s">
        <v>284</v>
      </c>
      <c r="H49" t="s">
        <v>295</v>
      </c>
      <c r="I49">
        <v>4</v>
      </c>
    </row>
    <row r="50" spans="1:9" x14ac:dyDescent="0.45">
      <c r="A50" t="s">
        <v>325</v>
      </c>
      <c r="B50" t="s">
        <v>326</v>
      </c>
      <c r="C50" t="s">
        <v>325</v>
      </c>
      <c r="D50" t="s">
        <v>327</v>
      </c>
      <c r="E50" t="s">
        <v>283</v>
      </c>
      <c r="F50">
        <v>8</v>
      </c>
      <c r="G50" t="s">
        <v>290</v>
      </c>
      <c r="H50" t="s">
        <v>296</v>
      </c>
      <c r="I50">
        <v>5</v>
      </c>
    </row>
    <row r="51" spans="1:9" x14ac:dyDescent="0.45">
      <c r="A51" t="s">
        <v>329</v>
      </c>
      <c r="B51" t="s">
        <v>330</v>
      </c>
      <c r="C51" t="s">
        <v>331</v>
      </c>
      <c r="D51" t="s">
        <v>332</v>
      </c>
      <c r="E51" t="s">
        <v>283</v>
      </c>
      <c r="F51">
        <v>5</v>
      </c>
      <c r="G51" t="s">
        <v>284</v>
      </c>
      <c r="H51" t="s">
        <v>333</v>
      </c>
      <c r="I51">
        <v>1</v>
      </c>
    </row>
    <row r="52" spans="1:9" x14ac:dyDescent="0.45">
      <c r="A52" t="s">
        <v>329</v>
      </c>
      <c r="B52" t="s">
        <v>330</v>
      </c>
      <c r="C52" t="s">
        <v>331</v>
      </c>
      <c r="D52" t="s">
        <v>332</v>
      </c>
      <c r="E52" t="s">
        <v>283</v>
      </c>
      <c r="F52">
        <v>5</v>
      </c>
      <c r="G52" t="s">
        <v>284</v>
      </c>
      <c r="H52" t="s">
        <v>287</v>
      </c>
      <c r="I52">
        <v>2</v>
      </c>
    </row>
    <row r="53" spans="1:9" x14ac:dyDescent="0.45">
      <c r="A53" t="s">
        <v>329</v>
      </c>
      <c r="B53" t="s">
        <v>330</v>
      </c>
      <c r="C53" t="s">
        <v>331</v>
      </c>
      <c r="D53" t="s">
        <v>332</v>
      </c>
      <c r="E53" t="s">
        <v>283</v>
      </c>
      <c r="F53">
        <v>5</v>
      </c>
      <c r="G53" t="s">
        <v>284</v>
      </c>
      <c r="H53" t="s">
        <v>334</v>
      </c>
      <c r="I53">
        <v>3</v>
      </c>
    </row>
    <row r="54" spans="1:9" x14ac:dyDescent="0.45">
      <c r="A54" t="s">
        <v>329</v>
      </c>
      <c r="B54" t="s">
        <v>330</v>
      </c>
      <c r="C54" t="s">
        <v>331</v>
      </c>
      <c r="D54" t="s">
        <v>332</v>
      </c>
      <c r="E54" t="s">
        <v>283</v>
      </c>
      <c r="F54">
        <v>5</v>
      </c>
      <c r="G54" t="s">
        <v>284</v>
      </c>
      <c r="H54" t="s">
        <v>335</v>
      </c>
      <c r="I54">
        <v>4</v>
      </c>
    </row>
    <row r="55" spans="1:9" x14ac:dyDescent="0.45">
      <c r="A55" t="s">
        <v>329</v>
      </c>
      <c r="B55" t="s">
        <v>330</v>
      </c>
      <c r="C55" t="s">
        <v>331</v>
      </c>
      <c r="D55" t="s">
        <v>332</v>
      </c>
      <c r="E55" t="s">
        <v>283</v>
      </c>
      <c r="F55">
        <v>5</v>
      </c>
      <c r="G55" t="s">
        <v>284</v>
      </c>
      <c r="H55" t="s">
        <v>336</v>
      </c>
      <c r="I55">
        <v>5</v>
      </c>
    </row>
    <row r="56" spans="1:9" x14ac:dyDescent="0.45">
      <c r="A56" t="s">
        <v>329</v>
      </c>
      <c r="B56" t="s">
        <v>330</v>
      </c>
      <c r="C56" t="s">
        <v>331</v>
      </c>
      <c r="D56" t="s">
        <v>332</v>
      </c>
      <c r="E56" t="s">
        <v>283</v>
      </c>
      <c r="F56">
        <v>5</v>
      </c>
      <c r="G56" t="s">
        <v>290</v>
      </c>
      <c r="H56" t="s">
        <v>337</v>
      </c>
      <c r="I56">
        <v>6</v>
      </c>
    </row>
    <row r="57" spans="1:9" x14ac:dyDescent="0.45">
      <c r="A57" t="s">
        <v>329</v>
      </c>
      <c r="B57" t="s">
        <v>330</v>
      </c>
      <c r="C57" t="s">
        <v>331</v>
      </c>
      <c r="D57" t="s">
        <v>332</v>
      </c>
      <c r="E57" t="s">
        <v>283</v>
      </c>
      <c r="F57">
        <v>5</v>
      </c>
      <c r="G57" t="s">
        <v>290</v>
      </c>
      <c r="H57" t="s">
        <v>338</v>
      </c>
      <c r="I57">
        <v>7</v>
      </c>
    </row>
    <row r="58" spans="1:9" x14ac:dyDescent="0.45">
      <c r="A58" t="s">
        <v>329</v>
      </c>
      <c r="B58" t="s">
        <v>330</v>
      </c>
      <c r="C58" t="s">
        <v>331</v>
      </c>
      <c r="D58" t="s">
        <v>332</v>
      </c>
      <c r="E58" t="s">
        <v>283</v>
      </c>
      <c r="F58">
        <v>5</v>
      </c>
      <c r="G58" t="s">
        <v>292</v>
      </c>
      <c r="H58" t="s">
        <v>301</v>
      </c>
      <c r="I58">
        <v>0</v>
      </c>
    </row>
    <row r="59" spans="1:9" x14ac:dyDescent="0.45">
      <c r="A59" t="s">
        <v>329</v>
      </c>
      <c r="B59" t="s">
        <v>330</v>
      </c>
      <c r="C59" t="s">
        <v>331</v>
      </c>
      <c r="D59" t="s">
        <v>332</v>
      </c>
      <c r="E59" t="s">
        <v>283</v>
      </c>
      <c r="F59">
        <v>5</v>
      </c>
      <c r="G59" t="s">
        <v>284</v>
      </c>
      <c r="H59" t="s">
        <v>295</v>
      </c>
      <c r="I59">
        <v>8</v>
      </c>
    </row>
    <row r="60" spans="1:9" x14ac:dyDescent="0.45">
      <c r="A60" t="s">
        <v>329</v>
      </c>
      <c r="B60" t="s">
        <v>330</v>
      </c>
      <c r="C60" t="s">
        <v>331</v>
      </c>
      <c r="D60" t="s">
        <v>332</v>
      </c>
      <c r="E60" t="s">
        <v>283</v>
      </c>
      <c r="F60">
        <v>5</v>
      </c>
      <c r="G60" t="s">
        <v>290</v>
      </c>
      <c r="H60" t="s">
        <v>296</v>
      </c>
      <c r="I60">
        <v>9</v>
      </c>
    </row>
    <row r="61" spans="1:9" x14ac:dyDescent="0.45">
      <c r="A61" t="s">
        <v>339</v>
      </c>
      <c r="B61" t="s">
        <v>340</v>
      </c>
      <c r="C61" t="s">
        <v>341</v>
      </c>
      <c r="D61" t="s">
        <v>342</v>
      </c>
      <c r="E61" t="s">
        <v>283</v>
      </c>
      <c r="F61">
        <v>7</v>
      </c>
      <c r="G61" t="s">
        <v>284</v>
      </c>
      <c r="H61" t="s">
        <v>287</v>
      </c>
      <c r="I61">
        <v>1</v>
      </c>
    </row>
    <row r="62" spans="1:9" x14ac:dyDescent="0.45">
      <c r="A62" t="s">
        <v>339</v>
      </c>
      <c r="B62" t="s">
        <v>340</v>
      </c>
      <c r="C62" t="s">
        <v>341</v>
      </c>
      <c r="D62" t="s">
        <v>342</v>
      </c>
      <c r="E62" t="s">
        <v>283</v>
      </c>
      <c r="F62">
        <v>7</v>
      </c>
      <c r="G62" t="s">
        <v>284</v>
      </c>
      <c r="H62" t="s">
        <v>288</v>
      </c>
      <c r="I62">
        <v>2</v>
      </c>
    </row>
    <row r="63" spans="1:9" x14ac:dyDescent="0.45">
      <c r="A63" t="s">
        <v>339</v>
      </c>
      <c r="B63" t="s">
        <v>340</v>
      </c>
      <c r="C63" t="s">
        <v>341</v>
      </c>
      <c r="D63" t="s">
        <v>342</v>
      </c>
      <c r="E63" t="s">
        <v>283</v>
      </c>
      <c r="F63">
        <v>7</v>
      </c>
      <c r="G63" t="s">
        <v>290</v>
      </c>
      <c r="H63" t="s">
        <v>343</v>
      </c>
      <c r="I63">
        <v>3</v>
      </c>
    </row>
    <row r="64" spans="1:9" x14ac:dyDescent="0.45">
      <c r="A64" t="s">
        <v>339</v>
      </c>
      <c r="B64" t="s">
        <v>340</v>
      </c>
      <c r="C64" t="s">
        <v>341</v>
      </c>
      <c r="D64" t="s">
        <v>342</v>
      </c>
      <c r="E64" t="s">
        <v>283</v>
      </c>
      <c r="F64">
        <v>7</v>
      </c>
      <c r="G64" t="s">
        <v>292</v>
      </c>
      <c r="H64" t="s">
        <v>344</v>
      </c>
      <c r="I64">
        <v>0</v>
      </c>
    </row>
    <row r="65" spans="1:9" x14ac:dyDescent="0.45">
      <c r="A65" t="s">
        <v>339</v>
      </c>
      <c r="B65" t="s">
        <v>340</v>
      </c>
      <c r="C65" t="s">
        <v>341</v>
      </c>
      <c r="D65" t="s">
        <v>342</v>
      </c>
      <c r="E65" t="s">
        <v>283</v>
      </c>
      <c r="F65">
        <v>7</v>
      </c>
      <c r="G65" t="s">
        <v>284</v>
      </c>
      <c r="H65" t="s">
        <v>295</v>
      </c>
      <c r="I65">
        <v>4</v>
      </c>
    </row>
    <row r="66" spans="1:9" x14ac:dyDescent="0.45">
      <c r="A66" t="s">
        <v>339</v>
      </c>
      <c r="B66" t="s">
        <v>340</v>
      </c>
      <c r="C66" t="s">
        <v>341</v>
      </c>
      <c r="D66" t="s">
        <v>342</v>
      </c>
      <c r="E66" t="s">
        <v>283</v>
      </c>
      <c r="F66">
        <v>7</v>
      </c>
      <c r="G66" t="s">
        <v>290</v>
      </c>
      <c r="H66" t="s">
        <v>296</v>
      </c>
      <c r="I66">
        <v>5</v>
      </c>
    </row>
    <row r="67" spans="1:9" x14ac:dyDescent="0.45">
      <c r="A67" t="s">
        <v>345</v>
      </c>
      <c r="B67" t="s">
        <v>21</v>
      </c>
      <c r="C67" t="s">
        <v>345</v>
      </c>
      <c r="D67" t="s">
        <v>346</v>
      </c>
      <c r="E67" t="s">
        <v>345</v>
      </c>
      <c r="F67">
        <v>6</v>
      </c>
      <c r="G67" t="s">
        <v>284</v>
      </c>
      <c r="H67" t="s">
        <v>347</v>
      </c>
      <c r="I67">
        <v>1</v>
      </c>
    </row>
    <row r="68" spans="1:9" x14ac:dyDescent="0.45">
      <c r="A68" t="s">
        <v>345</v>
      </c>
      <c r="B68" t="s">
        <v>21</v>
      </c>
      <c r="C68" t="s">
        <v>345</v>
      </c>
      <c r="D68" t="s">
        <v>346</v>
      </c>
      <c r="E68" t="s">
        <v>345</v>
      </c>
      <c r="F68">
        <v>6</v>
      </c>
      <c r="G68" t="s">
        <v>284</v>
      </c>
      <c r="H68" t="s">
        <v>348</v>
      </c>
      <c r="I68">
        <v>2</v>
      </c>
    </row>
    <row r="69" spans="1:9" x14ac:dyDescent="0.45">
      <c r="A69" t="s">
        <v>345</v>
      </c>
      <c r="B69" t="s">
        <v>21</v>
      </c>
      <c r="C69" t="s">
        <v>345</v>
      </c>
      <c r="D69" t="s">
        <v>346</v>
      </c>
      <c r="E69" t="s">
        <v>345</v>
      </c>
      <c r="F69">
        <v>6</v>
      </c>
      <c r="G69" t="s">
        <v>292</v>
      </c>
      <c r="H69" t="s">
        <v>349</v>
      </c>
      <c r="I69">
        <v>0</v>
      </c>
    </row>
    <row r="70" spans="1:9" x14ac:dyDescent="0.45">
      <c r="A70" t="s">
        <v>345</v>
      </c>
      <c r="B70" t="s">
        <v>21</v>
      </c>
      <c r="C70" t="s">
        <v>345</v>
      </c>
      <c r="D70" t="s">
        <v>346</v>
      </c>
      <c r="E70" t="s">
        <v>345</v>
      </c>
      <c r="F70">
        <v>6</v>
      </c>
      <c r="G70" t="s">
        <v>284</v>
      </c>
      <c r="H70" t="s">
        <v>350</v>
      </c>
      <c r="I70">
        <v>3</v>
      </c>
    </row>
    <row r="71" spans="1:9" x14ac:dyDescent="0.45">
      <c r="A71" t="s">
        <v>345</v>
      </c>
      <c r="B71" t="s">
        <v>21</v>
      </c>
      <c r="C71" t="s">
        <v>345</v>
      </c>
      <c r="D71" t="s">
        <v>346</v>
      </c>
      <c r="E71" t="s">
        <v>345</v>
      </c>
      <c r="F71">
        <v>6</v>
      </c>
      <c r="G71" t="s">
        <v>290</v>
      </c>
      <c r="H71" t="s">
        <v>351</v>
      </c>
      <c r="I71">
        <v>4</v>
      </c>
    </row>
    <row r="72" spans="1:9" x14ac:dyDescent="0.45">
      <c r="A72" t="s">
        <v>345</v>
      </c>
      <c r="B72" t="s">
        <v>21</v>
      </c>
      <c r="C72" t="s">
        <v>345</v>
      </c>
      <c r="D72" t="s">
        <v>346</v>
      </c>
      <c r="E72" t="s">
        <v>345</v>
      </c>
      <c r="F72">
        <v>6</v>
      </c>
      <c r="G72" t="s">
        <v>284</v>
      </c>
      <c r="H72" t="s">
        <v>352</v>
      </c>
      <c r="I72">
        <v>5</v>
      </c>
    </row>
    <row r="73" spans="1:9" x14ac:dyDescent="0.45">
      <c r="A73" t="s">
        <v>345</v>
      </c>
      <c r="B73" t="s">
        <v>21</v>
      </c>
      <c r="C73" t="s">
        <v>345</v>
      </c>
      <c r="D73" t="s">
        <v>346</v>
      </c>
      <c r="E73" t="s">
        <v>345</v>
      </c>
      <c r="F73">
        <v>6</v>
      </c>
      <c r="G73" t="s">
        <v>290</v>
      </c>
      <c r="H73" t="s">
        <v>353</v>
      </c>
      <c r="I73">
        <v>6</v>
      </c>
    </row>
    <row r="74" spans="1:9" x14ac:dyDescent="0.45">
      <c r="A74" t="s">
        <v>345</v>
      </c>
      <c r="B74" t="s">
        <v>21</v>
      </c>
      <c r="C74" t="s">
        <v>345</v>
      </c>
      <c r="D74" t="s">
        <v>346</v>
      </c>
      <c r="E74" t="s">
        <v>345</v>
      </c>
      <c r="F74">
        <v>6</v>
      </c>
      <c r="G74" t="s">
        <v>290</v>
      </c>
      <c r="H74" t="s">
        <v>354</v>
      </c>
      <c r="I74">
        <v>7</v>
      </c>
    </row>
    <row r="75" spans="1:9" x14ac:dyDescent="0.45">
      <c r="A75" t="s">
        <v>345</v>
      </c>
      <c r="B75" t="s">
        <v>21</v>
      </c>
      <c r="C75" t="s">
        <v>345</v>
      </c>
      <c r="D75" t="s">
        <v>346</v>
      </c>
      <c r="E75" t="s">
        <v>345</v>
      </c>
      <c r="F75">
        <v>6</v>
      </c>
      <c r="G75" t="s">
        <v>284</v>
      </c>
      <c r="H75" t="s">
        <v>294</v>
      </c>
      <c r="I75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S519"/>
  <sheetViews>
    <sheetView workbookViewId="0"/>
  </sheetViews>
  <sheetFormatPr baseColWidth="10" defaultColWidth="9.06640625" defaultRowHeight="14.25" x14ac:dyDescent="0.45"/>
  <sheetData>
    <row r="1" spans="1:19" x14ac:dyDescent="0.45">
      <c r="A1" s="24" t="s">
        <v>355</v>
      </c>
      <c r="B1" s="24" t="s">
        <v>356</v>
      </c>
      <c r="C1" s="24" t="s">
        <v>357</v>
      </c>
      <c r="D1" s="24" t="s">
        <v>358</v>
      </c>
      <c r="E1" s="24" t="s">
        <v>359</v>
      </c>
      <c r="F1" s="24" t="s">
        <v>360</v>
      </c>
      <c r="G1" s="24" t="s">
        <v>361</v>
      </c>
      <c r="H1" s="24" t="s">
        <v>362</v>
      </c>
      <c r="I1" s="24" t="s">
        <v>363</v>
      </c>
      <c r="J1" s="24" t="s">
        <v>364</v>
      </c>
      <c r="K1" s="24" t="s">
        <v>365</v>
      </c>
      <c r="L1" s="24" t="s">
        <v>366</v>
      </c>
      <c r="M1" s="24" t="s">
        <v>367</v>
      </c>
      <c r="N1" s="24" t="s">
        <v>368</v>
      </c>
      <c r="O1" s="24" t="s">
        <v>369</v>
      </c>
      <c r="P1" s="24" t="s">
        <v>370</v>
      </c>
      <c r="Q1" s="24" t="s">
        <v>371</v>
      </c>
      <c r="R1" s="24" t="s">
        <v>372</v>
      </c>
      <c r="S1" s="24" t="s">
        <v>373</v>
      </c>
    </row>
    <row r="2" spans="1:19" x14ac:dyDescent="0.45">
      <c r="A2" t="s">
        <v>44</v>
      </c>
      <c r="B2" t="s">
        <v>45</v>
      </c>
      <c r="C2" t="s">
        <v>37</v>
      </c>
      <c r="D2" t="s">
        <v>374</v>
      </c>
      <c r="E2" t="s">
        <v>375</v>
      </c>
      <c r="F2" t="s">
        <v>376</v>
      </c>
      <c r="G2" t="s">
        <v>377</v>
      </c>
      <c r="H2" t="s">
        <v>64</v>
      </c>
      <c r="I2" t="s">
        <v>378</v>
      </c>
      <c r="J2" t="s">
        <v>167</v>
      </c>
      <c r="K2" t="s">
        <v>379</v>
      </c>
      <c r="L2" t="s">
        <v>190</v>
      </c>
      <c r="M2" t="s">
        <v>380</v>
      </c>
      <c r="N2" t="s">
        <v>381</v>
      </c>
      <c r="O2" t="s">
        <v>382</v>
      </c>
      <c r="P2" t="s">
        <v>249</v>
      </c>
      <c r="Q2" t="s">
        <v>376</v>
      </c>
      <c r="R2" t="s">
        <v>215</v>
      </c>
      <c r="S2" t="s">
        <v>383</v>
      </c>
    </row>
    <row r="3" spans="1:19" x14ac:dyDescent="0.45">
      <c r="A3" t="s">
        <v>35</v>
      </c>
      <c r="B3" t="s">
        <v>384</v>
      </c>
      <c r="C3" t="s">
        <v>385</v>
      </c>
      <c r="D3" t="s">
        <v>386</v>
      </c>
      <c r="E3" t="s">
        <v>387</v>
      </c>
      <c r="F3" t="s">
        <v>41</v>
      </c>
      <c r="G3" t="s">
        <v>388</v>
      </c>
      <c r="H3" t="s">
        <v>58</v>
      </c>
      <c r="I3" t="s">
        <v>163</v>
      </c>
      <c r="J3" t="s">
        <v>389</v>
      </c>
      <c r="K3" t="s">
        <v>390</v>
      </c>
      <c r="L3" t="s">
        <v>391</v>
      </c>
      <c r="M3" t="s">
        <v>392</v>
      </c>
      <c r="N3" t="s">
        <v>393</v>
      </c>
      <c r="O3" t="s">
        <v>394</v>
      </c>
      <c r="P3" t="s">
        <v>395</v>
      </c>
      <c r="Q3" t="s">
        <v>41</v>
      </c>
      <c r="R3" t="s">
        <v>217</v>
      </c>
      <c r="S3" t="s">
        <v>396</v>
      </c>
    </row>
    <row r="4" spans="1:19" x14ac:dyDescent="0.45">
      <c r="A4" t="s">
        <v>397</v>
      </c>
      <c r="B4" t="s">
        <v>43</v>
      </c>
      <c r="D4" t="s">
        <v>398</v>
      </c>
      <c r="E4" t="s">
        <v>399</v>
      </c>
      <c r="G4" t="s">
        <v>400</v>
      </c>
      <c r="I4" t="s">
        <v>401</v>
      </c>
      <c r="J4" t="s">
        <v>402</v>
      </c>
      <c r="K4" t="s">
        <v>403</v>
      </c>
      <c r="L4" t="s">
        <v>404</v>
      </c>
      <c r="M4" t="s">
        <v>405</v>
      </c>
      <c r="N4" t="s">
        <v>406</v>
      </c>
      <c r="O4" t="s">
        <v>407</v>
      </c>
      <c r="P4" t="s">
        <v>408</v>
      </c>
      <c r="R4" t="s">
        <v>219</v>
      </c>
      <c r="S4" t="s">
        <v>409</v>
      </c>
    </row>
    <row r="5" spans="1:19" x14ac:dyDescent="0.45">
      <c r="B5" t="s">
        <v>36</v>
      </c>
      <c r="D5" t="s">
        <v>410</v>
      </c>
      <c r="E5" t="s">
        <v>411</v>
      </c>
      <c r="I5" t="s">
        <v>412</v>
      </c>
      <c r="K5" t="s">
        <v>413</v>
      </c>
      <c r="L5" t="s">
        <v>414</v>
      </c>
      <c r="M5" t="s">
        <v>415</v>
      </c>
      <c r="N5" t="s">
        <v>416</v>
      </c>
      <c r="O5" t="s">
        <v>417</v>
      </c>
      <c r="P5" t="s">
        <v>59</v>
      </c>
      <c r="R5" t="s">
        <v>220</v>
      </c>
      <c r="S5" t="s">
        <v>418</v>
      </c>
    </row>
    <row r="6" spans="1:19" x14ac:dyDescent="0.45">
      <c r="B6" t="s">
        <v>419</v>
      </c>
      <c r="D6" t="s">
        <v>420</v>
      </c>
      <c r="E6" t="s">
        <v>421</v>
      </c>
      <c r="I6" t="s">
        <v>422</v>
      </c>
      <c r="K6" t="s">
        <v>423</v>
      </c>
      <c r="L6" t="s">
        <v>424</v>
      </c>
      <c r="M6" t="s">
        <v>425</v>
      </c>
      <c r="N6" t="s">
        <v>426</v>
      </c>
      <c r="O6" t="s">
        <v>207</v>
      </c>
      <c r="R6" t="s">
        <v>221</v>
      </c>
    </row>
    <row r="7" spans="1:19" x14ac:dyDescent="0.45">
      <c r="B7" t="s">
        <v>427</v>
      </c>
      <c r="D7" t="s">
        <v>428</v>
      </c>
      <c r="E7" t="s">
        <v>429</v>
      </c>
      <c r="I7" t="s">
        <v>430</v>
      </c>
      <c r="K7" t="s">
        <v>431</v>
      </c>
      <c r="L7" t="s">
        <v>185</v>
      </c>
      <c r="M7" t="s">
        <v>432</v>
      </c>
      <c r="N7" t="s">
        <v>433</v>
      </c>
      <c r="O7" t="s">
        <v>35</v>
      </c>
      <c r="R7" t="s">
        <v>222</v>
      </c>
    </row>
    <row r="8" spans="1:19" x14ac:dyDescent="0.45">
      <c r="B8" t="s">
        <v>434</v>
      </c>
      <c r="D8" t="s">
        <v>435</v>
      </c>
      <c r="E8" t="s">
        <v>436</v>
      </c>
      <c r="K8" t="s">
        <v>437</v>
      </c>
      <c r="L8" t="s">
        <v>438</v>
      </c>
      <c r="M8" t="s">
        <v>439</v>
      </c>
      <c r="N8" t="s">
        <v>440</v>
      </c>
      <c r="O8" t="s">
        <v>204</v>
      </c>
    </row>
    <row r="9" spans="1:19" x14ac:dyDescent="0.45">
      <c r="D9" t="s">
        <v>441</v>
      </c>
      <c r="E9" t="s">
        <v>442</v>
      </c>
      <c r="K9" t="s">
        <v>443</v>
      </c>
      <c r="L9" t="s">
        <v>443</v>
      </c>
      <c r="M9" t="s">
        <v>444</v>
      </c>
      <c r="N9" t="s">
        <v>445</v>
      </c>
      <c r="O9" t="s">
        <v>446</v>
      </c>
    </row>
    <row r="10" spans="1:19" x14ac:dyDescent="0.45">
      <c r="D10" t="s">
        <v>447</v>
      </c>
      <c r="E10" t="s">
        <v>448</v>
      </c>
      <c r="L10" t="s">
        <v>449</v>
      </c>
      <c r="M10" t="s">
        <v>450</v>
      </c>
      <c r="N10" t="s">
        <v>451</v>
      </c>
    </row>
    <row r="11" spans="1:19" x14ac:dyDescent="0.45">
      <c r="D11" t="s">
        <v>452</v>
      </c>
      <c r="E11" t="s">
        <v>453</v>
      </c>
      <c r="M11" t="s">
        <v>454</v>
      </c>
      <c r="N11" t="s">
        <v>455</v>
      </c>
    </row>
    <row r="12" spans="1:19" x14ac:dyDescent="0.45">
      <c r="D12" t="s">
        <v>456</v>
      </c>
      <c r="E12" t="s">
        <v>457</v>
      </c>
      <c r="M12" t="s">
        <v>458</v>
      </c>
      <c r="N12" t="s">
        <v>459</v>
      </c>
    </row>
    <row r="13" spans="1:19" x14ac:dyDescent="0.45">
      <c r="D13" t="s">
        <v>460</v>
      </c>
      <c r="E13" t="s">
        <v>461</v>
      </c>
      <c r="M13" t="s">
        <v>462</v>
      </c>
      <c r="N13" t="s">
        <v>463</v>
      </c>
    </row>
    <row r="14" spans="1:19" x14ac:dyDescent="0.45">
      <c r="D14" t="s">
        <v>464</v>
      </c>
      <c r="E14" t="s">
        <v>465</v>
      </c>
      <c r="M14" t="s">
        <v>466</v>
      </c>
      <c r="N14" t="s">
        <v>467</v>
      </c>
    </row>
    <row r="15" spans="1:19" x14ac:dyDescent="0.45">
      <c r="D15" t="s">
        <v>468</v>
      </c>
      <c r="E15" t="s">
        <v>469</v>
      </c>
      <c r="M15" t="s">
        <v>470</v>
      </c>
      <c r="N15" t="s">
        <v>471</v>
      </c>
    </row>
    <row r="16" spans="1:19" x14ac:dyDescent="0.45">
      <c r="D16" t="s">
        <v>472</v>
      </c>
      <c r="E16" t="s">
        <v>473</v>
      </c>
      <c r="M16" t="s">
        <v>186</v>
      </c>
      <c r="N16" t="s">
        <v>474</v>
      </c>
    </row>
    <row r="17" spans="4:14" x14ac:dyDescent="0.45">
      <c r="D17" t="s">
        <v>475</v>
      </c>
      <c r="E17" t="s">
        <v>476</v>
      </c>
      <c r="M17" t="s">
        <v>477</v>
      </c>
      <c r="N17" t="s">
        <v>478</v>
      </c>
    </row>
    <row r="18" spans="4:14" x14ac:dyDescent="0.45">
      <c r="D18" t="s">
        <v>479</v>
      </c>
      <c r="E18" t="s">
        <v>480</v>
      </c>
      <c r="M18" t="s">
        <v>481</v>
      </c>
      <c r="N18" t="s">
        <v>482</v>
      </c>
    </row>
    <row r="19" spans="4:14" x14ac:dyDescent="0.45">
      <c r="D19" t="s">
        <v>483</v>
      </c>
      <c r="E19" t="s">
        <v>42</v>
      </c>
      <c r="M19" t="s">
        <v>484</v>
      </c>
      <c r="N19" t="s">
        <v>485</v>
      </c>
    </row>
    <row r="20" spans="4:14" x14ac:dyDescent="0.45">
      <c r="D20" t="s">
        <v>486</v>
      </c>
      <c r="E20" t="s">
        <v>39</v>
      </c>
      <c r="M20" t="s">
        <v>487</v>
      </c>
      <c r="N20" t="s">
        <v>488</v>
      </c>
    </row>
    <row r="21" spans="4:14" x14ac:dyDescent="0.45">
      <c r="D21" t="s">
        <v>489</v>
      </c>
      <c r="E21" t="s">
        <v>490</v>
      </c>
      <c r="M21" t="s">
        <v>491</v>
      </c>
      <c r="N21" t="s">
        <v>492</v>
      </c>
    </row>
    <row r="22" spans="4:14" x14ac:dyDescent="0.45">
      <c r="D22" t="s">
        <v>493</v>
      </c>
      <c r="E22" t="s">
        <v>494</v>
      </c>
      <c r="M22" t="s">
        <v>495</v>
      </c>
      <c r="N22" t="s">
        <v>496</v>
      </c>
    </row>
    <row r="23" spans="4:14" x14ac:dyDescent="0.45">
      <c r="D23" t="s">
        <v>497</v>
      </c>
      <c r="E23" t="s">
        <v>498</v>
      </c>
      <c r="M23" t="s">
        <v>499</v>
      </c>
      <c r="N23" t="s">
        <v>500</v>
      </c>
    </row>
    <row r="24" spans="4:14" x14ac:dyDescent="0.45">
      <c r="D24" t="s">
        <v>501</v>
      </c>
      <c r="E24" t="s">
        <v>502</v>
      </c>
      <c r="M24" t="s">
        <v>503</v>
      </c>
      <c r="N24" t="s">
        <v>504</v>
      </c>
    </row>
    <row r="25" spans="4:14" x14ac:dyDescent="0.45">
      <c r="D25" t="s">
        <v>505</v>
      </c>
      <c r="E25" t="s">
        <v>506</v>
      </c>
      <c r="M25" t="s">
        <v>507</v>
      </c>
      <c r="N25" t="s">
        <v>508</v>
      </c>
    </row>
    <row r="26" spans="4:14" x14ac:dyDescent="0.45">
      <c r="D26" t="s">
        <v>509</v>
      </c>
      <c r="E26" t="s">
        <v>510</v>
      </c>
      <c r="N26" t="s">
        <v>511</v>
      </c>
    </row>
    <row r="27" spans="4:14" x14ac:dyDescent="0.45">
      <c r="D27" t="s">
        <v>512</v>
      </c>
      <c r="E27" t="s">
        <v>513</v>
      </c>
      <c r="N27" t="s">
        <v>514</v>
      </c>
    </row>
    <row r="28" spans="4:14" x14ac:dyDescent="0.45">
      <c r="D28" t="s">
        <v>515</v>
      </c>
      <c r="E28" t="s">
        <v>516</v>
      </c>
      <c r="N28" t="s">
        <v>517</v>
      </c>
    </row>
    <row r="29" spans="4:14" x14ac:dyDescent="0.45">
      <c r="D29" t="s">
        <v>518</v>
      </c>
      <c r="E29" t="s">
        <v>519</v>
      </c>
      <c r="N29" t="s">
        <v>520</v>
      </c>
    </row>
    <row r="30" spans="4:14" x14ac:dyDescent="0.45">
      <c r="D30" t="s">
        <v>521</v>
      </c>
      <c r="E30" t="s">
        <v>522</v>
      </c>
      <c r="N30" t="s">
        <v>523</v>
      </c>
    </row>
    <row r="31" spans="4:14" x14ac:dyDescent="0.45">
      <c r="D31" t="s">
        <v>524</v>
      </c>
      <c r="E31" t="s">
        <v>525</v>
      </c>
      <c r="N31" t="s">
        <v>526</v>
      </c>
    </row>
    <row r="32" spans="4:14" x14ac:dyDescent="0.45">
      <c r="D32" t="s">
        <v>527</v>
      </c>
      <c r="E32" t="s">
        <v>528</v>
      </c>
      <c r="N32" t="s">
        <v>529</v>
      </c>
    </row>
    <row r="33" spans="4:14" x14ac:dyDescent="0.45">
      <c r="D33" t="s">
        <v>530</v>
      </c>
      <c r="E33" t="s">
        <v>531</v>
      </c>
      <c r="N33" t="s">
        <v>532</v>
      </c>
    </row>
    <row r="34" spans="4:14" x14ac:dyDescent="0.45">
      <c r="D34" t="s">
        <v>533</v>
      </c>
      <c r="E34" t="s">
        <v>534</v>
      </c>
      <c r="N34" t="s">
        <v>535</v>
      </c>
    </row>
    <row r="35" spans="4:14" x14ac:dyDescent="0.45">
      <c r="D35" t="s">
        <v>536</v>
      </c>
      <c r="E35" t="s">
        <v>537</v>
      </c>
      <c r="N35" t="s">
        <v>538</v>
      </c>
    </row>
    <row r="36" spans="4:14" x14ac:dyDescent="0.45">
      <c r="D36" t="s">
        <v>539</v>
      </c>
      <c r="E36" t="s">
        <v>540</v>
      </c>
      <c r="N36" t="s">
        <v>541</v>
      </c>
    </row>
    <row r="37" spans="4:14" x14ac:dyDescent="0.45">
      <c r="D37" t="s">
        <v>542</v>
      </c>
      <c r="E37" t="s">
        <v>543</v>
      </c>
      <c r="N37" t="s">
        <v>544</v>
      </c>
    </row>
    <row r="38" spans="4:14" x14ac:dyDescent="0.45">
      <c r="D38" t="s">
        <v>545</v>
      </c>
      <c r="E38" t="s">
        <v>546</v>
      </c>
      <c r="N38" t="s">
        <v>547</v>
      </c>
    </row>
    <row r="39" spans="4:14" x14ac:dyDescent="0.45">
      <c r="D39" t="s">
        <v>548</v>
      </c>
      <c r="E39" t="s">
        <v>549</v>
      </c>
      <c r="N39" t="s">
        <v>550</v>
      </c>
    </row>
    <row r="40" spans="4:14" x14ac:dyDescent="0.45">
      <c r="D40" t="s">
        <v>551</v>
      </c>
      <c r="E40" t="s">
        <v>552</v>
      </c>
      <c r="N40" t="s">
        <v>553</v>
      </c>
    </row>
    <row r="41" spans="4:14" x14ac:dyDescent="0.45">
      <c r="D41" t="s">
        <v>554</v>
      </c>
      <c r="E41" t="s">
        <v>555</v>
      </c>
      <c r="N41" t="s">
        <v>556</v>
      </c>
    </row>
    <row r="42" spans="4:14" x14ac:dyDescent="0.45">
      <c r="D42" t="s">
        <v>557</v>
      </c>
      <c r="E42" t="s">
        <v>558</v>
      </c>
      <c r="N42" t="s">
        <v>559</v>
      </c>
    </row>
    <row r="43" spans="4:14" x14ac:dyDescent="0.45">
      <c r="D43" t="s">
        <v>560</v>
      </c>
      <c r="E43" t="s">
        <v>561</v>
      </c>
      <c r="N43" t="s">
        <v>562</v>
      </c>
    </row>
    <row r="44" spans="4:14" x14ac:dyDescent="0.45">
      <c r="D44" t="s">
        <v>563</v>
      </c>
      <c r="E44" t="s">
        <v>564</v>
      </c>
      <c r="N44" t="s">
        <v>565</v>
      </c>
    </row>
    <row r="45" spans="4:14" x14ac:dyDescent="0.45">
      <c r="D45" t="s">
        <v>566</v>
      </c>
      <c r="E45" t="s">
        <v>567</v>
      </c>
      <c r="N45" t="s">
        <v>568</v>
      </c>
    </row>
    <row r="46" spans="4:14" x14ac:dyDescent="0.45">
      <c r="D46" t="s">
        <v>569</v>
      </c>
      <c r="E46" t="s">
        <v>570</v>
      </c>
      <c r="N46" t="s">
        <v>571</v>
      </c>
    </row>
    <row r="47" spans="4:14" x14ac:dyDescent="0.45">
      <c r="D47" t="s">
        <v>572</v>
      </c>
      <c r="E47" t="s">
        <v>573</v>
      </c>
      <c r="N47" t="s">
        <v>574</v>
      </c>
    </row>
    <row r="48" spans="4:14" x14ac:dyDescent="0.45">
      <c r="D48" t="s">
        <v>575</v>
      </c>
      <c r="E48" t="s">
        <v>576</v>
      </c>
      <c r="N48" t="s">
        <v>577</v>
      </c>
    </row>
    <row r="49" spans="4:14" x14ac:dyDescent="0.45">
      <c r="D49" t="s">
        <v>578</v>
      </c>
      <c r="E49" t="s">
        <v>579</v>
      </c>
      <c r="N49" t="s">
        <v>580</v>
      </c>
    </row>
    <row r="50" spans="4:14" x14ac:dyDescent="0.45">
      <c r="D50" t="s">
        <v>581</v>
      </c>
      <c r="E50" t="s">
        <v>582</v>
      </c>
      <c r="N50" t="s">
        <v>583</v>
      </c>
    </row>
    <row r="51" spans="4:14" x14ac:dyDescent="0.45">
      <c r="D51" t="s">
        <v>584</v>
      </c>
      <c r="E51" t="s">
        <v>585</v>
      </c>
      <c r="N51" t="s">
        <v>586</v>
      </c>
    </row>
    <row r="52" spans="4:14" x14ac:dyDescent="0.45">
      <c r="D52" t="s">
        <v>587</v>
      </c>
      <c r="E52" t="s">
        <v>588</v>
      </c>
      <c r="N52" t="s">
        <v>589</v>
      </c>
    </row>
    <row r="53" spans="4:14" x14ac:dyDescent="0.45">
      <c r="D53" t="s">
        <v>590</v>
      </c>
      <c r="E53" t="s">
        <v>591</v>
      </c>
      <c r="N53" t="s">
        <v>592</v>
      </c>
    </row>
    <row r="54" spans="4:14" x14ac:dyDescent="0.45">
      <c r="D54" t="s">
        <v>593</v>
      </c>
      <c r="E54" t="s">
        <v>594</v>
      </c>
      <c r="N54" t="s">
        <v>595</v>
      </c>
    </row>
    <row r="55" spans="4:14" x14ac:dyDescent="0.45">
      <c r="D55" t="s">
        <v>596</v>
      </c>
      <c r="E55" t="s">
        <v>597</v>
      </c>
      <c r="N55" t="s">
        <v>598</v>
      </c>
    </row>
    <row r="56" spans="4:14" x14ac:dyDescent="0.45">
      <c r="D56" t="s">
        <v>599</v>
      </c>
      <c r="E56" t="s">
        <v>600</v>
      </c>
      <c r="N56" t="s">
        <v>601</v>
      </c>
    </row>
    <row r="57" spans="4:14" x14ac:dyDescent="0.45">
      <c r="D57" t="s">
        <v>602</v>
      </c>
      <c r="E57" t="s">
        <v>603</v>
      </c>
      <c r="N57" t="s">
        <v>604</v>
      </c>
    </row>
    <row r="58" spans="4:14" x14ac:dyDescent="0.45">
      <c r="D58" t="s">
        <v>605</v>
      </c>
      <c r="E58" t="s">
        <v>606</v>
      </c>
      <c r="N58" t="s">
        <v>607</v>
      </c>
    </row>
    <row r="59" spans="4:14" x14ac:dyDescent="0.45">
      <c r="D59" t="s">
        <v>608</v>
      </c>
      <c r="E59" t="s">
        <v>609</v>
      </c>
      <c r="N59" t="s">
        <v>610</v>
      </c>
    </row>
    <row r="60" spans="4:14" x14ac:dyDescent="0.45">
      <c r="D60" t="s">
        <v>611</v>
      </c>
      <c r="E60" t="s">
        <v>612</v>
      </c>
      <c r="N60" t="s">
        <v>613</v>
      </c>
    </row>
    <row r="61" spans="4:14" x14ac:dyDescent="0.45">
      <c r="D61" t="s">
        <v>614</v>
      </c>
      <c r="E61" t="s">
        <v>615</v>
      </c>
      <c r="N61" t="s">
        <v>616</v>
      </c>
    </row>
    <row r="62" spans="4:14" x14ac:dyDescent="0.45">
      <c r="D62" t="s">
        <v>617</v>
      </c>
      <c r="E62" t="s">
        <v>618</v>
      </c>
      <c r="N62" t="s">
        <v>619</v>
      </c>
    </row>
    <row r="63" spans="4:14" x14ac:dyDescent="0.45">
      <c r="D63" t="s">
        <v>620</v>
      </c>
      <c r="E63" t="s">
        <v>621</v>
      </c>
      <c r="N63" t="s">
        <v>622</v>
      </c>
    </row>
    <row r="64" spans="4:14" x14ac:dyDescent="0.45">
      <c r="D64" t="s">
        <v>623</v>
      </c>
      <c r="E64" t="s">
        <v>624</v>
      </c>
      <c r="N64" t="s">
        <v>625</v>
      </c>
    </row>
    <row r="65" spans="4:14" x14ac:dyDescent="0.45">
      <c r="D65" t="s">
        <v>626</v>
      </c>
      <c r="E65" t="s">
        <v>627</v>
      </c>
      <c r="N65" t="s">
        <v>628</v>
      </c>
    </row>
    <row r="66" spans="4:14" x14ac:dyDescent="0.45">
      <c r="D66" t="s">
        <v>629</v>
      </c>
      <c r="E66" t="s">
        <v>630</v>
      </c>
      <c r="N66" t="s">
        <v>631</v>
      </c>
    </row>
    <row r="67" spans="4:14" x14ac:dyDescent="0.45">
      <c r="D67" t="s">
        <v>632</v>
      </c>
      <c r="E67" t="s">
        <v>633</v>
      </c>
      <c r="N67" t="s">
        <v>634</v>
      </c>
    </row>
    <row r="68" spans="4:14" x14ac:dyDescent="0.45">
      <c r="D68" t="s">
        <v>635</v>
      </c>
      <c r="E68" t="s">
        <v>636</v>
      </c>
      <c r="N68" t="s">
        <v>637</v>
      </c>
    </row>
    <row r="69" spans="4:14" x14ac:dyDescent="0.45">
      <c r="D69" t="s">
        <v>638</v>
      </c>
      <c r="E69" t="s">
        <v>639</v>
      </c>
      <c r="N69" t="s">
        <v>640</v>
      </c>
    </row>
    <row r="70" spans="4:14" x14ac:dyDescent="0.45">
      <c r="D70" t="s">
        <v>641</v>
      </c>
      <c r="E70" t="s">
        <v>642</v>
      </c>
      <c r="N70" t="s">
        <v>643</v>
      </c>
    </row>
    <row r="71" spans="4:14" x14ac:dyDescent="0.45">
      <c r="D71" t="s">
        <v>644</v>
      </c>
      <c r="E71" t="s">
        <v>645</v>
      </c>
      <c r="N71" t="s">
        <v>646</v>
      </c>
    </row>
    <row r="72" spans="4:14" x14ac:dyDescent="0.45">
      <c r="D72" t="s">
        <v>647</v>
      </c>
      <c r="E72" t="s">
        <v>648</v>
      </c>
      <c r="N72" t="s">
        <v>649</v>
      </c>
    </row>
    <row r="73" spans="4:14" x14ac:dyDescent="0.45">
      <c r="D73" t="s">
        <v>650</v>
      </c>
      <c r="E73" t="s">
        <v>651</v>
      </c>
      <c r="N73" t="s">
        <v>652</v>
      </c>
    </row>
    <row r="74" spans="4:14" x14ac:dyDescent="0.45">
      <c r="D74" t="s">
        <v>653</v>
      </c>
      <c r="E74" t="s">
        <v>654</v>
      </c>
      <c r="N74" t="s">
        <v>655</v>
      </c>
    </row>
    <row r="75" spans="4:14" x14ac:dyDescent="0.45">
      <c r="D75" t="s">
        <v>656</v>
      </c>
      <c r="E75" t="s">
        <v>657</v>
      </c>
      <c r="N75" t="s">
        <v>658</v>
      </c>
    </row>
    <row r="76" spans="4:14" x14ac:dyDescent="0.45">
      <c r="D76" t="s">
        <v>659</v>
      </c>
      <c r="E76" t="s">
        <v>660</v>
      </c>
      <c r="N76" t="s">
        <v>661</v>
      </c>
    </row>
    <row r="77" spans="4:14" x14ac:dyDescent="0.45">
      <c r="D77" t="s">
        <v>662</v>
      </c>
      <c r="E77" t="s">
        <v>663</v>
      </c>
      <c r="N77" t="s">
        <v>664</v>
      </c>
    </row>
    <row r="78" spans="4:14" x14ac:dyDescent="0.45">
      <c r="D78" t="s">
        <v>665</v>
      </c>
      <c r="E78" t="s">
        <v>666</v>
      </c>
      <c r="N78" t="s">
        <v>667</v>
      </c>
    </row>
    <row r="79" spans="4:14" x14ac:dyDescent="0.45">
      <c r="D79" t="s">
        <v>668</v>
      </c>
      <c r="E79" t="s">
        <v>669</v>
      </c>
      <c r="N79" t="s">
        <v>670</v>
      </c>
    </row>
    <row r="80" spans="4:14" x14ac:dyDescent="0.45">
      <c r="D80" t="s">
        <v>671</v>
      </c>
      <c r="E80" t="s">
        <v>672</v>
      </c>
      <c r="N80" t="s">
        <v>673</v>
      </c>
    </row>
    <row r="81" spans="4:14" x14ac:dyDescent="0.45">
      <c r="D81" t="s">
        <v>674</v>
      </c>
      <c r="E81" t="s">
        <v>675</v>
      </c>
      <c r="N81" t="s">
        <v>676</v>
      </c>
    </row>
    <row r="82" spans="4:14" x14ac:dyDescent="0.45">
      <c r="D82" t="s">
        <v>677</v>
      </c>
      <c r="E82" t="s">
        <v>678</v>
      </c>
      <c r="N82" t="s">
        <v>679</v>
      </c>
    </row>
    <row r="83" spans="4:14" x14ac:dyDescent="0.45">
      <c r="D83" t="s">
        <v>680</v>
      </c>
      <c r="E83" t="s">
        <v>681</v>
      </c>
      <c r="N83" t="s">
        <v>682</v>
      </c>
    </row>
    <row r="84" spans="4:14" x14ac:dyDescent="0.45">
      <c r="D84" t="s">
        <v>683</v>
      </c>
      <c r="E84" t="s">
        <v>684</v>
      </c>
      <c r="N84" t="s">
        <v>685</v>
      </c>
    </row>
    <row r="85" spans="4:14" x14ac:dyDescent="0.45">
      <c r="D85" t="s">
        <v>686</v>
      </c>
      <c r="E85" t="s">
        <v>687</v>
      </c>
      <c r="N85" t="s">
        <v>688</v>
      </c>
    </row>
    <row r="86" spans="4:14" x14ac:dyDescent="0.45">
      <c r="D86" t="s">
        <v>689</v>
      </c>
      <c r="E86" t="s">
        <v>690</v>
      </c>
      <c r="N86" t="s">
        <v>691</v>
      </c>
    </row>
    <row r="87" spans="4:14" x14ac:dyDescent="0.45">
      <c r="D87" t="s">
        <v>692</v>
      </c>
      <c r="E87" t="s">
        <v>693</v>
      </c>
      <c r="N87" t="s">
        <v>694</v>
      </c>
    </row>
    <row r="88" spans="4:14" x14ac:dyDescent="0.45">
      <c r="D88" t="s">
        <v>695</v>
      </c>
      <c r="E88" t="s">
        <v>696</v>
      </c>
      <c r="N88" t="s">
        <v>697</v>
      </c>
    </row>
    <row r="89" spans="4:14" x14ac:dyDescent="0.45">
      <c r="D89" t="s">
        <v>698</v>
      </c>
      <c r="E89" t="s">
        <v>699</v>
      </c>
      <c r="N89" t="s">
        <v>700</v>
      </c>
    </row>
    <row r="90" spans="4:14" x14ac:dyDescent="0.45">
      <c r="D90" t="s">
        <v>701</v>
      </c>
      <c r="E90" t="s">
        <v>702</v>
      </c>
      <c r="N90" t="s">
        <v>703</v>
      </c>
    </row>
    <row r="91" spans="4:14" x14ac:dyDescent="0.45">
      <c r="D91" t="s">
        <v>704</v>
      </c>
      <c r="E91" t="s">
        <v>705</v>
      </c>
      <c r="N91" t="s">
        <v>706</v>
      </c>
    </row>
    <row r="92" spans="4:14" x14ac:dyDescent="0.45">
      <c r="D92" t="s">
        <v>707</v>
      </c>
      <c r="E92" t="s">
        <v>708</v>
      </c>
      <c r="N92" t="s">
        <v>709</v>
      </c>
    </row>
    <row r="93" spans="4:14" x14ac:dyDescent="0.45">
      <c r="D93" t="s">
        <v>710</v>
      </c>
      <c r="E93" t="s">
        <v>711</v>
      </c>
      <c r="N93" t="s">
        <v>712</v>
      </c>
    </row>
    <row r="94" spans="4:14" x14ac:dyDescent="0.45">
      <c r="D94" t="s">
        <v>713</v>
      </c>
      <c r="E94" t="s">
        <v>714</v>
      </c>
      <c r="N94" t="s">
        <v>715</v>
      </c>
    </row>
    <row r="95" spans="4:14" x14ac:dyDescent="0.45">
      <c r="D95" t="s">
        <v>716</v>
      </c>
      <c r="E95" t="s">
        <v>717</v>
      </c>
      <c r="N95" t="s">
        <v>718</v>
      </c>
    </row>
    <row r="96" spans="4:14" x14ac:dyDescent="0.45">
      <c r="D96" t="s">
        <v>719</v>
      </c>
      <c r="E96" t="s">
        <v>720</v>
      </c>
      <c r="N96" t="s">
        <v>721</v>
      </c>
    </row>
    <row r="97" spans="4:14" x14ac:dyDescent="0.45">
      <c r="D97" t="s">
        <v>722</v>
      </c>
      <c r="E97" t="s">
        <v>723</v>
      </c>
      <c r="N97" t="s">
        <v>724</v>
      </c>
    </row>
    <row r="98" spans="4:14" x14ac:dyDescent="0.45">
      <c r="D98" t="s">
        <v>725</v>
      </c>
      <c r="E98" t="s">
        <v>726</v>
      </c>
      <c r="N98" t="s">
        <v>727</v>
      </c>
    </row>
    <row r="99" spans="4:14" x14ac:dyDescent="0.45">
      <c r="D99" t="s">
        <v>728</v>
      </c>
      <c r="E99" t="s">
        <v>729</v>
      </c>
      <c r="N99" t="s">
        <v>730</v>
      </c>
    </row>
    <row r="100" spans="4:14" x14ac:dyDescent="0.45">
      <c r="D100" t="s">
        <v>731</v>
      </c>
      <c r="E100" t="s">
        <v>732</v>
      </c>
      <c r="N100" t="s">
        <v>733</v>
      </c>
    </row>
    <row r="101" spans="4:14" x14ac:dyDescent="0.45">
      <c r="D101" t="s">
        <v>734</v>
      </c>
      <c r="E101" t="s">
        <v>735</v>
      </c>
      <c r="N101" t="s">
        <v>736</v>
      </c>
    </row>
    <row r="102" spans="4:14" x14ac:dyDescent="0.45">
      <c r="D102" t="s">
        <v>737</v>
      </c>
      <c r="E102" t="s">
        <v>738</v>
      </c>
      <c r="N102" t="s">
        <v>739</v>
      </c>
    </row>
    <row r="103" spans="4:14" x14ac:dyDescent="0.45">
      <c r="D103" t="s">
        <v>740</v>
      </c>
      <c r="E103" t="s">
        <v>741</v>
      </c>
      <c r="N103" t="s">
        <v>742</v>
      </c>
    </row>
    <row r="104" spans="4:14" x14ac:dyDescent="0.45">
      <c r="D104" t="s">
        <v>743</v>
      </c>
      <c r="E104" t="s">
        <v>744</v>
      </c>
      <c r="N104" t="s">
        <v>745</v>
      </c>
    </row>
    <row r="105" spans="4:14" x14ac:dyDescent="0.45">
      <c r="D105" t="s">
        <v>746</v>
      </c>
      <c r="E105" t="s">
        <v>747</v>
      </c>
      <c r="N105" t="s">
        <v>748</v>
      </c>
    </row>
    <row r="106" spans="4:14" x14ac:dyDescent="0.45">
      <c r="D106" t="s">
        <v>749</v>
      </c>
      <c r="E106" t="s">
        <v>750</v>
      </c>
      <c r="N106" t="s">
        <v>751</v>
      </c>
    </row>
    <row r="107" spans="4:14" x14ac:dyDescent="0.45">
      <c r="D107" t="s">
        <v>752</v>
      </c>
      <c r="E107" t="s">
        <v>753</v>
      </c>
      <c r="N107" t="s">
        <v>754</v>
      </c>
    </row>
    <row r="108" spans="4:14" x14ac:dyDescent="0.45">
      <c r="D108" t="s">
        <v>755</v>
      </c>
      <c r="E108" t="s">
        <v>756</v>
      </c>
      <c r="N108" t="s">
        <v>757</v>
      </c>
    </row>
    <row r="109" spans="4:14" x14ac:dyDescent="0.45">
      <c r="D109" t="s">
        <v>758</v>
      </c>
      <c r="E109" t="s">
        <v>759</v>
      </c>
      <c r="N109" t="s">
        <v>760</v>
      </c>
    </row>
    <row r="110" spans="4:14" x14ac:dyDescent="0.45">
      <c r="D110" t="s">
        <v>761</v>
      </c>
      <c r="E110" t="s">
        <v>762</v>
      </c>
      <c r="N110" t="s">
        <v>763</v>
      </c>
    </row>
    <row r="111" spans="4:14" x14ac:dyDescent="0.45">
      <c r="D111" t="s">
        <v>764</v>
      </c>
      <c r="E111" t="s">
        <v>765</v>
      </c>
      <c r="N111" t="s">
        <v>766</v>
      </c>
    </row>
    <row r="112" spans="4:14" x14ac:dyDescent="0.45">
      <c r="D112" t="s">
        <v>767</v>
      </c>
      <c r="E112" t="s">
        <v>768</v>
      </c>
      <c r="N112" t="s">
        <v>769</v>
      </c>
    </row>
    <row r="113" spans="4:14" x14ac:dyDescent="0.45">
      <c r="D113" t="s">
        <v>770</v>
      </c>
      <c r="E113" t="s">
        <v>771</v>
      </c>
      <c r="N113" t="s">
        <v>772</v>
      </c>
    </row>
    <row r="114" spans="4:14" x14ac:dyDescent="0.45">
      <c r="D114" t="s">
        <v>773</v>
      </c>
      <c r="E114" t="s">
        <v>774</v>
      </c>
      <c r="N114" t="s">
        <v>775</v>
      </c>
    </row>
    <row r="115" spans="4:14" x14ac:dyDescent="0.45">
      <c r="D115" t="s">
        <v>776</v>
      </c>
      <c r="E115" t="s">
        <v>777</v>
      </c>
      <c r="N115" t="s">
        <v>778</v>
      </c>
    </row>
    <row r="116" spans="4:14" x14ac:dyDescent="0.45">
      <c r="D116" t="s">
        <v>779</v>
      </c>
      <c r="E116" t="s">
        <v>780</v>
      </c>
      <c r="N116" t="s">
        <v>781</v>
      </c>
    </row>
    <row r="117" spans="4:14" x14ac:dyDescent="0.45">
      <c r="D117" t="s">
        <v>782</v>
      </c>
      <c r="E117" t="s">
        <v>783</v>
      </c>
      <c r="N117" t="s">
        <v>784</v>
      </c>
    </row>
    <row r="118" spans="4:14" x14ac:dyDescent="0.45">
      <c r="D118" t="s">
        <v>785</v>
      </c>
      <c r="E118" t="s">
        <v>786</v>
      </c>
      <c r="N118" t="s">
        <v>787</v>
      </c>
    </row>
    <row r="119" spans="4:14" x14ac:dyDescent="0.45">
      <c r="D119" t="s">
        <v>788</v>
      </c>
      <c r="E119" t="s">
        <v>789</v>
      </c>
      <c r="N119" t="s">
        <v>790</v>
      </c>
    </row>
    <row r="120" spans="4:14" x14ac:dyDescent="0.45">
      <c r="D120" t="s">
        <v>791</v>
      </c>
      <c r="E120" t="s">
        <v>792</v>
      </c>
      <c r="N120" t="s">
        <v>793</v>
      </c>
    </row>
    <row r="121" spans="4:14" x14ac:dyDescent="0.45">
      <c r="D121" t="s">
        <v>794</v>
      </c>
      <c r="E121" t="s">
        <v>795</v>
      </c>
      <c r="N121" t="s">
        <v>796</v>
      </c>
    </row>
    <row r="122" spans="4:14" x14ac:dyDescent="0.45">
      <c r="D122" t="s">
        <v>797</v>
      </c>
      <c r="E122" t="s">
        <v>798</v>
      </c>
      <c r="N122" t="s">
        <v>799</v>
      </c>
    </row>
    <row r="123" spans="4:14" x14ac:dyDescent="0.45">
      <c r="D123" t="s">
        <v>800</v>
      </c>
      <c r="E123" t="s">
        <v>801</v>
      </c>
      <c r="N123" t="s">
        <v>802</v>
      </c>
    </row>
    <row r="124" spans="4:14" x14ac:dyDescent="0.45">
      <c r="D124" t="s">
        <v>803</v>
      </c>
      <c r="E124" t="s">
        <v>804</v>
      </c>
      <c r="N124" t="s">
        <v>805</v>
      </c>
    </row>
    <row r="125" spans="4:14" x14ac:dyDescent="0.45">
      <c r="D125" t="s">
        <v>806</v>
      </c>
      <c r="E125" t="s">
        <v>807</v>
      </c>
      <c r="N125" t="s">
        <v>808</v>
      </c>
    </row>
    <row r="126" spans="4:14" x14ac:dyDescent="0.45">
      <c r="D126" t="s">
        <v>809</v>
      </c>
      <c r="E126" t="s">
        <v>810</v>
      </c>
      <c r="N126" t="s">
        <v>811</v>
      </c>
    </row>
    <row r="127" spans="4:14" x14ac:dyDescent="0.45">
      <c r="D127" t="s">
        <v>812</v>
      </c>
      <c r="E127" t="s">
        <v>813</v>
      </c>
      <c r="N127" t="s">
        <v>814</v>
      </c>
    </row>
    <row r="128" spans="4:14" x14ac:dyDescent="0.45">
      <c r="D128" t="s">
        <v>815</v>
      </c>
      <c r="E128" t="s">
        <v>816</v>
      </c>
      <c r="N128" t="s">
        <v>817</v>
      </c>
    </row>
    <row r="129" spans="4:14" x14ac:dyDescent="0.45">
      <c r="D129" t="s">
        <v>818</v>
      </c>
      <c r="E129" t="s">
        <v>819</v>
      </c>
      <c r="N129" t="s">
        <v>820</v>
      </c>
    </row>
    <row r="130" spans="4:14" x14ac:dyDescent="0.45">
      <c r="D130" t="s">
        <v>821</v>
      </c>
      <c r="E130" t="s">
        <v>822</v>
      </c>
      <c r="N130" t="s">
        <v>823</v>
      </c>
    </row>
    <row r="131" spans="4:14" x14ac:dyDescent="0.45">
      <c r="D131" t="s">
        <v>824</v>
      </c>
      <c r="E131" t="s">
        <v>825</v>
      </c>
      <c r="N131" t="s">
        <v>826</v>
      </c>
    </row>
    <row r="132" spans="4:14" x14ac:dyDescent="0.45">
      <c r="D132" t="s">
        <v>827</v>
      </c>
      <c r="E132" t="s">
        <v>828</v>
      </c>
      <c r="N132" t="s">
        <v>829</v>
      </c>
    </row>
    <row r="133" spans="4:14" x14ac:dyDescent="0.45">
      <c r="D133" t="s">
        <v>830</v>
      </c>
      <c r="E133" t="s">
        <v>831</v>
      </c>
      <c r="N133" t="s">
        <v>832</v>
      </c>
    </row>
    <row r="134" spans="4:14" x14ac:dyDescent="0.45">
      <c r="D134" t="s">
        <v>833</v>
      </c>
      <c r="E134" t="s">
        <v>834</v>
      </c>
      <c r="N134" t="s">
        <v>835</v>
      </c>
    </row>
    <row r="135" spans="4:14" x14ac:dyDescent="0.45">
      <c r="D135" t="s">
        <v>836</v>
      </c>
      <c r="E135" t="s">
        <v>837</v>
      </c>
      <c r="N135" t="s">
        <v>838</v>
      </c>
    </row>
    <row r="136" spans="4:14" x14ac:dyDescent="0.45">
      <c r="D136" t="s">
        <v>839</v>
      </c>
      <c r="E136" t="s">
        <v>840</v>
      </c>
      <c r="N136" t="s">
        <v>841</v>
      </c>
    </row>
    <row r="137" spans="4:14" x14ac:dyDescent="0.45">
      <c r="D137" t="s">
        <v>842</v>
      </c>
      <c r="E137" t="s">
        <v>843</v>
      </c>
      <c r="N137" t="s">
        <v>844</v>
      </c>
    </row>
    <row r="138" spans="4:14" x14ac:dyDescent="0.45">
      <c r="D138" t="s">
        <v>845</v>
      </c>
      <c r="E138" t="s">
        <v>846</v>
      </c>
      <c r="N138" t="s">
        <v>847</v>
      </c>
    </row>
    <row r="139" spans="4:14" x14ac:dyDescent="0.45">
      <c r="D139" t="s">
        <v>848</v>
      </c>
      <c r="E139" t="s">
        <v>849</v>
      </c>
      <c r="N139" t="s">
        <v>850</v>
      </c>
    </row>
    <row r="140" spans="4:14" x14ac:dyDescent="0.45">
      <c r="D140" t="s">
        <v>851</v>
      </c>
      <c r="E140" t="s">
        <v>852</v>
      </c>
      <c r="N140" t="s">
        <v>853</v>
      </c>
    </row>
    <row r="141" spans="4:14" x14ac:dyDescent="0.45">
      <c r="D141" t="s">
        <v>854</v>
      </c>
      <c r="E141" t="s">
        <v>855</v>
      </c>
      <c r="N141" t="s">
        <v>856</v>
      </c>
    </row>
    <row r="142" spans="4:14" x14ac:dyDescent="0.45">
      <c r="D142" t="s">
        <v>857</v>
      </c>
      <c r="E142" t="s">
        <v>858</v>
      </c>
      <c r="N142" t="s">
        <v>859</v>
      </c>
    </row>
    <row r="143" spans="4:14" x14ac:dyDescent="0.45">
      <c r="D143" t="s">
        <v>860</v>
      </c>
      <c r="E143" t="s">
        <v>861</v>
      </c>
      <c r="N143" t="s">
        <v>862</v>
      </c>
    </row>
    <row r="144" spans="4:14" x14ac:dyDescent="0.45">
      <c r="D144" t="s">
        <v>863</v>
      </c>
      <c r="E144" t="s">
        <v>864</v>
      </c>
      <c r="N144" t="s">
        <v>865</v>
      </c>
    </row>
    <row r="145" spans="4:14" x14ac:dyDescent="0.45">
      <c r="D145" t="s">
        <v>866</v>
      </c>
      <c r="E145" t="s">
        <v>867</v>
      </c>
      <c r="N145" t="s">
        <v>868</v>
      </c>
    </row>
    <row r="146" spans="4:14" x14ac:dyDescent="0.45">
      <c r="D146" t="s">
        <v>869</v>
      </c>
      <c r="E146" t="s">
        <v>870</v>
      </c>
      <c r="N146" t="s">
        <v>871</v>
      </c>
    </row>
    <row r="147" spans="4:14" x14ac:dyDescent="0.45">
      <c r="D147" t="s">
        <v>872</v>
      </c>
      <c r="E147" t="s">
        <v>873</v>
      </c>
      <c r="N147" t="s">
        <v>874</v>
      </c>
    </row>
    <row r="148" spans="4:14" x14ac:dyDescent="0.45">
      <c r="D148" t="s">
        <v>875</v>
      </c>
      <c r="E148" t="s">
        <v>876</v>
      </c>
      <c r="N148" t="s">
        <v>877</v>
      </c>
    </row>
    <row r="149" spans="4:14" x14ac:dyDescent="0.45">
      <c r="D149" t="s">
        <v>878</v>
      </c>
      <c r="E149" t="s">
        <v>879</v>
      </c>
      <c r="N149" t="s">
        <v>880</v>
      </c>
    </row>
    <row r="150" spans="4:14" x14ac:dyDescent="0.45">
      <c r="D150" t="s">
        <v>881</v>
      </c>
      <c r="E150" t="s">
        <v>882</v>
      </c>
      <c r="N150" t="s">
        <v>883</v>
      </c>
    </row>
    <row r="151" spans="4:14" x14ac:dyDescent="0.45">
      <c r="D151" t="s">
        <v>884</v>
      </c>
      <c r="E151" t="s">
        <v>885</v>
      </c>
      <c r="N151" t="s">
        <v>886</v>
      </c>
    </row>
    <row r="152" spans="4:14" x14ac:dyDescent="0.45">
      <c r="D152" t="s">
        <v>887</v>
      </c>
      <c r="E152" t="s">
        <v>888</v>
      </c>
      <c r="N152" t="s">
        <v>889</v>
      </c>
    </row>
    <row r="153" spans="4:14" x14ac:dyDescent="0.45">
      <c r="D153" t="s">
        <v>890</v>
      </c>
      <c r="E153" t="s">
        <v>891</v>
      </c>
      <c r="N153" t="s">
        <v>892</v>
      </c>
    </row>
    <row r="154" spans="4:14" x14ac:dyDescent="0.45">
      <c r="D154" t="s">
        <v>893</v>
      </c>
      <c r="E154" t="s">
        <v>894</v>
      </c>
      <c r="N154" t="s">
        <v>895</v>
      </c>
    </row>
    <row r="155" spans="4:14" x14ac:dyDescent="0.45">
      <c r="D155" t="s">
        <v>896</v>
      </c>
      <c r="E155" t="s">
        <v>897</v>
      </c>
      <c r="N155" t="s">
        <v>898</v>
      </c>
    </row>
    <row r="156" spans="4:14" x14ac:dyDescent="0.45">
      <c r="D156" t="s">
        <v>899</v>
      </c>
      <c r="E156" t="s">
        <v>900</v>
      </c>
      <c r="N156" t="s">
        <v>901</v>
      </c>
    </row>
    <row r="157" spans="4:14" x14ac:dyDescent="0.45">
      <c r="D157" t="s">
        <v>902</v>
      </c>
      <c r="E157" t="s">
        <v>903</v>
      </c>
      <c r="N157" t="s">
        <v>904</v>
      </c>
    </row>
    <row r="158" spans="4:14" x14ac:dyDescent="0.45">
      <c r="D158" t="s">
        <v>905</v>
      </c>
      <c r="E158" t="s">
        <v>906</v>
      </c>
      <c r="N158" t="s">
        <v>907</v>
      </c>
    </row>
    <row r="159" spans="4:14" x14ac:dyDescent="0.45">
      <c r="D159" t="s">
        <v>908</v>
      </c>
      <c r="E159" t="s">
        <v>909</v>
      </c>
      <c r="N159" t="s">
        <v>910</v>
      </c>
    </row>
    <row r="160" spans="4:14" x14ac:dyDescent="0.45">
      <c r="D160" t="s">
        <v>911</v>
      </c>
      <c r="E160" t="s">
        <v>912</v>
      </c>
      <c r="N160" t="s">
        <v>913</v>
      </c>
    </row>
    <row r="161" spans="4:14" x14ac:dyDescent="0.45">
      <c r="D161" t="s">
        <v>914</v>
      </c>
      <c r="E161" t="s">
        <v>915</v>
      </c>
      <c r="N161" t="s">
        <v>187</v>
      </c>
    </row>
    <row r="162" spans="4:14" x14ac:dyDescent="0.45">
      <c r="D162" t="s">
        <v>916</v>
      </c>
      <c r="E162" t="s">
        <v>917</v>
      </c>
      <c r="N162" t="s">
        <v>918</v>
      </c>
    </row>
    <row r="163" spans="4:14" x14ac:dyDescent="0.45">
      <c r="D163" t="s">
        <v>919</v>
      </c>
      <c r="E163" t="s">
        <v>920</v>
      </c>
      <c r="N163" t="s">
        <v>921</v>
      </c>
    </row>
    <row r="164" spans="4:14" x14ac:dyDescent="0.45">
      <c r="D164" t="s">
        <v>922</v>
      </c>
      <c r="E164" t="s">
        <v>923</v>
      </c>
      <c r="N164" t="s">
        <v>924</v>
      </c>
    </row>
    <row r="165" spans="4:14" x14ac:dyDescent="0.45">
      <c r="D165" t="s">
        <v>925</v>
      </c>
      <c r="E165" t="s">
        <v>926</v>
      </c>
      <c r="N165" t="s">
        <v>927</v>
      </c>
    </row>
    <row r="166" spans="4:14" x14ac:dyDescent="0.45">
      <c r="D166" t="s">
        <v>928</v>
      </c>
      <c r="E166" t="s">
        <v>929</v>
      </c>
      <c r="N166" t="s">
        <v>930</v>
      </c>
    </row>
    <row r="167" spans="4:14" x14ac:dyDescent="0.45">
      <c r="D167" t="s">
        <v>931</v>
      </c>
      <c r="E167" t="s">
        <v>932</v>
      </c>
      <c r="N167" t="s">
        <v>933</v>
      </c>
    </row>
    <row r="168" spans="4:14" x14ac:dyDescent="0.45">
      <c r="D168" t="s">
        <v>934</v>
      </c>
      <c r="E168" t="s">
        <v>935</v>
      </c>
      <c r="N168" t="s">
        <v>936</v>
      </c>
    </row>
    <row r="169" spans="4:14" x14ac:dyDescent="0.45">
      <c r="D169" t="s">
        <v>937</v>
      </c>
      <c r="E169" t="s">
        <v>938</v>
      </c>
      <c r="N169" t="s">
        <v>939</v>
      </c>
    </row>
    <row r="170" spans="4:14" x14ac:dyDescent="0.45">
      <c r="D170" t="s">
        <v>940</v>
      </c>
      <c r="E170" t="s">
        <v>941</v>
      </c>
      <c r="N170" t="s">
        <v>942</v>
      </c>
    </row>
    <row r="171" spans="4:14" x14ac:dyDescent="0.45">
      <c r="D171" t="s">
        <v>943</v>
      </c>
      <c r="E171" t="s">
        <v>944</v>
      </c>
      <c r="N171" t="s">
        <v>945</v>
      </c>
    </row>
    <row r="172" spans="4:14" x14ac:dyDescent="0.45">
      <c r="D172" t="s">
        <v>946</v>
      </c>
      <c r="E172" t="s">
        <v>947</v>
      </c>
      <c r="N172" t="s">
        <v>948</v>
      </c>
    </row>
    <row r="173" spans="4:14" x14ac:dyDescent="0.45">
      <c r="D173" t="s">
        <v>949</v>
      </c>
      <c r="E173" t="s">
        <v>950</v>
      </c>
      <c r="N173" t="s">
        <v>951</v>
      </c>
    </row>
    <row r="174" spans="4:14" x14ac:dyDescent="0.45">
      <c r="D174" t="s">
        <v>952</v>
      </c>
      <c r="E174" t="s">
        <v>953</v>
      </c>
      <c r="N174" t="s">
        <v>954</v>
      </c>
    </row>
    <row r="175" spans="4:14" x14ac:dyDescent="0.45">
      <c r="D175" t="s">
        <v>955</v>
      </c>
      <c r="E175" t="s">
        <v>956</v>
      </c>
      <c r="N175" t="s">
        <v>957</v>
      </c>
    </row>
    <row r="176" spans="4:14" x14ac:dyDescent="0.45">
      <c r="D176" t="s">
        <v>958</v>
      </c>
      <c r="E176" t="s">
        <v>959</v>
      </c>
      <c r="N176" t="s">
        <v>960</v>
      </c>
    </row>
    <row r="177" spans="4:14" x14ac:dyDescent="0.45">
      <c r="D177" t="s">
        <v>961</v>
      </c>
      <c r="E177" t="s">
        <v>962</v>
      </c>
      <c r="N177" t="s">
        <v>963</v>
      </c>
    </row>
    <row r="178" spans="4:14" x14ac:dyDescent="0.45">
      <c r="D178" t="s">
        <v>964</v>
      </c>
      <c r="E178" t="s">
        <v>965</v>
      </c>
      <c r="N178" t="s">
        <v>966</v>
      </c>
    </row>
    <row r="179" spans="4:14" x14ac:dyDescent="0.45">
      <c r="D179" t="s">
        <v>967</v>
      </c>
      <c r="E179" t="s">
        <v>968</v>
      </c>
      <c r="N179" t="s">
        <v>969</v>
      </c>
    </row>
    <row r="180" spans="4:14" x14ac:dyDescent="0.45">
      <c r="D180" t="s">
        <v>970</v>
      </c>
      <c r="E180" t="s">
        <v>971</v>
      </c>
      <c r="N180" t="s">
        <v>972</v>
      </c>
    </row>
    <row r="181" spans="4:14" x14ac:dyDescent="0.45">
      <c r="D181" t="s">
        <v>973</v>
      </c>
      <c r="E181" t="s">
        <v>974</v>
      </c>
      <c r="N181" t="s">
        <v>975</v>
      </c>
    </row>
    <row r="182" spans="4:14" x14ac:dyDescent="0.45">
      <c r="D182" t="s">
        <v>976</v>
      </c>
      <c r="E182" t="s">
        <v>977</v>
      </c>
      <c r="N182" t="s">
        <v>978</v>
      </c>
    </row>
    <row r="183" spans="4:14" x14ac:dyDescent="0.45">
      <c r="D183" t="s">
        <v>979</v>
      </c>
      <c r="E183" t="s">
        <v>980</v>
      </c>
      <c r="N183" t="s">
        <v>981</v>
      </c>
    </row>
    <row r="184" spans="4:14" x14ac:dyDescent="0.45">
      <c r="D184" t="s">
        <v>982</v>
      </c>
      <c r="E184" t="s">
        <v>983</v>
      </c>
      <c r="N184" t="s">
        <v>984</v>
      </c>
    </row>
    <row r="185" spans="4:14" x14ac:dyDescent="0.45">
      <c r="D185" t="s">
        <v>985</v>
      </c>
      <c r="E185" t="s">
        <v>986</v>
      </c>
      <c r="N185" t="s">
        <v>987</v>
      </c>
    </row>
    <row r="186" spans="4:14" x14ac:dyDescent="0.45">
      <c r="D186" t="s">
        <v>988</v>
      </c>
      <c r="E186" t="s">
        <v>989</v>
      </c>
      <c r="N186" t="s">
        <v>990</v>
      </c>
    </row>
    <row r="187" spans="4:14" x14ac:dyDescent="0.45">
      <c r="D187" t="s">
        <v>991</v>
      </c>
      <c r="E187" t="s">
        <v>992</v>
      </c>
      <c r="N187" t="s">
        <v>993</v>
      </c>
    </row>
    <row r="188" spans="4:14" x14ac:dyDescent="0.45">
      <c r="D188" t="s">
        <v>994</v>
      </c>
      <c r="E188" t="s">
        <v>995</v>
      </c>
      <c r="N188" t="s">
        <v>996</v>
      </c>
    </row>
    <row r="189" spans="4:14" x14ac:dyDescent="0.45">
      <c r="D189" t="s">
        <v>997</v>
      </c>
      <c r="E189" t="s">
        <v>998</v>
      </c>
      <c r="N189" t="s">
        <v>999</v>
      </c>
    </row>
    <row r="190" spans="4:14" x14ac:dyDescent="0.45">
      <c r="D190" t="s">
        <v>1000</v>
      </c>
      <c r="E190" t="s">
        <v>1001</v>
      </c>
      <c r="N190" t="s">
        <v>1002</v>
      </c>
    </row>
    <row r="191" spans="4:14" x14ac:dyDescent="0.45">
      <c r="D191" t="s">
        <v>1003</v>
      </c>
      <c r="E191" t="s">
        <v>1004</v>
      </c>
      <c r="N191" t="s">
        <v>1005</v>
      </c>
    </row>
    <row r="192" spans="4:14" x14ac:dyDescent="0.45">
      <c r="D192" t="s">
        <v>1006</v>
      </c>
      <c r="E192" t="s">
        <v>1007</v>
      </c>
      <c r="N192" t="s">
        <v>1008</v>
      </c>
    </row>
    <row r="193" spans="4:14" x14ac:dyDescent="0.45">
      <c r="D193" t="s">
        <v>1009</v>
      </c>
      <c r="E193" t="s">
        <v>1010</v>
      </c>
      <c r="N193" t="s">
        <v>1011</v>
      </c>
    </row>
    <row r="194" spans="4:14" x14ac:dyDescent="0.45">
      <c r="D194" t="s">
        <v>1012</v>
      </c>
      <c r="E194" t="s">
        <v>1013</v>
      </c>
      <c r="N194" t="s">
        <v>1014</v>
      </c>
    </row>
    <row r="195" spans="4:14" x14ac:dyDescent="0.45">
      <c r="D195" t="s">
        <v>1015</v>
      </c>
      <c r="E195" t="s">
        <v>1016</v>
      </c>
      <c r="N195" t="s">
        <v>1017</v>
      </c>
    </row>
    <row r="196" spans="4:14" x14ac:dyDescent="0.45">
      <c r="D196" t="s">
        <v>1018</v>
      </c>
      <c r="E196" t="s">
        <v>1019</v>
      </c>
      <c r="N196" t="s">
        <v>1020</v>
      </c>
    </row>
    <row r="197" spans="4:14" x14ac:dyDescent="0.45">
      <c r="D197" t="s">
        <v>1021</v>
      </c>
      <c r="E197" t="s">
        <v>1022</v>
      </c>
      <c r="N197" t="s">
        <v>1023</v>
      </c>
    </row>
    <row r="198" spans="4:14" x14ac:dyDescent="0.45">
      <c r="D198" t="s">
        <v>1024</v>
      </c>
      <c r="E198" t="s">
        <v>1025</v>
      </c>
      <c r="N198" t="s">
        <v>1026</v>
      </c>
    </row>
    <row r="199" spans="4:14" x14ac:dyDescent="0.45">
      <c r="D199" t="s">
        <v>1027</v>
      </c>
      <c r="E199" t="s">
        <v>1028</v>
      </c>
      <c r="N199" t="s">
        <v>1029</v>
      </c>
    </row>
    <row r="200" spans="4:14" x14ac:dyDescent="0.45">
      <c r="D200" t="s">
        <v>1030</v>
      </c>
      <c r="E200" t="s">
        <v>1031</v>
      </c>
      <c r="N200" t="s">
        <v>1032</v>
      </c>
    </row>
    <row r="201" spans="4:14" x14ac:dyDescent="0.45">
      <c r="D201" t="s">
        <v>1033</v>
      </c>
      <c r="E201" t="s">
        <v>1034</v>
      </c>
      <c r="N201" t="s">
        <v>1035</v>
      </c>
    </row>
    <row r="202" spans="4:14" x14ac:dyDescent="0.45">
      <c r="D202" t="s">
        <v>1036</v>
      </c>
      <c r="E202" t="s">
        <v>1037</v>
      </c>
      <c r="N202" t="s">
        <v>1038</v>
      </c>
    </row>
    <row r="203" spans="4:14" x14ac:dyDescent="0.45">
      <c r="D203" t="s">
        <v>1039</v>
      </c>
      <c r="E203" t="s">
        <v>1040</v>
      </c>
      <c r="N203" t="s">
        <v>1041</v>
      </c>
    </row>
    <row r="204" spans="4:14" x14ac:dyDescent="0.45">
      <c r="D204" t="s">
        <v>1042</v>
      </c>
      <c r="E204" t="s">
        <v>1043</v>
      </c>
      <c r="N204" t="s">
        <v>1044</v>
      </c>
    </row>
    <row r="205" spans="4:14" x14ac:dyDescent="0.45">
      <c r="D205" t="s">
        <v>1045</v>
      </c>
      <c r="E205" t="s">
        <v>1046</v>
      </c>
      <c r="N205" t="s">
        <v>1047</v>
      </c>
    </row>
    <row r="206" spans="4:14" x14ac:dyDescent="0.45">
      <c r="D206" t="s">
        <v>1048</v>
      </c>
      <c r="E206" t="s">
        <v>1049</v>
      </c>
      <c r="N206" t="s">
        <v>1050</v>
      </c>
    </row>
    <row r="207" spans="4:14" x14ac:dyDescent="0.45">
      <c r="D207" t="s">
        <v>1051</v>
      </c>
      <c r="E207" t="s">
        <v>1052</v>
      </c>
      <c r="N207" t="s">
        <v>1053</v>
      </c>
    </row>
    <row r="208" spans="4:14" x14ac:dyDescent="0.45">
      <c r="D208" t="s">
        <v>1054</v>
      </c>
      <c r="E208" t="s">
        <v>1055</v>
      </c>
      <c r="N208" t="s">
        <v>1056</v>
      </c>
    </row>
    <row r="209" spans="4:14" x14ac:dyDescent="0.45">
      <c r="D209" t="s">
        <v>1057</v>
      </c>
      <c r="E209" t="s">
        <v>1058</v>
      </c>
      <c r="N209" t="s">
        <v>1059</v>
      </c>
    </row>
    <row r="210" spans="4:14" x14ac:dyDescent="0.45">
      <c r="D210" t="s">
        <v>1060</v>
      </c>
      <c r="E210" t="s">
        <v>1061</v>
      </c>
      <c r="N210" t="s">
        <v>1062</v>
      </c>
    </row>
    <row r="211" spans="4:14" x14ac:dyDescent="0.45">
      <c r="D211" t="s">
        <v>1063</v>
      </c>
      <c r="E211" t="s">
        <v>1064</v>
      </c>
      <c r="N211" t="s">
        <v>1065</v>
      </c>
    </row>
    <row r="212" spans="4:14" x14ac:dyDescent="0.45">
      <c r="D212" t="s">
        <v>1066</v>
      </c>
      <c r="E212" t="s">
        <v>1067</v>
      </c>
      <c r="N212" t="s">
        <v>1068</v>
      </c>
    </row>
    <row r="213" spans="4:14" x14ac:dyDescent="0.45">
      <c r="D213" t="s">
        <v>1069</v>
      </c>
      <c r="E213" t="s">
        <v>1070</v>
      </c>
      <c r="N213" t="s">
        <v>1071</v>
      </c>
    </row>
    <row r="214" spans="4:14" x14ac:dyDescent="0.45">
      <c r="D214" t="s">
        <v>1072</v>
      </c>
      <c r="E214" t="s">
        <v>1073</v>
      </c>
      <c r="N214" t="s">
        <v>1074</v>
      </c>
    </row>
    <row r="215" spans="4:14" x14ac:dyDescent="0.45">
      <c r="D215" t="s">
        <v>1075</v>
      </c>
      <c r="E215" t="s">
        <v>1076</v>
      </c>
      <c r="N215" t="s">
        <v>1077</v>
      </c>
    </row>
    <row r="216" spans="4:14" x14ac:dyDescent="0.45">
      <c r="D216" t="s">
        <v>1078</v>
      </c>
      <c r="E216" t="s">
        <v>1079</v>
      </c>
      <c r="N216" t="s">
        <v>1080</v>
      </c>
    </row>
    <row r="217" spans="4:14" x14ac:dyDescent="0.45">
      <c r="D217" t="s">
        <v>1081</v>
      </c>
      <c r="E217" t="s">
        <v>1082</v>
      </c>
      <c r="N217" t="s">
        <v>1083</v>
      </c>
    </row>
    <row r="218" spans="4:14" x14ac:dyDescent="0.45">
      <c r="D218" t="s">
        <v>1084</v>
      </c>
      <c r="E218" t="s">
        <v>1085</v>
      </c>
      <c r="N218" t="s">
        <v>1086</v>
      </c>
    </row>
    <row r="219" spans="4:14" x14ac:dyDescent="0.45">
      <c r="D219" t="s">
        <v>1087</v>
      </c>
      <c r="E219" t="s">
        <v>1088</v>
      </c>
      <c r="N219" t="s">
        <v>1089</v>
      </c>
    </row>
    <row r="220" spans="4:14" x14ac:dyDescent="0.45">
      <c r="D220" t="s">
        <v>1090</v>
      </c>
      <c r="E220" t="s">
        <v>1091</v>
      </c>
      <c r="N220" t="s">
        <v>1092</v>
      </c>
    </row>
    <row r="221" spans="4:14" x14ac:dyDescent="0.45">
      <c r="D221" t="s">
        <v>1093</v>
      </c>
      <c r="E221" t="s">
        <v>1094</v>
      </c>
      <c r="N221" t="s">
        <v>1095</v>
      </c>
    </row>
    <row r="222" spans="4:14" x14ac:dyDescent="0.45">
      <c r="D222" t="s">
        <v>1096</v>
      </c>
      <c r="E222" t="s">
        <v>1097</v>
      </c>
      <c r="N222" t="s">
        <v>1098</v>
      </c>
    </row>
    <row r="223" spans="4:14" x14ac:dyDescent="0.45">
      <c r="D223" t="s">
        <v>1099</v>
      </c>
      <c r="E223" t="s">
        <v>1100</v>
      </c>
    </row>
    <row r="224" spans="4:14" x14ac:dyDescent="0.45">
      <c r="D224" t="s">
        <v>1101</v>
      </c>
      <c r="E224" t="s">
        <v>1102</v>
      </c>
    </row>
    <row r="225" spans="4:5" x14ac:dyDescent="0.45">
      <c r="D225" t="s">
        <v>1103</v>
      </c>
      <c r="E225" t="s">
        <v>1104</v>
      </c>
    </row>
    <row r="226" spans="4:5" x14ac:dyDescent="0.45">
      <c r="D226" t="s">
        <v>1105</v>
      </c>
      <c r="E226" t="s">
        <v>1106</v>
      </c>
    </row>
    <row r="227" spans="4:5" x14ac:dyDescent="0.45">
      <c r="D227" t="s">
        <v>1107</v>
      </c>
      <c r="E227" t="s">
        <v>1108</v>
      </c>
    </row>
    <row r="228" spans="4:5" x14ac:dyDescent="0.45">
      <c r="D228" t="s">
        <v>1109</v>
      </c>
      <c r="E228" t="s">
        <v>1110</v>
      </c>
    </row>
    <row r="229" spans="4:5" x14ac:dyDescent="0.45">
      <c r="D229" t="s">
        <v>1111</v>
      </c>
      <c r="E229" t="s">
        <v>1112</v>
      </c>
    </row>
    <row r="230" spans="4:5" x14ac:dyDescent="0.45">
      <c r="D230" t="s">
        <v>1113</v>
      </c>
      <c r="E230" t="s">
        <v>1114</v>
      </c>
    </row>
    <row r="231" spans="4:5" x14ac:dyDescent="0.45">
      <c r="D231" t="s">
        <v>1115</v>
      </c>
      <c r="E231" t="s">
        <v>1116</v>
      </c>
    </row>
    <row r="232" spans="4:5" x14ac:dyDescent="0.45">
      <c r="D232" t="s">
        <v>1117</v>
      </c>
      <c r="E232" t="s">
        <v>1118</v>
      </c>
    </row>
    <row r="233" spans="4:5" x14ac:dyDescent="0.45">
      <c r="D233" t="s">
        <v>1119</v>
      </c>
      <c r="E233" t="s">
        <v>1120</v>
      </c>
    </row>
    <row r="234" spans="4:5" x14ac:dyDescent="0.45">
      <c r="D234" t="s">
        <v>1121</v>
      </c>
      <c r="E234" t="s">
        <v>1122</v>
      </c>
    </row>
    <row r="235" spans="4:5" x14ac:dyDescent="0.45">
      <c r="D235" t="s">
        <v>1123</v>
      </c>
      <c r="E235" t="s">
        <v>1124</v>
      </c>
    </row>
    <row r="236" spans="4:5" x14ac:dyDescent="0.45">
      <c r="D236" t="s">
        <v>1125</v>
      </c>
      <c r="E236" t="s">
        <v>1126</v>
      </c>
    </row>
    <row r="237" spans="4:5" x14ac:dyDescent="0.45">
      <c r="D237" t="s">
        <v>1127</v>
      </c>
      <c r="E237" t="s">
        <v>1128</v>
      </c>
    </row>
    <row r="238" spans="4:5" x14ac:dyDescent="0.45">
      <c r="D238" t="s">
        <v>1129</v>
      </c>
      <c r="E238" t="s">
        <v>1130</v>
      </c>
    </row>
    <row r="239" spans="4:5" x14ac:dyDescent="0.45">
      <c r="D239" t="s">
        <v>1131</v>
      </c>
      <c r="E239" t="s">
        <v>1132</v>
      </c>
    </row>
    <row r="240" spans="4:5" x14ac:dyDescent="0.45">
      <c r="D240" t="s">
        <v>38</v>
      </c>
      <c r="E240" t="s">
        <v>1133</v>
      </c>
    </row>
    <row r="241" spans="4:5" x14ac:dyDescent="0.45">
      <c r="D241" t="s">
        <v>1134</v>
      </c>
      <c r="E241" t="s">
        <v>1135</v>
      </c>
    </row>
    <row r="242" spans="4:5" x14ac:dyDescent="0.45">
      <c r="D242" t="s">
        <v>1136</v>
      </c>
      <c r="E242" t="s">
        <v>1137</v>
      </c>
    </row>
    <row r="243" spans="4:5" x14ac:dyDescent="0.45">
      <c r="D243" t="s">
        <v>1138</v>
      </c>
      <c r="E243" t="s">
        <v>1139</v>
      </c>
    </row>
    <row r="244" spans="4:5" x14ac:dyDescent="0.45">
      <c r="D244" t="s">
        <v>1140</v>
      </c>
      <c r="E244" t="s">
        <v>1141</v>
      </c>
    </row>
    <row r="245" spans="4:5" x14ac:dyDescent="0.45">
      <c r="D245" t="s">
        <v>1142</v>
      </c>
      <c r="E245" t="s">
        <v>1143</v>
      </c>
    </row>
    <row r="246" spans="4:5" x14ac:dyDescent="0.45">
      <c r="D246" t="s">
        <v>1144</v>
      </c>
      <c r="E246" t="s">
        <v>1145</v>
      </c>
    </row>
    <row r="247" spans="4:5" x14ac:dyDescent="0.45">
      <c r="D247" t="s">
        <v>1146</v>
      </c>
      <c r="E247" t="s">
        <v>1147</v>
      </c>
    </row>
    <row r="248" spans="4:5" x14ac:dyDescent="0.45">
      <c r="D248" t="s">
        <v>1148</v>
      </c>
      <c r="E248" t="s">
        <v>1149</v>
      </c>
    </row>
    <row r="249" spans="4:5" x14ac:dyDescent="0.45">
      <c r="D249" t="s">
        <v>1150</v>
      </c>
      <c r="E249" t="s">
        <v>1151</v>
      </c>
    </row>
    <row r="250" spans="4:5" x14ac:dyDescent="0.45">
      <c r="D250" t="s">
        <v>1152</v>
      </c>
      <c r="E250" t="s">
        <v>1153</v>
      </c>
    </row>
    <row r="251" spans="4:5" x14ac:dyDescent="0.45">
      <c r="D251" t="s">
        <v>1154</v>
      </c>
      <c r="E251" t="s">
        <v>1155</v>
      </c>
    </row>
    <row r="252" spans="4:5" x14ac:dyDescent="0.45">
      <c r="D252" t="s">
        <v>1156</v>
      </c>
      <c r="E252" t="s">
        <v>1157</v>
      </c>
    </row>
    <row r="253" spans="4:5" x14ac:dyDescent="0.45">
      <c r="D253" t="s">
        <v>1158</v>
      </c>
      <c r="E253" t="s">
        <v>1159</v>
      </c>
    </row>
    <row r="254" spans="4:5" x14ac:dyDescent="0.45">
      <c r="D254" t="s">
        <v>1160</v>
      </c>
      <c r="E254" t="s">
        <v>1161</v>
      </c>
    </row>
    <row r="255" spans="4:5" x14ac:dyDescent="0.45">
      <c r="D255" t="s">
        <v>1162</v>
      </c>
      <c r="E255" t="s">
        <v>1163</v>
      </c>
    </row>
    <row r="256" spans="4:5" x14ac:dyDescent="0.45">
      <c r="D256" t="s">
        <v>1164</v>
      </c>
      <c r="E256" t="s">
        <v>1165</v>
      </c>
    </row>
    <row r="257" spans="4:5" x14ac:dyDescent="0.45">
      <c r="D257" t="s">
        <v>1166</v>
      </c>
      <c r="E257" t="s">
        <v>1167</v>
      </c>
    </row>
    <row r="258" spans="4:5" x14ac:dyDescent="0.45">
      <c r="D258" t="s">
        <v>1168</v>
      </c>
      <c r="E258" t="s">
        <v>1169</v>
      </c>
    </row>
    <row r="259" spans="4:5" x14ac:dyDescent="0.45">
      <c r="E259" t="s">
        <v>1170</v>
      </c>
    </row>
    <row r="260" spans="4:5" x14ac:dyDescent="0.45">
      <c r="E260" t="s">
        <v>1171</v>
      </c>
    </row>
    <row r="261" spans="4:5" x14ac:dyDescent="0.45">
      <c r="E261" t="s">
        <v>1172</v>
      </c>
    </row>
    <row r="262" spans="4:5" x14ac:dyDescent="0.45">
      <c r="E262" t="s">
        <v>1173</v>
      </c>
    </row>
    <row r="263" spans="4:5" x14ac:dyDescent="0.45">
      <c r="E263" t="s">
        <v>1174</v>
      </c>
    </row>
    <row r="264" spans="4:5" x14ac:dyDescent="0.45">
      <c r="E264" t="s">
        <v>1175</v>
      </c>
    </row>
    <row r="265" spans="4:5" x14ac:dyDescent="0.45">
      <c r="E265" t="s">
        <v>1176</v>
      </c>
    </row>
    <row r="266" spans="4:5" x14ac:dyDescent="0.45">
      <c r="E266" t="s">
        <v>1177</v>
      </c>
    </row>
    <row r="267" spans="4:5" x14ac:dyDescent="0.45">
      <c r="E267" t="s">
        <v>1178</v>
      </c>
    </row>
    <row r="268" spans="4:5" x14ac:dyDescent="0.45">
      <c r="E268" t="s">
        <v>1179</v>
      </c>
    </row>
    <row r="269" spans="4:5" x14ac:dyDescent="0.45">
      <c r="E269" t="s">
        <v>1180</v>
      </c>
    </row>
    <row r="270" spans="4:5" x14ac:dyDescent="0.45">
      <c r="E270" t="s">
        <v>1181</v>
      </c>
    </row>
    <row r="271" spans="4:5" x14ac:dyDescent="0.45">
      <c r="E271" t="s">
        <v>1182</v>
      </c>
    </row>
    <row r="272" spans="4:5" x14ac:dyDescent="0.45">
      <c r="E272" t="s">
        <v>1183</v>
      </c>
    </row>
    <row r="273" spans="5:5" x14ac:dyDescent="0.45">
      <c r="E273" t="s">
        <v>1184</v>
      </c>
    </row>
    <row r="274" spans="5:5" x14ac:dyDescent="0.45">
      <c r="E274" t="s">
        <v>1185</v>
      </c>
    </row>
    <row r="275" spans="5:5" x14ac:dyDescent="0.45">
      <c r="E275" t="s">
        <v>1186</v>
      </c>
    </row>
    <row r="276" spans="5:5" x14ac:dyDescent="0.45">
      <c r="E276" t="s">
        <v>1187</v>
      </c>
    </row>
    <row r="277" spans="5:5" x14ac:dyDescent="0.45">
      <c r="E277" t="s">
        <v>1188</v>
      </c>
    </row>
    <row r="278" spans="5:5" x14ac:dyDescent="0.45">
      <c r="E278" t="s">
        <v>1189</v>
      </c>
    </row>
    <row r="279" spans="5:5" x14ac:dyDescent="0.45">
      <c r="E279" t="s">
        <v>1190</v>
      </c>
    </row>
    <row r="280" spans="5:5" x14ac:dyDescent="0.45">
      <c r="E280" t="s">
        <v>1191</v>
      </c>
    </row>
    <row r="281" spans="5:5" x14ac:dyDescent="0.45">
      <c r="E281" t="s">
        <v>1192</v>
      </c>
    </row>
    <row r="282" spans="5:5" x14ac:dyDescent="0.45">
      <c r="E282" t="s">
        <v>1193</v>
      </c>
    </row>
    <row r="283" spans="5:5" x14ac:dyDescent="0.45">
      <c r="E283" t="s">
        <v>1194</v>
      </c>
    </row>
    <row r="284" spans="5:5" x14ac:dyDescent="0.45">
      <c r="E284" t="s">
        <v>1195</v>
      </c>
    </row>
    <row r="285" spans="5:5" x14ac:dyDescent="0.45">
      <c r="E285" t="s">
        <v>1196</v>
      </c>
    </row>
    <row r="286" spans="5:5" x14ac:dyDescent="0.45">
      <c r="E286" t="s">
        <v>1197</v>
      </c>
    </row>
    <row r="287" spans="5:5" x14ac:dyDescent="0.45">
      <c r="E287" t="s">
        <v>1198</v>
      </c>
    </row>
    <row r="288" spans="5:5" x14ac:dyDescent="0.45">
      <c r="E288" t="s">
        <v>1199</v>
      </c>
    </row>
    <row r="289" spans="5:5" x14ac:dyDescent="0.45">
      <c r="E289" t="s">
        <v>1200</v>
      </c>
    </row>
    <row r="290" spans="5:5" x14ac:dyDescent="0.45">
      <c r="E290" t="s">
        <v>1201</v>
      </c>
    </row>
    <row r="291" spans="5:5" x14ac:dyDescent="0.45">
      <c r="E291" t="s">
        <v>1202</v>
      </c>
    </row>
    <row r="292" spans="5:5" x14ac:dyDescent="0.45">
      <c r="E292" t="s">
        <v>1203</v>
      </c>
    </row>
    <row r="293" spans="5:5" x14ac:dyDescent="0.45">
      <c r="E293" t="s">
        <v>1204</v>
      </c>
    </row>
    <row r="294" spans="5:5" x14ac:dyDescent="0.45">
      <c r="E294" t="s">
        <v>1205</v>
      </c>
    </row>
    <row r="295" spans="5:5" x14ac:dyDescent="0.45">
      <c r="E295" t="s">
        <v>1206</v>
      </c>
    </row>
    <row r="296" spans="5:5" x14ac:dyDescent="0.45">
      <c r="E296" t="s">
        <v>1207</v>
      </c>
    </row>
    <row r="297" spans="5:5" x14ac:dyDescent="0.45">
      <c r="E297" t="s">
        <v>1208</v>
      </c>
    </row>
    <row r="298" spans="5:5" x14ac:dyDescent="0.45">
      <c r="E298" t="s">
        <v>1209</v>
      </c>
    </row>
    <row r="299" spans="5:5" x14ac:dyDescent="0.45">
      <c r="E299" t="s">
        <v>1210</v>
      </c>
    </row>
    <row r="300" spans="5:5" x14ac:dyDescent="0.45">
      <c r="E300" t="s">
        <v>1211</v>
      </c>
    </row>
    <row r="301" spans="5:5" x14ac:dyDescent="0.45">
      <c r="E301" t="s">
        <v>1212</v>
      </c>
    </row>
    <row r="302" spans="5:5" x14ac:dyDescent="0.45">
      <c r="E302" t="s">
        <v>1213</v>
      </c>
    </row>
    <row r="303" spans="5:5" x14ac:dyDescent="0.45">
      <c r="E303" t="s">
        <v>1214</v>
      </c>
    </row>
    <row r="304" spans="5:5" x14ac:dyDescent="0.45">
      <c r="E304" t="s">
        <v>1215</v>
      </c>
    </row>
    <row r="305" spans="5:5" x14ac:dyDescent="0.45">
      <c r="E305" t="s">
        <v>1216</v>
      </c>
    </row>
    <row r="306" spans="5:5" x14ac:dyDescent="0.45">
      <c r="E306" t="s">
        <v>1217</v>
      </c>
    </row>
    <row r="307" spans="5:5" x14ac:dyDescent="0.45">
      <c r="E307" t="s">
        <v>1218</v>
      </c>
    </row>
    <row r="308" spans="5:5" x14ac:dyDescent="0.45">
      <c r="E308" t="s">
        <v>1219</v>
      </c>
    </row>
    <row r="309" spans="5:5" x14ac:dyDescent="0.45">
      <c r="E309" t="s">
        <v>1220</v>
      </c>
    </row>
    <row r="310" spans="5:5" x14ac:dyDescent="0.45">
      <c r="E310" t="s">
        <v>1221</v>
      </c>
    </row>
    <row r="311" spans="5:5" x14ac:dyDescent="0.45">
      <c r="E311" t="s">
        <v>1222</v>
      </c>
    </row>
    <row r="312" spans="5:5" x14ac:dyDescent="0.45">
      <c r="E312" t="s">
        <v>1223</v>
      </c>
    </row>
    <row r="313" spans="5:5" x14ac:dyDescent="0.45">
      <c r="E313" t="s">
        <v>1224</v>
      </c>
    </row>
    <row r="314" spans="5:5" x14ac:dyDescent="0.45">
      <c r="E314" t="s">
        <v>1225</v>
      </c>
    </row>
    <row r="315" spans="5:5" x14ac:dyDescent="0.45">
      <c r="E315" t="s">
        <v>1226</v>
      </c>
    </row>
    <row r="316" spans="5:5" x14ac:dyDescent="0.45">
      <c r="E316" t="s">
        <v>1227</v>
      </c>
    </row>
    <row r="317" spans="5:5" x14ac:dyDescent="0.45">
      <c r="E317" t="s">
        <v>1228</v>
      </c>
    </row>
    <row r="318" spans="5:5" x14ac:dyDescent="0.45">
      <c r="E318" t="s">
        <v>1229</v>
      </c>
    </row>
    <row r="319" spans="5:5" x14ac:dyDescent="0.45">
      <c r="E319" t="s">
        <v>1230</v>
      </c>
    </row>
    <row r="320" spans="5:5" x14ac:dyDescent="0.45">
      <c r="E320" t="s">
        <v>1231</v>
      </c>
    </row>
    <row r="321" spans="5:5" x14ac:dyDescent="0.45">
      <c r="E321" t="s">
        <v>1232</v>
      </c>
    </row>
    <row r="322" spans="5:5" x14ac:dyDescent="0.45">
      <c r="E322" t="s">
        <v>1233</v>
      </c>
    </row>
    <row r="323" spans="5:5" x14ac:dyDescent="0.45">
      <c r="E323" t="s">
        <v>1234</v>
      </c>
    </row>
    <row r="324" spans="5:5" x14ac:dyDescent="0.45">
      <c r="E324" t="s">
        <v>1235</v>
      </c>
    </row>
    <row r="325" spans="5:5" x14ac:dyDescent="0.45">
      <c r="E325" t="s">
        <v>1236</v>
      </c>
    </row>
    <row r="326" spans="5:5" x14ac:dyDescent="0.45">
      <c r="E326" t="s">
        <v>1237</v>
      </c>
    </row>
    <row r="327" spans="5:5" x14ac:dyDescent="0.45">
      <c r="E327" t="s">
        <v>1238</v>
      </c>
    </row>
    <row r="328" spans="5:5" x14ac:dyDescent="0.45">
      <c r="E328" t="s">
        <v>1239</v>
      </c>
    </row>
    <row r="329" spans="5:5" x14ac:dyDescent="0.45">
      <c r="E329" t="s">
        <v>1240</v>
      </c>
    </row>
    <row r="330" spans="5:5" x14ac:dyDescent="0.45">
      <c r="E330" t="s">
        <v>1241</v>
      </c>
    </row>
    <row r="331" spans="5:5" x14ac:dyDescent="0.45">
      <c r="E331" t="s">
        <v>1242</v>
      </c>
    </row>
    <row r="332" spans="5:5" x14ac:dyDescent="0.45">
      <c r="E332" t="s">
        <v>1243</v>
      </c>
    </row>
    <row r="333" spans="5:5" x14ac:dyDescent="0.45">
      <c r="E333" t="s">
        <v>1244</v>
      </c>
    </row>
    <row r="334" spans="5:5" x14ac:dyDescent="0.45">
      <c r="E334" t="s">
        <v>1245</v>
      </c>
    </row>
    <row r="335" spans="5:5" x14ac:dyDescent="0.45">
      <c r="E335" t="s">
        <v>1246</v>
      </c>
    </row>
    <row r="336" spans="5:5" x14ac:dyDescent="0.45">
      <c r="E336" t="s">
        <v>1247</v>
      </c>
    </row>
    <row r="337" spans="5:5" x14ac:dyDescent="0.45">
      <c r="E337" t="s">
        <v>1248</v>
      </c>
    </row>
    <row r="338" spans="5:5" x14ac:dyDescent="0.45">
      <c r="E338" t="s">
        <v>1249</v>
      </c>
    </row>
    <row r="339" spans="5:5" x14ac:dyDescent="0.45">
      <c r="E339" t="s">
        <v>1250</v>
      </c>
    </row>
    <row r="340" spans="5:5" x14ac:dyDescent="0.45">
      <c r="E340" t="s">
        <v>1251</v>
      </c>
    </row>
    <row r="341" spans="5:5" x14ac:dyDescent="0.45">
      <c r="E341" t="s">
        <v>1252</v>
      </c>
    </row>
    <row r="342" spans="5:5" x14ac:dyDescent="0.45">
      <c r="E342" t="s">
        <v>1253</v>
      </c>
    </row>
    <row r="343" spans="5:5" x14ac:dyDescent="0.45">
      <c r="E343" t="s">
        <v>1254</v>
      </c>
    </row>
    <row r="344" spans="5:5" x14ac:dyDescent="0.45">
      <c r="E344" t="s">
        <v>1255</v>
      </c>
    </row>
    <row r="345" spans="5:5" x14ac:dyDescent="0.45">
      <c r="E345" t="s">
        <v>1256</v>
      </c>
    </row>
    <row r="346" spans="5:5" x14ac:dyDescent="0.45">
      <c r="E346" t="s">
        <v>1257</v>
      </c>
    </row>
    <row r="347" spans="5:5" x14ac:dyDescent="0.45">
      <c r="E347" t="s">
        <v>1258</v>
      </c>
    </row>
    <row r="348" spans="5:5" x14ac:dyDescent="0.45">
      <c r="E348" t="s">
        <v>1259</v>
      </c>
    </row>
    <row r="349" spans="5:5" x14ac:dyDescent="0.45">
      <c r="E349" t="s">
        <v>1260</v>
      </c>
    </row>
    <row r="350" spans="5:5" x14ac:dyDescent="0.45">
      <c r="E350" t="s">
        <v>1261</v>
      </c>
    </row>
    <row r="351" spans="5:5" x14ac:dyDescent="0.45">
      <c r="E351" t="s">
        <v>1262</v>
      </c>
    </row>
    <row r="352" spans="5:5" x14ac:dyDescent="0.45">
      <c r="E352" t="s">
        <v>1263</v>
      </c>
    </row>
    <row r="353" spans="5:5" x14ac:dyDescent="0.45">
      <c r="E353" t="s">
        <v>1264</v>
      </c>
    </row>
    <row r="354" spans="5:5" x14ac:dyDescent="0.45">
      <c r="E354" t="s">
        <v>1265</v>
      </c>
    </row>
    <row r="355" spans="5:5" x14ac:dyDescent="0.45">
      <c r="E355" t="s">
        <v>1266</v>
      </c>
    </row>
    <row r="356" spans="5:5" x14ac:dyDescent="0.45">
      <c r="E356" t="s">
        <v>1267</v>
      </c>
    </row>
    <row r="357" spans="5:5" x14ac:dyDescent="0.45">
      <c r="E357" t="s">
        <v>1268</v>
      </c>
    </row>
    <row r="358" spans="5:5" x14ac:dyDescent="0.45">
      <c r="E358" t="s">
        <v>1269</v>
      </c>
    </row>
    <row r="359" spans="5:5" x14ac:dyDescent="0.45">
      <c r="E359" t="s">
        <v>1270</v>
      </c>
    </row>
    <row r="360" spans="5:5" x14ac:dyDescent="0.45">
      <c r="E360" t="s">
        <v>1271</v>
      </c>
    </row>
    <row r="361" spans="5:5" x14ac:dyDescent="0.45">
      <c r="E361" t="s">
        <v>1272</v>
      </c>
    </row>
    <row r="362" spans="5:5" x14ac:dyDescent="0.45">
      <c r="E362" t="s">
        <v>1273</v>
      </c>
    </row>
    <row r="363" spans="5:5" x14ac:dyDescent="0.45">
      <c r="E363" t="s">
        <v>1274</v>
      </c>
    </row>
    <row r="364" spans="5:5" x14ac:dyDescent="0.45">
      <c r="E364" t="s">
        <v>1275</v>
      </c>
    </row>
    <row r="365" spans="5:5" x14ac:dyDescent="0.45">
      <c r="E365" t="s">
        <v>1276</v>
      </c>
    </row>
    <row r="366" spans="5:5" x14ac:dyDescent="0.45">
      <c r="E366" t="s">
        <v>1277</v>
      </c>
    </row>
    <row r="367" spans="5:5" x14ac:dyDescent="0.45">
      <c r="E367" t="s">
        <v>1278</v>
      </c>
    </row>
    <row r="368" spans="5:5" x14ac:dyDescent="0.45">
      <c r="E368" t="s">
        <v>1279</v>
      </c>
    </row>
    <row r="369" spans="5:5" x14ac:dyDescent="0.45">
      <c r="E369" t="s">
        <v>1280</v>
      </c>
    </row>
    <row r="370" spans="5:5" x14ac:dyDescent="0.45">
      <c r="E370" t="s">
        <v>1281</v>
      </c>
    </row>
    <row r="371" spans="5:5" x14ac:dyDescent="0.45">
      <c r="E371" t="s">
        <v>1282</v>
      </c>
    </row>
    <row r="372" spans="5:5" x14ac:dyDescent="0.45">
      <c r="E372" t="s">
        <v>1283</v>
      </c>
    </row>
    <row r="373" spans="5:5" x14ac:dyDescent="0.45">
      <c r="E373" t="s">
        <v>1284</v>
      </c>
    </row>
    <row r="374" spans="5:5" x14ac:dyDescent="0.45">
      <c r="E374" t="s">
        <v>1285</v>
      </c>
    </row>
    <row r="375" spans="5:5" x14ac:dyDescent="0.45">
      <c r="E375" t="s">
        <v>1286</v>
      </c>
    </row>
    <row r="376" spans="5:5" x14ac:dyDescent="0.45">
      <c r="E376" t="s">
        <v>1287</v>
      </c>
    </row>
    <row r="377" spans="5:5" x14ac:dyDescent="0.45">
      <c r="E377" t="s">
        <v>1288</v>
      </c>
    </row>
    <row r="378" spans="5:5" x14ac:dyDescent="0.45">
      <c r="E378" t="s">
        <v>1289</v>
      </c>
    </row>
    <row r="379" spans="5:5" x14ac:dyDescent="0.45">
      <c r="E379" t="s">
        <v>1290</v>
      </c>
    </row>
    <row r="380" spans="5:5" x14ac:dyDescent="0.45">
      <c r="E380" t="s">
        <v>1291</v>
      </c>
    </row>
    <row r="381" spans="5:5" x14ac:dyDescent="0.45">
      <c r="E381" t="s">
        <v>1292</v>
      </c>
    </row>
    <row r="382" spans="5:5" x14ac:dyDescent="0.45">
      <c r="E382" t="s">
        <v>1293</v>
      </c>
    </row>
    <row r="383" spans="5:5" x14ac:dyDescent="0.45">
      <c r="E383" t="s">
        <v>1294</v>
      </c>
    </row>
    <row r="384" spans="5:5" x14ac:dyDescent="0.45">
      <c r="E384" t="s">
        <v>1295</v>
      </c>
    </row>
    <row r="385" spans="5:5" x14ac:dyDescent="0.45">
      <c r="E385" t="s">
        <v>1296</v>
      </c>
    </row>
    <row r="386" spans="5:5" x14ac:dyDescent="0.45">
      <c r="E386" t="s">
        <v>1297</v>
      </c>
    </row>
    <row r="387" spans="5:5" x14ac:dyDescent="0.45">
      <c r="E387" t="s">
        <v>1298</v>
      </c>
    </row>
    <row r="388" spans="5:5" x14ac:dyDescent="0.45">
      <c r="E388" t="s">
        <v>1299</v>
      </c>
    </row>
    <row r="389" spans="5:5" x14ac:dyDescent="0.45">
      <c r="E389" t="s">
        <v>1300</v>
      </c>
    </row>
    <row r="390" spans="5:5" x14ac:dyDescent="0.45">
      <c r="E390" t="s">
        <v>1301</v>
      </c>
    </row>
    <row r="391" spans="5:5" x14ac:dyDescent="0.45">
      <c r="E391" t="s">
        <v>1302</v>
      </c>
    </row>
    <row r="392" spans="5:5" x14ac:dyDescent="0.45">
      <c r="E392" t="s">
        <v>1303</v>
      </c>
    </row>
    <row r="393" spans="5:5" x14ac:dyDescent="0.45">
      <c r="E393" t="s">
        <v>1304</v>
      </c>
    </row>
    <row r="394" spans="5:5" x14ac:dyDescent="0.45">
      <c r="E394" t="s">
        <v>1305</v>
      </c>
    </row>
    <row r="395" spans="5:5" x14ac:dyDescent="0.45">
      <c r="E395" t="s">
        <v>1306</v>
      </c>
    </row>
    <row r="396" spans="5:5" x14ac:dyDescent="0.45">
      <c r="E396" t="s">
        <v>1307</v>
      </c>
    </row>
    <row r="397" spans="5:5" x14ac:dyDescent="0.45">
      <c r="E397" t="s">
        <v>1308</v>
      </c>
    </row>
    <row r="398" spans="5:5" x14ac:dyDescent="0.45">
      <c r="E398" t="s">
        <v>1309</v>
      </c>
    </row>
    <row r="399" spans="5:5" x14ac:dyDescent="0.45">
      <c r="E399" t="s">
        <v>1310</v>
      </c>
    </row>
    <row r="400" spans="5:5" x14ac:dyDescent="0.45">
      <c r="E400" t="s">
        <v>1311</v>
      </c>
    </row>
    <row r="401" spans="5:5" x14ac:dyDescent="0.45">
      <c r="E401" t="s">
        <v>1312</v>
      </c>
    </row>
    <row r="402" spans="5:5" x14ac:dyDescent="0.45">
      <c r="E402" t="s">
        <v>1313</v>
      </c>
    </row>
    <row r="403" spans="5:5" x14ac:dyDescent="0.45">
      <c r="E403" t="s">
        <v>1314</v>
      </c>
    </row>
    <row r="404" spans="5:5" x14ac:dyDescent="0.45">
      <c r="E404" t="s">
        <v>1315</v>
      </c>
    </row>
    <row r="405" spans="5:5" x14ac:dyDescent="0.45">
      <c r="E405" t="s">
        <v>1316</v>
      </c>
    </row>
    <row r="406" spans="5:5" x14ac:dyDescent="0.45">
      <c r="E406" t="s">
        <v>1317</v>
      </c>
    </row>
    <row r="407" spans="5:5" x14ac:dyDescent="0.45">
      <c r="E407" t="s">
        <v>1318</v>
      </c>
    </row>
    <row r="408" spans="5:5" x14ac:dyDescent="0.45">
      <c r="E408" t="s">
        <v>1319</v>
      </c>
    </row>
    <row r="409" spans="5:5" x14ac:dyDescent="0.45">
      <c r="E409" t="s">
        <v>1320</v>
      </c>
    </row>
    <row r="410" spans="5:5" x14ac:dyDescent="0.45">
      <c r="E410" t="s">
        <v>1321</v>
      </c>
    </row>
    <row r="411" spans="5:5" x14ac:dyDescent="0.45">
      <c r="E411" t="s">
        <v>1322</v>
      </c>
    </row>
    <row r="412" spans="5:5" x14ac:dyDescent="0.45">
      <c r="E412" t="s">
        <v>1323</v>
      </c>
    </row>
    <row r="413" spans="5:5" x14ac:dyDescent="0.45">
      <c r="E413" t="s">
        <v>1324</v>
      </c>
    </row>
    <row r="414" spans="5:5" x14ac:dyDescent="0.45">
      <c r="E414" t="s">
        <v>1325</v>
      </c>
    </row>
    <row r="415" spans="5:5" x14ac:dyDescent="0.45">
      <c r="E415" t="s">
        <v>1326</v>
      </c>
    </row>
    <row r="416" spans="5:5" x14ac:dyDescent="0.45">
      <c r="E416" t="s">
        <v>1327</v>
      </c>
    </row>
    <row r="417" spans="5:5" x14ac:dyDescent="0.45">
      <c r="E417" t="s">
        <v>1328</v>
      </c>
    </row>
    <row r="418" spans="5:5" x14ac:dyDescent="0.45">
      <c r="E418" t="s">
        <v>1329</v>
      </c>
    </row>
    <row r="419" spans="5:5" x14ac:dyDescent="0.45">
      <c r="E419" t="s">
        <v>1330</v>
      </c>
    </row>
    <row r="420" spans="5:5" x14ac:dyDescent="0.45">
      <c r="E420" t="s">
        <v>1331</v>
      </c>
    </row>
    <row r="421" spans="5:5" x14ac:dyDescent="0.45">
      <c r="E421" t="s">
        <v>1332</v>
      </c>
    </row>
    <row r="422" spans="5:5" x14ac:dyDescent="0.45">
      <c r="E422" t="s">
        <v>1333</v>
      </c>
    </row>
    <row r="423" spans="5:5" x14ac:dyDescent="0.45">
      <c r="E423" t="s">
        <v>1334</v>
      </c>
    </row>
    <row r="424" spans="5:5" x14ac:dyDescent="0.45">
      <c r="E424" t="s">
        <v>1335</v>
      </c>
    </row>
    <row r="425" spans="5:5" x14ac:dyDescent="0.45">
      <c r="E425" t="s">
        <v>1336</v>
      </c>
    </row>
    <row r="426" spans="5:5" x14ac:dyDescent="0.45">
      <c r="E426" t="s">
        <v>1337</v>
      </c>
    </row>
    <row r="427" spans="5:5" x14ac:dyDescent="0.45">
      <c r="E427" t="s">
        <v>1338</v>
      </c>
    </row>
    <row r="428" spans="5:5" x14ac:dyDescent="0.45">
      <c r="E428" t="s">
        <v>1339</v>
      </c>
    </row>
    <row r="429" spans="5:5" x14ac:dyDescent="0.45">
      <c r="E429" t="s">
        <v>1340</v>
      </c>
    </row>
    <row r="430" spans="5:5" x14ac:dyDescent="0.45">
      <c r="E430" t="s">
        <v>1341</v>
      </c>
    </row>
    <row r="431" spans="5:5" x14ac:dyDescent="0.45">
      <c r="E431" t="s">
        <v>1342</v>
      </c>
    </row>
    <row r="432" spans="5:5" x14ac:dyDescent="0.45">
      <c r="E432" t="s">
        <v>1343</v>
      </c>
    </row>
    <row r="433" spans="5:5" x14ac:dyDescent="0.45">
      <c r="E433" t="s">
        <v>1344</v>
      </c>
    </row>
    <row r="434" spans="5:5" x14ac:dyDescent="0.45">
      <c r="E434" t="s">
        <v>1345</v>
      </c>
    </row>
    <row r="435" spans="5:5" x14ac:dyDescent="0.45">
      <c r="E435" t="s">
        <v>1346</v>
      </c>
    </row>
    <row r="436" spans="5:5" x14ac:dyDescent="0.45">
      <c r="E436" t="s">
        <v>1347</v>
      </c>
    </row>
    <row r="437" spans="5:5" x14ac:dyDescent="0.45">
      <c r="E437" t="s">
        <v>1348</v>
      </c>
    </row>
    <row r="438" spans="5:5" x14ac:dyDescent="0.45">
      <c r="E438" t="s">
        <v>1349</v>
      </c>
    </row>
    <row r="439" spans="5:5" x14ac:dyDescent="0.45">
      <c r="E439" t="s">
        <v>1350</v>
      </c>
    </row>
    <row r="440" spans="5:5" x14ac:dyDescent="0.45">
      <c r="E440" t="s">
        <v>1351</v>
      </c>
    </row>
    <row r="441" spans="5:5" x14ac:dyDescent="0.45">
      <c r="E441" t="s">
        <v>1352</v>
      </c>
    </row>
    <row r="442" spans="5:5" x14ac:dyDescent="0.45">
      <c r="E442" t="s">
        <v>1353</v>
      </c>
    </row>
    <row r="443" spans="5:5" x14ac:dyDescent="0.45">
      <c r="E443" t="s">
        <v>1354</v>
      </c>
    </row>
    <row r="444" spans="5:5" x14ac:dyDescent="0.45">
      <c r="E444" t="s">
        <v>1355</v>
      </c>
    </row>
    <row r="445" spans="5:5" x14ac:dyDescent="0.45">
      <c r="E445" t="s">
        <v>1356</v>
      </c>
    </row>
    <row r="446" spans="5:5" x14ac:dyDescent="0.45">
      <c r="E446" t="s">
        <v>1357</v>
      </c>
    </row>
    <row r="447" spans="5:5" x14ac:dyDescent="0.45">
      <c r="E447" t="s">
        <v>1358</v>
      </c>
    </row>
    <row r="448" spans="5:5" x14ac:dyDescent="0.45">
      <c r="E448" t="s">
        <v>1359</v>
      </c>
    </row>
    <row r="449" spans="5:5" x14ac:dyDescent="0.45">
      <c r="E449" t="s">
        <v>1360</v>
      </c>
    </row>
    <row r="450" spans="5:5" x14ac:dyDescent="0.45">
      <c r="E450" t="s">
        <v>1361</v>
      </c>
    </row>
    <row r="451" spans="5:5" x14ac:dyDescent="0.45">
      <c r="E451" t="s">
        <v>1362</v>
      </c>
    </row>
    <row r="452" spans="5:5" x14ac:dyDescent="0.45">
      <c r="E452" t="s">
        <v>1363</v>
      </c>
    </row>
    <row r="453" spans="5:5" x14ac:dyDescent="0.45">
      <c r="E453" t="s">
        <v>1364</v>
      </c>
    </row>
    <row r="454" spans="5:5" x14ac:dyDescent="0.45">
      <c r="E454" t="s">
        <v>1365</v>
      </c>
    </row>
    <row r="455" spans="5:5" x14ac:dyDescent="0.45">
      <c r="E455" t="s">
        <v>1366</v>
      </c>
    </row>
    <row r="456" spans="5:5" x14ac:dyDescent="0.45">
      <c r="E456" t="s">
        <v>1367</v>
      </c>
    </row>
    <row r="457" spans="5:5" x14ac:dyDescent="0.45">
      <c r="E457" t="s">
        <v>1368</v>
      </c>
    </row>
    <row r="458" spans="5:5" x14ac:dyDescent="0.45">
      <c r="E458" t="s">
        <v>1369</v>
      </c>
    </row>
    <row r="459" spans="5:5" x14ac:dyDescent="0.45">
      <c r="E459" t="s">
        <v>1370</v>
      </c>
    </row>
    <row r="460" spans="5:5" x14ac:dyDescent="0.45">
      <c r="E460" t="s">
        <v>1371</v>
      </c>
    </row>
    <row r="461" spans="5:5" x14ac:dyDescent="0.45">
      <c r="E461" t="s">
        <v>1372</v>
      </c>
    </row>
    <row r="462" spans="5:5" x14ac:dyDescent="0.45">
      <c r="E462" t="s">
        <v>1373</v>
      </c>
    </row>
    <row r="463" spans="5:5" x14ac:dyDescent="0.45">
      <c r="E463" t="s">
        <v>1374</v>
      </c>
    </row>
    <row r="464" spans="5:5" x14ac:dyDescent="0.45">
      <c r="E464" t="s">
        <v>1375</v>
      </c>
    </row>
    <row r="465" spans="5:5" x14ac:dyDescent="0.45">
      <c r="E465" t="s">
        <v>1376</v>
      </c>
    </row>
    <row r="466" spans="5:5" x14ac:dyDescent="0.45">
      <c r="E466" t="s">
        <v>1377</v>
      </c>
    </row>
    <row r="467" spans="5:5" x14ac:dyDescent="0.45">
      <c r="E467" t="s">
        <v>1378</v>
      </c>
    </row>
    <row r="468" spans="5:5" x14ac:dyDescent="0.45">
      <c r="E468" t="s">
        <v>1379</v>
      </c>
    </row>
    <row r="469" spans="5:5" x14ac:dyDescent="0.45">
      <c r="E469" t="s">
        <v>1380</v>
      </c>
    </row>
    <row r="470" spans="5:5" x14ac:dyDescent="0.45">
      <c r="E470" t="s">
        <v>1381</v>
      </c>
    </row>
    <row r="471" spans="5:5" x14ac:dyDescent="0.45">
      <c r="E471" t="s">
        <v>1382</v>
      </c>
    </row>
    <row r="472" spans="5:5" x14ac:dyDescent="0.45">
      <c r="E472" t="s">
        <v>1383</v>
      </c>
    </row>
    <row r="473" spans="5:5" x14ac:dyDescent="0.45">
      <c r="E473" t="s">
        <v>1384</v>
      </c>
    </row>
    <row r="474" spans="5:5" x14ac:dyDescent="0.45">
      <c r="E474" t="s">
        <v>1385</v>
      </c>
    </row>
    <row r="475" spans="5:5" x14ac:dyDescent="0.45">
      <c r="E475" t="s">
        <v>1386</v>
      </c>
    </row>
    <row r="476" spans="5:5" x14ac:dyDescent="0.45">
      <c r="E476" t="s">
        <v>1387</v>
      </c>
    </row>
    <row r="477" spans="5:5" x14ac:dyDescent="0.45">
      <c r="E477" t="s">
        <v>1388</v>
      </c>
    </row>
    <row r="478" spans="5:5" x14ac:dyDescent="0.45">
      <c r="E478" t="s">
        <v>1389</v>
      </c>
    </row>
    <row r="479" spans="5:5" x14ac:dyDescent="0.45">
      <c r="E479" t="s">
        <v>1390</v>
      </c>
    </row>
    <row r="480" spans="5:5" x14ac:dyDescent="0.45">
      <c r="E480" t="s">
        <v>1391</v>
      </c>
    </row>
    <row r="481" spans="5:5" x14ac:dyDescent="0.45">
      <c r="E481" t="s">
        <v>1392</v>
      </c>
    </row>
    <row r="482" spans="5:5" x14ac:dyDescent="0.45">
      <c r="E482" t="s">
        <v>1393</v>
      </c>
    </row>
    <row r="483" spans="5:5" x14ac:dyDescent="0.45">
      <c r="E483" t="s">
        <v>1394</v>
      </c>
    </row>
    <row r="484" spans="5:5" x14ac:dyDescent="0.45">
      <c r="E484" t="s">
        <v>1395</v>
      </c>
    </row>
    <row r="485" spans="5:5" x14ac:dyDescent="0.45">
      <c r="E485" t="s">
        <v>1396</v>
      </c>
    </row>
    <row r="486" spans="5:5" x14ac:dyDescent="0.45">
      <c r="E486" t="s">
        <v>1397</v>
      </c>
    </row>
    <row r="487" spans="5:5" x14ac:dyDescent="0.45">
      <c r="E487" t="s">
        <v>1398</v>
      </c>
    </row>
    <row r="488" spans="5:5" x14ac:dyDescent="0.45">
      <c r="E488" t="s">
        <v>1399</v>
      </c>
    </row>
    <row r="489" spans="5:5" x14ac:dyDescent="0.45">
      <c r="E489" t="s">
        <v>1400</v>
      </c>
    </row>
    <row r="490" spans="5:5" x14ac:dyDescent="0.45">
      <c r="E490" t="s">
        <v>1401</v>
      </c>
    </row>
    <row r="491" spans="5:5" x14ac:dyDescent="0.45">
      <c r="E491" t="s">
        <v>1402</v>
      </c>
    </row>
    <row r="492" spans="5:5" x14ac:dyDescent="0.45">
      <c r="E492" t="s">
        <v>1403</v>
      </c>
    </row>
    <row r="493" spans="5:5" x14ac:dyDescent="0.45">
      <c r="E493" t="s">
        <v>1404</v>
      </c>
    </row>
    <row r="494" spans="5:5" x14ac:dyDescent="0.45">
      <c r="E494" t="s">
        <v>1405</v>
      </c>
    </row>
    <row r="495" spans="5:5" x14ac:dyDescent="0.45">
      <c r="E495" t="s">
        <v>1406</v>
      </c>
    </row>
    <row r="496" spans="5:5" x14ac:dyDescent="0.45">
      <c r="E496" t="s">
        <v>1407</v>
      </c>
    </row>
    <row r="497" spans="5:5" x14ac:dyDescent="0.45">
      <c r="E497" t="s">
        <v>1408</v>
      </c>
    </row>
    <row r="498" spans="5:5" x14ac:dyDescent="0.45">
      <c r="E498" t="s">
        <v>1409</v>
      </c>
    </row>
    <row r="499" spans="5:5" x14ac:dyDescent="0.45">
      <c r="E499" t="s">
        <v>1410</v>
      </c>
    </row>
    <row r="500" spans="5:5" x14ac:dyDescent="0.45">
      <c r="E500" t="s">
        <v>1411</v>
      </c>
    </row>
    <row r="501" spans="5:5" x14ac:dyDescent="0.45">
      <c r="E501" t="s">
        <v>1412</v>
      </c>
    </row>
    <row r="502" spans="5:5" x14ac:dyDescent="0.45">
      <c r="E502" t="s">
        <v>1413</v>
      </c>
    </row>
    <row r="503" spans="5:5" x14ac:dyDescent="0.45">
      <c r="E503" t="s">
        <v>1414</v>
      </c>
    </row>
    <row r="504" spans="5:5" x14ac:dyDescent="0.45">
      <c r="E504" t="s">
        <v>1415</v>
      </c>
    </row>
    <row r="505" spans="5:5" x14ac:dyDescent="0.45">
      <c r="E505" t="s">
        <v>1416</v>
      </c>
    </row>
    <row r="506" spans="5:5" x14ac:dyDescent="0.45">
      <c r="E506" t="s">
        <v>1417</v>
      </c>
    </row>
    <row r="507" spans="5:5" x14ac:dyDescent="0.45">
      <c r="E507" t="s">
        <v>1418</v>
      </c>
    </row>
    <row r="508" spans="5:5" x14ac:dyDescent="0.45">
      <c r="E508" t="s">
        <v>1419</v>
      </c>
    </row>
    <row r="509" spans="5:5" x14ac:dyDescent="0.45">
      <c r="E509" t="s">
        <v>1420</v>
      </c>
    </row>
    <row r="510" spans="5:5" x14ac:dyDescent="0.45">
      <c r="E510" t="s">
        <v>1421</v>
      </c>
    </row>
    <row r="511" spans="5:5" x14ac:dyDescent="0.45">
      <c r="E511" t="s">
        <v>1422</v>
      </c>
    </row>
    <row r="512" spans="5:5" x14ac:dyDescent="0.45">
      <c r="E512" t="s">
        <v>1423</v>
      </c>
    </row>
    <row r="513" spans="5:5" x14ac:dyDescent="0.45">
      <c r="E513" t="s">
        <v>1424</v>
      </c>
    </row>
    <row r="514" spans="5:5" x14ac:dyDescent="0.45">
      <c r="E514" t="s">
        <v>1425</v>
      </c>
    </row>
    <row r="515" spans="5:5" x14ac:dyDescent="0.45">
      <c r="E515" t="s">
        <v>1426</v>
      </c>
    </row>
    <row r="516" spans="5:5" x14ac:dyDescent="0.45">
      <c r="E516" t="s">
        <v>1427</v>
      </c>
    </row>
    <row r="517" spans="5:5" x14ac:dyDescent="0.45">
      <c r="E517" t="s">
        <v>1428</v>
      </c>
    </row>
    <row r="518" spans="5:5" x14ac:dyDescent="0.45">
      <c r="E518" t="s">
        <v>1429</v>
      </c>
    </row>
    <row r="519" spans="5:5" x14ac:dyDescent="0.45">
      <c r="E519" t="s">
        <v>1430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5C12A-0DD4-49C4-8093-DAA569B54EA0}">
  <sheetPr codeName="Hoja16">
    <tabColor rgb="FF27AE60"/>
  </sheetPr>
  <dimension ref="A1:D50"/>
  <sheetViews>
    <sheetView topLeftCell="A26" workbookViewId="0">
      <selection activeCell="C40" sqref="C40"/>
    </sheetView>
  </sheetViews>
  <sheetFormatPr baseColWidth="10" defaultRowHeight="14.25" x14ac:dyDescent="0.45"/>
  <cols>
    <col min="1" max="1" width="21.33203125" customWidth="1"/>
    <col min="2" max="2" width="49.796875" customWidth="1"/>
    <col min="3" max="4" width="23.1328125" customWidth="1"/>
  </cols>
  <sheetData>
    <row r="1" spans="1:4" ht="30" customHeight="1" x14ac:dyDescent="0.65">
      <c r="A1" s="88" t="s">
        <v>1478</v>
      </c>
      <c r="B1" s="88"/>
      <c r="C1" s="88"/>
      <c r="D1" s="88"/>
    </row>
    <row r="2" spans="1:4" ht="20" customHeight="1" x14ac:dyDescent="0.45">
      <c r="A2" s="89" t="s">
        <v>1480</v>
      </c>
      <c r="B2" s="89"/>
      <c r="C2" s="89"/>
      <c r="D2" s="89"/>
    </row>
    <row r="3" spans="1:4" ht="22.05" customHeight="1" x14ac:dyDescent="0.55000000000000004">
      <c r="A3" s="73" t="s">
        <v>1481</v>
      </c>
      <c r="B3" s="73" t="s">
        <v>53</v>
      </c>
      <c r="C3" s="74" t="s">
        <v>1479</v>
      </c>
      <c r="D3" s="72" t="s">
        <v>1482</v>
      </c>
    </row>
    <row r="4" spans="1:4" ht="18" customHeight="1" x14ac:dyDescent="0.45">
      <c r="A4" s="76">
        <v>1791989937001</v>
      </c>
      <c r="B4" s="75" t="s">
        <v>57</v>
      </c>
      <c r="C4" s="77">
        <v>11111.26</v>
      </c>
      <c r="D4" s="78">
        <v>20000</v>
      </c>
    </row>
    <row r="5" spans="1:4" ht="18" customHeight="1" x14ac:dyDescent="0.45">
      <c r="A5" s="80">
        <v>1792192331001</v>
      </c>
      <c r="B5" s="79" t="s">
        <v>61</v>
      </c>
      <c r="C5" s="81">
        <v>2702.01</v>
      </c>
      <c r="D5" s="78"/>
    </row>
    <row r="6" spans="1:4" ht="18" customHeight="1" x14ac:dyDescent="0.45">
      <c r="A6" s="76">
        <v>1001503364001</v>
      </c>
      <c r="B6" s="75" t="s">
        <v>63</v>
      </c>
      <c r="C6" s="77">
        <v>1247.75</v>
      </c>
      <c r="D6" s="78"/>
    </row>
    <row r="7" spans="1:4" ht="18" customHeight="1" x14ac:dyDescent="0.45">
      <c r="A7" s="80">
        <v>2390004276001</v>
      </c>
      <c r="B7" s="79" t="s">
        <v>66</v>
      </c>
      <c r="C7" s="81">
        <v>1204.75</v>
      </c>
      <c r="D7" s="78"/>
    </row>
    <row r="8" spans="1:4" ht="18" customHeight="1" x14ac:dyDescent="0.45">
      <c r="A8" s="76">
        <v>1790322491001</v>
      </c>
      <c r="B8" s="75" t="s">
        <v>68</v>
      </c>
      <c r="C8" s="77">
        <v>7847.87</v>
      </c>
      <c r="D8" s="78"/>
    </row>
    <row r="9" spans="1:4" ht="18" customHeight="1" x14ac:dyDescent="0.45">
      <c r="A9" s="80">
        <v>1711731685001</v>
      </c>
      <c r="B9" s="79" t="s">
        <v>70</v>
      </c>
      <c r="C9" s="81">
        <v>1230.82</v>
      </c>
      <c r="D9" s="78"/>
    </row>
    <row r="10" spans="1:4" ht="18" customHeight="1" x14ac:dyDescent="0.45">
      <c r="A10" s="76">
        <v>2390050375001</v>
      </c>
      <c r="B10" s="75" t="s">
        <v>72</v>
      </c>
      <c r="C10" s="77">
        <v>10060.030000000001</v>
      </c>
      <c r="D10" s="78"/>
    </row>
    <row r="11" spans="1:4" ht="18" customHeight="1" x14ac:dyDescent="0.45">
      <c r="A11" s="80">
        <v>1891812059001</v>
      </c>
      <c r="B11" s="79" t="s">
        <v>74</v>
      </c>
      <c r="C11" s="81">
        <v>1481.2</v>
      </c>
      <c r="D11" s="78"/>
    </row>
    <row r="12" spans="1:4" ht="18" customHeight="1" x14ac:dyDescent="0.45">
      <c r="A12" s="76">
        <v>1890152909001</v>
      </c>
      <c r="B12" s="75" t="s">
        <v>76</v>
      </c>
      <c r="C12" s="77">
        <v>8329.34</v>
      </c>
      <c r="D12" s="78"/>
    </row>
    <row r="13" spans="1:4" ht="18" customHeight="1" x14ac:dyDescent="0.45">
      <c r="A13" s="80">
        <v>1791711238001</v>
      </c>
      <c r="B13" s="79" t="s">
        <v>78</v>
      </c>
      <c r="C13" s="81">
        <v>4992.21</v>
      </c>
      <c r="D13" s="78"/>
    </row>
    <row r="14" spans="1:4" ht="18" customHeight="1" x14ac:dyDescent="0.45">
      <c r="A14" s="76">
        <v>1791904753001</v>
      </c>
      <c r="B14" s="75" t="s">
        <v>80</v>
      </c>
      <c r="C14" s="77">
        <v>1111.8599999999999</v>
      </c>
      <c r="D14" s="78"/>
    </row>
    <row r="15" spans="1:4" ht="18" customHeight="1" x14ac:dyDescent="0.45">
      <c r="A15" s="80">
        <v>992527501001</v>
      </c>
      <c r="B15" s="79" t="s">
        <v>82</v>
      </c>
      <c r="C15" s="81">
        <v>4354.71</v>
      </c>
      <c r="D15" s="78"/>
    </row>
    <row r="16" spans="1:4" ht="18" customHeight="1" x14ac:dyDescent="0.45">
      <c r="A16" s="76">
        <v>602948002001</v>
      </c>
      <c r="B16" s="75" t="s">
        <v>84</v>
      </c>
      <c r="C16" s="77">
        <v>2776.68</v>
      </c>
      <c r="D16" s="78"/>
    </row>
    <row r="17" spans="1:4" ht="18" customHeight="1" x14ac:dyDescent="0.45">
      <c r="A17" s="80">
        <v>1791945395001</v>
      </c>
      <c r="B17" s="79" t="s">
        <v>86</v>
      </c>
      <c r="C17" s="81">
        <v>4809.53</v>
      </c>
      <c r="D17" s="78"/>
    </row>
    <row r="18" spans="1:4" ht="18" customHeight="1" x14ac:dyDescent="0.45">
      <c r="A18" s="76">
        <v>1704620713001</v>
      </c>
      <c r="B18" s="75" t="s">
        <v>88</v>
      </c>
      <c r="C18" s="77">
        <v>2167.7399999999998</v>
      </c>
      <c r="D18" s="78"/>
    </row>
    <row r="19" spans="1:4" ht="18" customHeight="1" x14ac:dyDescent="0.45">
      <c r="A19" s="80">
        <v>1000785921001</v>
      </c>
      <c r="B19" s="79" t="s">
        <v>90</v>
      </c>
      <c r="C19" s="81">
        <v>1062.51</v>
      </c>
      <c r="D19" s="78"/>
    </row>
    <row r="20" spans="1:4" ht="18" customHeight="1" x14ac:dyDescent="0.45">
      <c r="A20" s="76">
        <v>1792541476001</v>
      </c>
      <c r="B20" s="75" t="s">
        <v>92</v>
      </c>
      <c r="C20" s="77">
        <v>10693.63</v>
      </c>
      <c r="D20" s="78"/>
    </row>
    <row r="21" spans="1:4" ht="18" customHeight="1" x14ac:dyDescent="0.45">
      <c r="A21" s="80">
        <v>500839543001</v>
      </c>
      <c r="B21" s="79" t="s">
        <v>94</v>
      </c>
      <c r="C21" s="81">
        <v>2281.14</v>
      </c>
      <c r="D21" s="78"/>
    </row>
    <row r="22" spans="1:4" ht="18" customHeight="1" x14ac:dyDescent="0.45">
      <c r="A22" s="76">
        <v>1792621143001</v>
      </c>
      <c r="B22" s="75" t="s">
        <v>96</v>
      </c>
      <c r="C22" s="77">
        <v>1475.75</v>
      </c>
      <c r="D22" s="78"/>
    </row>
    <row r="23" spans="1:4" ht="18" customHeight="1" x14ac:dyDescent="0.45">
      <c r="A23" s="80">
        <v>1713377271001</v>
      </c>
      <c r="B23" s="79" t="s">
        <v>98</v>
      </c>
      <c r="C23" s="81">
        <v>2760</v>
      </c>
      <c r="D23" s="78"/>
    </row>
    <row r="24" spans="1:4" ht="18" customHeight="1" x14ac:dyDescent="0.45">
      <c r="A24" s="76">
        <v>1790589013001</v>
      </c>
      <c r="B24" s="75" t="s">
        <v>100</v>
      </c>
      <c r="C24" s="77">
        <v>1552.84</v>
      </c>
      <c r="D24" s="78"/>
    </row>
    <row r="25" spans="1:4" ht="18" customHeight="1" x14ac:dyDescent="0.45">
      <c r="A25" s="80">
        <v>1791399455001</v>
      </c>
      <c r="B25" s="79" t="s">
        <v>102</v>
      </c>
      <c r="C25" s="81">
        <v>2069.81</v>
      </c>
      <c r="D25" s="78"/>
    </row>
    <row r="26" spans="1:4" ht="18" customHeight="1" x14ac:dyDescent="0.45">
      <c r="A26" s="76">
        <v>1792012058001</v>
      </c>
      <c r="B26" s="75" t="s">
        <v>104</v>
      </c>
      <c r="C26" s="77">
        <v>1005.89</v>
      </c>
      <c r="D26" s="78"/>
    </row>
    <row r="27" spans="1:4" ht="18" customHeight="1" x14ac:dyDescent="0.45">
      <c r="A27" s="80">
        <v>1709765042001</v>
      </c>
      <c r="B27" s="79" t="s">
        <v>106</v>
      </c>
      <c r="C27" s="81">
        <v>5166.1499999999996</v>
      </c>
      <c r="D27" s="78"/>
    </row>
    <row r="28" spans="1:4" ht="18" customHeight="1" x14ac:dyDescent="0.45">
      <c r="A28" s="76">
        <v>1792350735001</v>
      </c>
      <c r="B28" s="75" t="s">
        <v>108</v>
      </c>
      <c r="C28" s="77">
        <v>2993.09</v>
      </c>
      <c r="D28" s="78"/>
    </row>
    <row r="29" spans="1:4" ht="18" customHeight="1" x14ac:dyDescent="0.45">
      <c r="A29" s="80">
        <v>1716647746001</v>
      </c>
      <c r="B29" s="79" t="s">
        <v>1483</v>
      </c>
      <c r="C29" s="81">
        <v>1086.04</v>
      </c>
      <c r="D29" s="78"/>
    </row>
    <row r="30" spans="1:4" ht="18" customHeight="1" x14ac:dyDescent="0.45">
      <c r="A30" s="76">
        <v>1719036426001</v>
      </c>
      <c r="B30" s="75" t="s">
        <v>112</v>
      </c>
      <c r="C30" s="77">
        <v>7062.08</v>
      </c>
      <c r="D30" s="78"/>
    </row>
    <row r="31" spans="1:4" ht="18" customHeight="1" x14ac:dyDescent="0.45">
      <c r="A31" s="80">
        <v>1705042719001</v>
      </c>
      <c r="B31" s="79" t="s">
        <v>114</v>
      </c>
      <c r="C31" s="81">
        <v>2445.4499999999998</v>
      </c>
      <c r="D31" s="78"/>
    </row>
    <row r="32" spans="1:4" ht="18" customHeight="1" x14ac:dyDescent="0.45">
      <c r="A32" s="76">
        <v>1891733611001</v>
      </c>
      <c r="B32" s="75" t="s">
        <v>116</v>
      </c>
      <c r="C32" s="77">
        <v>10381.33</v>
      </c>
      <c r="D32" s="78"/>
    </row>
    <row r="33" spans="1:4" ht="18" customHeight="1" x14ac:dyDescent="0.45">
      <c r="A33" s="80">
        <v>1802211415001</v>
      </c>
      <c r="B33" s="79" t="s">
        <v>118</v>
      </c>
      <c r="C33" s="81">
        <v>13976.98</v>
      </c>
      <c r="D33" s="78"/>
    </row>
    <row r="34" spans="1:4" ht="18" customHeight="1" x14ac:dyDescent="0.45">
      <c r="A34" s="76">
        <v>2390632412001</v>
      </c>
      <c r="B34" s="75" t="s">
        <v>120</v>
      </c>
      <c r="C34" s="77">
        <v>1003.37</v>
      </c>
      <c r="D34" s="78"/>
    </row>
    <row r="35" spans="1:4" ht="18" customHeight="1" x14ac:dyDescent="0.45">
      <c r="A35" s="80">
        <v>1792543894001</v>
      </c>
      <c r="B35" s="79" t="s">
        <v>122</v>
      </c>
      <c r="C35" s="81">
        <v>7128.96</v>
      </c>
      <c r="D35" s="78"/>
    </row>
    <row r="36" spans="1:4" ht="18" customHeight="1" x14ac:dyDescent="0.45">
      <c r="A36" s="76">
        <v>1801707041001</v>
      </c>
      <c r="B36" s="75" t="s">
        <v>124</v>
      </c>
      <c r="C36" s="77">
        <v>1440.72</v>
      </c>
      <c r="D36" s="78"/>
    </row>
    <row r="37" spans="1:4" ht="18" customHeight="1" x14ac:dyDescent="0.45">
      <c r="A37" s="80">
        <v>600476469001</v>
      </c>
      <c r="B37" s="79" t="s">
        <v>126</v>
      </c>
      <c r="C37" s="81">
        <v>3438.72</v>
      </c>
      <c r="D37" s="78"/>
    </row>
    <row r="38" spans="1:4" ht="18" customHeight="1" x14ac:dyDescent="0.45">
      <c r="A38" s="76">
        <v>1718267873001</v>
      </c>
      <c r="B38" s="75" t="s">
        <v>128</v>
      </c>
      <c r="C38" s="77">
        <v>5958.17</v>
      </c>
      <c r="D38" s="78"/>
    </row>
    <row r="39" spans="1:4" ht="18" customHeight="1" x14ac:dyDescent="0.45">
      <c r="A39" s="80">
        <v>1102992813001</v>
      </c>
      <c r="B39" s="79" t="s">
        <v>130</v>
      </c>
      <c r="C39" s="81">
        <v>2473.5700000000002</v>
      </c>
      <c r="D39" s="78"/>
    </row>
    <row r="40" spans="1:4" ht="18" customHeight="1" x14ac:dyDescent="0.45">
      <c r="A40" s="76">
        <v>1791734920001</v>
      </c>
      <c r="B40" s="75" t="s">
        <v>132</v>
      </c>
      <c r="C40" s="77">
        <v>3146.51</v>
      </c>
      <c r="D40" s="78"/>
    </row>
    <row r="41" spans="1:4" ht="18" customHeight="1" x14ac:dyDescent="0.45">
      <c r="A41" s="80">
        <v>1790484009001</v>
      </c>
      <c r="B41" s="79" t="s">
        <v>134</v>
      </c>
      <c r="C41" s="81">
        <v>1305</v>
      </c>
      <c r="D41" s="78"/>
    </row>
    <row r="42" spans="1:4" ht="18" customHeight="1" thickBot="1" x14ac:dyDescent="0.5">
      <c r="A42" s="76">
        <v>1719119511001</v>
      </c>
      <c r="B42" s="75" t="s">
        <v>136</v>
      </c>
      <c r="C42" s="77">
        <v>3339.22</v>
      </c>
      <c r="D42" s="78"/>
    </row>
    <row r="43" spans="1:4" ht="18" customHeight="1" x14ac:dyDescent="0.45">
      <c r="A43" s="82" t="s">
        <v>46</v>
      </c>
      <c r="B43" s="83"/>
      <c r="C43" s="84">
        <f>SUM(C4:C42)</f>
        <v>160674.69</v>
      </c>
      <c r="D43" s="85">
        <f>IF(COUNTA(D4:D42)=0,"",SUM(D4:D42))</f>
        <v>20000</v>
      </c>
    </row>
    <row r="44" spans="1:4" x14ac:dyDescent="0.45">
      <c r="A44" s="53"/>
    </row>
    <row r="45" spans="1:4" ht="22.05" customHeight="1" x14ac:dyDescent="0.6">
      <c r="A45" s="90" t="s">
        <v>1484</v>
      </c>
      <c r="B45" s="90"/>
      <c r="C45" s="90"/>
      <c r="D45" s="90"/>
    </row>
    <row r="46" spans="1:4" ht="16.05" customHeight="1" x14ac:dyDescent="0.45">
      <c r="A46" s="91" t="s">
        <v>1485</v>
      </c>
      <c r="B46" s="91"/>
      <c r="C46" s="91"/>
      <c r="D46" s="91"/>
    </row>
    <row r="47" spans="1:4" ht="22.05" customHeight="1" x14ac:dyDescent="0.55000000000000004">
      <c r="A47" s="70" t="s">
        <v>1486</v>
      </c>
      <c r="B47" s="70" t="s">
        <v>53</v>
      </c>
      <c r="C47" s="70" t="s">
        <v>1487</v>
      </c>
      <c r="D47" s="86" t="s">
        <v>1488</v>
      </c>
    </row>
    <row r="48" spans="1:4" x14ac:dyDescent="0.45">
      <c r="A48" s="80" t="s">
        <v>1489</v>
      </c>
      <c r="B48" s="79" t="s">
        <v>1490</v>
      </c>
      <c r="C48" s="79" t="s">
        <v>1491</v>
      </c>
      <c r="D48" s="87">
        <v>5000</v>
      </c>
    </row>
    <row r="49" spans="1:4" x14ac:dyDescent="0.45">
      <c r="A49" s="76"/>
      <c r="B49" s="75"/>
      <c r="C49" s="75"/>
      <c r="D49" s="87"/>
    </row>
    <row r="50" spans="1:4" x14ac:dyDescent="0.45">
      <c r="A50" s="80"/>
      <c r="B50" s="79"/>
      <c r="C50" s="79"/>
      <c r="D50" s="87"/>
    </row>
  </sheetData>
  <mergeCells count="4">
    <mergeCell ref="A1:D1"/>
    <mergeCell ref="A2:D2"/>
    <mergeCell ref="A45:D45"/>
    <mergeCell ref="A46:D4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Dashboard</vt:lpstr>
      <vt:lpstr>Dinero</vt:lpstr>
      <vt:lpstr>Derechos de Capital</vt:lpstr>
      <vt:lpstr>Cuentas por Cobrar</vt:lpstr>
      <vt:lpstr>Bienes Muebles</vt:lpstr>
      <vt:lpstr>Vehiculos</vt:lpstr>
      <vt:lpstr>Derechos</vt:lpstr>
      <vt:lpstr>Bienes Inmuebles</vt:lpstr>
      <vt:lpstr>Otros Activos</vt:lpstr>
      <vt:lpstr>Pasivos</vt:lpstr>
      <vt:lpstr>Justificacion</vt:lpstr>
      <vt:lpstr>Generar XML</vt:lpstr>
      <vt:lpstr>Datos del XML</vt:lpstr>
      <vt:lpstr>_Mapa</vt:lpstr>
      <vt:lpstr>Catalogos</vt:lpstr>
      <vt:lpstr>Carga_2026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Jorge Calupiña</cp:lastModifiedBy>
  <dcterms:created xsi:type="dcterms:W3CDTF">2026-05-21T13:57:06Z</dcterms:created>
  <dcterms:modified xsi:type="dcterms:W3CDTF">2026-05-21T18:09:31Z</dcterms:modified>
</cp:coreProperties>
</file>