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20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0" fontId="16" fillId="4" borderId="0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7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7" fillId="7" borderId="1" applyAlignment="1" pivotButton="0" quotePrefix="0" xfId="0">
      <alignment horizontal="center" vertical="center" wrapText="1"/>
    </xf>
    <xf numFmtId="0" fontId="18" fillId="0" borderId="0" pivotButton="0" quotePrefix="0" xfId="0"/>
    <xf numFmtId="0" fontId="19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Activos / Pasivos / Patrimonio: 2025 vs 2026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'Dashboard'!D37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'Dashboard'!$D$38:$D$40</f>
            </numRef>
          </val>
        </ser>
        <ser>
          <idx val="1"/>
          <order val="1"/>
          <tx>
            <strRef>
              <f>'Dashboard'!E37</f>
            </strRef>
          </tx>
          <spPr>
            <a:ln>
              <a:prstDash val="solid"/>
            </a:ln>
          </spPr>
          <cat>
            <numRef>
              <f>'Dashboard'!$B$38:$B$40</f>
            </numRef>
          </cat>
          <val>
            <numRef>
              <f>'Dashboard'!$E$38:$E$40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5</row>
      <rowOff>0</rowOff>
    </from>
    <ext cx="72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twoCellAnchor editAs="oneCell">
    <from>
      <col>10</col>
      <colOff>38100</colOff>
      <row>2</row>
      <rowOff>9525</rowOff>
    </from>
    <to>
      <col>12</col>
      <colOff>0</colOff>
      <row>4</row>
      <rowOff>0</rowOff>
    </to>
    <sp macro="CambiarGrafico" textlink="">
      <nvSpPr>
        <cNvPr id="1001" name="BotonAplicarGrafico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20507D"/>
        </a:solidFill>
      </spPr>
      <txBody>
        <a:bodyPr anchor="ctr"/>
        <a:lstStyle/>
        <a:p>
          <a:pPr algn="ctr"/>
          <a:r>
            <a:rPr lang="es-EC" sz="1000" b="1">
              <a:solidFill>
                <a:srgbClr val="FFFFFF"/>
              </a:solidFill>
            </a:rPr>
            <a:t>APLICAR GRAFICO</a:t>
          </a:r>
        </a:p>
      </txBody>
    </sp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width="13" customWidth="1" min="9" max="9"/>
    <col width="13" customWidth="1" min="10" max="10"/>
    <col width="13" customWidth="1" min="11" max="11"/>
    <col width="13" customWidth="1" min="12" max="12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I3" s="4" t="inlineStr">
        <is>
          <t>TIPO DE GRAFICO</t>
        </is>
      </c>
    </row>
    <row r="4">
      <c r="I4" s="5" t="inlineStr">
        <is>
          <t>Columnas</t>
        </is>
      </c>
      <c r="J4" s="6" t="n"/>
    </row>
    <row r="5" ht="6" customHeight="1">
      <c r="B5" s="7" t="n"/>
      <c r="C5" s="6" t="n"/>
      <c r="D5" s="8" t="n"/>
      <c r="E5" s="6" t="n"/>
      <c r="F5" s="9" t="n"/>
      <c r="G5" s="6" t="n"/>
    </row>
    <row r="6">
      <c r="B6" s="10" t="inlineStr">
        <is>
          <t>TOTAL ACTIVOS</t>
        </is>
      </c>
      <c r="C6" s="11" t="n"/>
      <c r="D6" s="12" t="inlineStr">
        <is>
          <t>TOTAL PASIVOS</t>
        </is>
      </c>
      <c r="E6" s="13" t="n"/>
      <c r="F6" s="14" t="inlineStr">
        <is>
          <t>PATRIMONIO NETO</t>
        </is>
      </c>
      <c r="G6" s="15" t="n"/>
    </row>
    <row r="7" ht="28" customHeight="1">
      <c r="B7" s="16">
        <f>D20</f>
        <v/>
      </c>
      <c r="C7" s="11" t="n"/>
      <c r="D7" s="17">
        <f>D25</f>
        <v/>
      </c>
      <c r="E7" s="13" t="n"/>
      <c r="F7" s="18">
        <f>D31</f>
        <v/>
      </c>
      <c r="G7" s="15" t="n"/>
    </row>
    <row r="8">
      <c r="B8" s="19" t="inlineStr">
        <is>
          <t>Var. proyectada</t>
        </is>
      </c>
      <c r="C8" s="20">
        <f>G20</f>
        <v/>
      </c>
      <c r="D8" s="21" t="inlineStr">
        <is>
          <t>Var. proyectada</t>
        </is>
      </c>
      <c r="E8" s="22">
        <f>G25</f>
        <v/>
      </c>
      <c r="F8" s="23" t="inlineStr">
        <is>
          <t>Var. proyectada</t>
        </is>
      </c>
      <c r="G8" s="24">
        <f>G31</f>
        <v/>
      </c>
    </row>
    <row r="10" ht="22" customHeight="1">
      <c r="B10" s="25" t="inlineStr">
        <is>
          <t>ACTIVOS</t>
        </is>
      </c>
    </row>
    <row r="11" ht="24" customHeight="1">
      <c r="B11" s="26" t="inlineStr">
        <is>
          <t>Concepto</t>
        </is>
      </c>
      <c r="C11" s="26" t="n"/>
      <c r="D11" s="27" t="inlineStr">
        <is>
          <t>Total 2025</t>
        </is>
      </c>
      <c r="E11" s="27" t="inlineStr">
        <is>
          <t>Total 2026</t>
        </is>
      </c>
      <c r="F11" s="27" t="inlineStr">
        <is>
          <t>Variacion</t>
        </is>
      </c>
      <c r="G11" s="27" t="inlineStr">
        <is>
          <t>Variacion %</t>
        </is>
      </c>
    </row>
    <row r="12" ht="20" customHeight="1">
      <c r="B12" s="28" t="inlineStr">
        <is>
          <t>Dinero e inversiones</t>
        </is>
      </c>
      <c r="D12" s="29">
        <f>'Dinero'!J10</f>
        <v/>
      </c>
      <c r="E12" s="29">
        <f>'Dinero'!K10</f>
        <v/>
      </c>
      <c r="F12" s="29">
        <f>E12-D12</f>
        <v/>
      </c>
      <c r="G12" s="30">
        <f>IF(D12=0,"",(E12-D12)/D12)</f>
        <v/>
      </c>
    </row>
    <row r="13" ht="20" customHeight="1">
      <c r="B13" s="28" t="inlineStr">
        <is>
          <t>Derechos representativos de capital</t>
        </is>
      </c>
      <c r="D13" s="29">
        <f>'Derechos de Capital'!J14</f>
        <v/>
      </c>
      <c r="E13" s="29">
        <f>'Derechos de Capital'!K14</f>
        <v/>
      </c>
      <c r="F13" s="29">
        <f>E13-D13</f>
        <v/>
      </c>
      <c r="G13" s="30">
        <f>IF(D13=0,"",(E13-D13)/D13)</f>
        <v/>
      </c>
    </row>
    <row r="14" ht="20" customHeight="1">
      <c r="B14" s="28" t="inlineStr">
        <is>
          <t>Cuentas por cobrar</t>
        </is>
      </c>
      <c r="D14" s="29">
        <f>'Cuentas por Cobrar'!J14</f>
        <v/>
      </c>
      <c r="E14" s="29">
        <f>'Cuentas por Cobrar'!K14</f>
        <v/>
      </c>
      <c r="F14" s="29">
        <f>E14-D14</f>
        <v/>
      </c>
      <c r="G14" s="30">
        <f>IF(D14=0,"",(E14-D14)/D14)</f>
        <v/>
      </c>
    </row>
    <row r="15" ht="20" customHeight="1">
      <c r="B15" s="28" t="inlineStr">
        <is>
          <t>Bienes muebles</t>
        </is>
      </c>
      <c r="D15" s="29">
        <f>'Bienes Muebles'!F14</f>
        <v/>
      </c>
      <c r="E15" s="29">
        <f>'Bienes Muebles'!G14</f>
        <v/>
      </c>
      <c r="F15" s="29">
        <f>E15-D15</f>
        <v/>
      </c>
      <c r="G15" s="30">
        <f>IF(D15=0,"",(E15-D15)/D15)</f>
        <v/>
      </c>
    </row>
    <row r="16" ht="20" customHeight="1">
      <c r="B16" s="28" t="inlineStr">
        <is>
          <t>Vehiculos, naves y aeronaves</t>
        </is>
      </c>
      <c r="D16" s="29">
        <f>'Vehiculos'!G9</f>
        <v/>
      </c>
      <c r="E16" s="29">
        <f>'Vehiculos'!H9</f>
        <v/>
      </c>
      <c r="F16" s="29">
        <f>E16-D16</f>
        <v/>
      </c>
      <c r="G16" s="30">
        <f>IF(D16=0,"",(E16-D16)/D16)</f>
        <v/>
      </c>
    </row>
    <row r="17" ht="20" customHeight="1">
      <c r="B17" s="28" t="inlineStr">
        <is>
          <t>Derechos (usufructo, uso, etc.)</t>
        </is>
      </c>
      <c r="D17" s="29">
        <f>'Derechos'!F14</f>
        <v/>
      </c>
      <c r="E17" s="29">
        <f>'Derechos'!G14</f>
        <v/>
      </c>
      <c r="F17" s="29">
        <f>E17-D17</f>
        <v/>
      </c>
      <c r="G17" s="30">
        <f>IF(D17=0,"",(E17-D17)/D17)</f>
        <v/>
      </c>
    </row>
    <row r="18" ht="20" customHeight="1">
      <c r="B18" s="28" t="inlineStr">
        <is>
          <t>Bienes inmuebles</t>
        </is>
      </c>
      <c r="D18" s="29">
        <f>'Bienes Inmuebles'!J10</f>
        <v/>
      </c>
      <c r="E18" s="29">
        <f>'Bienes Inmuebles'!K10</f>
        <v/>
      </c>
      <c r="F18" s="29">
        <f>E18-D18</f>
        <v/>
      </c>
      <c r="G18" s="30">
        <f>IF(D18=0,"",(E18-D18)/D18)</f>
        <v/>
      </c>
    </row>
    <row r="19" ht="20" customHeight="1">
      <c r="B19" s="28" t="inlineStr">
        <is>
          <t>Otros activos</t>
        </is>
      </c>
      <c r="D19" s="29">
        <f>'Otros Activos'!F14</f>
        <v/>
      </c>
      <c r="E19" s="29">
        <f>'Otros Activos'!G14</f>
        <v/>
      </c>
      <c r="F19" s="29">
        <f>E19-D19</f>
        <v/>
      </c>
      <c r="G19" s="30">
        <f>IF(D19=0,"",(E19-D19)/D19)</f>
        <v/>
      </c>
    </row>
    <row r="20" ht="22" customHeight="1">
      <c r="B20" s="31" t="inlineStr">
        <is>
          <t>TOTAL ACTIVOS</t>
        </is>
      </c>
      <c r="D20" s="32">
        <f>SUM(D12:D19)</f>
        <v/>
      </c>
      <c r="E20" s="32">
        <f>SUM(E12:E19)</f>
        <v/>
      </c>
      <c r="F20" s="32">
        <f>E20-D20</f>
        <v/>
      </c>
      <c r="G20" s="33">
        <f>IF(D20=0,"",(E20-D20)/D20)</f>
        <v/>
      </c>
    </row>
    <row r="22" ht="22" customHeight="1">
      <c r="B22" s="34" t="inlineStr">
        <is>
          <t>PASIVOS</t>
        </is>
      </c>
    </row>
    <row r="23" ht="24" customHeight="1">
      <c r="B23" s="26" t="inlineStr">
        <is>
          <t>Concepto</t>
        </is>
      </c>
      <c r="C23" s="26" t="n"/>
      <c r="D23" s="27" t="inlineStr">
        <is>
          <t>Total 2025</t>
        </is>
      </c>
      <c r="E23" s="27" t="inlineStr">
        <is>
          <t>Total 2026</t>
        </is>
      </c>
      <c r="F23" s="27" t="inlineStr">
        <is>
          <t>Variacion</t>
        </is>
      </c>
      <c r="G23" s="27" t="inlineStr">
        <is>
          <t>Variacion %</t>
        </is>
      </c>
    </row>
    <row r="24" ht="20" customHeight="1">
      <c r="B24" s="35" t="inlineStr">
        <is>
          <t>Deudas y obligaciones</t>
        </is>
      </c>
      <c r="D24" s="36">
        <f>'Pasivos'!I8</f>
        <v/>
      </c>
      <c r="E24" s="36">
        <f>'Pasivos'!J8</f>
        <v/>
      </c>
      <c r="F24" s="36">
        <f>E24-D24</f>
        <v/>
      </c>
      <c r="G24" s="37">
        <f>IF(D24=0,"",(E24-D24)/D24)</f>
        <v/>
      </c>
    </row>
    <row r="25" ht="22" customHeight="1">
      <c r="B25" s="38" t="inlineStr">
        <is>
          <t>TOTAL PASIVOS</t>
        </is>
      </c>
      <c r="D25" s="39">
        <f>SUM(D24:D24)</f>
        <v/>
      </c>
      <c r="E25" s="39">
        <f>SUM(E24:E24)</f>
        <v/>
      </c>
      <c r="F25" s="39">
        <f>E25-D25</f>
        <v/>
      </c>
      <c r="G25" s="40">
        <f>IF(D25=0,"",(E25-D25)/D25)</f>
        <v/>
      </c>
    </row>
    <row r="27" ht="22" customHeight="1">
      <c r="B27" s="41" t="inlineStr">
        <is>
          <t>PATRIMONIO NETO</t>
        </is>
      </c>
    </row>
    <row r="28" ht="24" customHeight="1">
      <c r="B28" s="26" t="inlineStr">
        <is>
          <t>Concepto</t>
        </is>
      </c>
      <c r="C28" s="26" t="n"/>
      <c r="D28" s="27" t="inlineStr">
        <is>
          <t>Total 2025</t>
        </is>
      </c>
      <c r="E28" s="27" t="inlineStr">
        <is>
          <t>Total 2026</t>
        </is>
      </c>
      <c r="F28" s="27" t="inlineStr">
        <is>
          <t>Variacion</t>
        </is>
      </c>
      <c r="G28" s="27" t="inlineStr">
        <is>
          <t>Variacion %</t>
        </is>
      </c>
    </row>
    <row r="29" ht="20" customHeight="1">
      <c r="B29" s="42" t="inlineStr">
        <is>
          <t>(+) Total activos</t>
        </is>
      </c>
      <c r="D29" s="43">
        <f>D20</f>
        <v/>
      </c>
      <c r="E29" s="43">
        <f>E20</f>
        <v/>
      </c>
      <c r="F29" s="43">
        <f>E29-D29</f>
        <v/>
      </c>
      <c r="G29" s="44">
        <f>IF(D29=0,"",(E29-D29)/D29)</f>
        <v/>
      </c>
    </row>
    <row r="30" ht="20" customHeight="1">
      <c r="B30" s="42" t="inlineStr">
        <is>
          <t>(-) Total pasivos</t>
        </is>
      </c>
      <c r="D30" s="43">
        <f>D25</f>
        <v/>
      </c>
      <c r="E30" s="43">
        <f>E25</f>
        <v/>
      </c>
      <c r="F30" s="43">
        <f>E30-D30</f>
        <v/>
      </c>
      <c r="G30" s="44">
        <f>IF(D30=0,"",(E30-D30)/D30)</f>
        <v/>
      </c>
    </row>
    <row r="31" ht="22" customHeight="1">
      <c r="B31" s="45" t="inlineStr">
        <is>
          <t>(=) PATRIMONIO NETO</t>
        </is>
      </c>
      <c r="D31" s="46">
        <f>D29-D30</f>
        <v/>
      </c>
      <c r="E31" s="46">
        <f>E29-E30</f>
        <v/>
      </c>
      <c r="F31" s="46">
        <f>E31-D31</f>
        <v/>
      </c>
      <c r="G31" s="47">
        <f>IF(D31=0,"",(E31-D31)/D31)</f>
        <v/>
      </c>
    </row>
    <row r="32" ht="16" customHeight="1">
      <c r="B32" s="48" t="inlineStr">
        <is>
          <t>Patrimonio declarado en el XML (2025)</t>
        </is>
      </c>
      <c r="C32" s="6" t="n"/>
      <c r="D32" s="49" t="n">
        <v>883285.5600000001</v>
      </c>
      <c r="E32" s="6" t="n"/>
      <c r="F32" s="6" t="n"/>
      <c r="G32" s="6" t="n"/>
    </row>
    <row r="33" ht="16" customHeight="1">
      <c r="B33" s="48" t="inlineStr">
        <is>
          <t>Patrimonio neto del anio anterior</t>
        </is>
      </c>
      <c r="C33" s="6" t="n"/>
      <c r="D33" s="49" t="n">
        <v>801569.97</v>
      </c>
      <c r="E33" s="6" t="n"/>
      <c r="F33" s="6" t="n"/>
      <c r="G33" s="6" t="n"/>
    </row>
    <row r="34" ht="16" customHeight="1">
      <c r="B34" s="48" t="inlineStr">
        <is>
          <t>Crecimiento / decremento patrimonial (XML)</t>
        </is>
      </c>
      <c r="C34" s="6" t="n"/>
      <c r="D34" s="49" t="n">
        <v>81715.59</v>
      </c>
      <c r="E34" s="6" t="n"/>
      <c r="F34" s="6" t="n"/>
      <c r="G34" s="6" t="n"/>
    </row>
    <row r="36" ht="22" customHeight="1">
      <c r="B36" s="50" t="inlineStr">
        <is>
          <t>CONSOLIDADO</t>
        </is>
      </c>
    </row>
    <row r="37" ht="24" customHeight="1">
      <c r="B37" s="26" t="inlineStr">
        <is>
          <t>Concepto</t>
        </is>
      </c>
      <c r="C37" s="26" t="n"/>
      <c r="D37" s="27" t="inlineStr">
        <is>
          <t>Total 2025</t>
        </is>
      </c>
      <c r="E37" s="27" t="inlineStr">
        <is>
          <t>Total 2026</t>
        </is>
      </c>
      <c r="F37" s="27" t="inlineStr">
        <is>
          <t>Variacion</t>
        </is>
      </c>
      <c r="G37" s="27" t="inlineStr">
        <is>
          <t>Variacion %</t>
        </is>
      </c>
    </row>
    <row r="38" ht="20" customHeight="1">
      <c r="B38" s="51" t="inlineStr">
        <is>
          <t>Activos</t>
        </is>
      </c>
      <c r="D38" s="52">
        <f>D20</f>
        <v/>
      </c>
      <c r="E38" s="52">
        <f>E20</f>
        <v/>
      </c>
      <c r="F38" s="52">
        <f>E38-D38</f>
        <v/>
      </c>
      <c r="G38" s="53">
        <f>IF(D38=0,"",(E38-D38)/D38)</f>
        <v/>
      </c>
    </row>
    <row r="39" ht="20" customHeight="1">
      <c r="B39" s="54" t="inlineStr">
        <is>
          <t>Pasivos</t>
        </is>
      </c>
      <c r="D39" s="55">
        <f>D25</f>
        <v/>
      </c>
      <c r="E39" s="55">
        <f>E25</f>
        <v/>
      </c>
      <c r="F39" s="55">
        <f>E39-D39</f>
        <v/>
      </c>
      <c r="G39" s="56">
        <f>IF(D39=0,"",(E39-D39)/D39)</f>
        <v/>
      </c>
    </row>
    <row r="40" ht="20" customHeight="1">
      <c r="B40" s="57" t="inlineStr">
        <is>
          <t>Patrimonio neto</t>
        </is>
      </c>
      <c r="D40" s="58">
        <f>D31</f>
        <v/>
      </c>
      <c r="E40" s="58">
        <f>E31</f>
        <v/>
      </c>
      <c r="F40" s="58">
        <f>E40-D40</f>
        <v/>
      </c>
      <c r="G40" s="59">
        <f>IF(D40=0,"",(E40-D40)/D40)</f>
        <v/>
      </c>
    </row>
    <row r="42">
      <c r="B42" s="60" t="inlineStr">
        <is>
          <t>Edite las columnas amarillas en las hojas de cada modulo; las tarjetas, secciones y graficos se recalculan solos.</t>
        </is>
      </c>
    </row>
  </sheetData>
  <mergeCells count="42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I4:J4"/>
    <mergeCell ref="B15:C15"/>
    <mergeCell ref="B33:C33"/>
    <mergeCell ref="B22:G22"/>
    <mergeCell ref="I3:L3"/>
    <mergeCell ref="B5:C5"/>
    <mergeCell ref="B20:C20"/>
    <mergeCell ref="B27:G27"/>
    <mergeCell ref="D5:E5"/>
    <mergeCell ref="B32:C32"/>
  </mergeCells>
  <dataValidations count="1">
    <dataValidation sqref="I4" showDropDown="0" showInputMessage="0" showErrorMessage="0" allowBlank="1" type="list">
      <formula1>"Columnas,Barras,Pastel,Anillo,Lineas,Area"</formula1>
    </dataValidation>
  </dataValidation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Dinero en</t>
        </is>
      </c>
      <c r="B5" s="27" t="inlineStr">
        <is>
          <t>Tipo de inversion</t>
        </is>
      </c>
      <c r="C5" s="27" t="inlineStr">
        <is>
          <t>Ubicacion</t>
        </is>
      </c>
      <c r="D5" s="27" t="inlineStr">
        <is>
          <t>Pais</t>
        </is>
      </c>
      <c r="E5" s="27" t="inlineStr">
        <is>
          <t>Institucion financiera</t>
        </is>
      </c>
      <c r="F5" s="27" t="inlineStr">
        <is>
          <t>Tipo de moneda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>
        <is>
          <t>IFI - Instituciones financieras</t>
        </is>
      </c>
      <c r="B6" s="61" t="inlineStr">
        <is>
          <t>3 - Cuenta de ahorros</t>
        </is>
      </c>
      <c r="C6" s="61" t="inlineStr">
        <is>
          <t>ECU - En el Ecuador</t>
        </is>
      </c>
      <c r="D6" s="61" t="inlineStr">
        <is>
          <t>593 - ECUADOR</t>
        </is>
      </c>
      <c r="E6" s="61" t="inlineStr">
        <is>
          <t>1029 - BANCO PICHINCHA C.A.</t>
        </is>
      </c>
      <c r="F6" s="61" t="inlineStr">
        <is>
          <t>DOLARES</t>
        </is>
      </c>
      <c r="G6" s="61" t="inlineStr">
        <is>
          <t>2 - No</t>
        </is>
      </c>
      <c r="H6" s="61" t="inlineStr"/>
      <c r="I6" s="61" t="inlineStr"/>
      <c r="J6" s="62" t="n">
        <v>130.2</v>
      </c>
      <c r="K6" s="63" t="n">
        <v>130.2</v>
      </c>
      <c r="L6" s="62">
        <f>K6-J6</f>
        <v/>
      </c>
      <c r="M6" s="64">
        <f>IF(J6=0,"",(K6-J6)/J6)</f>
        <v/>
      </c>
    </row>
    <row r="7">
      <c r="A7" s="65" t="inlineStr">
        <is>
          <t>IFI - Instituciones financieras</t>
        </is>
      </c>
      <c r="B7" s="65" t="inlineStr">
        <is>
          <t>4 - Cuenta corriente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>
        <is>
          <t>1029 - BANCO PICHINCHA C.A.</t>
        </is>
      </c>
      <c r="F7" s="65" t="inlineStr">
        <is>
          <t>DOLARES</t>
        </is>
      </c>
      <c r="G7" s="65" t="inlineStr">
        <is>
          <t>2 - No</t>
        </is>
      </c>
      <c r="H7" s="65" t="inlineStr"/>
      <c r="I7" s="65" t="inlineStr"/>
      <c r="J7" s="66" t="n">
        <v>5590.32</v>
      </c>
      <c r="K7" s="63" t="n">
        <v>5590.32</v>
      </c>
      <c r="L7" s="66">
        <f>K7-J7</f>
        <v/>
      </c>
      <c r="M7" s="67">
        <f>IF(J7=0,"",(K7-J7)/J7)</f>
        <v/>
      </c>
    </row>
    <row r="8">
      <c r="A8" s="61" t="inlineStr">
        <is>
          <t>IFI - Instituciones financieras</t>
        </is>
      </c>
      <c r="B8" s="61" t="inlineStr">
        <is>
          <t>3 - Cuenta de ahorros</t>
        </is>
      </c>
      <c r="C8" s="61" t="inlineStr">
        <is>
          <t>ECU - En el Ecuador</t>
        </is>
      </c>
      <c r="D8" s="61" t="inlineStr">
        <is>
          <t>593 - ECUADOR</t>
        </is>
      </c>
      <c r="E8" s="61" t="inlineStr">
        <is>
          <t>1418 - BANCO PROMERICA S.A.</t>
        </is>
      </c>
      <c r="F8" s="61" t="inlineStr">
        <is>
          <t>DOLARES</t>
        </is>
      </c>
      <c r="G8" s="61" t="inlineStr">
        <is>
          <t>2 - No</t>
        </is>
      </c>
      <c r="H8" s="61" t="inlineStr"/>
      <c r="I8" s="61" t="inlineStr"/>
      <c r="J8" s="62" t="n">
        <v>53237.31</v>
      </c>
      <c r="K8" s="63" t="n">
        <v>53237.31</v>
      </c>
      <c r="L8" s="62">
        <f>K8-J8</f>
        <v/>
      </c>
      <c r="M8" s="64">
        <f>IF(J8=0,"",(K8-J8)/J8)</f>
        <v/>
      </c>
    </row>
    <row r="9">
      <c r="A9" s="65" t="inlineStr">
        <is>
          <t>IFI - Instituciones financieras</t>
        </is>
      </c>
      <c r="B9" s="65" t="inlineStr">
        <is>
          <t>2 - Inversiones financieras</t>
        </is>
      </c>
      <c r="C9" s="65" t="inlineStr">
        <is>
          <t>EXT - En el exterior</t>
        </is>
      </c>
      <c r="D9" s="65" t="inlineStr">
        <is>
          <t>118 - PANAMA</t>
        </is>
      </c>
      <c r="E9" s="65" t="inlineStr">
        <is>
          <t>BANCO PICHINCHA CA</t>
        </is>
      </c>
      <c r="F9" s="65" t="inlineStr">
        <is>
          <t>DOLARES</t>
        </is>
      </c>
      <c r="G9" s="65" t="inlineStr">
        <is>
          <t>2 - No</t>
        </is>
      </c>
      <c r="H9" s="65" t="inlineStr"/>
      <c r="I9" s="65" t="inlineStr"/>
      <c r="J9" s="66" t="n">
        <v>189049.31</v>
      </c>
      <c r="K9" s="63" t="n">
        <v>189049.31</v>
      </c>
      <c r="L9" s="66">
        <f>K9-J9</f>
        <v/>
      </c>
      <c r="M9" s="67">
        <f>IF(J9=0,"",(K9-J9)/J9)</f>
        <v/>
      </c>
    </row>
    <row r="10" ht="22" customHeight="1">
      <c r="A10" s="68" t="inlineStr">
        <is>
          <t>TOTAL</t>
        </is>
      </c>
      <c r="B10" s="68" t="n"/>
      <c r="C10" s="68" t="n"/>
      <c r="D10" s="68" t="n"/>
      <c r="E10" s="68" t="n"/>
      <c r="F10" s="68" t="n"/>
      <c r="G10" s="68" t="n"/>
      <c r="H10" s="68" t="n"/>
      <c r="I10" s="68" t="n"/>
      <c r="J10" s="32">
        <f>SUM(J6:J9)</f>
        <v/>
      </c>
      <c r="K10" s="32">
        <f>SUM(K6:K9)</f>
        <v/>
      </c>
      <c r="L10" s="32">
        <f>K10-J10</f>
        <v/>
      </c>
      <c r="M10" s="33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inversion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Empresa / Administradora / Fideicomiso</t>
        </is>
      </c>
      <c r="E5" s="27" t="inlineStr">
        <is>
          <t>% de participacion</t>
        </is>
      </c>
      <c r="F5" s="27" t="inlineStr">
        <is>
          <t>N. de acciones / participaciones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1" t="inlineStr"/>
      <c r="G6" s="61" t="inlineStr"/>
      <c r="H6" s="61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5" t="inlineStr"/>
      <c r="E7" s="65" t="inlineStr"/>
      <c r="F7" s="65" t="inlineStr"/>
      <c r="G7" s="65" t="inlineStr"/>
      <c r="H7" s="65" t="inlineStr"/>
      <c r="I7" s="65" t="inlineStr"/>
      <c r="J7" s="63" t="n">
        <v>0</v>
      </c>
      <c r="K7" s="63" t="n">
        <v>0</v>
      </c>
      <c r="L7" s="66">
        <f>K7-J7</f>
        <v/>
      </c>
      <c r="M7" s="67">
        <f>IF(J7=0,"",(K7-J7)/J7)</f>
        <v/>
      </c>
    </row>
    <row r="8">
      <c r="A8" s="61" t="inlineStr"/>
      <c r="B8" s="61" t="inlineStr"/>
      <c r="C8" s="61" t="inlineStr"/>
      <c r="D8" s="61" t="inlineStr"/>
      <c r="E8" s="61" t="inlineStr"/>
      <c r="F8" s="61" t="inlineStr"/>
      <c r="G8" s="61" t="inlineStr"/>
      <c r="H8" s="61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5" t="inlineStr"/>
      <c r="E9" s="65" t="inlineStr"/>
      <c r="F9" s="65" t="inlineStr"/>
      <c r="G9" s="65" t="inlineStr"/>
      <c r="H9" s="65" t="inlineStr"/>
      <c r="I9" s="65" t="inlineStr"/>
      <c r="J9" s="63" t="n">
        <v>0</v>
      </c>
      <c r="K9" s="63" t="n">
        <v>0</v>
      </c>
      <c r="L9" s="66">
        <f>K9-J9</f>
        <v/>
      </c>
      <c r="M9" s="67">
        <f>IF(J9=0,"",(K9-J9)/J9)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1" t="inlineStr"/>
      <c r="G10" s="61" t="inlineStr"/>
      <c r="H10" s="61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5" t="inlineStr"/>
      <c r="G11" s="65" t="inlineStr"/>
      <c r="H11" s="65" t="inlineStr"/>
      <c r="I11" s="65" t="inlineStr"/>
      <c r="J11" s="63" t="n">
        <v>0</v>
      </c>
      <c r="K11" s="63" t="n">
        <v>0</v>
      </c>
      <c r="L11" s="66">
        <f>K11-J11</f>
        <v/>
      </c>
      <c r="M11" s="67">
        <f>IF(J11=0,"",(K11-J11)/J11)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1" t="inlineStr"/>
      <c r="G12" s="61" t="inlineStr"/>
      <c r="H12" s="61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5" t="inlineStr"/>
      <c r="G13" s="65" t="inlineStr"/>
      <c r="H13" s="65" t="inlineStr"/>
      <c r="I13" s="65" t="inlineStr"/>
      <c r="J13" s="63" t="n">
        <v>0</v>
      </c>
      <c r="K13" s="63" t="n">
        <v>0</v>
      </c>
      <c r="L13" s="66">
        <f>K13-J13</f>
        <v/>
      </c>
      <c r="M13" s="67">
        <f>IF(J13=0,"",(K13-J13)/J13)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68" t="n"/>
      <c r="G14" s="68" t="n"/>
      <c r="H14" s="68" t="n"/>
      <c r="I14" s="68" t="n"/>
      <c r="J14" s="32">
        <f>SUM(J6:J13)</f>
        <v/>
      </c>
      <c r="K14" s="32">
        <f>SUM(K6:K13)</f>
        <v/>
      </c>
      <c r="L14" s="32">
        <f>K14-J14</f>
        <v/>
      </c>
      <c r="M14" s="33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Nombre del deudor</t>
        </is>
      </c>
      <c r="B5" s="27" t="inlineStr">
        <is>
          <t>Tipo de deudor</t>
        </is>
      </c>
      <c r="C5" s="27" t="inlineStr">
        <is>
          <t>Tipo de identificacion</t>
        </is>
      </c>
      <c r="D5" s="27" t="inlineStr">
        <is>
          <t>N. de identificacion</t>
        </is>
      </c>
      <c r="E5" s="27" t="inlineStr">
        <is>
          <t>Ubicacion</t>
        </is>
      </c>
      <c r="F5" s="27" t="inlineStr">
        <is>
          <t>Pais</t>
        </is>
      </c>
      <c r="G5" s="27" t="inlineStr">
        <is>
          <t>Partes relacionadas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1" t="inlineStr"/>
      <c r="G6" s="61" t="inlineStr"/>
      <c r="H6" s="61" t="inlineStr"/>
      <c r="I6" s="61" t="inlineStr"/>
      <c r="J6" s="63" t="n">
        <v>0</v>
      </c>
      <c r="K6" s="63" t="n">
        <v>0</v>
      </c>
      <c r="L6" s="62">
        <f>K6-J6</f>
        <v/>
      </c>
      <c r="M6" s="64">
        <f>IF(J6=0,"",(K6-J6)/J6)</f>
        <v/>
      </c>
    </row>
    <row r="7">
      <c r="A7" s="65" t="inlineStr"/>
      <c r="B7" s="65" t="inlineStr"/>
      <c r="C7" s="65" t="inlineStr"/>
      <c r="D7" s="65" t="inlineStr"/>
      <c r="E7" s="65" t="inlineStr"/>
      <c r="F7" s="65" t="inlineStr"/>
      <c r="G7" s="65" t="inlineStr"/>
      <c r="H7" s="65" t="inlineStr"/>
      <c r="I7" s="65" t="inlineStr"/>
      <c r="J7" s="63" t="n">
        <v>0</v>
      </c>
      <c r="K7" s="63" t="n">
        <v>0</v>
      </c>
      <c r="L7" s="66">
        <f>K7-J7</f>
        <v/>
      </c>
      <c r="M7" s="67">
        <f>IF(J7=0,"",(K7-J7)/J7)</f>
        <v/>
      </c>
    </row>
    <row r="8">
      <c r="A8" s="61" t="inlineStr"/>
      <c r="B8" s="61" t="inlineStr"/>
      <c r="C8" s="61" t="inlineStr"/>
      <c r="D8" s="61" t="inlineStr"/>
      <c r="E8" s="61" t="inlineStr"/>
      <c r="F8" s="61" t="inlineStr"/>
      <c r="G8" s="61" t="inlineStr"/>
      <c r="H8" s="61" t="inlineStr"/>
      <c r="I8" s="61" t="inlineStr"/>
      <c r="J8" s="63" t="n">
        <v>0</v>
      </c>
      <c r="K8" s="63" t="n">
        <v>0</v>
      </c>
      <c r="L8" s="62">
        <f>K8-J8</f>
        <v/>
      </c>
      <c r="M8" s="64">
        <f>IF(J8=0,"",(K8-J8)/J8)</f>
        <v/>
      </c>
    </row>
    <row r="9">
      <c r="A9" s="65" t="inlineStr"/>
      <c r="B9" s="65" t="inlineStr"/>
      <c r="C9" s="65" t="inlineStr"/>
      <c r="D9" s="65" t="inlineStr"/>
      <c r="E9" s="65" t="inlineStr"/>
      <c r="F9" s="65" t="inlineStr"/>
      <c r="G9" s="65" t="inlineStr"/>
      <c r="H9" s="65" t="inlineStr"/>
      <c r="I9" s="65" t="inlineStr"/>
      <c r="J9" s="63" t="n">
        <v>0</v>
      </c>
      <c r="K9" s="63" t="n">
        <v>0</v>
      </c>
      <c r="L9" s="66">
        <f>K9-J9</f>
        <v/>
      </c>
      <c r="M9" s="67">
        <f>IF(J9=0,"",(K9-J9)/J9)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1" t="inlineStr"/>
      <c r="G10" s="61" t="inlineStr"/>
      <c r="H10" s="61" t="inlineStr"/>
      <c r="I10" s="61" t="inlineStr"/>
      <c r="J10" s="63" t="n">
        <v>0</v>
      </c>
      <c r="K10" s="63" t="n">
        <v>0</v>
      </c>
      <c r="L10" s="62">
        <f>K10-J10</f>
        <v/>
      </c>
      <c r="M10" s="64">
        <f>IF(J10=0,"",(K10-J10)/J10)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5" t="inlineStr"/>
      <c r="G11" s="65" t="inlineStr"/>
      <c r="H11" s="65" t="inlineStr"/>
      <c r="I11" s="65" t="inlineStr"/>
      <c r="J11" s="63" t="n">
        <v>0</v>
      </c>
      <c r="K11" s="63" t="n">
        <v>0</v>
      </c>
      <c r="L11" s="66">
        <f>K11-J11</f>
        <v/>
      </c>
      <c r="M11" s="67">
        <f>IF(J11=0,"",(K11-J11)/J11)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1" t="inlineStr"/>
      <c r="G12" s="61" t="inlineStr"/>
      <c r="H12" s="61" t="inlineStr"/>
      <c r="I12" s="61" t="inlineStr"/>
      <c r="J12" s="63" t="n">
        <v>0</v>
      </c>
      <c r="K12" s="63" t="n">
        <v>0</v>
      </c>
      <c r="L12" s="62">
        <f>K12-J12</f>
        <v/>
      </c>
      <c r="M12" s="64">
        <f>IF(J12=0,"",(K12-J12)/J12)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5" t="inlineStr"/>
      <c r="G13" s="65" t="inlineStr"/>
      <c r="H13" s="65" t="inlineStr"/>
      <c r="I13" s="65" t="inlineStr"/>
      <c r="J13" s="63" t="n">
        <v>0</v>
      </c>
      <c r="K13" s="63" t="n">
        <v>0</v>
      </c>
      <c r="L13" s="66">
        <f>K13-J13</f>
        <v/>
      </c>
      <c r="M13" s="67">
        <f>IF(J13=0,"",(K13-J13)/J13)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68" t="n"/>
      <c r="G14" s="68" t="n"/>
      <c r="H14" s="68" t="n"/>
      <c r="I14" s="68" t="n"/>
      <c r="J14" s="32">
        <f>SUM(J6:J13)</f>
        <v/>
      </c>
      <c r="K14" s="32">
        <f>SUM(K6:K13)</f>
        <v/>
      </c>
      <c r="L14" s="32">
        <f>K14-J14</f>
        <v/>
      </c>
      <c r="M14" s="33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bien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vehiculo</t>
        </is>
      </c>
      <c r="B5" s="27" t="inlineStr">
        <is>
          <t>Registro / placa / chasis</t>
        </is>
      </c>
      <c r="C5" s="27" t="inlineStr">
        <is>
          <t>Ubicacion</t>
        </is>
      </c>
      <c r="D5" s="27" t="inlineStr">
        <is>
          <t>Pais</t>
        </is>
      </c>
      <c r="E5" s="27" t="inlineStr">
        <is>
          <t>Regularizacion activos</t>
        </is>
      </c>
      <c r="F5" s="27" t="inlineStr">
        <is>
          <t>Anio fiscal adquisicion</t>
        </is>
      </c>
      <c r="G5" s="27" t="inlineStr">
        <is>
          <t>Valor 2025</t>
        </is>
      </c>
      <c r="H5" s="27" t="inlineStr">
        <is>
          <t>Valor 2026</t>
        </is>
      </c>
      <c r="I5" s="27" t="inlineStr">
        <is>
          <t>Variacion</t>
        </is>
      </c>
      <c r="J5" s="27" t="inlineStr">
        <is>
          <t>Variacion %</t>
        </is>
      </c>
    </row>
    <row r="6">
      <c r="A6" s="61" t="inlineStr">
        <is>
          <t>1 - Vehiculos motorizados terrestres</t>
        </is>
      </c>
      <c r="B6" s="61" t="inlineStr">
        <is>
          <t>PBO7092</t>
        </is>
      </c>
      <c r="C6" s="61" t="inlineStr">
        <is>
          <t>ECU - En el Ecuador</t>
        </is>
      </c>
      <c r="D6" s="61" t="inlineStr">
        <is>
          <t>593 - ECUADOR</t>
        </is>
      </c>
      <c r="E6" s="61" t="inlineStr"/>
      <c r="F6" s="61" t="inlineStr"/>
      <c r="G6" s="62" t="n">
        <v>12000</v>
      </c>
      <c r="H6" s="63" t="n">
        <v>12000</v>
      </c>
      <c r="I6" s="62">
        <f>H6-G6</f>
        <v/>
      </c>
      <c r="J6" s="64">
        <f>IF(G6=0,"",(H6-G6)/G6)</f>
        <v/>
      </c>
    </row>
    <row r="7">
      <c r="A7" s="65" t="inlineStr">
        <is>
          <t>1 - Vehiculos motorizados terrestres</t>
        </is>
      </c>
      <c r="B7" s="65" t="inlineStr">
        <is>
          <t>PBF9690</t>
        </is>
      </c>
      <c r="C7" s="65" t="inlineStr">
        <is>
          <t>ECU - En el Ecuador</t>
        </is>
      </c>
      <c r="D7" s="65" t="inlineStr">
        <is>
          <t>593 - ECUADOR</t>
        </is>
      </c>
      <c r="E7" s="65" t="inlineStr"/>
      <c r="F7" s="65" t="inlineStr"/>
      <c r="G7" s="66" t="n">
        <v>20000</v>
      </c>
      <c r="H7" s="63" t="n">
        <v>20000</v>
      </c>
      <c r="I7" s="66">
        <f>H7-G7</f>
        <v/>
      </c>
      <c r="J7" s="67">
        <f>IF(G7=0,"",(H7-G7)/G7)</f>
        <v/>
      </c>
    </row>
    <row r="8">
      <c r="A8" s="61" t="inlineStr">
        <is>
          <t>1 - Vehiculos motorizados terrestres</t>
        </is>
      </c>
      <c r="B8" s="61" t="inlineStr">
        <is>
          <t>PFC8683</t>
        </is>
      </c>
      <c r="C8" s="61" t="inlineStr">
        <is>
          <t>ECU - En el Ecuador</t>
        </is>
      </c>
      <c r="D8" s="61" t="inlineStr">
        <is>
          <t>593 - ECUADOR</t>
        </is>
      </c>
      <c r="E8" s="61" t="inlineStr"/>
      <c r="F8" s="61" t="inlineStr"/>
      <c r="G8" s="62" t="n">
        <v>32000</v>
      </c>
      <c r="H8" s="63" t="n">
        <v>32000</v>
      </c>
      <c r="I8" s="62">
        <f>H8-G8</f>
        <v/>
      </c>
      <c r="J8" s="64">
        <f>IF(G8=0,"",(H8-G8)/G8)</f>
        <v/>
      </c>
    </row>
    <row r="9" ht="22" customHeight="1">
      <c r="A9" s="68" t="inlineStr">
        <is>
          <t>TOTAL</t>
        </is>
      </c>
      <c r="B9" s="68" t="n"/>
      <c r="C9" s="68" t="n"/>
      <c r="D9" s="68" t="n"/>
      <c r="E9" s="68" t="n"/>
      <c r="F9" s="68" t="n"/>
      <c r="G9" s="32">
        <f>SUM(G6:G8)</f>
        <v/>
      </c>
      <c r="H9" s="32">
        <f>SUM(H6:H8)</f>
        <v/>
      </c>
      <c r="I9" s="32">
        <f>H9-G9</f>
        <v/>
      </c>
      <c r="J9" s="33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Tipo de derecho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inmueble</t>
        </is>
      </c>
      <c r="B5" s="27" t="inlineStr">
        <is>
          <t>Ubicacion</t>
        </is>
      </c>
      <c r="C5" s="27" t="inlineStr">
        <is>
          <t>Pais</t>
        </is>
      </c>
      <c r="D5" s="27" t="inlineStr">
        <is>
          <t>Provincia</t>
        </is>
      </c>
      <c r="E5" s="27" t="inlineStr">
        <is>
          <t>Canton</t>
        </is>
      </c>
      <c r="F5" s="27" t="inlineStr">
        <is>
          <t>Fecha de inscripcion</t>
        </is>
      </c>
      <c r="G5" s="27" t="inlineStr">
        <is>
          <t>Clave catastral</t>
        </is>
      </c>
      <c r="H5" s="27" t="inlineStr">
        <is>
          <t>Regularizacion activos</t>
        </is>
      </c>
      <c r="I5" s="27" t="inlineStr">
        <is>
          <t>Anio fiscal adquisicion</t>
        </is>
      </c>
      <c r="J5" s="27" t="inlineStr">
        <is>
          <t>Valor 2025</t>
        </is>
      </c>
      <c r="K5" s="27" t="inlineStr">
        <is>
          <t>Valor 2026</t>
        </is>
      </c>
      <c r="L5" s="27" t="inlineStr">
        <is>
          <t>Variacion</t>
        </is>
      </c>
      <c r="M5" s="27" t="inlineStr">
        <is>
          <t>Variacion %</t>
        </is>
      </c>
    </row>
    <row r="6">
      <c r="A6" s="61" t="inlineStr">
        <is>
          <t>3 - Terreno</t>
        </is>
      </c>
      <c r="B6" s="61" t="inlineStr">
        <is>
          <t>ECU - En el Ecuador</t>
        </is>
      </c>
      <c r="C6" s="61" t="inlineStr">
        <is>
          <t>593 - ECUADOR</t>
        </is>
      </c>
      <c r="D6" s="61" t="inlineStr">
        <is>
          <t>217 - PICHINCHA</t>
        </is>
      </c>
      <c r="E6" s="61" t="inlineStr">
        <is>
          <t>21701 - QUITO</t>
        </is>
      </c>
      <c r="F6" s="61" t="inlineStr">
        <is>
          <t>22/10/2008</t>
        </is>
      </c>
      <c r="G6" s="61" t="inlineStr">
        <is>
          <t>1042203018</t>
        </is>
      </c>
      <c r="H6" s="61" t="inlineStr"/>
      <c r="I6" s="61" t="inlineStr"/>
      <c r="J6" s="62" t="n">
        <v>267340.8</v>
      </c>
      <c r="K6" s="63" t="n">
        <v>267340.8</v>
      </c>
      <c r="L6" s="62">
        <f>K6-J6</f>
        <v/>
      </c>
      <c r="M6" s="64">
        <f>IF(J6=0,"",(K6-J6)/J6)</f>
        <v/>
      </c>
    </row>
    <row r="7">
      <c r="A7" s="65" t="inlineStr">
        <is>
          <t>1 - Casa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217 - PICHINCHA</t>
        </is>
      </c>
      <c r="E7" s="65" t="inlineStr">
        <is>
          <t>21701 - QUITO</t>
        </is>
      </c>
      <c r="F7" s="65" t="inlineStr">
        <is>
          <t>13/03/1997</t>
        </is>
      </c>
      <c r="G7" s="65" t="inlineStr">
        <is>
          <t>1012005008000000000</t>
        </is>
      </c>
      <c r="H7" s="65" t="inlineStr"/>
      <c r="I7" s="65" t="inlineStr"/>
      <c r="J7" s="66" t="n">
        <v>198118.55</v>
      </c>
      <c r="K7" s="63" t="n">
        <v>198118.55</v>
      </c>
      <c r="L7" s="66">
        <f>K7-J7</f>
        <v/>
      </c>
      <c r="M7" s="67">
        <f>IF(J7=0,"",(K7-J7)/J7)</f>
        <v/>
      </c>
    </row>
    <row r="8">
      <c r="A8" s="61" t="inlineStr">
        <is>
          <t>1 - Casa</t>
        </is>
      </c>
      <c r="B8" s="61" t="inlineStr">
        <is>
          <t>ECU - En el Ecuador</t>
        </is>
      </c>
      <c r="C8" s="61" t="inlineStr">
        <is>
          <t>593 - ECUADOR</t>
        </is>
      </c>
      <c r="D8" s="61" t="inlineStr">
        <is>
          <t>217 - PICHINCHA</t>
        </is>
      </c>
      <c r="E8" s="61" t="inlineStr">
        <is>
          <t>21701 - QUITO</t>
        </is>
      </c>
      <c r="F8" s="61" t="inlineStr"/>
      <c r="G8" s="61" t="inlineStr">
        <is>
          <t>1042203018</t>
        </is>
      </c>
      <c r="H8" s="61" t="inlineStr"/>
      <c r="I8" s="61" t="inlineStr"/>
      <c r="J8" s="62" t="n">
        <v>33634.04</v>
      </c>
      <c r="K8" s="63" t="n">
        <v>33634.04</v>
      </c>
      <c r="L8" s="62">
        <f>K8-J8</f>
        <v/>
      </c>
      <c r="M8" s="64">
        <f>IF(J8=0,"",(K8-J8)/J8)</f>
        <v/>
      </c>
    </row>
    <row r="9">
      <c r="A9" s="65" t="inlineStr">
        <is>
          <t>3 - Terreno</t>
        </is>
      </c>
      <c r="B9" s="65" t="inlineStr">
        <is>
          <t>ECU - En el Ecuador</t>
        </is>
      </c>
      <c r="C9" s="65" t="inlineStr">
        <is>
          <t>593 - ECUADOR</t>
        </is>
      </c>
      <c r="D9" s="65" t="inlineStr">
        <is>
          <t>217 - PICHINCHA</t>
        </is>
      </c>
      <c r="E9" s="65" t="inlineStr">
        <is>
          <t>21701 - QUITO</t>
        </is>
      </c>
      <c r="F9" s="65" t="inlineStr"/>
      <c r="G9" s="65" t="inlineStr">
        <is>
          <t>1012005008000000000</t>
        </is>
      </c>
      <c r="H9" s="65" t="inlineStr"/>
      <c r="I9" s="65" t="inlineStr"/>
      <c r="J9" s="66" t="n">
        <v>82624.22</v>
      </c>
      <c r="K9" s="63" t="n">
        <v>82624.22</v>
      </c>
      <c r="L9" s="66">
        <f>K9-J9</f>
        <v/>
      </c>
      <c r="M9" s="67">
        <f>IF(J9=0,"",(K9-J9)/J9)</f>
        <v/>
      </c>
    </row>
    <row r="10" ht="22" customHeight="1">
      <c r="A10" s="68" t="inlineStr">
        <is>
          <t>TOTAL</t>
        </is>
      </c>
      <c r="B10" s="68" t="n"/>
      <c r="C10" s="68" t="n"/>
      <c r="D10" s="68" t="n"/>
      <c r="E10" s="68" t="n"/>
      <c r="F10" s="68" t="n"/>
      <c r="G10" s="68" t="n"/>
      <c r="H10" s="68" t="n"/>
      <c r="I10" s="68" t="n"/>
      <c r="J10" s="32">
        <f>SUM(J6:J9)</f>
        <v/>
      </c>
      <c r="K10" s="32">
        <f>SUM(K6:K9)</f>
        <v/>
      </c>
      <c r="L10" s="32">
        <f>K10-J10</f>
        <v/>
      </c>
      <c r="M10" s="33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7" t="inlineStr">
        <is>
          <t>Ubicacion</t>
        </is>
      </c>
      <c r="B5" s="27" t="inlineStr">
        <is>
          <t>Pais</t>
        </is>
      </c>
      <c r="C5" s="27" t="inlineStr">
        <is>
          <t>Descripcion</t>
        </is>
      </c>
      <c r="D5" s="27" t="inlineStr">
        <is>
          <t>Regularizacion activos</t>
        </is>
      </c>
      <c r="E5" s="27" t="inlineStr">
        <is>
          <t>Anio fiscal adquisicion</t>
        </is>
      </c>
      <c r="F5" s="27" t="inlineStr">
        <is>
          <t>Valor 2025</t>
        </is>
      </c>
      <c r="G5" s="27" t="inlineStr">
        <is>
          <t>Valor 2026</t>
        </is>
      </c>
      <c r="H5" s="27" t="inlineStr">
        <is>
          <t>Variacion</t>
        </is>
      </c>
      <c r="I5" s="27" t="inlineStr">
        <is>
          <t>Variacion %</t>
        </is>
      </c>
    </row>
    <row r="6">
      <c r="A6" s="61" t="inlineStr"/>
      <c r="B6" s="61" t="inlineStr"/>
      <c r="C6" s="61" t="inlineStr"/>
      <c r="D6" s="61" t="inlineStr"/>
      <c r="E6" s="61" t="inlineStr"/>
      <c r="F6" s="63" t="n">
        <v>0</v>
      </c>
      <c r="G6" s="63" t="n">
        <v>0</v>
      </c>
      <c r="H6" s="62">
        <f>G6-F6</f>
        <v/>
      </c>
      <c r="I6" s="64">
        <f>IF(F6=0,"",(G6-F6)/F6)</f>
        <v/>
      </c>
    </row>
    <row r="7">
      <c r="A7" s="65" t="inlineStr"/>
      <c r="B7" s="65" t="inlineStr"/>
      <c r="C7" s="65" t="inlineStr"/>
      <c r="D7" s="65" t="inlineStr"/>
      <c r="E7" s="65" t="inlineStr"/>
      <c r="F7" s="63" t="n">
        <v>0</v>
      </c>
      <c r="G7" s="63" t="n">
        <v>0</v>
      </c>
      <c r="H7" s="66">
        <f>G7-F7</f>
        <v/>
      </c>
      <c r="I7" s="67">
        <f>IF(F7=0,"",(G7-F7)/F7)</f>
        <v/>
      </c>
    </row>
    <row r="8">
      <c r="A8" s="61" t="inlineStr"/>
      <c r="B8" s="61" t="inlineStr"/>
      <c r="C8" s="61" t="inlineStr"/>
      <c r="D8" s="61" t="inlineStr"/>
      <c r="E8" s="61" t="inlineStr"/>
      <c r="F8" s="63" t="n">
        <v>0</v>
      </c>
      <c r="G8" s="63" t="n">
        <v>0</v>
      </c>
      <c r="H8" s="62">
        <f>G8-F8</f>
        <v/>
      </c>
      <c r="I8" s="64">
        <f>IF(F8=0,"",(G8-F8)/F8)</f>
        <v/>
      </c>
    </row>
    <row r="9">
      <c r="A9" s="65" t="inlineStr"/>
      <c r="B9" s="65" t="inlineStr"/>
      <c r="C9" s="65" t="inlineStr"/>
      <c r="D9" s="65" t="inlineStr"/>
      <c r="E9" s="65" t="inlineStr"/>
      <c r="F9" s="63" t="n">
        <v>0</v>
      </c>
      <c r="G9" s="63" t="n">
        <v>0</v>
      </c>
      <c r="H9" s="66">
        <f>G9-F9</f>
        <v/>
      </c>
      <c r="I9" s="67">
        <f>IF(F9=0,"",(G9-F9)/F9)</f>
        <v/>
      </c>
    </row>
    <row r="10">
      <c r="A10" s="61" t="inlineStr"/>
      <c r="B10" s="61" t="inlineStr"/>
      <c r="C10" s="61" t="inlineStr"/>
      <c r="D10" s="61" t="inlineStr"/>
      <c r="E10" s="61" t="inlineStr"/>
      <c r="F10" s="63" t="n">
        <v>0</v>
      </c>
      <c r="G10" s="63" t="n">
        <v>0</v>
      </c>
      <c r="H10" s="62">
        <f>G10-F10</f>
        <v/>
      </c>
      <c r="I10" s="64">
        <f>IF(F10=0,"",(G10-F10)/F10)</f>
        <v/>
      </c>
    </row>
    <row r="11">
      <c r="A11" s="65" t="inlineStr"/>
      <c r="B11" s="65" t="inlineStr"/>
      <c r="C11" s="65" t="inlineStr"/>
      <c r="D11" s="65" t="inlineStr"/>
      <c r="E11" s="65" t="inlineStr"/>
      <c r="F11" s="63" t="n">
        <v>0</v>
      </c>
      <c r="G11" s="63" t="n">
        <v>0</v>
      </c>
      <c r="H11" s="66">
        <f>G11-F11</f>
        <v/>
      </c>
      <c r="I11" s="67">
        <f>IF(F11=0,"",(G11-F11)/F11)</f>
        <v/>
      </c>
    </row>
    <row r="12">
      <c r="A12" s="61" t="inlineStr"/>
      <c r="B12" s="61" t="inlineStr"/>
      <c r="C12" s="61" t="inlineStr"/>
      <c r="D12" s="61" t="inlineStr"/>
      <c r="E12" s="61" t="inlineStr"/>
      <c r="F12" s="63" t="n">
        <v>0</v>
      </c>
      <c r="G12" s="63" t="n">
        <v>0</v>
      </c>
      <c r="H12" s="62">
        <f>G12-F12</f>
        <v/>
      </c>
      <c r="I12" s="64">
        <f>IF(F12=0,"",(G12-F12)/F12)</f>
        <v/>
      </c>
    </row>
    <row r="13">
      <c r="A13" s="65" t="inlineStr"/>
      <c r="B13" s="65" t="inlineStr"/>
      <c r="C13" s="65" t="inlineStr"/>
      <c r="D13" s="65" t="inlineStr"/>
      <c r="E13" s="65" t="inlineStr"/>
      <c r="F13" s="63" t="n">
        <v>0</v>
      </c>
      <c r="G13" s="63" t="n">
        <v>0</v>
      </c>
      <c r="H13" s="66">
        <f>G13-F13</f>
        <v/>
      </c>
      <c r="I13" s="67">
        <f>IF(F13=0,"",(G13-F13)/F13)</f>
        <v/>
      </c>
    </row>
    <row r="14" ht="22" customHeight="1">
      <c r="A14" s="68" t="inlineStr">
        <is>
          <t>TOTAL</t>
        </is>
      </c>
      <c r="B14" s="68" t="n"/>
      <c r="C14" s="68" t="n"/>
      <c r="D14" s="68" t="n"/>
      <c r="E14" s="68" t="n"/>
      <c r="F14" s="32">
        <f>SUM(F6:F13)</f>
        <v/>
      </c>
      <c r="G14" s="32">
        <f>SUM(G6:G13)</f>
        <v/>
      </c>
      <c r="H14" s="32">
        <f>G14-F14</f>
        <v/>
      </c>
      <c r="I14" s="33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7" t="inlineStr">
        <is>
          <t>Tipo de acreedor</t>
        </is>
      </c>
      <c r="B5" s="27" t="inlineStr">
        <is>
          <t>Domicilio del acreedor</t>
        </is>
      </c>
      <c r="C5" s="27" t="inlineStr">
        <is>
          <t>Pais</t>
        </is>
      </c>
      <c r="D5" s="27" t="inlineStr">
        <is>
          <t>Nombre del acreedor</t>
        </is>
      </c>
      <c r="E5" s="27" t="inlineStr">
        <is>
          <t>Tipo de identificacion</t>
        </is>
      </c>
      <c r="F5" s="27" t="inlineStr">
        <is>
          <t>N. de identificacion</t>
        </is>
      </c>
      <c r="G5" s="27" t="inlineStr">
        <is>
          <t>N. registro Banco Central</t>
        </is>
      </c>
      <c r="H5" s="27" t="inlineStr">
        <is>
          <t>Partes relacionadas</t>
        </is>
      </c>
      <c r="I5" s="27" t="inlineStr">
        <is>
          <t>Valor 2025</t>
        </is>
      </c>
      <c r="J5" s="27" t="inlineStr">
        <is>
          <t>Valor 2026</t>
        </is>
      </c>
      <c r="K5" s="27" t="inlineStr">
        <is>
          <t>Variacion</t>
        </is>
      </c>
      <c r="L5" s="27" t="inlineStr">
        <is>
          <t>Variacion %</t>
        </is>
      </c>
    </row>
    <row r="6">
      <c r="A6" s="61" t="inlineStr">
        <is>
          <t>IFI - Instituciones financieras</t>
        </is>
      </c>
      <c r="B6" s="61" t="inlineStr">
        <is>
          <t>ECU - En el Ecuador</t>
        </is>
      </c>
      <c r="C6" s="61" t="inlineStr">
        <is>
          <t>593 - ECUADOR</t>
        </is>
      </c>
      <c r="D6" s="61" t="inlineStr">
        <is>
          <t>DINERS CLUB DEL ECUADOR</t>
        </is>
      </c>
      <c r="E6" s="61" t="inlineStr">
        <is>
          <t>R - RUC</t>
        </is>
      </c>
      <c r="F6" s="61" t="inlineStr">
        <is>
          <t>1792260957001</t>
        </is>
      </c>
      <c r="G6" s="61" t="inlineStr"/>
      <c r="H6" s="61" t="inlineStr">
        <is>
          <t>2 - No</t>
        </is>
      </c>
      <c r="I6" s="62" t="n">
        <v>4891.88</v>
      </c>
      <c r="J6" s="63" t="n">
        <v>4891.88</v>
      </c>
      <c r="K6" s="62">
        <f>J6-I6</f>
        <v/>
      </c>
      <c r="L6" s="64">
        <f>IF(I6=0,"",(J6-I6)/I6)</f>
        <v/>
      </c>
    </row>
    <row r="7">
      <c r="A7" s="65" t="inlineStr">
        <is>
          <t>IFI - Instituciones financieras</t>
        </is>
      </c>
      <c r="B7" s="65" t="inlineStr">
        <is>
          <t>ECU - En el Ecuador</t>
        </is>
      </c>
      <c r="C7" s="65" t="inlineStr">
        <is>
          <t>593 - ECUADOR</t>
        </is>
      </c>
      <c r="D7" s="65" t="inlineStr">
        <is>
          <t>BANCO DEL PICHINCHA</t>
        </is>
      </c>
      <c r="E7" s="65" t="inlineStr">
        <is>
          <t>R - RUC</t>
        </is>
      </c>
      <c r="F7" s="65" t="inlineStr">
        <is>
          <t>1790010937001</t>
        </is>
      </c>
      <c r="G7" s="65" t="inlineStr"/>
      <c r="H7" s="65" t="inlineStr">
        <is>
          <t>2 - No</t>
        </is>
      </c>
      <c r="I7" s="66" t="n">
        <v>5547.31</v>
      </c>
      <c r="J7" s="63" t="n">
        <v>5547.31</v>
      </c>
      <c r="K7" s="66">
        <f>J7-I7</f>
        <v/>
      </c>
      <c r="L7" s="67">
        <f>IF(I7=0,"",(J7-I7)/I7)</f>
        <v/>
      </c>
    </row>
    <row r="8" ht="22" customHeight="1">
      <c r="A8" s="69" t="inlineStr">
        <is>
          <t>TOTAL</t>
        </is>
      </c>
      <c r="B8" s="69" t="n"/>
      <c r="C8" s="69" t="n"/>
      <c r="D8" s="69" t="n"/>
      <c r="E8" s="69" t="n"/>
      <c r="F8" s="69" t="n"/>
      <c r="G8" s="69" t="n"/>
      <c r="H8" s="69" t="n"/>
      <c r="I8" s="39">
        <f>SUM(I6:I7)</f>
        <v/>
      </c>
      <c r="J8" s="39">
        <f>SUM(J6:J7)</f>
        <v/>
      </c>
      <c r="K8" s="39">
        <f>J8-I8</f>
        <v/>
      </c>
      <c r="L8" s="40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70" t="inlineStr">
        <is>
          <t>Incremento patrimonial declarado en el XML</t>
        </is>
      </c>
      <c r="C5" s="71" t="n"/>
      <c r="D5" s="71" t="n"/>
      <c r="E5" s="72" t="n">
        <v>81715.59</v>
      </c>
    </row>
    <row r="7" ht="26" customHeight="1">
      <c r="B7" s="27" t="inlineStr">
        <is>
          <t>Concepto (Tabla 14 del SRI)</t>
        </is>
      </c>
      <c r="E7" s="27" t="inlineStr">
        <is>
          <t>Justifica la variacion</t>
        </is>
      </c>
    </row>
    <row r="8" ht="22" customHeight="1">
      <c r="B8" s="73" t="inlineStr">
        <is>
          <t>1 - Ingresos locales</t>
        </is>
      </c>
      <c r="C8" s="6" t="n"/>
      <c r="D8" s="6" t="n"/>
      <c r="E8" s="5" t="inlineStr">
        <is>
          <t>Si</t>
        </is>
      </c>
    </row>
    <row r="9" ht="22" customHeight="1">
      <c r="B9" s="73" t="inlineStr">
        <is>
          <t>2 - Ingresos exterior</t>
        </is>
      </c>
      <c r="C9" s="6" t="n"/>
      <c r="D9" s="6" t="n"/>
      <c r="E9" s="5" t="inlineStr">
        <is>
          <t>No</t>
        </is>
      </c>
    </row>
    <row r="10" ht="22" customHeight="1">
      <c r="B10" s="73" t="inlineStr">
        <is>
          <t>3 - Herencias, legados o donaciones</t>
        </is>
      </c>
      <c r="C10" s="6" t="n"/>
      <c r="D10" s="6" t="n"/>
      <c r="E10" s="5" t="inlineStr">
        <is>
          <t>No</t>
        </is>
      </c>
    </row>
    <row r="11" ht="22" customHeight="1">
      <c r="B11" s="73" t="inlineStr">
        <is>
          <t>4 - Loterias o rifas</t>
        </is>
      </c>
      <c r="C11" s="6" t="n"/>
      <c r="D11" s="6" t="n"/>
      <c r="E11" s="5" t="inlineStr">
        <is>
          <t>No</t>
        </is>
      </c>
    </row>
    <row r="12" ht="22" customHeight="1">
      <c r="B12" s="73" t="inlineStr">
        <is>
          <t>5 - Ganancias de capital</t>
        </is>
      </c>
      <c r="C12" s="6" t="n"/>
      <c r="D12" s="6" t="n"/>
      <c r="E12" s="5" t="inlineStr">
        <is>
          <t>No</t>
        </is>
      </c>
    </row>
    <row r="13" ht="22" customHeight="1">
      <c r="B13" s="73" t="inlineStr">
        <is>
          <t>6 - Otros</t>
        </is>
      </c>
      <c r="C13" s="6" t="n"/>
      <c r="D13" s="6" t="n"/>
      <c r="E13" s="5" t="inlineStr">
        <is>
          <t>Si</t>
        </is>
      </c>
    </row>
    <row r="15">
      <c r="B15" s="60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34" customWidth="1" min="2" max="2"/>
  </cols>
  <sheetData>
    <row r="1" ht="30" customHeight="1">
      <c r="A1" s="1" t="inlineStr">
        <is>
          <t>DATOS GENERALES DE LA DECLARACION</t>
        </is>
      </c>
    </row>
    <row r="3" ht="5" customHeight="1">
      <c r="A3" s="3" t="n"/>
    </row>
    <row r="5" ht="20" customHeight="1">
      <c r="A5" s="78" t="inlineStr">
        <is>
          <t>IDENTIFICACION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1709164899001</t>
        </is>
      </c>
    </row>
    <row r="10">
      <c r="A10" s="79" t="inlineStr">
        <is>
          <t>Nombre del declarante</t>
        </is>
      </c>
      <c r="B10" s="80" t="inlineStr">
        <is>
          <t>GONZALEZ NAVAS MARCO VINICIO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1709784225</t>
        </is>
      </c>
    </row>
    <row r="13">
      <c r="A13" s="79" t="inlineStr">
        <is>
          <t>Nombre del conyuge</t>
        </is>
      </c>
      <c r="B13" s="80" t="inlineStr">
        <is>
          <t>HIDALGO LOZA ROSA CONSUELO</t>
        </is>
      </c>
    </row>
    <row r="14">
      <c r="A14" s="79" t="inlineStr">
        <is>
          <t>Total creditos / cuentas por cobrar</t>
        </is>
      </c>
      <c r="B14" s="62" t="n">
        <v>0</v>
      </c>
    </row>
    <row r="16" ht="20" customHeight="1">
      <c r="A16" s="78" t="inlineStr">
        <is>
          <t>PATRIMONIO NETO (enlazado a la hoja Dashboard)</t>
        </is>
      </c>
    </row>
    <row r="17">
      <c r="A17" s="79" t="inlineStr">
        <is>
          <t>Patrimonio neto 2025</t>
        </is>
      </c>
      <c r="B17" s="62">
        <f>Dashboard!D31</f>
        <v/>
      </c>
    </row>
    <row r="18">
      <c r="A18" s="79" t="inlineStr">
        <is>
          <t>Patrimonio neto 2026 (proyectado)</t>
        </is>
      </c>
      <c r="B18" s="62">
        <f>Dashboard!E31</f>
        <v/>
      </c>
    </row>
    <row r="19">
      <c r="A19" s="79" t="inlineStr">
        <is>
          <t>Variacion proyectada</t>
        </is>
      </c>
      <c r="B19" s="62">
        <f>Dashboard!F31</f>
        <v/>
      </c>
    </row>
    <row r="20">
      <c r="A20" s="79" t="inlineStr">
        <is>
          <t>Variacion % proyectada</t>
        </is>
      </c>
      <c r="B20" s="64">
        <f>Dashboard!G31</f>
        <v/>
      </c>
    </row>
    <row r="22" ht="20" customHeight="1">
      <c r="A22" s="78" t="inlineStr">
        <is>
          <t>PATRIMONIO DECLARADO EN EL XML</t>
        </is>
      </c>
    </row>
    <row r="23">
      <c r="A23" s="79" t="inlineStr">
        <is>
          <t>Patrimonio total declarado</t>
        </is>
      </c>
      <c r="B23" s="62" t="n">
        <v>883285.5600000001</v>
      </c>
    </row>
    <row r="24">
      <c r="A24" s="79" t="inlineStr">
        <is>
          <t>Atribuible a hijos no emancipados</t>
        </is>
      </c>
      <c r="B24" s="62" t="n">
        <v>0</v>
      </c>
    </row>
    <row r="25">
      <c r="A25" s="79" t="inlineStr">
        <is>
          <t>Patrimonio en la sociedad conyugal</t>
        </is>
      </c>
      <c r="B25" s="62" t="n">
        <v>883285.5600000001</v>
      </c>
    </row>
    <row r="26">
      <c r="A26" s="79" t="inlineStr">
        <is>
          <t>Patrimonio individual del declarante</t>
        </is>
      </c>
      <c r="B26" s="62" t="n">
        <v>0</v>
      </c>
    </row>
    <row r="27">
      <c r="A27" s="79" t="inlineStr">
        <is>
          <t>Patrimonio del anio anterior</t>
        </is>
      </c>
      <c r="B27" s="62" t="n">
        <v>801569.97</v>
      </c>
    </row>
    <row r="28">
      <c r="A28" s="79" t="inlineStr">
        <is>
          <t>Crecimiento / decremento patrimonial</t>
        </is>
      </c>
      <c r="B28" s="62" t="n">
        <v>81715.59</v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60" t="inlineStr">
        <is>
          <t>Catalogos del SRI integrados (Tablas 1-19 del archivo CATALOGO.xls). El XML se genera con generar_xml_sri.py.</t>
        </is>
      </c>
    </row>
  </sheetData>
  <mergeCells count="5">
    <mergeCell ref="A16:B16"/>
    <mergeCell ref="A5:B5"/>
    <mergeCell ref="A1:B1"/>
    <mergeCell ref="A3:B3"/>
    <mergeCell ref="A22:B2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2026-05-21T12:44:15Z</dcterms:created>
  <dcterms:modified xsi:type="dcterms:W3CDTF">2026-05-21T12:44:15Z</dcterms:modified>
</cp:coreProperties>
</file>