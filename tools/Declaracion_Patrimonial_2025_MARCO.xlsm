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2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164" fontId="0" fillId="0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 2025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>
              <a:prstDash val="solid"/>
            </a:ln>
          </spPr>
          <cat>
            <strRef>
              <f>'Dashboard'!$AA$3:$AA$5</f>
            </strRef>
          </cat>
          <val>
            <numRef>
              <f>'Dashboard'!$AB$3:$AB$5</f>
            </numRef>
          </val>
        </ser>
        <dLbls>
          <numFmt formatCode="&quot;$&quot;#,##0"/>
          <showLegendKey val="0"/>
          <showVal val="1"/>
          <showCatName val="0"/>
          <showSerName val="0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strRef>
              <f>'Dashboard'!$B$38:$B$40</f>
            </strRef>
          </cat>
          <val>
            <numRef>
              <f>'Dashboard'!$D$38:$D$40</f>
            </numRef>
          </val>
        </ser>
        <dLbls>
          <showLegendKey val="0"/>
          <showVal val="0"/>
          <showCatName val="1"/>
          <showSerName val="0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7560000" cy="37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24</row>
      <rowOff>0</rowOff>
    </from>
    <ext cx="5760000" cy="37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B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hidden="1" width="13" customWidth="1" min="27" max="27"/>
    <col hidden="1" width="13" customWidth="1" min="28" max="2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  <c r="AA3" t="inlineStr">
        <is>
          <t>Dinero e inversiones</t>
        </is>
      </c>
      <c r="AB3" s="4">
        <f>D12</f>
        <v/>
      </c>
    </row>
    <row r="4">
      <c r="AA4" t="inlineStr">
        <is>
          <t>Vehiculos, naves y aeronaves</t>
        </is>
      </c>
      <c r="AB4" s="4">
        <f>D16</f>
        <v/>
      </c>
    </row>
    <row r="5" ht="6" customHeight="1">
      <c r="B5" s="5" t="n"/>
      <c r="C5" s="6" t="n"/>
      <c r="D5" s="7" t="n"/>
      <c r="E5" s="6" t="n"/>
      <c r="F5" s="8" t="n"/>
      <c r="G5" s="6" t="n"/>
      <c r="AA5" t="inlineStr">
        <is>
          <t>Bienes inmuebles</t>
        </is>
      </c>
      <c r="AB5" s="4">
        <f>D18</f>
        <v/>
      </c>
    </row>
    <row r="6">
      <c r="B6" s="9" t="inlineStr">
        <is>
          <t>TOTAL ACTIVOS</t>
        </is>
      </c>
      <c r="C6" s="10" t="n"/>
      <c r="D6" s="11" t="inlineStr">
        <is>
          <t>TOTAL PASIVOS</t>
        </is>
      </c>
      <c r="E6" s="12" t="n"/>
      <c r="F6" s="13" t="inlineStr">
        <is>
          <t>PATRIMONIO NETO</t>
        </is>
      </c>
      <c r="G6" s="14" t="n"/>
    </row>
    <row r="7" ht="28" customHeight="1">
      <c r="B7" s="15">
        <f>D20</f>
        <v/>
      </c>
      <c r="C7" s="10" t="n"/>
      <c r="D7" s="16">
        <f>D25</f>
        <v/>
      </c>
      <c r="E7" s="12" t="n"/>
      <c r="F7" s="17">
        <f>D31</f>
        <v/>
      </c>
      <c r="G7" s="14" t="n"/>
    </row>
    <row r="8">
      <c r="B8" s="18" t="inlineStr">
        <is>
          <t>Var. proyectada</t>
        </is>
      </c>
      <c r="C8" s="19">
        <f>G20</f>
        <v/>
      </c>
      <c r="D8" s="20" t="inlineStr">
        <is>
          <t>Var. proyectada</t>
        </is>
      </c>
      <c r="E8" s="21">
        <f>G25</f>
        <v/>
      </c>
      <c r="F8" s="22" t="inlineStr">
        <is>
          <t>Var. proyectada</t>
        </is>
      </c>
      <c r="G8" s="23">
        <f>G31</f>
        <v/>
      </c>
    </row>
    <row r="10" ht="22" customHeight="1">
      <c r="B10" s="24" t="inlineStr">
        <is>
          <t>ACTIVOS</t>
        </is>
      </c>
    </row>
    <row r="11" ht="24" customHeight="1">
      <c r="B11" s="25" t="inlineStr">
        <is>
          <t>Concepto</t>
        </is>
      </c>
      <c r="C11" s="25" t="n"/>
      <c r="D11" s="26" t="inlineStr">
        <is>
          <t>Total 2025</t>
        </is>
      </c>
      <c r="E11" s="26" t="inlineStr">
        <is>
          <t>Total 2026</t>
        </is>
      </c>
      <c r="F11" s="26" t="inlineStr">
        <is>
          <t>Variacion</t>
        </is>
      </c>
      <c r="G11" s="26" t="inlineStr">
        <is>
          <t>Variacion %</t>
        </is>
      </c>
    </row>
    <row r="12" ht="20" customHeight="1">
      <c r="B12" s="27" t="inlineStr">
        <is>
          <t>Dinero e inversiones</t>
        </is>
      </c>
      <c r="D12" s="28">
        <f>'Dinero'!J10</f>
        <v/>
      </c>
      <c r="E12" s="28">
        <f>'Dinero'!K10</f>
        <v/>
      </c>
      <c r="F12" s="28">
        <f>E12-D12</f>
        <v/>
      </c>
      <c r="G12" s="29">
        <f>IF(D12=0,"",(E12-D12)/D12)</f>
        <v/>
      </c>
    </row>
    <row r="13" ht="20" customHeight="1">
      <c r="B13" s="27" t="inlineStr">
        <is>
          <t>Derechos representativos de capital</t>
        </is>
      </c>
      <c r="D13" s="28">
        <f>'Derechos de Capital'!J14</f>
        <v/>
      </c>
      <c r="E13" s="28">
        <f>'Derechos de Capital'!K14</f>
        <v/>
      </c>
      <c r="F13" s="28">
        <f>E13-D13</f>
        <v/>
      </c>
      <c r="G13" s="29">
        <f>IF(D13=0,"",(E13-D13)/D13)</f>
        <v/>
      </c>
    </row>
    <row r="14" ht="20" customHeight="1">
      <c r="B14" s="27" t="inlineStr">
        <is>
          <t>Cuentas por cobrar</t>
        </is>
      </c>
      <c r="D14" s="28">
        <f>'Cuentas por Cobrar'!J14</f>
        <v/>
      </c>
      <c r="E14" s="28">
        <f>'Cuentas por Cobrar'!K14</f>
        <v/>
      </c>
      <c r="F14" s="28">
        <f>E14-D14</f>
        <v/>
      </c>
      <c r="G14" s="29">
        <f>IF(D14=0,"",(E14-D14)/D14)</f>
        <v/>
      </c>
    </row>
    <row r="15" ht="20" customHeight="1">
      <c r="B15" s="27" t="inlineStr">
        <is>
          <t>Bienes muebles</t>
        </is>
      </c>
      <c r="D15" s="28">
        <f>'Bienes Muebles'!F14</f>
        <v/>
      </c>
      <c r="E15" s="28">
        <f>'Bienes Muebles'!G14</f>
        <v/>
      </c>
      <c r="F15" s="28">
        <f>E15-D15</f>
        <v/>
      </c>
      <c r="G15" s="29">
        <f>IF(D15=0,"",(E15-D15)/D15)</f>
        <v/>
      </c>
    </row>
    <row r="16" ht="20" customHeight="1">
      <c r="B16" s="27" t="inlineStr">
        <is>
          <t>Vehiculos, naves y aeronaves</t>
        </is>
      </c>
      <c r="D16" s="28">
        <f>'Vehiculos'!G9</f>
        <v/>
      </c>
      <c r="E16" s="28">
        <f>'Vehiculos'!H9</f>
        <v/>
      </c>
      <c r="F16" s="28">
        <f>E16-D16</f>
        <v/>
      </c>
      <c r="G16" s="29">
        <f>IF(D16=0,"",(E16-D16)/D16)</f>
        <v/>
      </c>
    </row>
    <row r="17" ht="20" customHeight="1">
      <c r="B17" s="27" t="inlineStr">
        <is>
          <t>Derechos (usufructo, uso, etc.)</t>
        </is>
      </c>
      <c r="D17" s="28">
        <f>'Derechos'!F14</f>
        <v/>
      </c>
      <c r="E17" s="28">
        <f>'Derechos'!G14</f>
        <v/>
      </c>
      <c r="F17" s="28">
        <f>E17-D17</f>
        <v/>
      </c>
      <c r="G17" s="29">
        <f>IF(D17=0,"",(E17-D17)/D17)</f>
        <v/>
      </c>
    </row>
    <row r="18" ht="20" customHeight="1">
      <c r="B18" s="27" t="inlineStr">
        <is>
          <t>Bienes inmuebles</t>
        </is>
      </c>
      <c r="D18" s="28">
        <f>'Bienes Inmuebles'!J10</f>
        <v/>
      </c>
      <c r="E18" s="28">
        <f>'Bienes Inmuebles'!K10</f>
        <v/>
      </c>
      <c r="F18" s="28">
        <f>E18-D18</f>
        <v/>
      </c>
      <c r="G18" s="29">
        <f>IF(D18=0,"",(E18-D18)/D18)</f>
        <v/>
      </c>
    </row>
    <row r="19" ht="20" customHeight="1">
      <c r="B19" s="27" t="inlineStr">
        <is>
          <t>Otros activos</t>
        </is>
      </c>
      <c r="D19" s="28">
        <f>'Otros Activos'!F14</f>
        <v/>
      </c>
      <c r="E19" s="28">
        <f>'Otros Activos'!G14</f>
        <v/>
      </c>
      <c r="F19" s="28">
        <f>E19-D19</f>
        <v/>
      </c>
      <c r="G19" s="29">
        <f>IF(D19=0,"",(E19-D19)/D19)</f>
        <v/>
      </c>
    </row>
    <row r="20" ht="22" customHeight="1">
      <c r="B20" s="30" t="inlineStr">
        <is>
          <t>TOTAL ACTIVOS</t>
        </is>
      </c>
      <c r="D20" s="31">
        <f>SUM(D12:D19)</f>
        <v/>
      </c>
      <c r="E20" s="31">
        <f>SUM(E12:E19)</f>
        <v/>
      </c>
      <c r="F20" s="31">
        <f>E20-D20</f>
        <v/>
      </c>
      <c r="G20" s="32">
        <f>IF(D20=0,"",(E20-D20)/D20)</f>
        <v/>
      </c>
    </row>
    <row r="22" ht="22" customHeight="1">
      <c r="B22" s="33" t="inlineStr">
        <is>
          <t>PASIVOS</t>
        </is>
      </c>
    </row>
    <row r="23" ht="24" customHeight="1">
      <c r="B23" s="25" t="inlineStr">
        <is>
          <t>Concepto</t>
        </is>
      </c>
      <c r="C23" s="25" t="n"/>
      <c r="D23" s="26" t="inlineStr">
        <is>
          <t>Total 2025</t>
        </is>
      </c>
      <c r="E23" s="26" t="inlineStr">
        <is>
          <t>Total 2026</t>
        </is>
      </c>
      <c r="F23" s="26" t="inlineStr">
        <is>
          <t>Variacion</t>
        </is>
      </c>
      <c r="G23" s="26" t="inlineStr">
        <is>
          <t>Variacion %</t>
        </is>
      </c>
    </row>
    <row r="24" ht="20" customHeight="1">
      <c r="B24" s="34" t="inlineStr">
        <is>
          <t>Deudas y obligaciones</t>
        </is>
      </c>
      <c r="D24" s="35">
        <f>'Pasivos'!I8</f>
        <v/>
      </c>
      <c r="E24" s="35">
        <f>'Pasivos'!J8</f>
        <v/>
      </c>
      <c r="F24" s="35">
        <f>E24-D24</f>
        <v/>
      </c>
      <c r="G24" s="36">
        <f>IF(D24=0,"",(E24-D24)/D24)</f>
        <v/>
      </c>
    </row>
    <row r="25" ht="22" customHeight="1">
      <c r="B25" s="37" t="inlineStr">
        <is>
          <t>TOTAL PASIVOS</t>
        </is>
      </c>
      <c r="D25" s="38">
        <f>SUM(D24:D24)</f>
        <v/>
      </c>
      <c r="E25" s="38">
        <f>SUM(E24:E24)</f>
        <v/>
      </c>
      <c r="F25" s="38">
        <f>E25-D25</f>
        <v/>
      </c>
      <c r="G25" s="39">
        <f>IF(D25=0,"",(E25-D25)/D25)</f>
        <v/>
      </c>
    </row>
    <row r="27" ht="22" customHeight="1">
      <c r="B27" s="40" t="inlineStr">
        <is>
          <t>PATRIMONIO NETO</t>
        </is>
      </c>
    </row>
    <row r="28" ht="24" customHeight="1">
      <c r="B28" s="25" t="inlineStr">
        <is>
          <t>Concepto</t>
        </is>
      </c>
      <c r="C28" s="25" t="n"/>
      <c r="D28" s="26" t="inlineStr">
        <is>
          <t>Total 2025</t>
        </is>
      </c>
      <c r="E28" s="26" t="inlineStr">
        <is>
          <t>Total 2026</t>
        </is>
      </c>
      <c r="F28" s="26" t="inlineStr">
        <is>
          <t>Variacion</t>
        </is>
      </c>
      <c r="G28" s="26" t="inlineStr">
        <is>
          <t>Variacion %</t>
        </is>
      </c>
    </row>
    <row r="29" ht="20" customHeight="1">
      <c r="B29" s="41" t="inlineStr">
        <is>
          <t>(+) Total activos</t>
        </is>
      </c>
      <c r="D29" s="42">
        <f>D20</f>
        <v/>
      </c>
      <c r="E29" s="42">
        <f>E20</f>
        <v/>
      </c>
      <c r="F29" s="42">
        <f>E29-D29</f>
        <v/>
      </c>
      <c r="G29" s="43">
        <f>IF(D29=0,"",(E29-D29)/D29)</f>
        <v/>
      </c>
    </row>
    <row r="30" ht="20" customHeight="1">
      <c r="B30" s="41" t="inlineStr">
        <is>
          <t>(-) Total pasivos</t>
        </is>
      </c>
      <c r="D30" s="42">
        <f>D25</f>
        <v/>
      </c>
      <c r="E30" s="42">
        <f>E25</f>
        <v/>
      </c>
      <c r="F30" s="42">
        <f>E30-D30</f>
        <v/>
      </c>
      <c r="G30" s="43">
        <f>IF(D30=0,"",(E30-D30)/D30)</f>
        <v/>
      </c>
    </row>
    <row r="31" ht="22" customHeight="1">
      <c r="B31" s="44" t="inlineStr">
        <is>
          <t>(=) PATRIMONIO NETO</t>
        </is>
      </c>
      <c r="D31" s="45">
        <f>D29-D30</f>
        <v/>
      </c>
      <c r="E31" s="45">
        <f>E29-E30</f>
        <v/>
      </c>
      <c r="F31" s="45">
        <f>E31-D31</f>
        <v/>
      </c>
      <c r="G31" s="46">
        <f>IF(D31=0,"",(E31-D31)/D31)</f>
        <v/>
      </c>
    </row>
    <row r="32" ht="16" customHeight="1">
      <c r="B32" s="47" t="inlineStr">
        <is>
          <t>Patrimonio declarado en el XML (2025)</t>
        </is>
      </c>
      <c r="C32" s="6" t="n"/>
      <c r="D32" s="48" t="n">
        <v>883285.5600000001</v>
      </c>
      <c r="E32" s="6" t="n"/>
      <c r="F32" s="6" t="n"/>
      <c r="G32" s="6" t="n"/>
    </row>
    <row r="33" ht="16" customHeight="1">
      <c r="B33" s="47" t="inlineStr">
        <is>
          <t>Patrimonio neto del anio anterior</t>
        </is>
      </c>
      <c r="C33" s="6" t="n"/>
      <c r="D33" s="48" t="n">
        <v>801569.97</v>
      </c>
      <c r="E33" s="6" t="n"/>
      <c r="F33" s="6" t="n"/>
      <c r="G33" s="6" t="n"/>
    </row>
    <row r="34" ht="16" customHeight="1">
      <c r="B34" s="47" t="inlineStr">
        <is>
          <t>Crecimiento / decremento patrimonial (XML)</t>
        </is>
      </c>
      <c r="C34" s="6" t="n"/>
      <c r="D34" s="48" t="n">
        <v>81715.59</v>
      </c>
      <c r="E34" s="6" t="n"/>
      <c r="F34" s="6" t="n"/>
      <c r="G34" s="6" t="n"/>
    </row>
    <row r="36" ht="22" customHeight="1">
      <c r="B36" s="49" t="inlineStr">
        <is>
          <t>CONSOLIDADO</t>
        </is>
      </c>
    </row>
    <row r="37" ht="24" customHeight="1">
      <c r="B37" s="25" t="inlineStr">
        <is>
          <t>Concepto</t>
        </is>
      </c>
      <c r="C37" s="25" t="n"/>
      <c r="D37" s="26" t="inlineStr">
        <is>
          <t>Total 2025</t>
        </is>
      </c>
      <c r="E37" s="26" t="inlineStr">
        <is>
          <t>Total 2026</t>
        </is>
      </c>
      <c r="F37" s="26" t="inlineStr">
        <is>
          <t>Variacion</t>
        </is>
      </c>
      <c r="G37" s="26" t="inlineStr">
        <is>
          <t>Variacion %</t>
        </is>
      </c>
    </row>
    <row r="38" ht="20" customHeight="1">
      <c r="B38" s="50" t="inlineStr">
        <is>
          <t>Activos</t>
        </is>
      </c>
      <c r="D38" s="51">
        <f>D20</f>
        <v/>
      </c>
      <c r="E38" s="51">
        <f>E20</f>
        <v/>
      </c>
      <c r="F38" s="51">
        <f>E38-D38</f>
        <v/>
      </c>
      <c r="G38" s="52">
        <f>IF(D38=0,"",(E38-D38)/D38)</f>
        <v/>
      </c>
    </row>
    <row r="39" ht="20" customHeight="1">
      <c r="B39" s="53" t="inlineStr">
        <is>
          <t>Pasivos</t>
        </is>
      </c>
      <c r="D39" s="54">
        <f>D25</f>
        <v/>
      </c>
      <c r="E39" s="54">
        <f>E25</f>
        <v/>
      </c>
      <c r="F39" s="54">
        <f>E39-D39</f>
        <v/>
      </c>
      <c r="G39" s="55">
        <f>IF(D39=0,"",(E39-D39)/D39)</f>
        <v/>
      </c>
    </row>
    <row r="40" ht="20" customHeight="1">
      <c r="B40" s="56" t="inlineStr">
        <is>
          <t>Patrimonio neto</t>
        </is>
      </c>
      <c r="D40" s="57">
        <f>D31</f>
        <v/>
      </c>
      <c r="E40" s="57">
        <f>E31</f>
        <v/>
      </c>
      <c r="F40" s="57">
        <f>E40-D40</f>
        <v/>
      </c>
      <c r="G40" s="58">
        <f>IF(D40=0,"",(E40-D40)/D40)</f>
        <v/>
      </c>
    </row>
    <row r="42">
      <c r="B42" s="59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Dinero en</t>
        </is>
      </c>
      <c r="B5" s="26" t="inlineStr">
        <is>
          <t>Tipo de inversion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Institucion financiera</t>
        </is>
      </c>
      <c r="F5" s="26" t="inlineStr">
        <is>
          <t>Tipo de moneda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3 - Cuenta de ahorros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>
        <is>
          <t>1029 - BANCO PICHINCHA C.A.</t>
        </is>
      </c>
      <c r="F6" s="60" t="inlineStr">
        <is>
          <t>DOLARES</t>
        </is>
      </c>
      <c r="G6" s="60" t="inlineStr">
        <is>
          <t>2 - No</t>
        </is>
      </c>
      <c r="H6" s="60" t="inlineStr"/>
      <c r="I6" s="60" t="inlineStr"/>
      <c r="J6" s="61" t="n">
        <v>130.2</v>
      </c>
      <c r="K6" s="62" t="n">
        <v>130.2</v>
      </c>
      <c r="L6" s="61">
        <f>K6-J6</f>
        <v/>
      </c>
      <c r="M6" s="63">
        <f>IF(J6=0,"",(K6-J6)/J6)</f>
        <v/>
      </c>
    </row>
    <row r="7">
      <c r="A7" s="64" t="inlineStr">
        <is>
          <t>IFI - Instituciones financieras</t>
        </is>
      </c>
      <c r="B7" s="64" t="inlineStr">
        <is>
          <t>4 - Cuenta corriente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>
        <is>
          <t>1029 - BANCO PICHINCHA C.A.</t>
        </is>
      </c>
      <c r="F7" s="64" t="inlineStr">
        <is>
          <t>DOLARES</t>
        </is>
      </c>
      <c r="G7" s="64" t="inlineStr">
        <is>
          <t>2 - No</t>
        </is>
      </c>
      <c r="H7" s="64" t="inlineStr"/>
      <c r="I7" s="64" t="inlineStr"/>
      <c r="J7" s="65" t="n">
        <v>5590.32</v>
      </c>
      <c r="K7" s="62" t="n">
        <v>5590.32</v>
      </c>
      <c r="L7" s="65">
        <f>K7-J7</f>
        <v/>
      </c>
      <c r="M7" s="66">
        <f>IF(J7=0,"",(K7-J7)/J7)</f>
        <v/>
      </c>
    </row>
    <row r="8">
      <c r="A8" s="60" t="inlineStr">
        <is>
          <t>IFI - Instituciones financieras</t>
        </is>
      </c>
      <c r="B8" s="60" t="inlineStr">
        <is>
          <t>3 - Cuenta de ahorros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>
        <is>
          <t>1418 - BANCO PROMERICA S.A.</t>
        </is>
      </c>
      <c r="F8" s="60" t="inlineStr">
        <is>
          <t>DOLARES</t>
        </is>
      </c>
      <c r="G8" s="60" t="inlineStr">
        <is>
          <t>2 - No</t>
        </is>
      </c>
      <c r="H8" s="60" t="inlineStr"/>
      <c r="I8" s="60" t="inlineStr"/>
      <c r="J8" s="61" t="n">
        <v>53237.31</v>
      </c>
      <c r="K8" s="62" t="n">
        <v>53237.31</v>
      </c>
      <c r="L8" s="61">
        <f>K8-J8</f>
        <v/>
      </c>
      <c r="M8" s="63">
        <f>IF(J8=0,"",(K8-J8)/J8)</f>
        <v/>
      </c>
    </row>
    <row r="9">
      <c r="A9" s="64" t="inlineStr">
        <is>
          <t>IFI - Instituciones financieras</t>
        </is>
      </c>
      <c r="B9" s="64" t="inlineStr">
        <is>
          <t>2 - Inversiones financieras</t>
        </is>
      </c>
      <c r="C9" s="64" t="inlineStr">
        <is>
          <t>EXT - En el exterior</t>
        </is>
      </c>
      <c r="D9" s="64" t="inlineStr">
        <is>
          <t>118 - PANAMA</t>
        </is>
      </c>
      <c r="E9" s="64" t="inlineStr">
        <is>
          <t>BANCO PICHINCHA CA</t>
        </is>
      </c>
      <c r="F9" s="64" t="inlineStr">
        <is>
          <t>DOLARES</t>
        </is>
      </c>
      <c r="G9" s="64" t="inlineStr">
        <is>
          <t>2 - No</t>
        </is>
      </c>
      <c r="H9" s="64" t="inlineStr"/>
      <c r="I9" s="64" t="inlineStr"/>
      <c r="J9" s="65" t="n">
        <v>189049.31</v>
      </c>
      <c r="K9" s="62" t="n">
        <v>189049.31</v>
      </c>
      <c r="L9" s="65">
        <f>K9-J9</f>
        <v/>
      </c>
      <c r="M9" s="66">
        <f>IF(J9=0,"",(K9-J9)/J9)</f>
        <v/>
      </c>
    </row>
    <row r="10" ht="22" customHeight="1">
      <c r="A10" s="67" t="inlineStr">
        <is>
          <t>TOTAL</t>
        </is>
      </c>
      <c r="B10" s="67" t="n"/>
      <c r="C10" s="67" t="n"/>
      <c r="D10" s="67" t="n"/>
      <c r="E10" s="67" t="n"/>
      <c r="F10" s="67" t="n"/>
      <c r="G10" s="67" t="n"/>
      <c r="H10" s="67" t="n"/>
      <c r="I10" s="67" t="n"/>
      <c r="J10" s="31">
        <f>SUM(J6:J9)</f>
        <v/>
      </c>
      <c r="K10" s="31">
        <f>SUM(K6:K9)</f>
        <v/>
      </c>
      <c r="L10" s="31">
        <f>K10-J10</f>
        <v/>
      </c>
      <c r="M10" s="32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inversion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Empresa / Administradora / Fideicomiso</t>
        </is>
      </c>
      <c r="E5" s="26" t="inlineStr">
        <is>
          <t>% de participacion</t>
        </is>
      </c>
      <c r="F5" s="26" t="inlineStr">
        <is>
          <t>N. de acciones / participaciones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Nombre del deudor</t>
        </is>
      </c>
      <c r="B5" s="26" t="inlineStr">
        <is>
          <t>Tipo de deudor</t>
        </is>
      </c>
      <c r="C5" s="26" t="inlineStr">
        <is>
          <t>Tipo de identificacion</t>
        </is>
      </c>
      <c r="D5" s="26" t="inlineStr">
        <is>
          <t>N. de identificacion</t>
        </is>
      </c>
      <c r="E5" s="26" t="inlineStr">
        <is>
          <t>Ubicacion</t>
        </is>
      </c>
      <c r="F5" s="26" t="inlineStr">
        <is>
          <t>Pais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bien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vehiculo</t>
        </is>
      </c>
      <c r="B5" s="26" t="inlineStr">
        <is>
          <t>Registro / placa / chasis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Regularizacion activos</t>
        </is>
      </c>
      <c r="F5" s="26" t="inlineStr">
        <is>
          <t>Anio fiscal adquisicion</t>
        </is>
      </c>
      <c r="G5" s="26" t="inlineStr">
        <is>
          <t>Valor 2025</t>
        </is>
      </c>
      <c r="H5" s="26" t="inlineStr">
        <is>
          <t>Valor 2026</t>
        </is>
      </c>
      <c r="I5" s="26" t="inlineStr">
        <is>
          <t>Variacion</t>
        </is>
      </c>
      <c r="J5" s="26" t="inlineStr">
        <is>
          <t>Variacion %</t>
        </is>
      </c>
    </row>
    <row r="6">
      <c r="A6" s="60" t="inlineStr">
        <is>
          <t>1 - Vehiculos motorizados terrestres</t>
        </is>
      </c>
      <c r="B6" s="60" t="inlineStr">
        <is>
          <t>PBO7092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/>
      <c r="F6" s="60" t="inlineStr"/>
      <c r="G6" s="61" t="n">
        <v>12000</v>
      </c>
      <c r="H6" s="62" t="n">
        <v>12000</v>
      </c>
      <c r="I6" s="61">
        <f>H6-G6</f>
        <v/>
      </c>
      <c r="J6" s="63">
        <f>IF(G6=0,"",(H6-G6)/G6)</f>
        <v/>
      </c>
    </row>
    <row r="7">
      <c r="A7" s="64" t="inlineStr">
        <is>
          <t>1 - Vehiculos motorizados terrestres</t>
        </is>
      </c>
      <c r="B7" s="64" t="inlineStr">
        <is>
          <t>PBF9690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/>
      <c r="F7" s="64" t="inlineStr"/>
      <c r="G7" s="65" t="n">
        <v>20000</v>
      </c>
      <c r="H7" s="62" t="n">
        <v>20000</v>
      </c>
      <c r="I7" s="65">
        <f>H7-G7</f>
        <v/>
      </c>
      <c r="J7" s="66">
        <f>IF(G7=0,"",(H7-G7)/G7)</f>
        <v/>
      </c>
    </row>
    <row r="8">
      <c r="A8" s="60" t="inlineStr">
        <is>
          <t>1 - Vehiculos motorizados terrestres</t>
        </is>
      </c>
      <c r="B8" s="60" t="inlineStr">
        <is>
          <t>PFC8683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/>
      <c r="F8" s="60" t="inlineStr"/>
      <c r="G8" s="61" t="n">
        <v>32000</v>
      </c>
      <c r="H8" s="62" t="n">
        <v>32000</v>
      </c>
      <c r="I8" s="61">
        <f>H8-G8</f>
        <v/>
      </c>
      <c r="J8" s="63">
        <f>IF(G8=0,"",(H8-G8)/G8)</f>
        <v/>
      </c>
    </row>
    <row r="9" ht="22" customHeight="1">
      <c r="A9" s="67" t="inlineStr">
        <is>
          <t>TOTAL</t>
        </is>
      </c>
      <c r="B9" s="67" t="n"/>
      <c r="C9" s="67" t="n"/>
      <c r="D9" s="67" t="n"/>
      <c r="E9" s="67" t="n"/>
      <c r="F9" s="67" t="n"/>
      <c r="G9" s="31">
        <f>SUM(G6:G8)</f>
        <v/>
      </c>
      <c r="H9" s="31">
        <f>SUM(H6:H8)</f>
        <v/>
      </c>
      <c r="I9" s="31">
        <f>H9-G9</f>
        <v/>
      </c>
      <c r="J9" s="32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derecho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inmueble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Provincia</t>
        </is>
      </c>
      <c r="E5" s="26" t="inlineStr">
        <is>
          <t>Canton</t>
        </is>
      </c>
      <c r="F5" s="26" t="inlineStr">
        <is>
          <t>Fecha de inscripcion</t>
        </is>
      </c>
      <c r="G5" s="26" t="inlineStr">
        <is>
          <t>Clave catastral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3 - Terreno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217 - PICHINCHA</t>
        </is>
      </c>
      <c r="E6" s="60" t="inlineStr">
        <is>
          <t>21701 - QUITO</t>
        </is>
      </c>
      <c r="F6" s="60" t="inlineStr">
        <is>
          <t>22/10/2008</t>
        </is>
      </c>
      <c r="G6" s="60" t="inlineStr">
        <is>
          <t>1042203018</t>
        </is>
      </c>
      <c r="H6" s="60" t="inlineStr"/>
      <c r="I6" s="60" t="inlineStr"/>
      <c r="J6" s="61" t="n">
        <v>267340.8</v>
      </c>
      <c r="K6" s="62" t="n">
        <v>267340.8</v>
      </c>
      <c r="L6" s="61">
        <f>K6-J6</f>
        <v/>
      </c>
      <c r="M6" s="63">
        <f>IF(J6=0,"",(K6-J6)/J6)</f>
        <v/>
      </c>
    </row>
    <row r="7">
      <c r="A7" s="64" t="inlineStr">
        <is>
          <t>1 - Casa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217 - PICHINCHA</t>
        </is>
      </c>
      <c r="E7" s="64" t="inlineStr">
        <is>
          <t>21701 - QUITO</t>
        </is>
      </c>
      <c r="F7" s="64" t="inlineStr">
        <is>
          <t>13/03/1997</t>
        </is>
      </c>
      <c r="G7" s="64" t="inlineStr">
        <is>
          <t>1012005008000000000</t>
        </is>
      </c>
      <c r="H7" s="64" t="inlineStr"/>
      <c r="I7" s="64" t="inlineStr"/>
      <c r="J7" s="65" t="n">
        <v>198118.55</v>
      </c>
      <c r="K7" s="62" t="n">
        <v>198118.55</v>
      </c>
      <c r="L7" s="65">
        <f>K7-J7</f>
        <v/>
      </c>
      <c r="M7" s="66">
        <f>IF(J7=0,"",(K7-J7)/J7)</f>
        <v/>
      </c>
    </row>
    <row r="8">
      <c r="A8" s="60" t="inlineStr">
        <is>
          <t>1 - Casa</t>
        </is>
      </c>
      <c r="B8" s="60" t="inlineStr">
        <is>
          <t>ECU - En el Ecuador</t>
        </is>
      </c>
      <c r="C8" s="60" t="inlineStr">
        <is>
          <t>593 - ECUADOR</t>
        </is>
      </c>
      <c r="D8" s="60" t="inlineStr">
        <is>
          <t>217 - PICHINCHA</t>
        </is>
      </c>
      <c r="E8" s="60" t="inlineStr">
        <is>
          <t>21701 - QUITO</t>
        </is>
      </c>
      <c r="F8" s="60" t="inlineStr"/>
      <c r="G8" s="60" t="inlineStr">
        <is>
          <t>1042203018</t>
        </is>
      </c>
      <c r="H8" s="60" t="inlineStr"/>
      <c r="I8" s="60" t="inlineStr"/>
      <c r="J8" s="61" t="n">
        <v>33634.04</v>
      </c>
      <c r="K8" s="62" t="n">
        <v>33634.04</v>
      </c>
      <c r="L8" s="61">
        <f>K8-J8</f>
        <v/>
      </c>
      <c r="M8" s="63">
        <f>IF(J8=0,"",(K8-J8)/J8)</f>
        <v/>
      </c>
    </row>
    <row r="9">
      <c r="A9" s="64" t="inlineStr">
        <is>
          <t>3 - Terreno</t>
        </is>
      </c>
      <c r="B9" s="64" t="inlineStr">
        <is>
          <t>ECU - En el Ecuador</t>
        </is>
      </c>
      <c r="C9" s="64" t="inlineStr">
        <is>
          <t>593 - ECUADOR</t>
        </is>
      </c>
      <c r="D9" s="64" t="inlineStr">
        <is>
          <t>217 - PICHINCHA</t>
        </is>
      </c>
      <c r="E9" s="64" t="inlineStr">
        <is>
          <t>21701 - QUITO</t>
        </is>
      </c>
      <c r="F9" s="64" t="inlineStr"/>
      <c r="G9" s="64" t="inlineStr">
        <is>
          <t>1012005008000000000</t>
        </is>
      </c>
      <c r="H9" s="64" t="inlineStr"/>
      <c r="I9" s="64" t="inlineStr"/>
      <c r="J9" s="65" t="n">
        <v>82624.22</v>
      </c>
      <c r="K9" s="62" t="n">
        <v>82624.22</v>
      </c>
      <c r="L9" s="65">
        <f>K9-J9</f>
        <v/>
      </c>
      <c r="M9" s="66">
        <f>IF(J9=0,"",(K9-J9)/J9)</f>
        <v/>
      </c>
    </row>
    <row r="10" ht="22" customHeight="1">
      <c r="A10" s="67" t="inlineStr">
        <is>
          <t>TOTAL</t>
        </is>
      </c>
      <c r="B10" s="67" t="n"/>
      <c r="C10" s="67" t="n"/>
      <c r="D10" s="67" t="n"/>
      <c r="E10" s="67" t="n"/>
      <c r="F10" s="67" t="n"/>
      <c r="G10" s="67" t="n"/>
      <c r="H10" s="67" t="n"/>
      <c r="I10" s="67" t="n"/>
      <c r="J10" s="31">
        <f>SUM(J6:J9)</f>
        <v/>
      </c>
      <c r="K10" s="31">
        <f>SUM(K6:K9)</f>
        <v/>
      </c>
      <c r="L10" s="31">
        <f>K10-J10</f>
        <v/>
      </c>
      <c r="M10" s="32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Ubicacion</t>
        </is>
      </c>
      <c r="B5" s="26" t="inlineStr">
        <is>
          <t>Pais</t>
        </is>
      </c>
      <c r="C5" s="26" t="inlineStr">
        <is>
          <t>Descripcion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acreedor</t>
        </is>
      </c>
      <c r="B5" s="26" t="inlineStr">
        <is>
          <t>Domicilio del acreedor</t>
        </is>
      </c>
      <c r="C5" s="26" t="inlineStr">
        <is>
          <t>Pais</t>
        </is>
      </c>
      <c r="D5" s="26" t="inlineStr">
        <is>
          <t>Nombre del acreedor</t>
        </is>
      </c>
      <c r="E5" s="26" t="inlineStr">
        <is>
          <t>Tipo de identificacion</t>
        </is>
      </c>
      <c r="F5" s="26" t="inlineStr">
        <is>
          <t>N. de identificacion</t>
        </is>
      </c>
      <c r="G5" s="26" t="inlineStr">
        <is>
          <t>N. registro Banco Central</t>
        </is>
      </c>
      <c r="H5" s="26" t="inlineStr">
        <is>
          <t>Partes relacionadas</t>
        </is>
      </c>
      <c r="I5" s="26" t="inlineStr">
        <is>
          <t>Valor 2025</t>
        </is>
      </c>
      <c r="J5" s="26" t="inlineStr">
        <is>
          <t>Valor 2026</t>
        </is>
      </c>
      <c r="K5" s="26" t="inlineStr">
        <is>
          <t>Variacion</t>
        </is>
      </c>
      <c r="L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DINERS CLUB DEL ECUADOR</t>
        </is>
      </c>
      <c r="E6" s="60" t="inlineStr">
        <is>
          <t>R - RUC</t>
        </is>
      </c>
      <c r="F6" s="60" t="inlineStr">
        <is>
          <t>1792260957001</t>
        </is>
      </c>
      <c r="G6" s="60" t="inlineStr"/>
      <c r="H6" s="60" t="inlineStr">
        <is>
          <t>2 - No</t>
        </is>
      </c>
      <c r="I6" s="61" t="n">
        <v>4891.88</v>
      </c>
      <c r="J6" s="62" t="n">
        <v>4891.88</v>
      </c>
      <c r="K6" s="61">
        <f>J6-I6</f>
        <v/>
      </c>
      <c r="L6" s="63">
        <f>IF(I6=0,"",(J6-I6)/I6)</f>
        <v/>
      </c>
    </row>
    <row r="7">
      <c r="A7" s="64" t="inlineStr">
        <is>
          <t>IFI - Instituciones financieras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BANCO DEL PICHINCHA</t>
        </is>
      </c>
      <c r="E7" s="64" t="inlineStr">
        <is>
          <t>R - RUC</t>
        </is>
      </c>
      <c r="F7" s="64" t="inlineStr">
        <is>
          <t>1790010937001</t>
        </is>
      </c>
      <c r="G7" s="64" t="inlineStr"/>
      <c r="H7" s="64" t="inlineStr">
        <is>
          <t>2 - No</t>
        </is>
      </c>
      <c r="I7" s="65" t="n">
        <v>5547.31</v>
      </c>
      <c r="J7" s="62" t="n">
        <v>5547.31</v>
      </c>
      <c r="K7" s="65">
        <f>J7-I7</f>
        <v/>
      </c>
      <c r="L7" s="66">
        <f>IF(I7=0,"",(J7-I7)/I7)</f>
        <v/>
      </c>
    </row>
    <row r="8" ht="22" customHeight="1">
      <c r="A8" s="68" t="inlineStr">
        <is>
          <t>TOTAL</t>
        </is>
      </c>
      <c r="B8" s="68" t="n"/>
      <c r="C8" s="68" t="n"/>
      <c r="D8" s="68" t="n"/>
      <c r="E8" s="68" t="n"/>
      <c r="F8" s="68" t="n"/>
      <c r="G8" s="68" t="n"/>
      <c r="H8" s="68" t="n"/>
      <c r="I8" s="38">
        <f>SUM(I6:I7)</f>
        <v/>
      </c>
      <c r="J8" s="38">
        <f>SUM(J6:J7)</f>
        <v/>
      </c>
      <c r="K8" s="38">
        <f>J8-I8</f>
        <v/>
      </c>
      <c r="L8" s="39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69" t="inlineStr">
        <is>
          <t>Incremento patrimonial declarado en el XML</t>
        </is>
      </c>
      <c r="C5" s="70" t="n"/>
      <c r="D5" s="70" t="n"/>
      <c r="E5" s="71" t="n">
        <v>81715.59</v>
      </c>
    </row>
    <row r="7" ht="26" customHeight="1">
      <c r="B7" s="26" t="inlineStr">
        <is>
          <t>Concepto (Tabla 14 del SRI)</t>
        </is>
      </c>
      <c r="E7" s="26" t="inlineStr">
        <is>
          <t>Justifica la variacion</t>
        </is>
      </c>
    </row>
    <row r="8" ht="22" customHeight="1">
      <c r="B8" s="72" t="inlineStr">
        <is>
          <t>1 - Ingresos locales</t>
        </is>
      </c>
      <c r="C8" s="6" t="n"/>
      <c r="D8" s="6" t="n"/>
      <c r="E8" s="73" t="inlineStr">
        <is>
          <t>Si</t>
        </is>
      </c>
    </row>
    <row r="9" ht="22" customHeight="1">
      <c r="B9" s="72" t="inlineStr">
        <is>
          <t>2 - Ingresos exterior</t>
        </is>
      </c>
      <c r="C9" s="6" t="n"/>
      <c r="D9" s="6" t="n"/>
      <c r="E9" s="73" t="inlineStr">
        <is>
          <t>No</t>
        </is>
      </c>
    </row>
    <row r="10" ht="22" customHeight="1">
      <c r="B10" s="72" t="inlineStr">
        <is>
          <t>3 - Herencias, legados o donaciones</t>
        </is>
      </c>
      <c r="C10" s="6" t="n"/>
      <c r="D10" s="6" t="n"/>
      <c r="E10" s="73" t="inlineStr">
        <is>
          <t>No</t>
        </is>
      </c>
    </row>
    <row r="11" ht="22" customHeight="1">
      <c r="B11" s="72" t="inlineStr">
        <is>
          <t>4 - Loterias o rifas</t>
        </is>
      </c>
      <c r="C11" s="6" t="n"/>
      <c r="D11" s="6" t="n"/>
      <c r="E11" s="73" t="inlineStr">
        <is>
          <t>No</t>
        </is>
      </c>
    </row>
    <row r="12" ht="22" customHeight="1">
      <c r="B12" s="72" t="inlineStr">
        <is>
          <t>5 - Ganancias de capital</t>
        </is>
      </c>
      <c r="C12" s="6" t="n"/>
      <c r="D12" s="6" t="n"/>
      <c r="E12" s="73" t="inlineStr">
        <is>
          <t>No</t>
        </is>
      </c>
    </row>
    <row r="13" ht="22" customHeight="1">
      <c r="B13" s="72" t="inlineStr">
        <is>
          <t>6 - Otros</t>
        </is>
      </c>
      <c r="C13" s="6" t="n"/>
      <c r="D13" s="6" t="n"/>
      <c r="E13" s="73" t="inlineStr">
        <is>
          <t>Si</t>
        </is>
      </c>
    </row>
    <row r="15">
      <c r="B15" s="59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4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75" t="inlineStr">
        <is>
          <t>En el archivo .xlsm el boton verde ya esta vinculado a la macro GenerarXmlSRI.</t>
        </is>
      </c>
    </row>
    <row r="9">
      <c r="B9" s="76" t="inlineStr">
        <is>
          <t>COMO USAR ESTE ARCHIVO</t>
        </is>
      </c>
    </row>
    <row r="10">
      <c r="B10" s="77" t="inlineStr">
        <is>
          <t>1. Al abrir el archivo .xlsm, pulse 'Habilitar contenido' en la barra de seguridad de Excel.</t>
        </is>
      </c>
    </row>
    <row r="11">
      <c r="B11" s="77" t="inlineStr">
        <is>
          <t>2. Llene las columnas amarillas de cada modulo (Dinero, Vehiculos, etc.) y la hoja Justificacion.</t>
        </is>
      </c>
    </row>
    <row r="12">
      <c r="B12" s="77" t="inlineStr">
        <is>
          <t>3. Pulse el boton verde GENERAR XML, indique el anio y elija donde guardar el archivo.</t>
        </is>
      </c>
    </row>
    <row r="13">
      <c r="B13" s="77" t="inlineStr">
        <is>
          <t>4. El archivo .xml queda listo para subir al portal del SRI.</t>
        </is>
      </c>
    </row>
    <row r="14">
      <c r="B14" s="77" t="inlineStr"/>
    </row>
    <row r="15">
      <c r="B15" s="76" t="inlineStr">
        <is>
          <t>SI EXCEL BLOQUEA LAS MACROS</t>
        </is>
      </c>
    </row>
    <row r="16">
      <c r="B16" s="77" t="inlineStr">
        <is>
          <t>- Cierre Excel. En el Explorador, clic derecho sobre el archivo &gt; Propiedades.</t>
        </is>
      </c>
    </row>
    <row r="17">
      <c r="B17" s="77" t="inlineStr">
        <is>
          <t>- Al final de la pestana General marque 'Desbloquear' y pulse Aceptar.</t>
        </is>
      </c>
    </row>
    <row r="18">
      <c r="B18" s="77" t="inlineStr">
        <is>
          <t>- Vuelva a abrirlo y pulse 'Habilitar contenido'. Conserve siempre la extension .xlsm.</t>
        </is>
      </c>
    </row>
    <row r="19">
      <c r="B19" s="77" t="inlineStr"/>
    </row>
    <row r="20">
      <c r="B20" s="77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34" customWidth="1" min="2" max="2"/>
  </cols>
  <sheetData>
    <row r="1" ht="30" customHeight="1">
      <c r="A1" s="1" t="inlineStr">
        <is>
          <t>DATOS GENERALES DE LA DECLARACION</t>
        </is>
      </c>
    </row>
    <row r="3" ht="5" customHeight="1">
      <c r="A3" s="3" t="n"/>
    </row>
    <row r="5" ht="20" customHeight="1">
      <c r="A5" s="78" t="inlineStr">
        <is>
          <t>IDENTIFICACION</t>
        </is>
      </c>
    </row>
    <row r="6">
      <c r="A6" s="79" t="inlineStr">
        <is>
          <t>Anio de la declaracion</t>
        </is>
      </c>
      <c r="B6" s="80" t="n">
        <v>2025</v>
      </c>
    </row>
    <row r="7">
      <c r="A7" s="79" t="inlineStr">
        <is>
          <t>Tipo de declaracion</t>
        </is>
      </c>
      <c r="B7" s="80" t="inlineStr">
        <is>
          <t>SOC - Sociedad conyugal o union de hecho</t>
        </is>
      </c>
    </row>
    <row r="8">
      <c r="A8" s="79" t="inlineStr">
        <is>
          <t>Tipo de identificacion</t>
        </is>
      </c>
      <c r="B8" s="80" t="inlineStr">
        <is>
          <t>R - RUC</t>
        </is>
      </c>
    </row>
    <row r="9">
      <c r="A9" s="79" t="inlineStr">
        <is>
          <t>Numero de identificacion</t>
        </is>
      </c>
      <c r="B9" s="80" t="inlineStr">
        <is>
          <t>1709164899001</t>
        </is>
      </c>
    </row>
    <row r="10">
      <c r="A10" s="79" t="inlineStr">
        <is>
          <t>Nombre del declarante</t>
        </is>
      </c>
      <c r="B10" s="80" t="inlineStr">
        <is>
          <t>GONZALEZ NAVAS MARCO VINICIO</t>
        </is>
      </c>
    </row>
    <row r="11">
      <c r="A11" s="79" t="inlineStr">
        <is>
          <t>Identificacion del conyuge</t>
        </is>
      </c>
      <c r="B11" s="80" t="inlineStr">
        <is>
          <t>C - Cedula</t>
        </is>
      </c>
    </row>
    <row r="12">
      <c r="A12" s="79" t="inlineStr">
        <is>
          <t>Numero ident. conyuge</t>
        </is>
      </c>
      <c r="B12" s="80" t="inlineStr">
        <is>
          <t>1709784225</t>
        </is>
      </c>
    </row>
    <row r="13">
      <c r="A13" s="79" t="inlineStr">
        <is>
          <t>Nombre del conyuge</t>
        </is>
      </c>
      <c r="B13" s="80" t="inlineStr">
        <is>
          <t>HIDALGO LOZA ROSA CONSUELO</t>
        </is>
      </c>
    </row>
    <row r="14">
      <c r="A14" s="79" t="inlineStr">
        <is>
          <t>Total creditos / cuentas por cobrar</t>
        </is>
      </c>
      <c r="B14" s="61" t="n">
        <v>0</v>
      </c>
    </row>
    <row r="16" ht="20" customHeight="1">
      <c r="A16" s="78" t="inlineStr">
        <is>
          <t>PATRIMONIO NETO (enlazado a la hoja Dashboard)</t>
        </is>
      </c>
    </row>
    <row r="17">
      <c r="A17" s="79" t="inlineStr">
        <is>
          <t>Patrimonio neto 2025</t>
        </is>
      </c>
      <c r="B17" s="61">
        <f>Dashboard!D31</f>
        <v/>
      </c>
    </row>
    <row r="18">
      <c r="A18" s="79" t="inlineStr">
        <is>
          <t>Patrimonio neto 2026 (proyectado)</t>
        </is>
      </c>
      <c r="B18" s="61">
        <f>Dashboard!E31</f>
        <v/>
      </c>
    </row>
    <row r="19">
      <c r="A19" s="79" t="inlineStr">
        <is>
          <t>Variacion proyectada</t>
        </is>
      </c>
      <c r="B19" s="61">
        <f>Dashboard!F31</f>
        <v/>
      </c>
    </row>
    <row r="20">
      <c r="A20" s="79" t="inlineStr">
        <is>
          <t>Variacion % proyectada</t>
        </is>
      </c>
      <c r="B20" s="63">
        <f>Dashboard!G31</f>
        <v/>
      </c>
    </row>
    <row r="22" ht="20" customHeight="1">
      <c r="A22" s="78" t="inlineStr">
        <is>
          <t>PATRIMONIO DECLARADO EN EL XML</t>
        </is>
      </c>
    </row>
    <row r="23">
      <c r="A23" s="79" t="inlineStr">
        <is>
          <t>Patrimonio total declarado</t>
        </is>
      </c>
      <c r="B23" s="61" t="n">
        <v>883285.5600000001</v>
      </c>
    </row>
    <row r="24">
      <c r="A24" s="79" t="inlineStr">
        <is>
          <t>Atribuible a hijos no emancipados</t>
        </is>
      </c>
      <c r="B24" s="61" t="n">
        <v>0</v>
      </c>
    </row>
    <row r="25">
      <c r="A25" s="79" t="inlineStr">
        <is>
          <t>Patrimonio en la sociedad conyugal</t>
        </is>
      </c>
      <c r="B25" s="61" t="n">
        <v>883285.5600000001</v>
      </c>
    </row>
    <row r="26">
      <c r="A26" s="79" t="inlineStr">
        <is>
          <t>Patrimonio individual del declarante</t>
        </is>
      </c>
      <c r="B26" s="61" t="n">
        <v>0</v>
      </c>
    </row>
    <row r="27">
      <c r="A27" s="79" t="inlineStr">
        <is>
          <t>Patrimonio del anio anterior</t>
        </is>
      </c>
      <c r="B27" s="61" t="n">
        <v>801569.97</v>
      </c>
    </row>
    <row r="28">
      <c r="A28" s="79" t="inlineStr">
        <is>
          <t>Crecimiento / decremento patrimonial</t>
        </is>
      </c>
      <c r="B28" s="61" t="n">
        <v>81715.59</v>
      </c>
    </row>
    <row r="30">
      <c r="A30" s="76" t="inlineStr">
        <is>
          <t>Justificacion de la variacion (ver hoja Justificacion)</t>
        </is>
      </c>
    </row>
    <row r="31">
      <c r="A31" s="77" t="inlineStr">
        <is>
          <t>- 1 - Ingresos locales</t>
        </is>
      </c>
    </row>
    <row r="32">
      <c r="A32" s="77" t="inlineStr">
        <is>
          <t>- 6 - Otros</t>
        </is>
      </c>
    </row>
    <row r="34">
      <c r="A34" s="59" t="inlineStr">
        <is>
          <t>Catalogos del SRI integrados (Tablas 1-19 del archivo CATALOGO.xls). El XML se genera con generar_xml_sri.py.</t>
        </is>
      </c>
    </row>
  </sheetData>
  <mergeCells count="5">
    <mergeCell ref="A16:B16"/>
    <mergeCell ref="A5:B5"/>
    <mergeCell ref="A1:B1"/>
    <mergeCell ref="A3:B3"/>
    <mergeCell ref="A22:B2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1" t="inlineStr">
        <is>
          <t>DINERO_EN</t>
        </is>
      </c>
      <c r="B1" s="81" t="inlineStr">
        <is>
          <t>TIPO_INVERSION</t>
        </is>
      </c>
      <c r="C1" s="81" t="inlineStr">
        <is>
          <t>UBICACION</t>
        </is>
      </c>
      <c r="D1" s="81" t="inlineStr">
        <is>
          <t>PAIS</t>
        </is>
      </c>
      <c r="E1" s="81" t="inlineStr">
        <is>
          <t>INSTITUCION_FINANCIERA</t>
        </is>
      </c>
      <c r="F1" s="81" t="inlineStr">
        <is>
          <t>PARTES_RELACIONADAS</t>
        </is>
      </c>
      <c r="G1" s="81" t="inlineStr">
        <is>
          <t>TIPO_DRC</t>
        </is>
      </c>
      <c r="H1" s="81" t="inlineStr">
        <is>
          <t>TIPO_PERSONA</t>
        </is>
      </c>
      <c r="I1" s="81" t="inlineStr">
        <is>
          <t>TIPO_BIEN_MUEBLE</t>
        </is>
      </c>
      <c r="J1" s="81" t="inlineStr">
        <is>
          <t>TIPO_VEHICULO</t>
        </is>
      </c>
      <c r="K1" s="81" t="inlineStr">
        <is>
          <t>TIPO_DERECHO</t>
        </is>
      </c>
      <c r="L1" s="81" t="inlineStr">
        <is>
          <t>TIPO_INMUEBLE</t>
        </is>
      </c>
      <c r="M1" s="81" t="inlineStr">
        <is>
          <t>PROVINCIA</t>
        </is>
      </c>
      <c r="N1" s="81" t="inlineStr">
        <is>
          <t>CANTON</t>
        </is>
      </c>
      <c r="O1" s="81" t="inlineStr">
        <is>
          <t>TIPO_ACREEDOR</t>
        </is>
      </c>
      <c r="P1" s="81" t="inlineStr">
        <is>
          <t>TIPO_IDENTIFICACION</t>
        </is>
      </c>
      <c r="Q1" s="81" t="inlineStr">
        <is>
          <t>REGULARIZACION</t>
        </is>
      </c>
      <c r="R1" s="81" t="inlineStr">
        <is>
          <t>JUSTIF_INCREMENTO</t>
        </is>
      </c>
      <c r="S1" s="81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2026-05-21T13:23:17Z</dcterms:created>
  <dcterms:modified xsi:type="dcterms:W3CDTF">2026-05-21T13:23:17Z</dcterms:modified>
</cp:coreProperties>
</file>