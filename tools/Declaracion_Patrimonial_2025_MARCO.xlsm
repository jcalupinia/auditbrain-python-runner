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'Dashboard'!$AA$3:$AA$5</f>
            </strRef>
          </cat>
          <val>
            <numRef>
              <f>'Dashboard'!$AB$3:$AB$5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NAVAS MARCO VINICIO   |   R - RUC: 1709164899001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Vehiculos, naves y aeronaves</t>
        </is>
      </c>
      <c r="AB4" s="4">
        <f>D16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inmuebles</t>
        </is>
      </c>
      <c r="AB5" s="4">
        <f>D18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'Dinero'!J10</f>
        <v/>
      </c>
      <c r="E12" s="28">
        <f>'Dinero'!K10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Cobrar'!J14</f>
        <v/>
      </c>
      <c r="E14" s="28">
        <f>'Cuentas por Cobrar'!K14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Muebles'!F14</f>
        <v/>
      </c>
      <c r="E15" s="28">
        <f>'Bienes Muebles'!G14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'Vehiculos'!G9</f>
        <v/>
      </c>
      <c r="E16" s="28">
        <f>'Vehiculos'!H9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Inmuebles'!J10</f>
        <v/>
      </c>
      <c r="E18" s="28">
        <f>'Bienes Inmuebles'!K10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'Pasivos'!I8</f>
        <v/>
      </c>
      <c r="E24" s="35">
        <f>'Pasivos'!J8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883285.5600000001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801569.97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81715.59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3 - Cuenta de ahorros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130.2</v>
      </c>
      <c r="K6" s="62" t="n">
        <v>130.2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1029 - BANCO PICHINCHA C.A.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5590.32</v>
      </c>
      <c r="K7" s="62" t="n">
        <v>5590.32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1418 - BANCO PROMERICA S.A.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53237.31</v>
      </c>
      <c r="K8" s="62" t="n">
        <v>53237.31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2 - Inversiones financieras</t>
        </is>
      </c>
      <c r="C9" s="64" t="inlineStr">
        <is>
          <t>EXT - En el exterior</t>
        </is>
      </c>
      <c r="D9" s="64" t="inlineStr">
        <is>
          <t>118 - PANAMA</t>
        </is>
      </c>
      <c r="E9" s="64" t="inlineStr">
        <is>
          <t>BANCO PICHINCHA CA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189049.31</v>
      </c>
      <c r="K9" s="62" t="n">
        <v>189049.31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7">
    <dataValidation sqref="A6:A9" showDropDown="0" showInputMessage="0" showErrorMessage="0" allowBlank="1" type="list">
      <formula1>Catalogos!$A$2:$A$4</formula1>
    </dataValidation>
    <dataValidation sqref="B6:B9" showDropDown="0" showInputMessage="0" showErrorMessage="0" allowBlank="1" type="list">
      <formula1>Catalogos!$B$2:$B$8</formula1>
    </dataValidation>
    <dataValidation sqref="C6:C9" showDropDown="0" showInputMessage="0" showErrorMessage="0" allowBlank="1" type="list">
      <formula1>Catalogos!$C$2:$C$3</formula1>
    </dataValidation>
    <dataValidation sqref="D6:D9" showDropDown="0" showInputMessage="0" showErrorMessage="0" allowBlank="1" type="list">
      <formula1>Catalogos!$D$2:$D$258</formula1>
    </dataValidation>
    <dataValidation sqref="E6:E9" showDropDown="0" showInputMessage="0" showErrorMessage="0" allowBlank="1" type="list">
      <formula1>Catalogos!$E$2:$E$519</formula1>
    </dataValidation>
    <dataValidation sqref="G6:G9" showDropDown="0" showInputMessage="0" showErrorMessage="0" allowBlank="1" type="list">
      <formula1>Catalogos!$F$2:$F$3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6">
    <dataValidation sqref="B6:B13" showDropDown="0" showInputMessage="0" showErrorMessage="0" allowBlank="1" type="list">
      <formula1>Catalogos!$H$2:$H$3</formula1>
    </dataValidation>
    <dataValidation sqref="C6:C13" showDropDown="0" showInputMessage="0" showErrorMessage="0" allowBlank="1" type="list">
      <formula1>Catalogos!$P$2:$P$5</formula1>
    </dataValidation>
    <dataValidation sqref="E6:E13" showDropDown="0" showInputMessage="0" showErrorMessage="0" allowBlank="1" type="list">
      <formula1>Catalogos!$C$2:$C$3</formula1>
    </dataValidation>
    <dataValidation sqref="F6:F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Catalogos!$I$2:$I$7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9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PBO7092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12000</v>
      </c>
      <c r="H6" s="62" t="n">
        <v>12000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PBF9690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20000</v>
      </c>
      <c r="H7" s="62" t="n">
        <v>20000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PFC8683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32000</v>
      </c>
      <c r="H8" s="62" t="n">
        <v>32000</v>
      </c>
      <c r="I8" s="61">
        <f>H8-G8</f>
        <v/>
      </c>
      <c r="J8" s="63">
        <f>IF(G8=0,"",(H8-G8)/G8)</f>
        <v/>
      </c>
    </row>
    <row r="9" ht="22" customHeight="1">
      <c r="A9" s="67" t="inlineStr">
        <is>
          <t>TOTAL</t>
        </is>
      </c>
      <c r="B9" s="67" t="n"/>
      <c r="C9" s="67" t="n"/>
      <c r="D9" s="67" t="n"/>
      <c r="E9" s="67" t="n"/>
      <c r="F9" s="67" t="n"/>
      <c r="G9" s="31">
        <f>SUM(G6:G8)</f>
        <v/>
      </c>
      <c r="H9" s="31">
        <f>SUM(H6:H8)</f>
        <v/>
      </c>
      <c r="I9" s="31">
        <f>H9-G9</f>
        <v/>
      </c>
      <c r="J9" s="32">
        <f>IF(G9=0,"",(H9-G9)/G9)</f>
        <v/>
      </c>
    </row>
  </sheetData>
  <mergeCells count="3">
    <mergeCell ref="A1:J1"/>
    <mergeCell ref="A3:J3"/>
    <mergeCell ref="A2:J2"/>
  </mergeCells>
  <dataValidations count="4">
    <dataValidation sqref="A6:A8" showDropDown="0" showInputMessage="0" showErrorMessage="0" allowBlank="1" type="list">
      <formula1>Catalogos!$J$2:$J$4</formula1>
    </dataValidation>
    <dataValidation sqref="C6:C8" showDropDown="0" showInputMessage="0" showErrorMessage="0" allowBlank="1" type="list">
      <formula1>Catalogos!$C$2:$C$3</formula1>
    </dataValidation>
    <dataValidation sqref="D6:D8" showDropDown="0" showInputMessage="0" showErrorMessage="0" allowBlank="1" type="list">
      <formula1>Catalogos!$D$2:$D$258</formula1>
    </dataValidation>
    <dataValidation sqref="E6:E8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3 - Terreno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22/10/2008</t>
        </is>
      </c>
      <c r="G6" s="60" t="inlineStr">
        <is>
          <t>1042203018</t>
        </is>
      </c>
      <c r="H6" s="60" t="inlineStr"/>
      <c r="I6" s="60" t="inlineStr"/>
      <c r="J6" s="61" t="n">
        <v>267340.8</v>
      </c>
      <c r="K6" s="62" t="n">
        <v>267340.8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13/03/1997</t>
        </is>
      </c>
      <c r="G7" s="64" t="inlineStr">
        <is>
          <t>1012005008000000000</t>
        </is>
      </c>
      <c r="H7" s="64" t="inlineStr"/>
      <c r="I7" s="64" t="inlineStr"/>
      <c r="J7" s="65" t="n">
        <v>198118.55</v>
      </c>
      <c r="K7" s="62" t="n">
        <v>198118.55</v>
      </c>
      <c r="L7" s="65">
        <f>K7-J7</f>
        <v/>
      </c>
      <c r="M7" s="66">
        <f>IF(J7=0,"",(K7-J7)/J7)</f>
        <v/>
      </c>
    </row>
    <row r="8">
      <c r="A8" s="60" t="inlineStr">
        <is>
          <t>1 - Casa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217 - PICHINCHA</t>
        </is>
      </c>
      <c r="E8" s="60" t="inlineStr">
        <is>
          <t>21701 - QUITO</t>
        </is>
      </c>
      <c r="F8" s="60" t="inlineStr"/>
      <c r="G8" s="60" t="inlineStr">
        <is>
          <t>1042203018</t>
        </is>
      </c>
      <c r="H8" s="60" t="inlineStr"/>
      <c r="I8" s="60" t="inlineStr"/>
      <c r="J8" s="61" t="n">
        <v>33634.04</v>
      </c>
      <c r="K8" s="62" t="n">
        <v>33634.04</v>
      </c>
      <c r="L8" s="61">
        <f>K8-J8</f>
        <v/>
      </c>
      <c r="M8" s="63">
        <f>IF(J8=0,"",(K8-J8)/J8)</f>
        <v/>
      </c>
    </row>
    <row r="9">
      <c r="A9" s="64" t="inlineStr">
        <is>
          <t>3 - Terreno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217 - PICHINCHA</t>
        </is>
      </c>
      <c r="E9" s="64" t="inlineStr">
        <is>
          <t>21701 - QUITO</t>
        </is>
      </c>
      <c r="F9" s="64" t="inlineStr"/>
      <c r="G9" s="64" t="inlineStr">
        <is>
          <t>1012005008000000000</t>
        </is>
      </c>
      <c r="H9" s="64" t="inlineStr"/>
      <c r="I9" s="64" t="inlineStr"/>
      <c r="J9" s="65" t="n">
        <v>82624.22</v>
      </c>
      <c r="K9" s="62" t="n">
        <v>82624.22</v>
      </c>
      <c r="L9" s="65">
        <f>K9-J9</f>
        <v/>
      </c>
      <c r="M9" s="66">
        <f>IF(J9=0,"",(K9-J9)/J9)</f>
        <v/>
      </c>
    </row>
    <row r="10" ht="22" customHeight="1">
      <c r="A10" s="67" t="inlineStr">
        <is>
          <t>TOTAL</t>
        </is>
      </c>
      <c r="B10" s="67" t="n"/>
      <c r="C10" s="67" t="n"/>
      <c r="D10" s="67" t="n"/>
      <c r="E10" s="67" t="n"/>
      <c r="F10" s="67" t="n"/>
      <c r="G10" s="67" t="n"/>
      <c r="H10" s="67" t="n"/>
      <c r="I10" s="67" t="n"/>
      <c r="J10" s="31">
        <f>SUM(J6:J9)</f>
        <v/>
      </c>
      <c r="K10" s="31">
        <f>SUM(K6:K9)</f>
        <v/>
      </c>
      <c r="L10" s="31">
        <f>K10-J10</f>
        <v/>
      </c>
      <c r="M10" s="32">
        <f>IF(J10=0,"",(K10-J10)/J10)</f>
        <v/>
      </c>
    </row>
  </sheetData>
  <mergeCells count="3">
    <mergeCell ref="A3:M3"/>
    <mergeCell ref="A2:M2"/>
    <mergeCell ref="A1:M1"/>
  </mergeCells>
  <dataValidations count="6">
    <dataValidation sqref="A6:A9" showDropDown="0" showInputMessage="0" showErrorMessage="0" allowBlank="1" type="list">
      <formula1>Catalogos!$L$2:$L$10</formula1>
    </dataValidation>
    <dataValidation sqref="B6:B9" showDropDown="0" showInputMessage="0" showErrorMessage="0" allowBlank="1" type="list">
      <formula1>Catalogos!$C$2:$C$3</formula1>
    </dataValidation>
    <dataValidation sqref="C6:C9" showDropDown="0" showInputMessage="0" showErrorMessage="0" allowBlank="1" type="list">
      <formula1>Catalogos!$D$2:$D$258</formula1>
    </dataValidation>
    <dataValidation sqref="D6:D9" showDropDown="0" showInputMessage="0" showErrorMessage="0" allowBlank="1" type="list">
      <formula1>Catalogos!$M$2:$M$25</formula1>
    </dataValidation>
    <dataValidation sqref="E6:E9" showDropDown="0" showInputMessage="0" showErrorMessage="0" allowBlank="1" type="list">
      <formula1>Catalogos!$N$2:$N$222</formula1>
    </dataValidation>
    <dataValidation sqref="H6:H9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DINERS CLUB DEL ECUADOR</t>
        </is>
      </c>
      <c r="E6" s="60" t="inlineStr">
        <is>
          <t>R - RUC</t>
        </is>
      </c>
      <c r="F6" s="60" t="inlineStr">
        <is>
          <t>1792260957001</t>
        </is>
      </c>
      <c r="G6" s="60" t="inlineStr"/>
      <c r="H6" s="60" t="inlineStr">
        <is>
          <t>2 - No</t>
        </is>
      </c>
      <c r="I6" s="61" t="n">
        <v>4891.88</v>
      </c>
      <c r="J6" s="62" t="n">
        <v>4891.88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DEL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5547.31</v>
      </c>
      <c r="J7" s="62" t="n">
        <v>5547.31</v>
      </c>
      <c r="K7" s="65">
        <f>J7-I7</f>
        <v/>
      </c>
      <c r="L7" s="66">
        <f>IF(I7=0,"",(J7-I7)/I7)</f>
        <v/>
      </c>
    </row>
    <row r="8" ht="22" customHeight="1">
      <c r="A8" s="68" t="inlineStr">
        <is>
          <t>TOTAL</t>
        </is>
      </c>
      <c r="B8" s="68" t="n"/>
      <c r="C8" s="68" t="n"/>
      <c r="D8" s="68" t="n"/>
      <c r="E8" s="68" t="n"/>
      <c r="F8" s="68" t="n"/>
      <c r="G8" s="68" t="n"/>
      <c r="H8" s="68" t="n"/>
      <c r="I8" s="38">
        <f>SUM(I6:I7)</f>
        <v/>
      </c>
      <c r="J8" s="38">
        <f>SUM(J6:J7)</f>
        <v/>
      </c>
      <c r="K8" s="38">
        <f>J8-I8</f>
        <v/>
      </c>
      <c r="L8" s="39">
        <f>IF(I8=0,"",(J8-I8)/I8)</f>
        <v/>
      </c>
    </row>
  </sheetData>
  <mergeCells count="3">
    <mergeCell ref="A3:L3"/>
    <mergeCell ref="A2:L2"/>
    <mergeCell ref="A1:L1"/>
  </mergeCells>
  <dataValidations count="5">
    <dataValidation sqref="A6:A7" showDropDown="0" showInputMessage="0" showErrorMessage="0" allowBlank="1" type="list">
      <formula1>Catalogos!$O$2:$O$9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E6:E7" showDropDown="0" showInputMessage="0" showErrorMessage="0" allowBlank="1" type="list">
      <formula1>Catalogos!$P$2:$P$5</formula1>
    </dataValidation>
    <dataValidation sqref="H6:H7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81715.59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78" t="inlineStr">
        <is>
          <t>IDENTIFICACION DEL DECLARANTE Y CONYUGE  (editable)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1709164899001</t>
        </is>
      </c>
    </row>
    <row r="10">
      <c r="A10" s="79" t="inlineStr">
        <is>
          <t>Nombre del declarante</t>
        </is>
      </c>
      <c r="B10" s="80" t="inlineStr">
        <is>
          <t>GONZALEZ NAVAS MARCO VINICIO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1709784225</t>
        </is>
      </c>
    </row>
    <row r="13">
      <c r="A13" s="79" t="inlineStr">
        <is>
          <t>Nombre del conyuge</t>
        </is>
      </c>
      <c r="B13" s="80" t="inlineStr">
        <is>
          <t>HIDALGO LOZA ROSA CONSUELO</t>
        </is>
      </c>
    </row>
    <row r="14">
      <c r="A14" s="79" t="inlineStr">
        <is>
          <t>Regularizacion de activos</t>
        </is>
      </c>
      <c r="B14" s="80" t="inlineStr"/>
    </row>
    <row r="16" ht="20" customHeight="1">
      <c r="A16" s="78" t="inlineStr">
        <is>
          <t>PATRIMONIO DECLARADO  (editable)</t>
        </is>
      </c>
    </row>
    <row r="17">
      <c r="A17" s="79" t="inlineStr">
        <is>
          <t>Patrimonio total declarado</t>
        </is>
      </c>
      <c r="B17" s="61" t="n">
        <v>883285.5600000001</v>
      </c>
    </row>
    <row r="18">
      <c r="A18" s="79" t="inlineStr">
        <is>
          <t>Atribuible a hijos no emancipados</t>
        </is>
      </c>
      <c r="B18" s="62" t="n">
        <v>0</v>
      </c>
    </row>
    <row r="19">
      <c r="A19" s="79" t="inlineStr">
        <is>
          <t>Patrimonio en la sociedad conyugal</t>
        </is>
      </c>
      <c r="B19" s="62" t="n">
        <v>883285.5600000001</v>
      </c>
    </row>
    <row r="20">
      <c r="A20" s="79" t="inlineStr">
        <is>
          <t>Patrimonio individual del declarante</t>
        </is>
      </c>
      <c r="B20" s="62" t="n">
        <v>0</v>
      </c>
    </row>
    <row r="21">
      <c r="A21" s="79" t="inlineStr">
        <is>
          <t>Patrimonio del anio anterior</t>
        </is>
      </c>
      <c r="B21" s="62" t="n">
        <v>801569.97</v>
      </c>
    </row>
    <row r="22">
      <c r="A22" s="79" t="inlineStr">
        <is>
          <t>Crecimiento / decremento patrimonial</t>
        </is>
      </c>
      <c r="B22" s="61" t="n">
        <v>81715.59</v>
      </c>
    </row>
    <row r="24" ht="20" customHeight="1">
      <c r="A24" s="78" t="inlineStr">
        <is>
          <t>PATRIMONIO NETO  (calculado - enlazado al Dashboard)</t>
        </is>
      </c>
    </row>
    <row r="25">
      <c r="A25" s="79" t="inlineStr">
        <is>
          <t>Patrimonio neto 2025</t>
        </is>
      </c>
      <c r="B25" s="61">
        <f>Dashboard!D31</f>
        <v/>
      </c>
    </row>
    <row r="26">
      <c r="A26" s="79" t="inlineStr">
        <is>
          <t>Patrimonio neto 2026 (proyectado)</t>
        </is>
      </c>
      <c r="B26" s="61">
        <f>Dashboard!E31</f>
        <v/>
      </c>
    </row>
    <row r="27">
      <c r="A27" s="79" t="inlineStr">
        <is>
          <t>Variacion proyectada</t>
        </is>
      </c>
      <c r="B27" s="61">
        <f>Dashboard!F31</f>
        <v/>
      </c>
    </row>
    <row r="28">
      <c r="A28" s="79" t="inlineStr">
        <is>
          <t>Variacion % proyectada</t>
        </is>
      </c>
      <c r="B28" s="63">
        <f>Dashboard!G31</f>
        <v/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2026-05-21T18:19:02Z</dcterms:created>
  <dcterms:modified xsi:type="dcterms:W3CDTF">2026-05-21T18:19:02Z</dcterms:modified>
</cp:coreProperties>
</file>