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Auxiliar" sheetId="7" state="visible" r:id="rId7"/>
    <sheet xmlns:r="http://schemas.openxmlformats.org/officeDocument/2006/relationships" name="04_Depreciacion" sheetId="8" state="visible" r:id="rId8"/>
    <sheet xmlns:r="http://schemas.openxmlformats.org/officeDocument/2006/relationships" name="05_Vidas_residual" sheetId="9" state="visible" r:id="rId9"/>
    <sheet xmlns:r="http://schemas.openxmlformats.org/officeDocument/2006/relationships" name="06_Componentes" sheetId="10" state="visible" r:id="rId10"/>
    <sheet xmlns:r="http://schemas.openxmlformats.org/officeDocument/2006/relationships" name="07_Bajas" sheetId="11" state="visible" r:id="rId11"/>
    <sheet xmlns:r="http://schemas.openxmlformats.org/officeDocument/2006/relationships" name="08_Revaluacion" sheetId="12" state="visible" r:id="rId12"/>
    <sheet xmlns:r="http://schemas.openxmlformats.org/officeDocument/2006/relationships" name="09_Deterioro" sheetId="13" state="visible" r:id="rId13"/>
    <sheet xmlns:r="http://schemas.openxmlformats.org/officeDocument/2006/relationships" name="10_Adiciones" sheetId="14" state="visible" r:id="rId14"/>
    <sheet xmlns:r="http://schemas.openxmlformats.org/officeDocument/2006/relationships" name="11_Prestamos" sheetId="15" state="visible" r:id="rId15"/>
    <sheet xmlns:r="http://schemas.openxmlformats.org/officeDocument/2006/relationships" name="12_Capitalizacion" sheetId="16" state="visible" r:id="rId16"/>
    <sheet xmlns:r="http://schemas.openxmlformats.org/officeDocument/2006/relationships" name="13_Desmantelamiento" sheetId="17" state="visible" r:id="rId17"/>
    <sheet xmlns:r="http://schemas.openxmlformats.org/officeDocument/2006/relationships" name="14_Roll_forward" sheetId="18" state="visible" r:id="rId18"/>
    <sheet xmlns:r="http://schemas.openxmlformats.org/officeDocument/2006/relationships" name="15_Ajustes" sheetId="19" state="visible" r:id="rId19"/>
    <sheet xmlns:r="http://schemas.openxmlformats.org/officeDocument/2006/relationships" name="16_Problemas" sheetId="20" state="visible" r:id="rId20"/>
    <sheet xmlns:r="http://schemas.openxmlformats.org/officeDocument/2006/relationships" name="13_Conclusion" sheetId="21" state="visible" r:id="rId21"/>
    <sheet xmlns:r="http://schemas.openxmlformats.org/officeDocument/2006/relationships" name="14_Control_Revision" sheetId="22" state="visible" r:id="rId22"/>
  </sheets>
  <definedNames>
    <definedName name="_xlnm.Print_Area" localSheetId="0">'00_Inicio'!$A$1:$L$82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165" fontId="4" fillId="6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3" fontId="12" fillId="0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3" fontId="12" fillId="6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165" fontId="13" fillId="5" borderId="4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'00_Inicio'!O24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'00_Inicio'!$N$25:$N$46</f>
            </numRef>
          </cat>
          <val>
            <numRef>
              <f>'00_Inicio'!$O$25:$O$46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'00_Inicio'!O48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'00_Inicio'!$N$49:$N$56</f>
            </numRef>
          </cat>
          <val>
            <numRef>
              <f>'00_Inicio'!$O$49:$O$56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7740000" cy="6782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62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Auxiliar'!A1" TargetMode="External" Id="rId6"/><Relationship Type="http://schemas.openxmlformats.org/officeDocument/2006/relationships/hyperlink" Target="#'04_Depreciacion'!A1" TargetMode="External" Id="rId7"/><Relationship Type="http://schemas.openxmlformats.org/officeDocument/2006/relationships/hyperlink" Target="#'05_Vidas_residual'!A1" TargetMode="External" Id="rId8"/><Relationship Type="http://schemas.openxmlformats.org/officeDocument/2006/relationships/hyperlink" Target="#'06_Componentes'!A1" TargetMode="External" Id="rId9"/><Relationship Type="http://schemas.openxmlformats.org/officeDocument/2006/relationships/hyperlink" Target="#'07_Bajas'!A1" TargetMode="External" Id="rId10"/><Relationship Type="http://schemas.openxmlformats.org/officeDocument/2006/relationships/hyperlink" Target="#'08_Revaluacion'!A1" TargetMode="External" Id="rId11"/><Relationship Type="http://schemas.openxmlformats.org/officeDocument/2006/relationships/hyperlink" Target="#'09_Deterioro'!A1" TargetMode="External" Id="rId12"/><Relationship Type="http://schemas.openxmlformats.org/officeDocument/2006/relationships/hyperlink" Target="#'10_Adiciones'!A1" TargetMode="External" Id="rId13"/><Relationship Type="http://schemas.openxmlformats.org/officeDocument/2006/relationships/hyperlink" Target="#'11_Prestamos'!A1" TargetMode="External" Id="rId14"/><Relationship Type="http://schemas.openxmlformats.org/officeDocument/2006/relationships/hyperlink" Target="#'12_Capitalizacion'!A1" TargetMode="External" Id="rId15"/><Relationship Type="http://schemas.openxmlformats.org/officeDocument/2006/relationships/hyperlink" Target="#'13_Desmantelamiento'!A1" TargetMode="External" Id="rId16"/><Relationship Type="http://schemas.openxmlformats.org/officeDocument/2006/relationships/hyperlink" Target="#'14_Roll_forward'!A1" TargetMode="External" Id="rId17"/><Relationship Type="http://schemas.openxmlformats.org/officeDocument/2006/relationships/hyperlink" Target="#'15_Ajustes'!A1" TargetMode="External" Id="rId18"/><Relationship Type="http://schemas.openxmlformats.org/officeDocument/2006/relationships/hyperlink" Target="#'16_Problemas'!A1" TargetMode="External" Id="rId19"/><Relationship Type="http://schemas.openxmlformats.org/officeDocument/2006/relationships/hyperlink" Target="#'13_Conclusion'!A1" TargetMode="External" Id="rId20"/><Relationship Type="http://schemas.openxmlformats.org/officeDocument/2006/relationships/hyperlink" Target="#'14_Control_Revision'!A1" TargetMode="External" Id="rId21"/><Relationship Type="http://schemas.openxmlformats.org/officeDocument/2006/relationships/drawing" Target="/xl/drawings/drawing1.xml" Id="rId22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Auxiliar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Depreciacion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Auxiliar'!A1" TargetMode="External" Id="rId2"/><Relationship Type="http://schemas.openxmlformats.org/officeDocument/2006/relationships/hyperlink" Target="#'05_Vidas_residual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Depreciacion'!A1" TargetMode="External" Id="rId2"/><Relationship Type="http://schemas.openxmlformats.org/officeDocument/2006/relationships/hyperlink" Target="#'06_Componentes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Vidas_residual'!A1" TargetMode="External" Id="rId2"/><Relationship Type="http://schemas.openxmlformats.org/officeDocument/2006/relationships/hyperlink" Target="#'07_Bajas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Componentes'!A1" TargetMode="External" Id="rId2"/><Relationship Type="http://schemas.openxmlformats.org/officeDocument/2006/relationships/hyperlink" Target="#'08_Revaluacion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Bajas'!A1" TargetMode="External" Id="rId2"/><Relationship Type="http://schemas.openxmlformats.org/officeDocument/2006/relationships/hyperlink" Target="#'09_Deterioro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Revaluacion'!A1" TargetMode="External" Id="rId2"/><Relationship Type="http://schemas.openxmlformats.org/officeDocument/2006/relationships/hyperlink" Target="#'10_Adiciones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Deterioro'!A1" TargetMode="External" Id="rId2"/><Relationship Type="http://schemas.openxmlformats.org/officeDocument/2006/relationships/hyperlink" Target="#'11_Prestamos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Adiciones'!A1" TargetMode="External" Id="rId2"/><Relationship Type="http://schemas.openxmlformats.org/officeDocument/2006/relationships/hyperlink" Target="#'12_Capitalizacion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Prestamos'!A1" TargetMode="External" Id="rId2"/><Relationship Type="http://schemas.openxmlformats.org/officeDocument/2006/relationships/hyperlink" Target="#'13_Desmantelamiento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Capitalizacion'!A1" TargetMode="External" Id="rId2"/><Relationship Type="http://schemas.openxmlformats.org/officeDocument/2006/relationships/hyperlink" Target="#'14_Roll_forward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Desmantelamiento'!A1" TargetMode="External" Id="rId2"/><Relationship Type="http://schemas.openxmlformats.org/officeDocument/2006/relationships/hyperlink" Target="#'15_Ajustes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4_Roll_forward'!A1" TargetMode="External" Id="rId2"/><Relationship Type="http://schemas.openxmlformats.org/officeDocument/2006/relationships/hyperlink" Target="#'16_Problemas'!A1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5_Ajustes'!A1" TargetMode="External" Id="rId2"/><Relationship Type="http://schemas.openxmlformats.org/officeDocument/2006/relationships/hyperlink" Target="#'13_Conclusion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6_Problemas'!A1" TargetMode="External" Id="rId2"/><Relationship Type="http://schemas.openxmlformats.org/officeDocument/2006/relationships/hyperlink" Target="#'14_Control_Revision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Propiedad, planta y equipo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Efecto neto de los ajustes en resultados</t>
        </is>
      </c>
      <c r="C11" s="7" t="inlineStr">
        <is>
          <t>Problemas encontrados</t>
        </is>
      </c>
    </row>
    <row r="12">
      <c r="B12" s="8" t="n">
        <v>-2852.73</v>
      </c>
      <c r="C12" s="9" t="n">
        <v>16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Auxiliar de activos (datos del cliente)</t>
        </is>
      </c>
      <c r="D17" s="10" t="inlineStr">
        <is>
          <t>Recálculo de depreciación y VNL</t>
        </is>
      </c>
      <c r="E17" s="10" t="inlineStr">
        <is>
          <t>Vidas útiles, residual y método</t>
        </is>
      </c>
    </row>
    <row r="18" ht="32" customHeight="1">
      <c r="B18" s="10" t="inlineStr">
        <is>
          <t>Componentes</t>
        </is>
      </c>
      <c r="C18" s="10" t="inlineStr">
        <is>
          <t>Bajas</t>
        </is>
      </c>
      <c r="D18" s="10" t="inlineStr">
        <is>
          <t>Revaluación</t>
        </is>
      </c>
      <c r="E18" s="10" t="inlineStr">
        <is>
          <t>Deterioro</t>
        </is>
      </c>
    </row>
    <row r="19" ht="32" customHeight="1">
      <c r="B19" s="10" t="inlineStr">
        <is>
          <t>Adiciones y costos por préstamos</t>
        </is>
      </c>
      <c r="C19" s="10" t="inlineStr">
        <is>
          <t>Préstamos para la construcción</t>
        </is>
      </c>
      <c r="D19" s="10" t="inlineStr">
        <is>
          <t>Capitalización de costos por préstamos por activo</t>
        </is>
      </c>
      <c r="E19" s="10" t="inlineStr">
        <is>
          <t>Desmantelamiento</t>
        </is>
      </c>
    </row>
    <row r="20" ht="32" customHeight="1">
      <c r="B20" s="10" t="inlineStr">
        <is>
          <t>Movimiento del año y conciliación auxiliar-mayor</t>
        </is>
      </c>
      <c r="C20" s="10" t="inlineStr">
        <is>
          <t>Ajustes propuestos</t>
        </is>
      </c>
      <c r="D20" s="10" t="inlineStr">
        <is>
          <t>Problemas encontrados</t>
        </is>
      </c>
      <c r="E20" s="10" t="inlineStr">
        <is>
          <t>Conclusión</t>
        </is>
      </c>
    </row>
    <row r="21" ht="32" customHeight="1">
      <c r="B21" s="10" t="inlineStr">
        <is>
          <t>Control de revisión</t>
        </is>
      </c>
    </row>
    <row r="23">
      <c r="B23" s="6" t="inlineStr">
        <is>
          <t>PANORAMA</t>
        </is>
      </c>
      <c r="N23" s="11" t="inlineStr">
        <is>
          <t>Datos de los gráficos (fórmulas a las cédulas)</t>
        </is>
      </c>
    </row>
    <row r="24">
      <c r="N24" s="12" t="inlineStr">
        <is>
          <t>Cifras del resumen</t>
        </is>
      </c>
      <c r="O24" s="12" t="inlineStr">
        <is>
          <t>Importe (USD)</t>
        </is>
      </c>
    </row>
    <row r="25">
      <c r="N25" s="12">
        <f>'01_Resumen'!A5</f>
        <v/>
      </c>
      <c r="O25" s="13">
        <f>'01_Resumen'!B5</f>
        <v/>
      </c>
    </row>
    <row r="26">
      <c r="N26" s="12">
        <f>'01_Resumen'!A6</f>
        <v/>
      </c>
      <c r="O26" s="13">
        <f>'01_Resumen'!B6</f>
        <v/>
      </c>
    </row>
    <row r="27">
      <c r="N27" s="12">
        <f>'01_Resumen'!A7</f>
        <v/>
      </c>
      <c r="O27" s="13">
        <f>'01_Resumen'!B7</f>
        <v/>
      </c>
    </row>
    <row r="28">
      <c r="N28" s="12">
        <f>'01_Resumen'!A8</f>
        <v/>
      </c>
      <c r="O28" s="13">
        <f>'01_Resumen'!B8</f>
        <v/>
      </c>
    </row>
    <row r="29">
      <c r="N29" s="12">
        <f>'01_Resumen'!A9</f>
        <v/>
      </c>
      <c r="O29" s="13">
        <f>'01_Resumen'!B9</f>
        <v/>
      </c>
    </row>
    <row r="30">
      <c r="N30" s="12">
        <f>'01_Resumen'!A10</f>
        <v/>
      </c>
      <c r="O30" s="13">
        <f>'01_Resumen'!B10</f>
        <v/>
      </c>
    </row>
    <row r="31">
      <c r="N31" s="12">
        <f>'01_Resumen'!A11</f>
        <v/>
      </c>
      <c r="O31" s="13">
        <f>'01_Resumen'!B11</f>
        <v/>
      </c>
    </row>
    <row r="32">
      <c r="N32" s="12">
        <f>'01_Resumen'!A12</f>
        <v/>
      </c>
      <c r="O32" s="13">
        <f>'01_Resumen'!B12</f>
        <v/>
      </c>
    </row>
    <row r="33">
      <c r="N33" s="12">
        <f>'01_Resumen'!A13</f>
        <v/>
      </c>
      <c r="O33" s="13">
        <f>'01_Resumen'!B13</f>
        <v/>
      </c>
    </row>
    <row r="34">
      <c r="N34" s="12">
        <f>'01_Resumen'!A14</f>
        <v/>
      </c>
      <c r="O34" s="13">
        <f>'01_Resumen'!B14</f>
        <v/>
      </c>
    </row>
    <row r="35">
      <c r="N35" s="12">
        <f>'01_Resumen'!A15</f>
        <v/>
      </c>
      <c r="O35" s="13">
        <f>'01_Resumen'!B15</f>
        <v/>
      </c>
    </row>
    <row r="36">
      <c r="N36" s="12">
        <f>'01_Resumen'!A16</f>
        <v/>
      </c>
      <c r="O36" s="13">
        <f>'01_Resumen'!B16</f>
        <v/>
      </c>
    </row>
    <row r="37">
      <c r="N37" s="12">
        <f>'01_Resumen'!A17</f>
        <v/>
      </c>
      <c r="O37" s="13">
        <f>'01_Resumen'!B17</f>
        <v/>
      </c>
    </row>
    <row r="38">
      <c r="N38" s="12">
        <f>'01_Resumen'!A18</f>
        <v/>
      </c>
      <c r="O38" s="13">
        <f>'01_Resumen'!B18</f>
        <v/>
      </c>
    </row>
    <row r="39">
      <c r="N39" s="12">
        <f>'01_Resumen'!A19</f>
        <v/>
      </c>
      <c r="O39" s="13">
        <f>'01_Resumen'!B19</f>
        <v/>
      </c>
    </row>
    <row r="40">
      <c r="N40" s="12">
        <f>'01_Resumen'!A20</f>
        <v/>
      </c>
      <c r="O40" s="13">
        <f>'01_Resumen'!B20</f>
        <v/>
      </c>
    </row>
    <row r="41">
      <c r="N41" s="12">
        <f>'01_Resumen'!A21</f>
        <v/>
      </c>
      <c r="O41" s="13">
        <f>'01_Resumen'!B21</f>
        <v/>
      </c>
    </row>
    <row r="42">
      <c r="N42" s="12">
        <f>'01_Resumen'!A22</f>
        <v/>
      </c>
      <c r="O42" s="13">
        <f>'01_Resumen'!B22</f>
        <v/>
      </c>
    </row>
    <row r="43">
      <c r="N43" s="12">
        <f>'01_Resumen'!A23</f>
        <v/>
      </c>
      <c r="O43" s="13">
        <f>'01_Resumen'!B23</f>
        <v/>
      </c>
    </row>
    <row r="44">
      <c r="N44" s="12">
        <f>'01_Resumen'!A24</f>
        <v/>
      </c>
      <c r="O44" s="13">
        <f>'01_Resumen'!B24</f>
        <v/>
      </c>
    </row>
    <row r="45">
      <c r="N45" s="12">
        <f>'01_Resumen'!A25</f>
        <v/>
      </c>
      <c r="O45" s="13">
        <f>'01_Resumen'!B25</f>
        <v/>
      </c>
    </row>
    <row r="46">
      <c r="N46" s="12">
        <f>'01_Resumen'!A26</f>
        <v/>
      </c>
      <c r="O46" s="13">
        <f>'01_Resumen'!B26</f>
        <v/>
      </c>
    </row>
    <row r="48">
      <c r="N48" s="12" t="inlineStr">
        <is>
          <t>Hallazgos de mayor impacto</t>
        </is>
      </c>
      <c r="O48" s="12" t="inlineStr">
        <is>
          <t>Importe (USD)</t>
        </is>
      </c>
    </row>
    <row r="49">
      <c r="N49" s="12" t="inlineStr">
        <is>
          <t>Revaluacion sin decremento previo</t>
        </is>
      </c>
      <c r="O49" s="13">
        <f>SUMIFS('16_Problemas'!$C$5:$C$20,'16_Problemas'!$A$5:$A$20,"REVALUACION_SIN_DECREMENTO_PREVIO",'16_Problemas'!$C$5:$C$20,"&gt;0")-SUMIFS('16_Problemas'!$C$5:$C$20,'16_Problemas'!$A$5:$A$20,"REVALUACION_SIN_DECREMENTO_PREVIO",'16_Problemas'!$C$5:$C$20,"&lt;0")</f>
        <v/>
      </c>
    </row>
    <row r="50">
      <c r="N50" s="12" t="inlineStr">
        <is>
          <t>Totalmente depreciado en uso</t>
        </is>
      </c>
      <c r="O50" s="13">
        <f>SUMIFS('16_Problemas'!$C$5:$C$20,'16_Problemas'!$A$5:$A$20,"TOTALMENTE_DEPRECIADO_EN_USO",'16_Problemas'!$C$5:$C$20,"&gt;0")-SUMIFS('16_Problemas'!$C$5:$C$20,'16_Problemas'!$A$5:$A$20,"TOTALMENTE_DEPRECIADO_EN_USO",'16_Problemas'!$C$5:$C$20,"&lt;0")</f>
        <v/>
      </c>
    </row>
    <row r="51">
      <c r="N51" s="12" t="inlineStr">
        <is>
          <t>Desmantelamiento no reconocido</t>
        </is>
      </c>
      <c r="O51" s="13">
        <f>SUMIFS('16_Problemas'!$C$5:$C$20,'16_Problemas'!$A$5:$A$20,"DESMANTELAMIENTO_NO_RECONOCIDO",'16_Problemas'!$C$5:$C$20,"&gt;0")-SUMIFS('16_Problemas'!$C$5:$C$20,'16_Problemas'!$A$5:$A$20,"DESMANTELAMIENTO_NO_RECONOCIDO",'16_Problemas'!$C$5:$C$20,"&lt;0")</f>
        <v/>
      </c>
    </row>
    <row r="52">
      <c r="N52" s="12" t="inlineStr">
        <is>
          <t>Deterioro</t>
        </is>
      </c>
      <c r="O52" s="13">
        <f>SUMIFS('16_Problemas'!$C$5:$C$20,'16_Problemas'!$A$5:$A$20,"DETERIORO",'16_Problemas'!$C$5:$C$20,"&gt;0")-SUMIFS('16_Problemas'!$C$5:$C$20,'16_Problemas'!$A$5:$A$20,"DETERIORO",'16_Problemas'!$C$5:$C$20,"&lt;0")</f>
        <v/>
      </c>
    </row>
    <row r="53">
      <c r="N53" s="12" t="inlineStr">
        <is>
          <t>Adicion gasto capitalizado</t>
        </is>
      </c>
      <c r="O53" s="13">
        <f>SUMIFS('16_Problemas'!$C$5:$C$20,'16_Problemas'!$A$5:$A$20,"ADICION_GASTO_CAPITALIZADO",'16_Problemas'!$C$5:$C$20,"&gt;0")-SUMIFS('16_Problemas'!$C$5:$C$20,'16_Problemas'!$A$5:$A$20,"ADICION_GASTO_CAPITALIZADO",'16_Problemas'!$C$5:$C$20,"&lt;0")</f>
        <v/>
      </c>
    </row>
    <row r="54">
      <c r="N54" s="12" t="inlineStr">
        <is>
          <t>Intereses diferencia</t>
        </is>
      </c>
      <c r="O54" s="13">
        <f>SUMIFS('16_Problemas'!$C$5:$C$20,'16_Problemas'!$A$5:$A$20,"INTERESES_DIFERENCIA",'16_Problemas'!$C$5:$C$20,"&gt;0")-SUMIFS('16_Problemas'!$C$5:$C$20,'16_Problemas'!$A$5:$A$20,"INTERESES_DIFERENCIA",'16_Problemas'!$C$5:$C$20,"&lt;0")</f>
        <v/>
      </c>
    </row>
    <row r="55">
      <c r="N55" s="12" t="inlineStr">
        <is>
          <t>Depreciacion diferente (×3)</t>
        </is>
      </c>
      <c r="O55" s="13">
        <f>SUMIFS('16_Problemas'!$C$5:$C$20,'16_Problemas'!$A$5:$A$20,"DEPRECIACION_DIFERENTE",'16_Problemas'!$C$5:$C$20,"&gt;0")-SUMIFS('16_Problemas'!$C$5:$C$20,'16_Problemas'!$A$5:$A$20,"DEPRECIACION_DIFERENTE",'16_Problemas'!$C$5:$C$20,"&lt;0")</f>
        <v/>
      </c>
    </row>
    <row r="56">
      <c r="N56" s="12" t="inlineStr">
        <is>
          <t>Otros (3 tipos)</t>
        </is>
      </c>
      <c r="O56" s="13">
        <f>SUMIF('16_Problemas'!$C$5:$C$20,"&gt;0")-SUMIF('16_Problemas'!$C$5:$C$20,"&lt;0")-((SUMIFS('16_Problemas'!$C$5:$C$20,'16_Problemas'!$A$5:$A$20,"REVALUACION_SIN_DECREMENTO_PREVIO",'16_Problemas'!$C$5:$C$20,"&gt;0")-SUMIFS('16_Problemas'!$C$5:$C$20,'16_Problemas'!$A$5:$A$20,"REVALUACION_SIN_DECREMENTO_PREVIO",'16_Problemas'!$C$5:$C$20,"&lt;0"))+(SUMIFS('16_Problemas'!$C$5:$C$20,'16_Problemas'!$A$5:$A$20,"TOTALMENTE_DEPRECIADO_EN_USO",'16_Problemas'!$C$5:$C$20,"&gt;0")-SUMIFS('16_Problemas'!$C$5:$C$20,'16_Problemas'!$A$5:$A$20,"TOTALMENTE_DEPRECIADO_EN_USO",'16_Problemas'!$C$5:$C$20,"&lt;0"))+(SUMIFS('16_Problemas'!$C$5:$C$20,'16_Problemas'!$A$5:$A$20,"DESMANTELAMIENTO_NO_RECONOCIDO",'16_Problemas'!$C$5:$C$20,"&gt;0")-SUMIFS('16_Problemas'!$C$5:$C$20,'16_Problemas'!$A$5:$A$20,"DESMANTELAMIENTO_NO_RECONOCIDO",'16_Problemas'!$C$5:$C$20,"&lt;0"))+(SUMIFS('16_Problemas'!$C$5:$C$20,'16_Problemas'!$A$5:$A$20,"DETERIORO",'16_Problemas'!$C$5:$C$20,"&gt;0")-SUMIFS('16_Problemas'!$C$5:$C$20,'16_Problemas'!$A$5:$A$20,"DETERIORO",'16_Problemas'!$C$5:$C$20,"&lt;0"))+(SUMIFS('16_Problemas'!$C$5:$C$20,'16_Problemas'!$A$5:$A$20,"ADICION_GASTO_CAPITALIZADO",'16_Problemas'!$C$5:$C$20,"&gt;0")-SUMIFS('16_Problemas'!$C$5:$C$20,'16_Problemas'!$A$5:$A$20,"ADICION_GASTO_CAPITALIZADO",'16_Problemas'!$C$5:$C$20,"&lt;0"))+(SUMIFS('16_Problemas'!$C$5:$C$20,'16_Problemas'!$A$5:$A$20,"INTERESES_DIFERENCIA",'16_Problemas'!$C$5:$C$20,"&gt;0")-SUMIFS('16_Problemas'!$C$5:$C$20,'16_Problemas'!$A$5:$A$20,"INTERESES_DIFERENCIA",'16_Problemas'!$C$5:$C$20,"&lt;0"))+(SUMIFS('16_Problemas'!$C$5:$C$20,'16_Problemas'!$A$5:$A$20,"DEPRECIACION_DIFERENTE",'16_Problemas'!$C$5:$C$20,"&gt;0")-SUMIFS('16_Problemas'!$C$5:$C$20,'16_Problemas'!$A$5:$A$20,"DEPRECIACION_DIFERENTE",'16_Problemas'!$C$5:$C$20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  <hyperlink xmlns:r="http://schemas.openxmlformats.org/officeDocument/2006/relationships" ref="D20" r:id="rId19"/>
    <hyperlink xmlns:r="http://schemas.openxmlformats.org/officeDocument/2006/relationships" ref="E20" r:id="rId20"/>
    <hyperlink xmlns:r="http://schemas.openxmlformats.org/officeDocument/2006/relationships" ref="B21" r:id="rId21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2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Propiedad, planta y equipo</t>
        </is>
      </c>
    </row>
    <row r="12">
      <c r="A12" s="19" t="inlineStr">
        <is>
          <t>Rubro</t>
        </is>
      </c>
      <c r="B12" s="19" t="inlineStr">
        <is>
          <t>Propiedad, planta y equipo</t>
        </is>
      </c>
    </row>
    <row r="13">
      <c r="A13" s="18" t="inlineStr">
        <is>
          <t>Motor</t>
        </is>
      </c>
      <c r="B13" s="18" t="inlineStr">
        <is>
          <t>ppe_propiedad_planta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8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PPE-01</t>
        </is>
      </c>
      <c r="B5" s="18" t="inlineStr">
        <is>
          <t>Conciliación auxiliar-mayor</t>
        </is>
      </c>
      <c r="C5" s="18" t="inlineStr">
        <is>
          <t>Integridad</t>
        </is>
      </c>
      <c r="D5" s="18" t="inlineStr">
        <is>
          <t>Movimiento del año del costo y la depreciación acumulada y conciliación con el mayor</t>
        </is>
      </c>
      <c r="E5" s="18" t="inlineStr">
        <is>
          <t>Auxiliar y mayor</t>
        </is>
      </c>
      <c r="F5" s="18" t="inlineStr">
        <is>
          <t>Diferencia dentro de tolerancia o explicada</t>
        </is>
      </c>
      <c r="G5" s="18" t="inlineStr">
        <is>
          <t>NIA 500 · NIA 510</t>
        </is>
      </c>
    </row>
    <row r="6">
      <c r="A6" s="19" t="inlineStr">
        <is>
          <t>PPE-02</t>
        </is>
      </c>
      <c r="B6" s="19" t="inlineStr">
        <is>
          <t>Adiciones</t>
        </is>
      </c>
      <c r="C6" s="19" t="inlineStr">
        <is>
          <t>Existencia / Clasificación</t>
        </is>
      </c>
      <c r="D6" s="19" t="inlineStr">
        <is>
          <t>Examinar las adiciones y separar capital de gasto (reparación y mantenimiento)</t>
        </is>
      </c>
      <c r="E6" s="19" t="inlineStr">
        <is>
          <t>Facturas, contratos, actas de recepción</t>
        </is>
      </c>
      <c r="F6" s="19" t="inlineStr">
        <is>
          <t>Solo costos que cumplen NIC 16.7 y 16.16</t>
        </is>
      </c>
      <c r="G6" s="19" t="inlineStr">
        <is>
          <t>NIC 16.12, 16 · PYMES 17.6, 17.10, 17.15</t>
        </is>
      </c>
    </row>
    <row r="7">
      <c r="A7" s="18" t="inlineStr">
        <is>
          <t>PPE-03</t>
        </is>
      </c>
      <c r="B7" s="18" t="inlineStr">
        <is>
          <t>Depreciación</t>
        </is>
      </c>
      <c r="C7" s="18" t="inlineStr">
        <is>
          <t>Valoración</t>
        </is>
      </c>
      <c r="D7" s="18" t="inlineStr">
        <is>
          <t>Recalcular la depreciación por activo desde la fecha disponible para uso</t>
        </is>
      </c>
      <c r="E7" s="18" t="inlineStr">
        <is>
          <t>Auxiliar</t>
        </is>
      </c>
      <c r="F7" s="18" t="inlineStr">
        <is>
          <t>Diferencias dentro de tolerancia</t>
        </is>
      </c>
      <c r="G7" s="18" t="inlineStr">
        <is>
          <t>NIC 16.50–62 · PYMES 17.18–17.23</t>
        </is>
      </c>
    </row>
    <row r="8">
      <c r="A8" s="19" t="inlineStr">
        <is>
          <t>PPE-04</t>
        </is>
      </c>
      <c r="B8" s="19" t="inlineStr">
        <is>
          <t>Vidas útiles, residual, método y componentes</t>
        </is>
      </c>
      <c r="C8" s="19" t="inlineStr">
        <is>
          <t>Valoración</t>
        </is>
      </c>
      <c r="D8" s="19" t="inlineStr">
        <is>
          <t>Revisar activos totalmente depreciados en uso, residuales y partes significativas</t>
        </is>
      </c>
      <c r="E8" s="19" t="inlineStr">
        <is>
          <t>Política contable, informes técnicos</t>
        </is>
      </c>
      <c r="F8" s="19" t="inlineStr">
        <is>
          <t>NIIF: revisadas al cierre (NIC 16.51, 61); PYMES: si hay indicios (17.19)</t>
        </is>
      </c>
      <c r="G8" s="19" t="inlineStr">
        <is>
          <t>NIC 16.43–47, 51, 61 · PYMES 17.16, 17.19</t>
        </is>
      </c>
    </row>
    <row r="9">
      <c r="A9" s="18" t="inlineStr">
        <is>
          <t>PPE-05</t>
        </is>
      </c>
      <c r="B9" s="18" t="inlineStr">
        <is>
          <t>Bajas</t>
        </is>
      </c>
      <c r="C9" s="18" t="inlineStr">
        <is>
          <t>Exactitud</t>
        </is>
      </c>
      <c r="D9" s="18" t="inlineStr">
        <is>
          <t>Recalcular el valor neto en libros a la baja y la ganancia o pérdida</t>
        </is>
      </c>
      <c r="E9" s="18" t="inlineStr">
        <is>
          <t>Facturas de venta, actas de baja</t>
        </is>
      </c>
      <c r="F9" s="18" t="inlineStr">
        <is>
          <t>Resultado recalculado igual al registrado</t>
        </is>
      </c>
      <c r="G9" s="18" t="inlineStr">
        <is>
          <t>NIC 16.67–72 · PYMES 17.27–17.30</t>
        </is>
      </c>
    </row>
    <row r="10">
      <c r="A10" s="19" t="inlineStr">
        <is>
          <t>PPE-06</t>
        </is>
      </c>
      <c r="B10" s="19" t="inlineStr">
        <is>
          <t>Revaluación</t>
        </is>
      </c>
      <c r="C10" s="19" t="inlineStr">
        <is>
          <t>Valoración</t>
        </is>
      </c>
      <c r="D10" s="19" t="inlineStr">
        <is>
          <t>Comparar el valor revaluado con el VNL y distribuir entre ORI y resultados</t>
        </is>
      </c>
      <c r="E10" s="19" t="inlineStr">
        <is>
          <t>Informe del perito</t>
        </is>
      </c>
      <c r="F10" s="19" t="inlineStr">
        <is>
          <t>Tratamiento según NIC 16.39–40</t>
        </is>
      </c>
      <c r="G10" s="19" t="inlineStr">
        <is>
          <t>NIC 16.31–42 · PYMES 17.15–17.15D · NIA 620</t>
        </is>
      </c>
    </row>
    <row r="11">
      <c r="A11" s="18" t="inlineStr">
        <is>
          <t>PPE-07</t>
        </is>
      </c>
      <c r="B11" s="18" t="inlineStr">
        <is>
          <t>Deterioro</t>
        </is>
      </c>
      <c r="C11" s="18" t="inlineStr">
        <is>
          <t>Valoración</t>
        </is>
      </c>
      <c r="D11" s="18" t="inlineStr">
        <is>
          <t>Comparar el importe en libros con el importe recuperable</t>
        </is>
      </c>
      <c r="E11" s="18" t="inlineStr">
        <is>
          <t>Cálculo de valor en uso o valor razonable</t>
        </is>
      </c>
      <c r="F11" s="18" t="inlineStr">
        <is>
          <t>Pérdida reconocida</t>
        </is>
      </c>
      <c r="G11" s="18" t="inlineStr">
        <is>
          <t>NIC 36.59–61 · PYMES 27.5–27.6 (si el activo está revaluado, primero contra el superávit) · NIA 540</t>
        </is>
      </c>
    </row>
    <row r="12">
      <c r="A12" s="19" t="inlineStr">
        <is>
          <t>PPE-08</t>
        </is>
      </c>
      <c r="B12" s="19" t="inlineStr">
        <is>
          <t>Costos por préstamos</t>
        </is>
      </c>
      <c r="C12" s="19" t="inlineStr">
        <is>
          <t>Valoración / Clasificación</t>
        </is>
      </c>
      <c r="D12" s="19" t="inlineStr">
        <is>
          <t>Separar préstamos específicos y generales; recalcular por activo el capitalizable (específico: costo real menos los rendimientos de la inversión temporal; generales: tasa de capitalización) y comprobar el tope de los costos incurridos en el período (NIIF completas); en PYMES reversar lo capitalizado</t>
        </is>
      </c>
      <c r="E12" s="19" t="inlineStr">
        <is>
          <t>Contratos de préstamo, tablas de amortización, mayor de gasto financiero y de rendimientos de inversiones temporales</t>
        </is>
      </c>
      <c r="F12" s="19" t="inlineStr">
        <is>
          <t>NIC 23.12, 14 (incluido el tope) / Sección 25.2</t>
        </is>
      </c>
      <c r="G12" s="19" t="inlineStr">
        <is>
          <t>NIC 23 · PYMES 25</t>
        </is>
      </c>
    </row>
    <row r="13">
      <c r="A13" s="18" t="inlineStr">
        <is>
          <t>PPE-09</t>
        </is>
      </c>
      <c r="B13" s="18" t="inlineStr">
        <is>
          <t>Desmantelamiento</t>
        </is>
      </c>
      <c r="C13" s="18" t="inlineStr">
        <is>
          <t>Integridad / Valoración</t>
        </is>
      </c>
      <c r="D13" s="18" t="inlineStr">
        <is>
          <t>Recalcular el valor presente de la obligación y compararlo con la provisión</t>
        </is>
      </c>
      <c r="E13" s="18" t="inlineStr">
        <is>
          <t>Contratos, permisos ambientales, estimación técnica</t>
        </is>
      </c>
      <c r="F13" s="18" t="inlineStr">
        <is>
          <t>Provisión igual al valor presente</t>
        </is>
      </c>
      <c r="G13" s="18" t="inlineStr">
        <is>
          <t>NIC 16.16 c · NIC 37.45–47 · CINIIF 1 · Sección 21 (21.7 b)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8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500</t>
        </is>
      </c>
      <c r="B5" s="18" t="inlineStr">
        <is>
          <t>Evidencia suficiente y adecuada sobre existencia, integridad y valoración del auxiliar.</t>
        </is>
      </c>
      <c r="C5" s="18" t="inlineStr">
        <is>
          <t>párr. 6–9</t>
        </is>
      </c>
      <c r="D5" s="18" t="inlineStr"/>
      <c r="E5" s="18" t="inlineStr"/>
    </row>
    <row r="6">
      <c r="A6" s="19" t="inlineStr">
        <is>
          <t>NIA · NIA 510</t>
        </is>
      </c>
      <c r="B6" s="19" t="inlineStr">
        <is>
          <t>Saldos iniciales: el costo y la depreciación acumulada iniciales se concilian con el cierre anterior; aplica en encargos iniciales; en recurrentes NIA 500/330.</t>
        </is>
      </c>
      <c r="C6" s="19" t="inlineStr">
        <is>
          <t>párr. 6</t>
        </is>
      </c>
      <c r="D6" s="19" t="inlineStr"/>
      <c r="E6" s="19" t="inlineStr"/>
    </row>
    <row r="7">
      <c r="A7" s="18" t="inlineStr">
        <is>
          <t>NIA · NIA 540 (Revisada)</t>
        </is>
      </c>
      <c r="B7" s="18" t="inlineStr">
        <is>
          <t>Estimaciones: vidas útiles, residuales, importe recuperable, valor razonable y desmantelamiento.</t>
        </is>
      </c>
      <c r="C7" s="18" t="inlineStr">
        <is>
          <t>párr. 13–30 y 32</t>
        </is>
      </c>
      <c r="D7" s="18" t="inlineStr"/>
      <c r="E7" s="18" t="inlineStr"/>
    </row>
    <row r="8">
      <c r="A8" s="19" t="inlineStr">
        <is>
          <t>NIA · NIA 500</t>
        </is>
      </c>
      <c r="B8" s="19" t="inlineStr">
        <is>
          <t>Inspección física de activos tangibles.</t>
        </is>
      </c>
      <c r="C8" s="19" t="inlineStr">
        <is>
          <t>párr. A18 y A20</t>
        </is>
      </c>
      <c r="D8" s="19" t="inlineStr"/>
      <c r="E8" s="19" t="inlineStr"/>
    </row>
    <row r="9">
      <c r="A9" s="18" t="inlineStr">
        <is>
          <t>NIA · NIA 500</t>
        </is>
      </c>
      <c r="B9" s="18" t="inlineStr">
        <is>
          <t>Perito de la dirección (NIA 620 solo si lo contrata el auditor): evaluar su trabajo en revaluaciones y deterioro.</t>
        </is>
      </c>
      <c r="C9" s="18" t="inlineStr">
        <is>
          <t>párr. 8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Costo al cierre (auxiliar)</t>
        </is>
      </c>
      <c r="B5" s="20">
        <f>'14_Roll_forward'!B8</f>
        <v/>
      </c>
    </row>
    <row r="6">
      <c r="A6" s="19" t="inlineStr">
        <is>
          <t>Depreciación del año recalculada</t>
        </is>
      </c>
      <c r="B6" s="21">
        <f>SUM('04_Depreciacion'!$E$5:$E$14)</f>
        <v/>
      </c>
    </row>
    <row r="7">
      <c r="A7" s="18" t="inlineStr">
        <is>
          <t>Depreciación del año registrada</t>
        </is>
      </c>
      <c r="B7" s="20">
        <f>'14_Roll_forward'!B12</f>
        <v/>
      </c>
    </row>
    <row r="8">
      <c r="A8" s="19" t="inlineStr">
        <is>
          <t>Diferencia de depreciación (recalculada − registrada)</t>
        </is>
      </c>
      <c r="B8" s="21">
        <f>'15_Ajustes'!B5</f>
        <v/>
      </c>
    </row>
    <row r="9">
      <c r="A9" s="18" t="inlineStr">
        <is>
          <t>Valor neto en libros recalculado (activos medidos)</t>
        </is>
      </c>
      <c r="B9" s="20">
        <f>'14_Roll_forward'!B18</f>
        <v/>
      </c>
    </row>
    <row r="10">
      <c r="A10" s="19" t="inlineStr">
        <is>
          <t>Pérdida por deterioro adicional</t>
        </is>
      </c>
      <c r="B10" s="21">
        <f>SUM('09_Deterioro'!$E$5:$E$5)</f>
        <v/>
      </c>
    </row>
    <row r="11">
      <c r="A11" s="18" t="inlineStr">
        <is>
          <t>Deterioro contra el superávit de revaluación (ORI)</t>
        </is>
      </c>
      <c r="B11" s="20">
        <f>'15_Ajustes'!B11</f>
        <v/>
      </c>
    </row>
    <row r="12">
      <c r="A12" s="19" t="inlineStr">
        <is>
          <t>Deterioro a resultados</t>
        </is>
      </c>
      <c r="B12" s="21">
        <f>'15_Ajustes'!B6</f>
        <v/>
      </c>
    </row>
    <row r="13">
      <c r="A13" s="18" t="inlineStr">
        <is>
          <t>Diferencia en resultado de bajas</t>
        </is>
      </c>
      <c r="B13" s="20">
        <f>'15_Ajustes'!B7</f>
        <v/>
      </c>
    </row>
    <row r="14">
      <c r="A14" s="19" t="inlineStr">
        <is>
          <t>Capitalizable de préstamos específicos (NIC 23.12)</t>
        </is>
      </c>
      <c r="B14" s="21">
        <f>'12_Capitalizacion'!E6</f>
        <v/>
      </c>
    </row>
    <row r="15">
      <c r="A15" s="18" t="inlineStr">
        <is>
          <t>Capitalizable de préstamos generales (NIC 23.14)</t>
        </is>
      </c>
      <c r="B15" s="20">
        <f>'12_Capitalizacion'!I6</f>
        <v/>
      </c>
    </row>
    <row r="16">
      <c r="A16" s="19" t="inlineStr">
        <is>
          <t>Costos por préstamos incurridos en el período (tope NIC 23.14)</t>
        </is>
      </c>
      <c r="B16" s="21">
        <f>'11_Prestamos'!G8</f>
        <v/>
      </c>
    </row>
    <row r="17">
      <c r="A17" s="18" t="inlineStr">
        <is>
          <t>Costos por préstamos capitalizables del período (después del tope)</t>
        </is>
      </c>
      <c r="B17" s="20">
        <f>'12_Capitalizacion'!L6</f>
        <v/>
      </c>
    </row>
    <row r="18">
      <c r="A18" s="19" t="inlineStr">
        <is>
          <t>Ajuste de intereses capitalizados</t>
        </is>
      </c>
      <c r="B18" s="21">
        <f>'15_Ajustes'!B8</f>
        <v/>
      </c>
    </row>
    <row r="19">
      <c r="A19" s="18" t="inlineStr">
        <is>
          <t>Revaluación a otro resultado integral</t>
        </is>
      </c>
      <c r="B19" s="20">
        <f>'15_Ajustes'!B9</f>
        <v/>
      </c>
    </row>
    <row r="20">
      <c r="A20" s="19" t="inlineStr">
        <is>
          <t>Revaluación a resultados</t>
        </is>
      </c>
      <c r="B20" s="21">
        <f>'15_Ajustes'!B10</f>
        <v/>
      </c>
    </row>
    <row r="21">
      <c r="A21" s="18" t="inlineStr">
        <is>
          <t>Provisión de desmantelamiento (valor presente)</t>
        </is>
      </c>
      <c r="B21" s="20">
        <f>'13_Desmantelamiento'!B8</f>
        <v/>
      </c>
    </row>
    <row r="22">
      <c r="A22" s="19" t="inlineStr">
        <is>
          <t>Desmantelamiento: cambio de estimación (contra el costo del activo)</t>
        </is>
      </c>
      <c r="B22" s="21">
        <f>'15_Ajustes'!B12</f>
        <v/>
      </c>
    </row>
    <row r="23">
      <c r="A23" s="18" t="inlineStr">
        <is>
          <t>Desmantelamiento: actualización financiera del período (costo financiero)</t>
        </is>
      </c>
      <c r="B23" s="20">
        <f>'15_Ajustes'!B13</f>
        <v/>
      </c>
    </row>
    <row r="24">
      <c r="A24" s="19" t="inlineStr">
        <is>
          <t>Diferencia auxiliar − mayor (costo)</t>
        </is>
      </c>
      <c r="B24" s="21">
        <f>'14_Roll_forward'!B10</f>
        <v/>
      </c>
    </row>
    <row r="25">
      <c r="A25" s="18" t="inlineStr">
        <is>
          <t>Diferencia auxiliar − mayor (depreciación acumulada)</t>
        </is>
      </c>
      <c r="B25" s="20">
        <f>'14_Roll_forward'!B16</f>
        <v/>
      </c>
    </row>
    <row r="26">
      <c r="A26" s="19" t="inlineStr">
        <is>
          <t>Efecto neto de los ajustes en resultados</t>
        </is>
      </c>
      <c r="B26" s="21">
        <f>'15_Ajustes'!B14</f>
        <v/>
      </c>
    </row>
    <row r="28">
      <c r="A28" s="22" t="inlineStr">
        <is>
          <t>ⓘ  Cómo se calcula esta hoja</t>
        </is>
      </c>
    </row>
    <row r="29">
      <c r="A29" s="23" t="inlineStr">
        <is>
          <t>Columna</t>
        </is>
      </c>
      <c r="B29" s="23" t="inlineStr">
        <is>
          <t>Fórmula (Excel)</t>
        </is>
      </c>
      <c r="C29" s="23" t="inlineStr">
        <is>
          <t>Cómo se calcula (sencillo)</t>
        </is>
      </c>
      <c r="D29" s="23" t="inlineStr">
        <is>
          <t>Ejemplo con números reales</t>
        </is>
      </c>
      <c r="E29" s="23" t="inlineStr">
        <is>
          <t>De dónde viene</t>
        </is>
      </c>
      <c r="F29" s="23" t="inlineStr">
        <is>
          <t>Norma</t>
        </is>
      </c>
    </row>
    <row r="30">
      <c r="A30" s="24" t="inlineStr">
        <is>
          <t>Importe</t>
        </is>
      </c>
      <c r="B30" s="25" t="inlineStr">
        <is>
          <t>'='14_Roll_forward'!B8</t>
        </is>
      </c>
      <c r="C30" s="24" t="inlineStr">
        <is>
          <t>Trae cada concepto de su hoja: costo y diferencias con el mayor de la hoja 14 (Movimiento del año), depreciación de las hojas 04 y 14, ajustes de la hoja 15 (Ajustes propuestos), deterioro de la hoja 09, costos por préstamos de las hojas 11 y 12 y desmantelamiento de la hoja 13.</t>
        </is>
      </c>
      <c r="D30" s="24" t="inlineStr">
        <is>
          <t>Fila 1: 1.297.000,00 → 1.297.000,00</t>
        </is>
      </c>
      <c r="E30" s="24" t="inlineStr">
        <is>
          <t>hoja «Movimiento del año y conciliación auxiliar-mayor»</t>
        </is>
      </c>
      <c r="F30" s="24" t="inlineStr">
        <is>
          <t>—</t>
        </is>
      </c>
    </row>
  </sheetData>
  <mergeCells count="3">
    <mergeCell ref="A2:F2"/>
    <mergeCell ref="A1:F1"/>
    <mergeCell ref="A28:F28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Inicio del ejercicio</t>
        </is>
      </c>
      <c r="B6" s="27" t="n">
        <v>45658</v>
      </c>
      <c r="C6" s="19" t="inlineStr">
        <is>
          <t>Un año antes del corte + 1 día</t>
        </is>
      </c>
    </row>
    <row r="7">
      <c r="A7" s="18" t="inlineStr">
        <is>
          <t>Días del ejercicio</t>
        </is>
      </c>
      <c r="B7" s="28">
        <f>B5-B6+1</f>
        <v/>
      </c>
      <c r="C7" s="18" t="inlineStr">
        <is>
          <t>Base de la fracción de tiempo</t>
        </is>
      </c>
    </row>
    <row r="8">
      <c r="A8" s="19" t="inlineStr">
        <is>
          <t>Marco contable</t>
        </is>
      </c>
      <c r="B8" s="19" t="inlineStr">
        <is>
          <t>NIIF completas</t>
        </is>
      </c>
      <c r="C8" s="19" t="inlineStr">
        <is>
          <t>NIC 23: capitaliza en activos aptos</t>
        </is>
      </c>
    </row>
    <row r="9">
      <c r="A9" s="18" t="inlineStr">
        <is>
          <t>Edición PYMES</t>
        </is>
      </c>
      <c r="B9" s="18" t="inlineStr"/>
      <c r="C9" s="18" t="inlineStr">
        <is>
          <t>2015 y 2025: mismo tratamiento (resumen oficial de cambios 2025: Secc. 25 editorial; Secc. 27 consecuencial; Secc. 17 sin cambios en revaluación, componentes ni bajas); la 3.ª edición rige desde el 1-1-2027</t>
        </is>
      </c>
    </row>
    <row r="10">
      <c r="A10" s="19" t="inlineStr">
        <is>
          <t>Tolerancia por activo (importe)</t>
        </is>
      </c>
      <c r="B10" s="29" t="n">
        <v>1</v>
      </c>
      <c r="C10" s="19" t="inlineStr">
        <is>
          <t>Juicio del auditor (materialidad de ejecución)</t>
        </is>
      </c>
    </row>
    <row r="11">
      <c r="A11" s="18" t="inlineStr">
        <is>
          <t>Tasa de capitalización (% anual)</t>
        </is>
      </c>
      <c r="B11" s="28" t="n">
        <v>8</v>
      </c>
      <c r="C11" s="18" t="inlineStr">
        <is>
          <t>NIC 23.14: media ponderada de los préstamos genéricos</t>
        </is>
      </c>
    </row>
    <row r="12">
      <c r="A12" s="19" t="inlineStr">
        <is>
          <t>Parte significativa desde (% del elemento)</t>
        </is>
      </c>
      <c r="B12" s="29" t="n">
        <v>10</v>
      </c>
      <c r="C12" s="19" t="inlineStr">
        <is>
          <t>NIC 16.43; juicio del auditor</t>
        </is>
      </c>
    </row>
    <row r="13">
      <c r="A13" s="18" t="inlineStr">
        <is>
          <t>Revisar componentes desde (costo)</t>
        </is>
      </c>
      <c r="B13" s="28" t="n">
        <v>400000</v>
      </c>
      <c r="C13" s="18" t="inlineStr">
        <is>
          <t>NIC 16.44; en blanco: no se revisa</t>
        </is>
      </c>
    </row>
    <row r="14">
      <c r="A14" s="19" t="inlineStr">
        <is>
          <t>Desmantelamiento: costo estimado futuro</t>
        </is>
      </c>
      <c r="B14" s="29" t="n">
        <v>50000</v>
      </c>
      <c r="C14" s="19" t="inlineStr">
        <is>
          <t>NIC 16.16 c; PYMES 17.10 c</t>
        </is>
      </c>
    </row>
    <row r="15">
      <c r="A15" s="18" t="inlineStr">
        <is>
          <t>Desmantelamiento: años hasta el desembolso</t>
        </is>
      </c>
      <c r="B15" s="28" t="n">
        <v>10</v>
      </c>
      <c r="C15" s="18" t="inlineStr">
        <is>
          <t>Estimación técnica</t>
        </is>
      </c>
    </row>
    <row r="16">
      <c r="A16" s="19" t="inlineStr">
        <is>
          <t>Desmantelamiento: tasa antes de impuestos (%)</t>
        </is>
      </c>
      <c r="B16" s="29" t="n">
        <v>6</v>
      </c>
      <c r="C16" s="19" t="inlineStr">
        <is>
          <t>NIC 37.47</t>
        </is>
      </c>
    </row>
    <row r="17">
      <c r="A17" s="18" t="inlineStr">
        <is>
          <t>Provisión de desmantelamiento registrada (cierre)</t>
        </is>
      </c>
      <c r="B17" s="18" t="n"/>
      <c r="C17" s="18" t="inlineStr">
        <is>
          <t>Mayor contable</t>
        </is>
      </c>
    </row>
    <row r="18">
      <c r="A18" s="19" t="inlineStr">
        <is>
          <t>Provisión de desmantelamiento registrada al inicio</t>
        </is>
      </c>
      <c r="B18" s="19" t="n"/>
      <c r="C18" s="19" t="inlineStr">
        <is>
          <t>Mayor contable: base de la actualización financiera del período (CINIIF 1.8; NIC 37.60; PYMES 21.11). En blanco y sin provisión al cierre: 0</t>
        </is>
      </c>
    </row>
    <row r="19">
      <c r="A19" s="18" t="inlineStr">
        <is>
          <t>Mayor: costo al cierre</t>
        </is>
      </c>
      <c r="B19" s="28" t="n">
        <v>1297000</v>
      </c>
      <c r="C19" s="18" t="inlineStr">
        <is>
          <t>Mayor contable</t>
        </is>
      </c>
    </row>
    <row r="20">
      <c r="A20" s="19" t="inlineStr">
        <is>
          <t>Mayor: depreciación acumulada al cierre</t>
        </is>
      </c>
      <c r="B20" s="29" t="n">
        <v>253000</v>
      </c>
      <c r="C20" s="19" t="inlineStr">
        <is>
          <t>Mayor contable</t>
        </is>
      </c>
    </row>
    <row r="22">
      <c r="A22" s="22" t="inlineStr">
        <is>
          <t>ⓘ  Cómo se calcula esta hoja</t>
        </is>
      </c>
    </row>
    <row r="23">
      <c r="A23" s="23" t="inlineStr">
        <is>
          <t>Columna</t>
        </is>
      </c>
      <c r="B23" s="23" t="inlineStr">
        <is>
          <t>Fórmula (Excel)</t>
        </is>
      </c>
      <c r="C23" s="23" t="inlineStr">
        <is>
          <t>Cómo se calcula (sencillo)</t>
        </is>
      </c>
      <c r="D23" s="23" t="inlineStr">
        <is>
          <t>Ejemplo con números reales</t>
        </is>
      </c>
      <c r="E23" s="23" t="inlineStr">
        <is>
          <t>De dónde viene</t>
        </is>
      </c>
      <c r="F23" s="23" t="inlineStr">
        <is>
          <t>Norma</t>
        </is>
      </c>
    </row>
    <row r="24">
      <c r="A24" s="24" t="inlineStr">
        <is>
          <t>Valor</t>
        </is>
      </c>
      <c r="B24" s="25" t="inlineStr">
        <is>
          <t>'=B5-B6+1</t>
        </is>
      </c>
      <c r="C24" s="24" t="inlineStr">
        <is>
          <t>Son los datos de la ficha del encargo y del mayor; la única fila calculada es «Días del ejercicio»: fecha de corte menos fecha de inicio, más un día.</t>
        </is>
      </c>
      <c r="D24" s="24" t="inlineStr">
        <is>
          <t>Fila 3: «2025-12-31»-«2025-01-01»+1 → 365,00</t>
        </is>
      </c>
      <c r="E24" s="24" t="inlineStr">
        <is>
          <t>«Valor» (esta hoja)</t>
        </is>
      </c>
      <c r="F24" s="24" t="inlineStr">
        <is>
          <t>—</t>
        </is>
      </c>
    </row>
  </sheetData>
  <mergeCells count="3">
    <mergeCell ref="A2:F2"/>
    <mergeCell ref="A22:F2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12" customWidth="1" min="4" max="4"/>
    <col width="21" customWidth="1" min="5" max="5"/>
    <col width="15" customWidth="1" min="6" max="6"/>
    <col width="12" customWidth="1" min="7" max="7"/>
    <col width="16" customWidth="1" min="8" max="8"/>
    <col width="19" customWidth="1" min="9" max="9"/>
    <col width="21" customWidth="1" min="10" max="10"/>
    <col width="20" customWidth="1" min="11" max="11"/>
    <col width="25" customWidth="1" min="12" max="12"/>
    <col width="21" customWidth="1" min="13" max="13"/>
    <col width="21" customWidth="1" min="14" max="14"/>
    <col width="17" customWidth="1" min="15" max="15"/>
    <col width="18" customWidth="1" min="16" max="16"/>
    <col width="33" customWidth="1" min="17" max="17"/>
    <col width="15" customWidth="1" min="18" max="18"/>
    <col width="21" customWidth="1" min="19" max="19"/>
    <col width="30" customWidth="1" min="20" max="20"/>
  </cols>
  <sheetData>
    <row r="1">
      <c r="A1" s="3" t="inlineStr">
        <is>
          <t>Auxiliar de activos (datos del cliente)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Clase</t>
        </is>
      </c>
      <c r="D4" s="17" t="inlineStr">
        <is>
          <t>Elemento</t>
        </is>
      </c>
      <c r="E4" s="17" t="inlineStr">
        <is>
          <t>Disponible para uso</t>
        </is>
      </c>
      <c r="F4" s="17" t="inlineStr">
        <is>
          <t>Costo inicial</t>
        </is>
      </c>
      <c r="G4" s="17" t="inlineStr">
        <is>
          <t>Adiciones</t>
        </is>
      </c>
      <c r="H4" s="17" t="inlineStr">
        <is>
          <t>Valor residual</t>
        </is>
      </c>
      <c r="I4" s="17" t="inlineStr">
        <is>
          <t>Vida útil (meses)</t>
        </is>
      </c>
      <c r="J4" s="17" t="inlineStr">
        <is>
          <t>Método</t>
        </is>
      </c>
      <c r="K4" s="17" t="inlineStr">
        <is>
          <t>Dep. acum. inicial</t>
        </is>
      </c>
      <c r="L4" s="17" t="inlineStr">
        <is>
          <t>Dep. del año registrada</t>
        </is>
      </c>
      <c r="M4" s="17" t="inlineStr">
        <is>
          <t>Deterioro acumulado</t>
        </is>
      </c>
      <c r="N4" s="17" t="inlineStr">
        <is>
          <t>Importe recuperable</t>
        </is>
      </c>
      <c r="O4" s="17" t="inlineStr">
        <is>
          <t>Valor revaluado</t>
        </is>
      </c>
      <c r="P4" s="17" t="inlineStr">
        <is>
          <t>Superávit previo</t>
        </is>
      </c>
      <c r="Q4" s="17" t="inlineStr">
        <is>
          <t>Decremento previo en resultados</t>
        </is>
      </c>
      <c r="R4" s="17" t="inlineStr">
        <is>
          <t>Fecha de baja</t>
        </is>
      </c>
      <c r="S4" s="17" t="inlineStr">
        <is>
          <t>Producto de la baja</t>
        </is>
      </c>
      <c r="T4" s="17" t="inlineStr">
        <is>
          <t>Resultado de baja registrado</t>
        </is>
      </c>
    </row>
    <row r="5">
      <c r="A5" s="18" t="inlineStr">
        <is>
          <t>EDIF-01</t>
        </is>
      </c>
      <c r="B5" s="18" t="inlineStr">
        <is>
          <t>Edificio administrativo</t>
        </is>
      </c>
      <c r="C5" s="18" t="inlineStr">
        <is>
          <t>Edificios</t>
        </is>
      </c>
      <c r="D5" s="18" t="inlineStr"/>
      <c r="E5" s="30" t="n">
        <v>42005</v>
      </c>
      <c r="F5" s="20" t="n">
        <v>500000</v>
      </c>
      <c r="G5" s="20" t="n"/>
      <c r="H5" s="20" t="n">
        <v>50000</v>
      </c>
      <c r="I5" s="31" t="n">
        <v>480</v>
      </c>
      <c r="J5" s="18" t="inlineStr">
        <is>
          <t>Lineal</t>
        </is>
      </c>
      <c r="K5" s="20" t="n">
        <v>112500</v>
      </c>
      <c r="L5" s="20" t="n">
        <v>11250</v>
      </c>
      <c r="M5" s="20" t="n"/>
      <c r="N5" s="20" t="n"/>
      <c r="O5" s="20" t="n"/>
      <c r="P5" s="20" t="n"/>
      <c r="Q5" s="20" t="n"/>
      <c r="R5" s="32" t="n"/>
      <c r="S5" s="20" t="n"/>
      <c r="T5" s="20" t="n"/>
    </row>
    <row r="6">
      <c r="A6" s="19" t="inlineStr">
        <is>
          <t>TERR-01</t>
        </is>
      </c>
      <c r="B6" s="19" t="inlineStr">
        <is>
          <t>Terreno planta</t>
        </is>
      </c>
      <c r="C6" s="19" t="inlineStr">
        <is>
          <t>Terrenos</t>
        </is>
      </c>
      <c r="D6" s="19" t="inlineStr"/>
      <c r="E6" s="33" t="n">
        <v>42005</v>
      </c>
      <c r="F6" s="21" t="n">
        <v>300000</v>
      </c>
      <c r="G6" s="21" t="n"/>
      <c r="H6" s="21" t="n"/>
      <c r="I6" s="34" t="n"/>
      <c r="J6" s="19" t="inlineStr"/>
      <c r="K6" s="21" t="n"/>
      <c r="L6" s="21" t="n">
        <v>0</v>
      </c>
      <c r="M6" s="21" t="n"/>
      <c r="N6" s="21" t="n"/>
      <c r="O6" s="21" t="n">
        <v>360000</v>
      </c>
      <c r="P6" s="21" t="n"/>
      <c r="Q6" s="21" t="n"/>
      <c r="R6" s="35" t="n"/>
      <c r="S6" s="21" t="n"/>
      <c r="T6" s="21" t="n"/>
    </row>
    <row r="7">
      <c r="A7" s="18" t="inlineStr">
        <is>
          <t>TERR-02</t>
        </is>
      </c>
      <c r="B7" s="18" t="inlineStr">
        <is>
          <t>Terreno bodega</t>
        </is>
      </c>
      <c r="C7" s="18" t="inlineStr">
        <is>
          <t>Terrenos</t>
        </is>
      </c>
      <c r="D7" s="18" t="inlineStr"/>
      <c r="E7" s="30" t="n">
        <v>43221</v>
      </c>
      <c r="F7" s="20" t="n">
        <v>80000</v>
      </c>
      <c r="G7" s="20" t="n"/>
      <c r="H7" s="20" t="n"/>
      <c r="I7" s="31" t="n"/>
      <c r="J7" s="18" t="inlineStr"/>
      <c r="K7" s="20" t="n"/>
      <c r="L7" s="20" t="n">
        <v>0</v>
      </c>
      <c r="M7" s="20" t="n"/>
      <c r="N7" s="20" t="n"/>
      <c r="O7" s="20" t="n"/>
      <c r="P7" s="20" t="n"/>
      <c r="Q7" s="20" t="n"/>
      <c r="R7" s="32" t="n"/>
      <c r="S7" s="20" t="n"/>
      <c r="T7" s="20" t="n"/>
    </row>
    <row r="8">
      <c r="A8" s="19" t="inlineStr">
        <is>
          <t>VEH-01</t>
        </is>
      </c>
      <c r="B8" s="19" t="inlineStr">
        <is>
          <t>Camioneta 4x4</t>
        </is>
      </c>
      <c r="C8" s="19" t="inlineStr">
        <is>
          <t>Vehículos</t>
        </is>
      </c>
      <c r="D8" s="19" t="inlineStr"/>
      <c r="E8" s="33" t="n">
        <v>45108</v>
      </c>
      <c r="F8" s="21" t="n">
        <v>40000</v>
      </c>
      <c r="G8" s="21" t="n"/>
      <c r="H8" s="21" t="n">
        <v>4000</v>
      </c>
      <c r="I8" s="34" t="n">
        <v>60</v>
      </c>
      <c r="J8" s="19" t="inlineStr">
        <is>
          <t>Lineal</t>
        </is>
      </c>
      <c r="K8" s="21" t="n">
        <v>10800</v>
      </c>
      <c r="L8" s="21" t="n">
        <v>6000</v>
      </c>
      <c r="M8" s="21" t="n"/>
      <c r="N8" s="21" t="n"/>
      <c r="O8" s="21" t="n"/>
      <c r="P8" s="21" t="n"/>
      <c r="Q8" s="21" t="n"/>
      <c r="R8" s="35" t="n"/>
      <c r="S8" s="21" t="n"/>
      <c r="T8" s="21" t="n"/>
    </row>
    <row r="9">
      <c r="A9" s="18" t="inlineStr">
        <is>
          <t>VEH-02</t>
        </is>
      </c>
      <c r="B9" s="18" t="inlineStr">
        <is>
          <t>Camión de reparto</t>
        </is>
      </c>
      <c r="C9" s="18" t="inlineStr">
        <is>
          <t>Vehículos</t>
        </is>
      </c>
      <c r="D9" s="18" t="inlineStr"/>
      <c r="E9" s="30" t="n">
        <v>44197</v>
      </c>
      <c r="F9" s="20" t="n">
        <v>30000</v>
      </c>
      <c r="G9" s="20" t="n"/>
      <c r="H9" s="20" t="n">
        <v>3000</v>
      </c>
      <c r="I9" s="31" t="n">
        <v>60</v>
      </c>
      <c r="J9" s="18" t="inlineStr">
        <is>
          <t>Lineal</t>
        </is>
      </c>
      <c r="K9" s="20" t="n">
        <v>21600</v>
      </c>
      <c r="L9" s="20" t="n">
        <v>2700</v>
      </c>
      <c r="M9" s="20" t="n"/>
      <c r="N9" s="20" t="n"/>
      <c r="O9" s="20" t="n"/>
      <c r="P9" s="20" t="n"/>
      <c r="Q9" s="20" t="n"/>
      <c r="R9" s="30" t="n">
        <v>45838</v>
      </c>
      <c r="S9" s="20" t="n">
        <v>9000</v>
      </c>
      <c r="T9" s="20" t="n">
        <v>1500</v>
      </c>
    </row>
    <row r="10">
      <c r="A10" s="19" t="inlineStr">
        <is>
          <t>MAQ-01</t>
        </is>
      </c>
      <c r="B10" s="19" t="inlineStr">
        <is>
          <t>Línea de envasado</t>
        </is>
      </c>
      <c r="C10" s="19" t="inlineStr">
        <is>
          <t>Maquinaria</t>
        </is>
      </c>
      <c r="D10" s="19" t="inlineStr"/>
      <c r="E10" s="33" t="n">
        <v>43831</v>
      </c>
      <c r="F10" s="21" t="n">
        <v>120000</v>
      </c>
      <c r="G10" s="21" t="n"/>
      <c r="H10" s="21" t="n"/>
      <c r="I10" s="34" t="n">
        <v>120</v>
      </c>
      <c r="J10" s="19" t="inlineStr">
        <is>
          <t>Lineal</t>
        </is>
      </c>
      <c r="K10" s="21" t="n">
        <v>60000</v>
      </c>
      <c r="L10" s="21" t="n">
        <v>12000</v>
      </c>
      <c r="M10" s="21" t="n"/>
      <c r="N10" s="21" t="n">
        <v>40000</v>
      </c>
      <c r="O10" s="21" t="n"/>
      <c r="P10" s="21" t="n"/>
      <c r="Q10" s="21" t="n"/>
      <c r="R10" s="35" t="n"/>
      <c r="S10" s="21" t="n"/>
      <c r="T10" s="21" t="n"/>
    </row>
    <row r="11">
      <c r="A11" s="18" t="inlineStr">
        <is>
          <t>MAQ-01-M</t>
        </is>
      </c>
      <c r="B11" s="18" t="inlineStr">
        <is>
          <t>Motor de la línea de envasado</t>
        </is>
      </c>
      <c r="C11" s="18" t="inlineStr">
        <is>
          <t>Maquinaria</t>
        </is>
      </c>
      <c r="D11" s="18" t="inlineStr">
        <is>
          <t>MAQ-01</t>
        </is>
      </c>
      <c r="E11" s="30" t="n">
        <v>43831</v>
      </c>
      <c r="F11" s="20" t="n">
        <v>30000</v>
      </c>
      <c r="G11" s="20" t="n"/>
      <c r="H11" s="20" t="n"/>
      <c r="I11" s="31" t="n">
        <v>60</v>
      </c>
      <c r="J11" s="18" t="inlineStr">
        <is>
          <t>Lineal</t>
        </is>
      </c>
      <c r="K11" s="20" t="n">
        <v>30000</v>
      </c>
      <c r="L11" s="20" t="n">
        <v>0</v>
      </c>
      <c r="M11" s="20" t="n"/>
      <c r="N11" s="20" t="n"/>
      <c r="O11" s="20" t="n"/>
      <c r="P11" s="20" t="n"/>
      <c r="Q11" s="20" t="n"/>
      <c r="R11" s="32" t="n"/>
      <c r="S11" s="20" t="n"/>
      <c r="T11" s="20" t="n"/>
    </row>
    <row r="12">
      <c r="A12" s="19" t="inlineStr">
        <is>
          <t>EQC-01</t>
        </is>
      </c>
      <c r="B12" s="19" t="inlineStr">
        <is>
          <t>Servidores</t>
        </is>
      </c>
      <c r="C12" s="19" t="inlineStr">
        <is>
          <t>Equipo de cómputo</t>
        </is>
      </c>
      <c r="D12" s="19" t="inlineStr"/>
      <c r="E12" s="33" t="n">
        <v>45292</v>
      </c>
      <c r="F12" s="21" t="n">
        <v>15000</v>
      </c>
      <c r="G12" s="21" t="n"/>
      <c r="H12" s="21" t="n"/>
      <c r="I12" s="34" t="n">
        <v>36</v>
      </c>
      <c r="J12" s="19" t="inlineStr">
        <is>
          <t>Unidades producidas</t>
        </is>
      </c>
      <c r="K12" s="21" t="n">
        <v>5000</v>
      </c>
      <c r="L12" s="21" t="n">
        <v>4000</v>
      </c>
      <c r="M12" s="21" t="n"/>
      <c r="N12" s="21" t="n"/>
      <c r="O12" s="21" t="n"/>
      <c r="P12" s="21" t="n"/>
      <c r="Q12" s="21" t="n"/>
      <c r="R12" s="35" t="n"/>
      <c r="S12" s="21" t="n"/>
      <c r="T12" s="21" t="n"/>
    </row>
    <row r="13">
      <c r="A13" s="18" t="inlineStr">
        <is>
          <t>OBRA-01</t>
        </is>
      </c>
      <c r="B13" s="18" t="inlineStr">
        <is>
          <t>Nave industrial en construcción</t>
        </is>
      </c>
      <c r="C13" s="18" t="inlineStr">
        <is>
          <t>Construcciones en curso</t>
        </is>
      </c>
      <c r="D13" s="18" t="inlineStr"/>
      <c r="E13" s="32" t="n"/>
      <c r="F13" s="20" t="n">
        <v>0</v>
      </c>
      <c r="G13" s="20" t="n">
        <v>200000</v>
      </c>
      <c r="H13" s="20" t="n"/>
      <c r="I13" s="31" t="n"/>
      <c r="J13" s="18" t="inlineStr"/>
      <c r="K13" s="20" t="n"/>
      <c r="L13" s="20" t="n">
        <v>1000</v>
      </c>
      <c r="M13" s="20" t="n"/>
      <c r="N13" s="20" t="n"/>
      <c r="O13" s="20" t="n"/>
      <c r="P13" s="20" t="n"/>
      <c r="Q13" s="20" t="n"/>
      <c r="R13" s="32" t="n"/>
      <c r="S13" s="20" t="n"/>
      <c r="T13" s="20" t="n"/>
    </row>
    <row r="14">
      <c r="A14" s="19" t="inlineStr">
        <is>
          <t>MOB-01</t>
        </is>
      </c>
      <c r="B14" s="19" t="inlineStr">
        <is>
          <t>Mobiliario de oficinas</t>
        </is>
      </c>
      <c r="C14" s="19" t="inlineStr">
        <is>
          <t>Muebles y enseres</t>
        </is>
      </c>
      <c r="D14" s="19" t="inlineStr"/>
      <c r="E14" s="33" t="n">
        <v>45748</v>
      </c>
      <c r="F14" s="21" t="n">
        <v>0</v>
      </c>
      <c r="G14" s="21" t="n">
        <v>12000</v>
      </c>
      <c r="H14" s="21" t="n"/>
      <c r="I14" s="34" t="n">
        <v>120</v>
      </c>
      <c r="J14" s="19" t="inlineStr">
        <is>
          <t>Lineal</t>
        </is>
      </c>
      <c r="K14" s="21" t="n"/>
      <c r="L14" s="21" t="n">
        <v>904.11</v>
      </c>
      <c r="M14" s="21" t="n"/>
      <c r="N14" s="21" t="n"/>
      <c r="O14" s="21" t="n"/>
      <c r="P14" s="21" t="n"/>
      <c r="Q14" s="21" t="n"/>
      <c r="R14" s="35" t="n"/>
      <c r="S14" s="21" t="n"/>
      <c r="T14" s="21" t="n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26" customWidth="1" min="5" max="5"/>
    <col width="25" customWidth="1" min="6" max="6"/>
    <col width="25" customWidth="1" min="7" max="7"/>
    <col width="28" customWidth="1" min="8" max="8"/>
    <col width="21" customWidth="1" min="9" max="9"/>
    <col width="22" customWidth="1" min="10" max="10"/>
    <col width="23" customWidth="1" min="11" max="11"/>
    <col width="17" customWidth="1" min="12" max="12"/>
  </cols>
  <sheetData>
    <row r="1">
      <c r="A1" s="3" t="inlineStr">
        <is>
          <t>Recálculo de depreciación y VNL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Código</t>
        </is>
      </c>
      <c r="B4" s="17" t="inlineStr">
        <is>
          <t>Costo</t>
        </is>
      </c>
      <c r="C4" s="17" t="inlineStr">
        <is>
          <t>Importe depreciable</t>
        </is>
      </c>
      <c r="D4" s="17" t="inlineStr">
        <is>
          <t>Días en uso</t>
        </is>
      </c>
      <c r="E4" s="17" t="inlineStr">
        <is>
          <t>Depreciación recalculada</t>
        </is>
      </c>
      <c r="F4" s="17" t="inlineStr">
        <is>
          <t>Depreciación registrada</t>
        </is>
      </c>
      <c r="G4" s="17" t="inlineStr">
        <is>
          <t>Diferencia</t>
        </is>
      </c>
      <c r="H4" s="17" t="inlineStr">
        <is>
          <t>Dep. acumulada recalculada</t>
        </is>
      </c>
      <c r="I4" s="17" t="inlineStr">
        <is>
          <t>Deterioro acumulado</t>
        </is>
      </c>
      <c r="J4" s="17" t="inlineStr">
        <is>
          <t>Valor neto en libros</t>
        </is>
      </c>
      <c r="K4" s="17" t="inlineStr">
        <is>
          <t>Totalmente depreciado</t>
        </is>
      </c>
      <c r="L4" s="17" t="inlineStr">
        <is>
          <t>Estado</t>
        </is>
      </c>
    </row>
    <row r="5">
      <c r="A5" s="18" t="inlineStr">
        <is>
          <t>EDIF-01</t>
        </is>
      </c>
      <c r="B5" s="20">
        <f>'03_Auxiliar'!F5+'03_Auxiliar'!G5</f>
        <v/>
      </c>
      <c r="C5" s="20">
        <f>MAX(B5-'03_Auxiliar'!H5,0)</f>
        <v/>
      </c>
      <c r="D5" s="31">
        <f>IF('03_Auxiliar'!E5="",0,MAX(IF('03_Auxiliar'!R5&lt;&gt;"",MIN('03_Auxiliar'!R5,'02_Parametros'!$B$5),'02_Parametros'!$B$5)-MAX('03_Auxiliar'!E5,'02_Parametros'!$B$6)+1,0))</f>
        <v/>
      </c>
      <c r="E5" s="20">
        <f>IF(NOT(OR('03_Auxiliar'!J5="",ISNUMBER(SEARCH("lineal",'03_Auxiliar'!J5)))),"",IF(OR('03_Auxiliar'!I5="",D5=0),0,MIN(C5/'03_Auxiliar'!I5*12*D5/'02_Parametros'!$B$7,MAX(C5-'03_Auxiliar'!K5,0))))</f>
        <v/>
      </c>
      <c r="F5" s="20">
        <f>IF('03_Auxiliar'!L5="","",'03_Auxiliar'!L5)</f>
        <v/>
      </c>
      <c r="G5" s="20">
        <f>IF(OR(E5="",F5=""),"",E5-F5)</f>
        <v/>
      </c>
      <c r="H5" s="20">
        <f>IF(E5="","",'03_Auxiliar'!K5+E5)</f>
        <v/>
      </c>
      <c r="I5" s="20">
        <f>'03_Auxiliar'!M5</f>
        <v/>
      </c>
      <c r="J5" s="20">
        <f>IF(H5="","",B5-H5-I5)</f>
        <v/>
      </c>
      <c r="K5" s="18">
        <f>IF(H5="","",IF(AND(C5&gt;0,H5&gt;=C5-0.005),"Sí","No"))</f>
        <v/>
      </c>
      <c r="L5" s="18">
        <f>IF('03_Auxiliar'!R5&lt;&gt;"","Baja",IF('03_Auxiliar'!E5="","En construcción","En uso"))</f>
        <v/>
      </c>
    </row>
    <row r="6">
      <c r="A6" s="19" t="inlineStr">
        <is>
          <t>TERR-01</t>
        </is>
      </c>
      <c r="B6" s="21">
        <f>'03_Auxiliar'!F6+'03_Auxiliar'!G6</f>
        <v/>
      </c>
      <c r="C6" s="21">
        <f>MAX(B6-'03_Auxiliar'!H6,0)</f>
        <v/>
      </c>
      <c r="D6" s="34">
        <f>IF('03_Auxiliar'!E6="",0,MAX(IF('03_Auxiliar'!R6&lt;&gt;"",MIN('03_Auxiliar'!R6,'02_Parametros'!$B$5),'02_Parametros'!$B$5)-MAX('03_Auxiliar'!E6,'02_Parametros'!$B$6)+1,0))</f>
        <v/>
      </c>
      <c r="E6" s="21">
        <f>IF(NOT(OR('03_Auxiliar'!J6="",ISNUMBER(SEARCH("lineal",'03_Auxiliar'!J6)))),"",IF(OR('03_Auxiliar'!I6="",D6=0),0,MIN(C6/'03_Auxiliar'!I6*12*D6/'02_Parametros'!$B$7,MAX(C6-'03_Auxiliar'!K6,0))))</f>
        <v/>
      </c>
      <c r="F6" s="21">
        <f>IF('03_Auxiliar'!L6="","",'03_Auxiliar'!L6)</f>
        <v/>
      </c>
      <c r="G6" s="21">
        <f>IF(OR(E6="",F6=""),"",E6-F6)</f>
        <v/>
      </c>
      <c r="H6" s="21">
        <f>IF(E6="","",'03_Auxiliar'!K6+E6)</f>
        <v/>
      </c>
      <c r="I6" s="21">
        <f>'03_Auxiliar'!M6</f>
        <v/>
      </c>
      <c r="J6" s="21">
        <f>IF(H6="","",B6-H6-I6)</f>
        <v/>
      </c>
      <c r="K6" s="19">
        <f>IF(H6="","",IF(AND(C6&gt;0,H6&gt;=C6-0.005),"Sí","No"))</f>
        <v/>
      </c>
      <c r="L6" s="19">
        <f>IF('03_Auxiliar'!R6&lt;&gt;"","Baja",IF('03_Auxiliar'!E6="","En construcción","En uso"))</f>
        <v/>
      </c>
    </row>
    <row r="7">
      <c r="A7" s="18" t="inlineStr">
        <is>
          <t>TERR-02</t>
        </is>
      </c>
      <c r="B7" s="20">
        <f>'03_Auxiliar'!F7+'03_Auxiliar'!G7</f>
        <v/>
      </c>
      <c r="C7" s="20">
        <f>MAX(B7-'03_Auxiliar'!H7,0)</f>
        <v/>
      </c>
      <c r="D7" s="31">
        <f>IF('03_Auxiliar'!E7="",0,MAX(IF('03_Auxiliar'!R7&lt;&gt;"",MIN('03_Auxiliar'!R7,'02_Parametros'!$B$5),'02_Parametros'!$B$5)-MAX('03_Auxiliar'!E7,'02_Parametros'!$B$6)+1,0))</f>
        <v/>
      </c>
      <c r="E7" s="20">
        <f>IF(NOT(OR('03_Auxiliar'!J7="",ISNUMBER(SEARCH("lineal",'03_Auxiliar'!J7)))),"",IF(OR('03_Auxiliar'!I7="",D7=0),0,MIN(C7/'03_Auxiliar'!I7*12*D7/'02_Parametros'!$B$7,MAX(C7-'03_Auxiliar'!K7,0))))</f>
        <v/>
      </c>
      <c r="F7" s="20">
        <f>IF('03_Auxiliar'!L7="","",'03_Auxiliar'!L7)</f>
        <v/>
      </c>
      <c r="G7" s="20">
        <f>IF(OR(E7="",F7=""),"",E7-F7)</f>
        <v/>
      </c>
      <c r="H7" s="20">
        <f>IF(E7="","",'03_Auxiliar'!K7+E7)</f>
        <v/>
      </c>
      <c r="I7" s="20">
        <f>'03_Auxiliar'!M7</f>
        <v/>
      </c>
      <c r="J7" s="20">
        <f>IF(H7="","",B7-H7-I7)</f>
        <v/>
      </c>
      <c r="K7" s="18">
        <f>IF(H7="","",IF(AND(C7&gt;0,H7&gt;=C7-0.005),"Sí","No"))</f>
        <v/>
      </c>
      <c r="L7" s="18">
        <f>IF('03_Auxiliar'!R7&lt;&gt;"","Baja",IF('03_Auxiliar'!E7="","En construcción","En uso"))</f>
        <v/>
      </c>
    </row>
    <row r="8">
      <c r="A8" s="19" t="inlineStr">
        <is>
          <t>VEH-01</t>
        </is>
      </c>
      <c r="B8" s="21">
        <f>'03_Auxiliar'!F8+'03_Auxiliar'!G8</f>
        <v/>
      </c>
      <c r="C8" s="21">
        <f>MAX(B8-'03_Auxiliar'!H8,0)</f>
        <v/>
      </c>
      <c r="D8" s="34">
        <f>IF('03_Auxiliar'!E8="",0,MAX(IF('03_Auxiliar'!R8&lt;&gt;"",MIN('03_Auxiliar'!R8,'02_Parametros'!$B$5),'02_Parametros'!$B$5)-MAX('03_Auxiliar'!E8,'02_Parametros'!$B$6)+1,0))</f>
        <v/>
      </c>
      <c r="E8" s="21">
        <f>IF(NOT(OR('03_Auxiliar'!J8="",ISNUMBER(SEARCH("lineal",'03_Auxiliar'!J8)))),"",IF(OR('03_Auxiliar'!I8="",D8=0),0,MIN(C8/'03_Auxiliar'!I8*12*D8/'02_Parametros'!$B$7,MAX(C8-'03_Auxiliar'!K8,0))))</f>
        <v/>
      </c>
      <c r="F8" s="21">
        <f>IF('03_Auxiliar'!L8="","",'03_Auxiliar'!L8)</f>
        <v/>
      </c>
      <c r="G8" s="21">
        <f>IF(OR(E8="",F8=""),"",E8-F8)</f>
        <v/>
      </c>
      <c r="H8" s="21">
        <f>IF(E8="","",'03_Auxiliar'!K8+E8)</f>
        <v/>
      </c>
      <c r="I8" s="21">
        <f>'03_Auxiliar'!M8</f>
        <v/>
      </c>
      <c r="J8" s="21">
        <f>IF(H8="","",B8-H8-I8)</f>
        <v/>
      </c>
      <c r="K8" s="19">
        <f>IF(H8="","",IF(AND(C8&gt;0,H8&gt;=C8-0.005),"Sí","No"))</f>
        <v/>
      </c>
      <c r="L8" s="19">
        <f>IF('03_Auxiliar'!R8&lt;&gt;"","Baja",IF('03_Auxiliar'!E8="","En construcción","En uso"))</f>
        <v/>
      </c>
    </row>
    <row r="9">
      <c r="A9" s="18" t="inlineStr">
        <is>
          <t>VEH-02</t>
        </is>
      </c>
      <c r="B9" s="20">
        <f>'03_Auxiliar'!F9+'03_Auxiliar'!G9</f>
        <v/>
      </c>
      <c r="C9" s="20">
        <f>MAX(B9-'03_Auxiliar'!H9,0)</f>
        <v/>
      </c>
      <c r="D9" s="31">
        <f>IF('03_Auxiliar'!E9="",0,MAX(IF('03_Auxiliar'!R9&lt;&gt;"",MIN('03_Auxiliar'!R9,'02_Parametros'!$B$5),'02_Parametros'!$B$5)-MAX('03_Auxiliar'!E9,'02_Parametros'!$B$6)+1,0))</f>
        <v/>
      </c>
      <c r="E9" s="20">
        <f>IF(NOT(OR('03_Auxiliar'!J9="",ISNUMBER(SEARCH("lineal",'03_Auxiliar'!J9)))),"",IF(OR('03_Auxiliar'!I9="",D9=0),0,MIN(C9/'03_Auxiliar'!I9*12*D9/'02_Parametros'!$B$7,MAX(C9-'03_Auxiliar'!K9,0))))</f>
        <v/>
      </c>
      <c r="F9" s="20">
        <f>IF('03_Auxiliar'!L9="","",'03_Auxiliar'!L9)</f>
        <v/>
      </c>
      <c r="G9" s="20">
        <f>IF(OR(E9="",F9=""),"",E9-F9)</f>
        <v/>
      </c>
      <c r="H9" s="20">
        <f>IF(E9="","",'03_Auxiliar'!K9+E9)</f>
        <v/>
      </c>
      <c r="I9" s="20">
        <f>'03_Auxiliar'!M9</f>
        <v/>
      </c>
      <c r="J9" s="20">
        <f>IF(H9="","",B9-H9-I9)</f>
        <v/>
      </c>
      <c r="K9" s="18">
        <f>IF(H9="","",IF(AND(C9&gt;0,H9&gt;=C9-0.005),"Sí","No"))</f>
        <v/>
      </c>
      <c r="L9" s="18">
        <f>IF('03_Auxiliar'!R9&lt;&gt;"","Baja",IF('03_Auxiliar'!E9="","En construcción","En uso"))</f>
        <v/>
      </c>
    </row>
    <row r="10">
      <c r="A10" s="19" t="inlineStr">
        <is>
          <t>MAQ-01</t>
        </is>
      </c>
      <c r="B10" s="21">
        <f>'03_Auxiliar'!F10+'03_Auxiliar'!G10</f>
        <v/>
      </c>
      <c r="C10" s="21">
        <f>MAX(B10-'03_Auxiliar'!H10,0)</f>
        <v/>
      </c>
      <c r="D10" s="34">
        <f>IF('03_Auxiliar'!E10="",0,MAX(IF('03_Auxiliar'!R10&lt;&gt;"",MIN('03_Auxiliar'!R10,'02_Parametros'!$B$5),'02_Parametros'!$B$5)-MAX('03_Auxiliar'!E10,'02_Parametros'!$B$6)+1,0))</f>
        <v/>
      </c>
      <c r="E10" s="21">
        <f>IF(NOT(OR('03_Auxiliar'!J10="",ISNUMBER(SEARCH("lineal",'03_Auxiliar'!J10)))),"",IF(OR('03_Auxiliar'!I10="",D10=0),0,MIN(C10/'03_Auxiliar'!I10*12*D10/'02_Parametros'!$B$7,MAX(C10-'03_Auxiliar'!K10,0))))</f>
        <v/>
      </c>
      <c r="F10" s="21">
        <f>IF('03_Auxiliar'!L10="","",'03_Auxiliar'!L10)</f>
        <v/>
      </c>
      <c r="G10" s="21">
        <f>IF(OR(E10="",F10=""),"",E10-F10)</f>
        <v/>
      </c>
      <c r="H10" s="21">
        <f>IF(E10="","",'03_Auxiliar'!K10+E10)</f>
        <v/>
      </c>
      <c r="I10" s="21">
        <f>'03_Auxiliar'!M10</f>
        <v/>
      </c>
      <c r="J10" s="21">
        <f>IF(H10="","",B10-H10-I10)</f>
        <v/>
      </c>
      <c r="K10" s="19">
        <f>IF(H10="","",IF(AND(C10&gt;0,H10&gt;=C10-0.005),"Sí","No"))</f>
        <v/>
      </c>
      <c r="L10" s="19">
        <f>IF('03_Auxiliar'!R10&lt;&gt;"","Baja",IF('03_Auxiliar'!E10="","En construcción","En uso"))</f>
        <v/>
      </c>
    </row>
    <row r="11">
      <c r="A11" s="18" t="inlineStr">
        <is>
          <t>MAQ-01-M</t>
        </is>
      </c>
      <c r="B11" s="20">
        <f>'03_Auxiliar'!F11+'03_Auxiliar'!G11</f>
        <v/>
      </c>
      <c r="C11" s="20">
        <f>MAX(B11-'03_Auxiliar'!H11,0)</f>
        <v/>
      </c>
      <c r="D11" s="31">
        <f>IF('03_Auxiliar'!E11="",0,MAX(IF('03_Auxiliar'!R11&lt;&gt;"",MIN('03_Auxiliar'!R11,'02_Parametros'!$B$5),'02_Parametros'!$B$5)-MAX('03_Auxiliar'!E11,'02_Parametros'!$B$6)+1,0))</f>
        <v/>
      </c>
      <c r="E11" s="20">
        <f>IF(NOT(OR('03_Auxiliar'!J11="",ISNUMBER(SEARCH("lineal",'03_Auxiliar'!J11)))),"",IF(OR('03_Auxiliar'!I11="",D11=0),0,MIN(C11/'03_Auxiliar'!I11*12*D11/'02_Parametros'!$B$7,MAX(C11-'03_Auxiliar'!K11,0))))</f>
        <v/>
      </c>
      <c r="F11" s="20">
        <f>IF('03_Auxiliar'!L11="","",'03_Auxiliar'!L11)</f>
        <v/>
      </c>
      <c r="G11" s="20">
        <f>IF(OR(E11="",F11=""),"",E11-F11)</f>
        <v/>
      </c>
      <c r="H11" s="20">
        <f>IF(E11="","",'03_Auxiliar'!K11+E11)</f>
        <v/>
      </c>
      <c r="I11" s="20">
        <f>'03_Auxiliar'!M11</f>
        <v/>
      </c>
      <c r="J11" s="20">
        <f>IF(H11="","",B11-H11-I11)</f>
        <v/>
      </c>
      <c r="K11" s="18">
        <f>IF(H11="","",IF(AND(C11&gt;0,H11&gt;=C11-0.005),"Sí","No"))</f>
        <v/>
      </c>
      <c r="L11" s="18">
        <f>IF('03_Auxiliar'!R11&lt;&gt;"","Baja",IF('03_Auxiliar'!E11="","En construcción","En uso"))</f>
        <v/>
      </c>
    </row>
    <row r="12">
      <c r="A12" s="19" t="inlineStr">
        <is>
          <t>EQC-01</t>
        </is>
      </c>
      <c r="B12" s="21">
        <f>'03_Auxiliar'!F12+'03_Auxiliar'!G12</f>
        <v/>
      </c>
      <c r="C12" s="21">
        <f>MAX(B12-'03_Auxiliar'!H12,0)</f>
        <v/>
      </c>
      <c r="D12" s="34">
        <f>IF('03_Auxiliar'!E12="",0,MAX(IF('03_Auxiliar'!R12&lt;&gt;"",MIN('03_Auxiliar'!R12,'02_Parametros'!$B$5),'02_Parametros'!$B$5)-MAX('03_Auxiliar'!E12,'02_Parametros'!$B$6)+1,0))</f>
        <v/>
      </c>
      <c r="E12" s="21">
        <f>IF(NOT(OR('03_Auxiliar'!J12="",ISNUMBER(SEARCH("lineal",'03_Auxiliar'!J12)))),"",IF(OR('03_Auxiliar'!I12="",D12=0),0,MIN(C12/'03_Auxiliar'!I12*12*D12/'02_Parametros'!$B$7,MAX(C12-'03_Auxiliar'!K12,0))))</f>
        <v/>
      </c>
      <c r="F12" s="21">
        <f>IF('03_Auxiliar'!L12="","",'03_Auxiliar'!L12)</f>
        <v/>
      </c>
      <c r="G12" s="21">
        <f>IF(OR(E12="",F12=""),"",E12-F12)</f>
        <v/>
      </c>
      <c r="H12" s="21">
        <f>IF(E12="","",'03_Auxiliar'!K12+E12)</f>
        <v/>
      </c>
      <c r="I12" s="21">
        <f>'03_Auxiliar'!M12</f>
        <v/>
      </c>
      <c r="J12" s="21">
        <f>IF(H12="","",B12-H12-I12)</f>
        <v/>
      </c>
      <c r="K12" s="19">
        <f>IF(H12="","",IF(AND(C12&gt;0,H12&gt;=C12-0.005),"Sí","No"))</f>
        <v/>
      </c>
      <c r="L12" s="19">
        <f>IF('03_Auxiliar'!R12&lt;&gt;"","Baja",IF('03_Auxiliar'!E12="","En construcción","En uso"))</f>
        <v/>
      </c>
    </row>
    <row r="13">
      <c r="A13" s="18" t="inlineStr">
        <is>
          <t>OBRA-01</t>
        </is>
      </c>
      <c r="B13" s="20">
        <f>'03_Auxiliar'!F13+'03_Auxiliar'!G13</f>
        <v/>
      </c>
      <c r="C13" s="20">
        <f>MAX(B13-'03_Auxiliar'!H13,0)</f>
        <v/>
      </c>
      <c r="D13" s="31">
        <f>IF('03_Auxiliar'!E13="",0,MAX(IF('03_Auxiliar'!R13&lt;&gt;"",MIN('03_Auxiliar'!R13,'02_Parametros'!$B$5),'02_Parametros'!$B$5)-MAX('03_Auxiliar'!E13,'02_Parametros'!$B$6)+1,0))</f>
        <v/>
      </c>
      <c r="E13" s="20">
        <f>IF(NOT(OR('03_Auxiliar'!J13="",ISNUMBER(SEARCH("lineal",'03_Auxiliar'!J13)))),"",IF(OR('03_Auxiliar'!I13="",D13=0),0,MIN(C13/'03_Auxiliar'!I13*12*D13/'02_Parametros'!$B$7,MAX(C13-'03_Auxiliar'!K13,0))))</f>
        <v/>
      </c>
      <c r="F13" s="20">
        <f>IF('03_Auxiliar'!L13="","",'03_Auxiliar'!L13)</f>
        <v/>
      </c>
      <c r="G13" s="20">
        <f>IF(OR(E13="",F13=""),"",E13-F13)</f>
        <v/>
      </c>
      <c r="H13" s="20">
        <f>IF(E13="","",'03_Auxiliar'!K13+E13)</f>
        <v/>
      </c>
      <c r="I13" s="20">
        <f>'03_Auxiliar'!M13</f>
        <v/>
      </c>
      <c r="J13" s="20">
        <f>IF(H13="","",B13-H13-I13)</f>
        <v/>
      </c>
      <c r="K13" s="18">
        <f>IF(H13="","",IF(AND(C13&gt;0,H13&gt;=C13-0.005),"Sí","No"))</f>
        <v/>
      </c>
      <c r="L13" s="18">
        <f>IF('03_Auxiliar'!R13&lt;&gt;"","Baja",IF('03_Auxiliar'!E13="","En construcción","En uso"))</f>
        <v/>
      </c>
    </row>
    <row r="14">
      <c r="A14" s="19" t="inlineStr">
        <is>
          <t>MOB-01</t>
        </is>
      </c>
      <c r="B14" s="21">
        <f>'03_Auxiliar'!F14+'03_Auxiliar'!G14</f>
        <v/>
      </c>
      <c r="C14" s="21">
        <f>MAX(B14-'03_Auxiliar'!H14,0)</f>
        <v/>
      </c>
      <c r="D14" s="34">
        <f>IF('03_Auxiliar'!E14="",0,MAX(IF('03_Auxiliar'!R14&lt;&gt;"",MIN('03_Auxiliar'!R14,'02_Parametros'!$B$5),'02_Parametros'!$B$5)-MAX('03_Auxiliar'!E14,'02_Parametros'!$B$6)+1,0))</f>
        <v/>
      </c>
      <c r="E14" s="21">
        <f>IF(NOT(OR('03_Auxiliar'!J14="",ISNUMBER(SEARCH("lineal",'03_Auxiliar'!J14)))),"",IF(OR('03_Auxiliar'!I14="",D14=0),0,MIN(C14/'03_Auxiliar'!I14*12*D14/'02_Parametros'!$B$7,MAX(C14-'03_Auxiliar'!K14,0))))</f>
        <v/>
      </c>
      <c r="F14" s="21">
        <f>IF('03_Auxiliar'!L14="","",'03_Auxiliar'!L14)</f>
        <v/>
      </c>
      <c r="G14" s="21">
        <f>IF(OR(E14="",F14=""),"",E14-F14)</f>
        <v/>
      </c>
      <c r="H14" s="21">
        <f>IF(E14="","",'03_Auxiliar'!K14+E14)</f>
        <v/>
      </c>
      <c r="I14" s="21">
        <f>'03_Auxiliar'!M14</f>
        <v/>
      </c>
      <c r="J14" s="21">
        <f>IF(H14="","",B14-H14-I14)</f>
        <v/>
      </c>
      <c r="K14" s="19">
        <f>IF(H14="","",IF(AND(C14&gt;0,H14&gt;=C14-0.005),"Sí","No"))</f>
        <v/>
      </c>
      <c r="L14" s="19">
        <f>IF('03_Auxiliar'!R14&lt;&gt;"","Baja",IF('03_Auxiliar'!E14="","En construcción","En uso"))</f>
        <v/>
      </c>
    </row>
    <row r="15">
      <c r="A15" s="36" t="inlineStr">
        <is>
          <t>TOTAL</t>
        </is>
      </c>
      <c r="B15" s="37">
        <f>SUM(B5:B14)</f>
        <v/>
      </c>
      <c r="C15" s="37" t="n"/>
      <c r="D15" s="38" t="n"/>
      <c r="E15" s="37">
        <f>SUM(E5:E14)</f>
        <v/>
      </c>
      <c r="F15" s="37">
        <f>SUM(F5:F14)</f>
        <v/>
      </c>
      <c r="G15" s="37">
        <f>SUM(G5:G14)</f>
        <v/>
      </c>
      <c r="H15" s="37" t="n"/>
      <c r="I15" s="37" t="n"/>
      <c r="J15" s="37" t="n"/>
      <c r="K15" s="36" t="inlineStr"/>
      <c r="L15" s="36" t="inlineStr"/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Costo</t>
        </is>
      </c>
      <c r="B19" s="25" t="inlineStr">
        <is>
          <t>'='03_Auxiliar'!F5+'03_Auxiliar'!G5</t>
        </is>
      </c>
      <c r="C19" s="24" t="inlineStr">
        <is>
          <t>Suma el costo inicial y las adiciones del año del activo, tomados de la hoja 03 (Auxiliar de activos).</t>
        </is>
      </c>
      <c r="D19" s="24" t="inlineStr">
        <is>
          <t>Fila 1: 500.000,00+(vacío) → 500.000,00</t>
        </is>
      </c>
      <c r="E19" s="24" t="inlineStr">
        <is>
          <t>hoja «Auxiliar de activos (datos del cliente)»</t>
        </is>
      </c>
      <c r="F19" s="24" t="inlineStr">
        <is>
          <t>—</t>
        </is>
      </c>
    </row>
    <row r="20">
      <c r="A20" s="24" t="inlineStr">
        <is>
          <t>Importe depreciable</t>
        </is>
      </c>
      <c r="B20" s="25" t="inlineStr">
        <is>
          <t>'=MAX(B5-'03_Auxiliar'!H5,0)</t>
        </is>
      </c>
      <c r="C20" s="24" t="inlineStr">
        <is>
          <t>Costo menos el valor residual de la hoja 03 (Auxiliar de activos), sin bajar de cero: es lo que se reparte durante la vida útil.</t>
        </is>
      </c>
      <c r="D20" s="24" t="inlineStr">
        <is>
          <t>Fila 1: MAX(500.000,00-50.000,00; 0) → 450.000,00</t>
        </is>
      </c>
      <c r="E20" s="24" t="inlineStr">
        <is>
          <t>«Costo» (esta hoja), hoja «Auxiliar de activos (datos del cliente)»</t>
        </is>
      </c>
      <c r="F20" s="24" t="inlineStr">
        <is>
          <t>—</t>
        </is>
      </c>
    </row>
    <row r="21">
      <c r="A21" s="24" t="inlineStr">
        <is>
          <t>Días en uso</t>
        </is>
      </c>
      <c r="B21" s="25" t="inlineStr">
        <is>
          <t>'=IF('03_Auxiliar'!E5="",0,MAX(IF('03_Auxiliar'!R5&lt;&gt;"",MIN('03_Auxiliar'!R5,'02_Parametros'!$B$5),'02_Parametros'!$B$5)-MAX('03_Auxiliar'!E5,'02_Parametros'!$B$6)+1,0))</t>
        </is>
      </c>
      <c r="C21" s="24" t="inlineStr">
        <is>
          <t>Cuenta los días del ejercicio en que el activo estuvo disponible: desde su fecha de disponibilidad (o el inicio del ejercicio) hasta el corte o la fecha de baja. Si no tiene fecha de disponibilidad (en construcción), es cero.</t>
        </is>
      </c>
      <c r="D21" s="24" t="inlineStr">
        <is>
          <t>Fila 1: IF(«2015-01-01»=""; 0; MAX(IF((vacío)&lt;&gt;""; MIN((vacío); «2025-12-31»); «2025-12-31»)-MAX(«2015-01-01»; «2025-01-01»)+1; 0)) → 365</t>
        </is>
      </c>
      <c r="E21" s="24" t="inlineStr">
        <is>
          <t>hoja «Auxiliar de activos (datos del cliente)», hoja «Parámetros»</t>
        </is>
      </c>
      <c r="F21" s="24" t="inlineStr">
        <is>
          <t>—</t>
        </is>
      </c>
    </row>
    <row r="22">
      <c r="A22" s="24" t="inlineStr">
        <is>
          <t>Depreciación recalculada</t>
        </is>
      </c>
      <c r="B22" s="25" t="inlineStr">
        <is>
          <t>'=IF(NOT(OR('03_Auxiliar'!J5="",ISNUMBER(SEARCH("lineal",'03_Auxiliar'!J5)))),"",IF(OR('03_Auxiliar'!I5="",D5=0),0,MIN(C5/'03_Auxiliar'!I5*12*D5/'02_Parametros'!$B$7,MAX(C5-'03_Auxiliar'!K5,0))))</t>
        </is>
      </c>
      <c r="C22" s="24" t="inlineStr">
        <is>
          <t>Solo para el método lineal: importe depreciable ÷ vida útil en meses × 12 × días en uso ÷ días del ejercicio, sin pasar de lo que queda por depreciar. Otros métodos quedan en blanco; sin vida útil o sin días en uso da cero.</t>
        </is>
      </c>
      <c r="D22" s="24" t="inlineStr">
        <is>
          <t>Fila 1: IF(NOT(OR(«Lineal»=""; ISNUMBER(SEARCH("lineal"; «Lineal»)))); ""; IF(OR(480=""; 365=0); 0; MIN(450.000,00/480*12*365/365,00; MAX(450.000,00-112.500,00; 0)))) → 11.250,00</t>
        </is>
      </c>
      <c r="E22" s="24" t="inlineStr">
        <is>
          <t>«Días en uso» (esta hoja), «Importe depreciable» (esta hoja), hoja «Auxiliar de activos (datos del cliente)», hoja «Parámetros»</t>
        </is>
      </c>
      <c r="F22" s="24" t="inlineStr">
        <is>
          <t>—</t>
        </is>
      </c>
    </row>
    <row r="23">
      <c r="A23" s="24" t="inlineStr">
        <is>
          <t>Depreciación registrada</t>
        </is>
      </c>
      <c r="B23" s="25" t="inlineStr">
        <is>
          <t>'=IF('03_Auxiliar'!L5="","",'03_Auxiliar'!L5)</t>
        </is>
      </c>
      <c r="C23" s="24" t="inlineStr">
        <is>
          <t>Trae la depreciación del año que registró el cliente, desde la hoja 03 (Auxiliar de activos); en blanco si no la informó.</t>
        </is>
      </c>
      <c r="D23" s="24" t="inlineStr">
        <is>
          <t>Fila 1: IF(11.250,00=""; ""; 11.250,00) → 11.250,00</t>
        </is>
      </c>
      <c r="E23" s="24" t="inlineStr">
        <is>
          <t>hoja «Auxiliar de activos (datos del cliente)»</t>
        </is>
      </c>
      <c r="F23" s="24" t="inlineStr">
        <is>
          <t>—</t>
        </is>
      </c>
    </row>
    <row r="24">
      <c r="A24" s="24" t="inlineStr">
        <is>
          <t>Diferencia</t>
        </is>
      </c>
      <c r="B24" s="25" t="inlineStr">
        <is>
          <t>'=IF(OR(E5="",F5=""),"",E5-F5)</t>
        </is>
      </c>
      <c r="C24" s="24" t="inlineStr">
        <is>
          <t>Depreciación recalculada menos registrada; en blanco si falta alguna de las dos.</t>
        </is>
      </c>
      <c r="D24" s="24" t="inlineStr">
        <is>
          <t>Fila 1: IF(OR(11.250,00=""; 11.250,00=""); ""; 11.250,00-11.250,00) → 0,00</t>
        </is>
      </c>
      <c r="E24" s="24" t="inlineStr">
        <is>
          <t>«Depreciación recalculada» (esta hoja), «Depreciación registrada» (esta hoja)</t>
        </is>
      </c>
      <c r="F24" s="24" t="inlineStr">
        <is>
          <t>—</t>
        </is>
      </c>
    </row>
    <row r="25">
      <c r="A25" s="24" t="inlineStr">
        <is>
          <t>Dep. acumulada recalculada</t>
        </is>
      </c>
      <c r="B25" s="25" t="inlineStr">
        <is>
          <t>'=IF(E5="","",'03_Auxiliar'!K5+E5)</t>
        </is>
      </c>
      <c r="C25" s="24" t="inlineStr">
        <is>
          <t>Suma la depreciación acumulada al inicio de la hoja 03 (Auxiliar de activos) y la depreciación recalculada del año; en blanco si no se recalculó.</t>
        </is>
      </c>
      <c r="D25" s="24" t="inlineStr">
        <is>
          <t>Fila 1: IF(11.250,00=""; ""; 112.500,00+11.250,00) → 123.750,00</t>
        </is>
      </c>
      <c r="E25" s="24" t="inlineStr">
        <is>
          <t>«Depreciación recalculada» (esta hoja), hoja «Auxiliar de activos (datos del cliente)»</t>
        </is>
      </c>
      <c r="F25" s="24" t="inlineStr">
        <is>
          <t>—</t>
        </is>
      </c>
    </row>
    <row r="26">
      <c r="A26" s="24" t="inlineStr">
        <is>
          <t>Deterioro acumulado</t>
        </is>
      </c>
      <c r="B26" s="25" t="inlineStr">
        <is>
          <t>'='03_Auxiliar'!M5</t>
        </is>
      </c>
      <c r="C26" s="24" t="inlineStr">
        <is>
          <t>Trae el deterioro acumulado que registró el cliente para el activo, desde la hoja 03 (Auxiliar de activos).</t>
        </is>
      </c>
      <c r="D26" s="24" t="inlineStr">
        <is>
          <t>Fila 1: (vacío) → 0,00</t>
        </is>
      </c>
      <c r="E26" s="24" t="inlineStr">
        <is>
          <t>hoja «Auxiliar de activos (datos del cliente)»</t>
        </is>
      </c>
      <c r="F26" s="24" t="inlineStr">
        <is>
          <t>—</t>
        </is>
      </c>
    </row>
    <row r="27">
      <c r="A27" s="24" t="inlineStr">
        <is>
          <t>Valor neto en libros</t>
        </is>
      </c>
      <c r="B27" s="25" t="inlineStr">
        <is>
          <t>'=IF(H5="","",B5-H5-I5)</t>
        </is>
      </c>
      <c r="C27" s="24" t="inlineStr">
        <is>
          <t>Costo menos depreciación acumulada recalculada menos deterioro acumulado; en blanco si la depreciación no se recalculó.</t>
        </is>
      </c>
      <c r="D27" s="24" t="inlineStr">
        <is>
          <t>Fila 1: IF(123.750,00=""; ""; 500.000,00-123.750,00-0,00) → 376.250,00</t>
        </is>
      </c>
      <c r="E27" s="24" t="inlineStr">
        <is>
          <t>«Dep. acumulada recalculada» (esta hoja), «Costo» (esta hoja), «Deterioro acumulado» (esta hoja)</t>
        </is>
      </c>
      <c r="F27" s="24" t="inlineStr">
        <is>
          <t>—</t>
        </is>
      </c>
    </row>
    <row r="28">
      <c r="A28" s="24" t="inlineStr">
        <is>
          <t>Totalmente depreciado</t>
        </is>
      </c>
      <c r="B28" s="25" t="inlineStr">
        <is>
          <t>'=IF(H5="","",IF(AND(C5&gt;0,H5&gt;=C5-0.005),"Sí","No"))</t>
        </is>
      </c>
      <c r="C28" s="24" t="inlineStr">
        <is>
          <t>«Sí» cuando la depreciación acumulada recalculada ya cubre todo el importe depreciable; «No» si no; en blanco si no se recalculó.</t>
        </is>
      </c>
      <c r="D28" s="24" t="inlineStr">
        <is>
          <t>Fila 1: IF(123.750,00=""; ""; IF(AND(450.000,00&gt;0; 123.750,00&gt;=450.000,00-0.005); "Sí"; "No")) → No</t>
        </is>
      </c>
      <c r="E28" s="24" t="inlineStr">
        <is>
          <t>«Dep. acumulada recalculada» (esta hoja), «Importe depreciable» (esta hoja)</t>
        </is>
      </c>
      <c r="F28" s="24" t="inlineStr">
        <is>
          <t>—</t>
        </is>
      </c>
    </row>
    <row r="29">
      <c r="A29" s="24" t="inlineStr">
        <is>
          <t>Estado</t>
        </is>
      </c>
      <c r="B29" s="25" t="inlineStr">
        <is>
          <t>'=IF('03_Auxiliar'!R5&lt;&gt;"","Baja",IF('03_Auxiliar'!E5="","En construcción","En uso"))</t>
        </is>
      </c>
      <c r="C29" s="24" t="inlineStr">
        <is>
          <t>«Baja» si el activo tiene fecha de baja en la hoja 03, «En construcción» si aún no tiene fecha de disponibilidad para uso y «En uso» en los demás casos.</t>
        </is>
      </c>
      <c r="D29" s="24" t="inlineStr">
        <is>
          <t>Fila 1: IF((vacío)&lt;&gt;""; "Baja"; IF(«2015-01-01»=""; "En construcción"; "En uso")) → En uso</t>
        </is>
      </c>
      <c r="E29" s="24" t="inlineStr">
        <is>
          <t>hoja «Auxiliar de activos (datos del cliente)»</t>
        </is>
      </c>
      <c r="F29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19" customWidth="1" min="4" max="4"/>
    <col width="16" customWidth="1" min="5" max="5"/>
    <col width="12" customWidth="1" min="6" max="6"/>
    <col width="22" customWidth="1" min="7" max="7"/>
    <col width="28" customWidth="1" min="8" max="8"/>
    <col width="24" customWidth="1" min="9" max="9"/>
    <col width="30" customWidth="1" min="10" max="10"/>
    <col width="29" customWidth="1" min="11" max="11"/>
  </cols>
  <sheetData>
    <row r="1">
      <c r="A1" s="3" t="inlineStr">
        <is>
          <t>Vidas útiles, residual y método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Código</t>
        </is>
      </c>
      <c r="B4" s="17" t="inlineStr">
        <is>
          <t>Clase</t>
        </is>
      </c>
      <c r="C4" s="17" t="inlineStr">
        <is>
          <t>Método</t>
        </is>
      </c>
      <c r="D4" s="17" t="inlineStr">
        <is>
          <t>Vida útil (meses)</t>
        </is>
      </c>
      <c r="E4" s="17" t="inlineStr">
        <is>
          <t>Valor residual</t>
        </is>
      </c>
      <c r="F4" s="17" t="inlineStr">
        <is>
          <t>Costo</t>
        </is>
      </c>
      <c r="G4" s="17" t="inlineStr">
        <is>
          <t>Residual % del costo</t>
        </is>
      </c>
      <c r="H4" s="17" t="inlineStr">
        <is>
          <t>Dep. acumulada recalculada</t>
        </is>
      </c>
      <c r="I4" s="17" t="inlineStr">
        <is>
          <t>Vida remanente (meses)</t>
        </is>
      </c>
      <c r="J4" s="17" t="inlineStr">
        <is>
          <t>Totalmente depreciado en uso</t>
        </is>
      </c>
      <c r="K4" s="17" t="inlineStr">
        <is>
          <t>Residual mayor que el costo</t>
        </is>
      </c>
    </row>
    <row r="5">
      <c r="A5" s="18" t="inlineStr">
        <is>
          <t>EDIF-01</t>
        </is>
      </c>
      <c r="B5" s="18" t="inlineStr">
        <is>
          <t>Edificios</t>
        </is>
      </c>
      <c r="C5" s="18" t="inlineStr">
        <is>
          <t>Lineal</t>
        </is>
      </c>
      <c r="D5" s="31">
        <f>IF('03_Auxiliar'!I5="","",'03_Auxiliar'!I5)</f>
        <v/>
      </c>
      <c r="E5" s="20">
        <f>'03_Auxiliar'!H5</f>
        <v/>
      </c>
      <c r="F5" s="20">
        <f>'04_Depreciacion'!B5</f>
        <v/>
      </c>
      <c r="G5" s="39">
        <f>IF(F5=0,"",E5/F5)</f>
        <v/>
      </c>
      <c r="H5" s="20">
        <f>IF('04_Depreciacion'!H5="","",'04_Depreciacion'!H5)</f>
        <v/>
      </c>
      <c r="I5" s="20">
        <f>IF(OR(D5="",H5="",'04_Depreciacion'!C5=0),"",MAX('04_Depreciacion'!C5-H5,0)/'04_Depreciacion'!C5*D5)</f>
        <v/>
      </c>
      <c r="J5" s="18">
        <f>IF(AND('04_Depreciacion'!K5="Sí",'04_Depreciacion'!L5="En uso"),"Sí","No")</f>
        <v/>
      </c>
      <c r="K5" s="18">
        <f>IF(E5&gt;F5,"Sí","No")</f>
        <v/>
      </c>
    </row>
    <row r="6">
      <c r="A6" s="19" t="inlineStr">
        <is>
          <t>TERR-01</t>
        </is>
      </c>
      <c r="B6" s="19" t="inlineStr">
        <is>
          <t>Terrenos</t>
        </is>
      </c>
      <c r="C6" s="19" t="inlineStr"/>
      <c r="D6" s="34">
        <f>IF('03_Auxiliar'!I6="","",'03_Auxiliar'!I6)</f>
        <v/>
      </c>
      <c r="E6" s="21">
        <f>'03_Auxiliar'!H6</f>
        <v/>
      </c>
      <c r="F6" s="21">
        <f>'04_Depreciacion'!B6</f>
        <v/>
      </c>
      <c r="G6" s="40">
        <f>IF(F6=0,"",E6/F6)</f>
        <v/>
      </c>
      <c r="H6" s="21">
        <f>IF('04_Depreciacion'!H6="","",'04_Depreciacion'!H6)</f>
        <v/>
      </c>
      <c r="I6" s="21">
        <f>IF(OR(D6="",H6="",'04_Depreciacion'!C6=0),"",MAX('04_Depreciacion'!C6-H6,0)/'04_Depreciacion'!C6*D6)</f>
        <v/>
      </c>
      <c r="J6" s="19">
        <f>IF(AND('04_Depreciacion'!K6="Sí",'04_Depreciacion'!L6="En uso"),"Sí","No")</f>
        <v/>
      </c>
      <c r="K6" s="19">
        <f>IF(E6&gt;F6,"Sí","No")</f>
        <v/>
      </c>
    </row>
    <row r="7">
      <c r="A7" s="18" t="inlineStr">
        <is>
          <t>TERR-02</t>
        </is>
      </c>
      <c r="B7" s="18" t="inlineStr">
        <is>
          <t>Terrenos</t>
        </is>
      </c>
      <c r="C7" s="18" t="inlineStr"/>
      <c r="D7" s="31">
        <f>IF('03_Auxiliar'!I7="","",'03_Auxiliar'!I7)</f>
        <v/>
      </c>
      <c r="E7" s="20">
        <f>'03_Auxiliar'!H7</f>
        <v/>
      </c>
      <c r="F7" s="20">
        <f>'04_Depreciacion'!B7</f>
        <v/>
      </c>
      <c r="G7" s="39">
        <f>IF(F7=0,"",E7/F7)</f>
        <v/>
      </c>
      <c r="H7" s="20">
        <f>IF('04_Depreciacion'!H7="","",'04_Depreciacion'!H7)</f>
        <v/>
      </c>
      <c r="I7" s="20">
        <f>IF(OR(D7="",H7="",'04_Depreciacion'!C7=0),"",MAX('04_Depreciacion'!C7-H7,0)/'04_Depreciacion'!C7*D7)</f>
        <v/>
      </c>
      <c r="J7" s="18">
        <f>IF(AND('04_Depreciacion'!K7="Sí",'04_Depreciacion'!L7="En uso"),"Sí","No")</f>
        <v/>
      </c>
      <c r="K7" s="18">
        <f>IF(E7&gt;F7,"Sí","No")</f>
        <v/>
      </c>
    </row>
    <row r="8">
      <c r="A8" s="19" t="inlineStr">
        <is>
          <t>VEH-01</t>
        </is>
      </c>
      <c r="B8" s="19" t="inlineStr">
        <is>
          <t>Vehículos</t>
        </is>
      </c>
      <c r="C8" s="19" t="inlineStr">
        <is>
          <t>Lineal</t>
        </is>
      </c>
      <c r="D8" s="34">
        <f>IF('03_Auxiliar'!I8="","",'03_Auxiliar'!I8)</f>
        <v/>
      </c>
      <c r="E8" s="21">
        <f>'03_Auxiliar'!H8</f>
        <v/>
      </c>
      <c r="F8" s="21">
        <f>'04_Depreciacion'!B8</f>
        <v/>
      </c>
      <c r="G8" s="40">
        <f>IF(F8=0,"",E8/F8)</f>
        <v/>
      </c>
      <c r="H8" s="21">
        <f>IF('04_Depreciacion'!H8="","",'04_Depreciacion'!H8)</f>
        <v/>
      </c>
      <c r="I8" s="21">
        <f>IF(OR(D8="",H8="",'04_Depreciacion'!C8=0),"",MAX('04_Depreciacion'!C8-H8,0)/'04_Depreciacion'!C8*D8)</f>
        <v/>
      </c>
      <c r="J8" s="19">
        <f>IF(AND('04_Depreciacion'!K8="Sí",'04_Depreciacion'!L8="En uso"),"Sí","No")</f>
        <v/>
      </c>
      <c r="K8" s="19">
        <f>IF(E8&gt;F8,"Sí","No")</f>
        <v/>
      </c>
    </row>
    <row r="9">
      <c r="A9" s="18" t="inlineStr">
        <is>
          <t>VEH-02</t>
        </is>
      </c>
      <c r="B9" s="18" t="inlineStr">
        <is>
          <t>Vehículos</t>
        </is>
      </c>
      <c r="C9" s="18" t="inlineStr">
        <is>
          <t>Lineal</t>
        </is>
      </c>
      <c r="D9" s="31">
        <f>IF('03_Auxiliar'!I9="","",'03_Auxiliar'!I9)</f>
        <v/>
      </c>
      <c r="E9" s="20">
        <f>'03_Auxiliar'!H9</f>
        <v/>
      </c>
      <c r="F9" s="20">
        <f>'04_Depreciacion'!B9</f>
        <v/>
      </c>
      <c r="G9" s="39">
        <f>IF(F9=0,"",E9/F9)</f>
        <v/>
      </c>
      <c r="H9" s="20">
        <f>IF('04_Depreciacion'!H9="","",'04_Depreciacion'!H9)</f>
        <v/>
      </c>
      <c r="I9" s="20">
        <f>IF(OR(D9="",H9="",'04_Depreciacion'!C9=0),"",MAX('04_Depreciacion'!C9-H9,0)/'04_Depreciacion'!C9*D9)</f>
        <v/>
      </c>
      <c r="J9" s="18">
        <f>IF(AND('04_Depreciacion'!K9="Sí",'04_Depreciacion'!L9="En uso"),"Sí","No")</f>
        <v/>
      </c>
      <c r="K9" s="18">
        <f>IF(E9&gt;F9,"Sí","No")</f>
        <v/>
      </c>
    </row>
    <row r="10">
      <c r="A10" s="19" t="inlineStr">
        <is>
          <t>MAQ-01</t>
        </is>
      </c>
      <c r="B10" s="19" t="inlineStr">
        <is>
          <t>Maquinaria</t>
        </is>
      </c>
      <c r="C10" s="19" t="inlineStr">
        <is>
          <t>Lineal</t>
        </is>
      </c>
      <c r="D10" s="34">
        <f>IF('03_Auxiliar'!I10="","",'03_Auxiliar'!I10)</f>
        <v/>
      </c>
      <c r="E10" s="21">
        <f>'03_Auxiliar'!H10</f>
        <v/>
      </c>
      <c r="F10" s="21">
        <f>'04_Depreciacion'!B10</f>
        <v/>
      </c>
      <c r="G10" s="40">
        <f>IF(F10=0,"",E10/F10)</f>
        <v/>
      </c>
      <c r="H10" s="21">
        <f>IF('04_Depreciacion'!H10="","",'04_Depreciacion'!H10)</f>
        <v/>
      </c>
      <c r="I10" s="21">
        <f>IF(OR(D10="",H10="",'04_Depreciacion'!C10=0),"",MAX('04_Depreciacion'!C10-H10,0)/'04_Depreciacion'!C10*D10)</f>
        <v/>
      </c>
      <c r="J10" s="19">
        <f>IF(AND('04_Depreciacion'!K10="Sí",'04_Depreciacion'!L10="En uso"),"Sí","No")</f>
        <v/>
      </c>
      <c r="K10" s="19">
        <f>IF(E10&gt;F10,"Sí","No")</f>
        <v/>
      </c>
    </row>
    <row r="11">
      <c r="A11" s="18" t="inlineStr">
        <is>
          <t>MAQ-01-M</t>
        </is>
      </c>
      <c r="B11" s="18" t="inlineStr">
        <is>
          <t>Maquinaria</t>
        </is>
      </c>
      <c r="C11" s="18" t="inlineStr">
        <is>
          <t>Lineal</t>
        </is>
      </c>
      <c r="D11" s="31">
        <f>IF('03_Auxiliar'!I11="","",'03_Auxiliar'!I11)</f>
        <v/>
      </c>
      <c r="E11" s="20">
        <f>'03_Auxiliar'!H11</f>
        <v/>
      </c>
      <c r="F11" s="20">
        <f>'04_Depreciacion'!B11</f>
        <v/>
      </c>
      <c r="G11" s="39">
        <f>IF(F11=0,"",E11/F11)</f>
        <v/>
      </c>
      <c r="H11" s="20">
        <f>IF('04_Depreciacion'!H11="","",'04_Depreciacion'!H11)</f>
        <v/>
      </c>
      <c r="I11" s="20">
        <f>IF(OR(D11="",H11="",'04_Depreciacion'!C11=0),"",MAX('04_Depreciacion'!C11-H11,0)/'04_Depreciacion'!C11*D11)</f>
        <v/>
      </c>
      <c r="J11" s="18">
        <f>IF(AND('04_Depreciacion'!K11="Sí",'04_Depreciacion'!L11="En uso"),"Sí","No")</f>
        <v/>
      </c>
      <c r="K11" s="18">
        <f>IF(E11&gt;F11,"Sí","No")</f>
        <v/>
      </c>
    </row>
    <row r="12">
      <c r="A12" s="19" t="inlineStr">
        <is>
          <t>EQC-01</t>
        </is>
      </c>
      <c r="B12" s="19" t="inlineStr">
        <is>
          <t>Equipo de cómputo</t>
        </is>
      </c>
      <c r="C12" s="19" t="inlineStr">
        <is>
          <t>Unidades producidas</t>
        </is>
      </c>
      <c r="D12" s="34">
        <f>IF('03_Auxiliar'!I12="","",'03_Auxiliar'!I12)</f>
        <v/>
      </c>
      <c r="E12" s="21">
        <f>'03_Auxiliar'!H12</f>
        <v/>
      </c>
      <c r="F12" s="21">
        <f>'04_Depreciacion'!B12</f>
        <v/>
      </c>
      <c r="G12" s="40">
        <f>IF(F12=0,"",E12/F12)</f>
        <v/>
      </c>
      <c r="H12" s="21">
        <f>IF('04_Depreciacion'!H12="","",'04_Depreciacion'!H12)</f>
        <v/>
      </c>
      <c r="I12" s="21">
        <f>IF(OR(D12="",H12="",'04_Depreciacion'!C12=0),"",MAX('04_Depreciacion'!C12-H12,0)/'04_Depreciacion'!C12*D12)</f>
        <v/>
      </c>
      <c r="J12" s="19">
        <f>IF(AND('04_Depreciacion'!K12="Sí",'04_Depreciacion'!L12="En uso"),"Sí","No")</f>
        <v/>
      </c>
      <c r="K12" s="19">
        <f>IF(E12&gt;F12,"Sí","No")</f>
        <v/>
      </c>
    </row>
    <row r="13">
      <c r="A13" s="18" t="inlineStr">
        <is>
          <t>OBRA-01</t>
        </is>
      </c>
      <c r="B13" s="18" t="inlineStr">
        <is>
          <t>Construcciones en curso</t>
        </is>
      </c>
      <c r="C13" s="18" t="inlineStr"/>
      <c r="D13" s="31">
        <f>IF('03_Auxiliar'!I13="","",'03_Auxiliar'!I13)</f>
        <v/>
      </c>
      <c r="E13" s="20">
        <f>'03_Auxiliar'!H13</f>
        <v/>
      </c>
      <c r="F13" s="20">
        <f>'04_Depreciacion'!B13</f>
        <v/>
      </c>
      <c r="G13" s="39">
        <f>IF(F13=0,"",E13/F13)</f>
        <v/>
      </c>
      <c r="H13" s="20">
        <f>IF('04_Depreciacion'!H13="","",'04_Depreciacion'!H13)</f>
        <v/>
      </c>
      <c r="I13" s="20">
        <f>IF(OR(D13="",H13="",'04_Depreciacion'!C13=0),"",MAX('04_Depreciacion'!C13-H13,0)/'04_Depreciacion'!C13*D13)</f>
        <v/>
      </c>
      <c r="J13" s="18">
        <f>IF(AND('04_Depreciacion'!K13="Sí",'04_Depreciacion'!L13="En uso"),"Sí","No")</f>
        <v/>
      </c>
      <c r="K13" s="18">
        <f>IF(E13&gt;F13,"Sí","No")</f>
        <v/>
      </c>
    </row>
    <row r="14">
      <c r="A14" s="19" t="inlineStr">
        <is>
          <t>MOB-01</t>
        </is>
      </c>
      <c r="B14" s="19" t="inlineStr">
        <is>
          <t>Muebles y enseres</t>
        </is>
      </c>
      <c r="C14" s="19" t="inlineStr">
        <is>
          <t>Lineal</t>
        </is>
      </c>
      <c r="D14" s="34">
        <f>IF('03_Auxiliar'!I14="","",'03_Auxiliar'!I14)</f>
        <v/>
      </c>
      <c r="E14" s="21">
        <f>'03_Auxiliar'!H14</f>
        <v/>
      </c>
      <c r="F14" s="21">
        <f>'04_Depreciacion'!B14</f>
        <v/>
      </c>
      <c r="G14" s="40">
        <f>IF(F14=0,"",E14/F14)</f>
        <v/>
      </c>
      <c r="H14" s="21">
        <f>IF('04_Depreciacion'!H14="","",'04_Depreciacion'!H14)</f>
        <v/>
      </c>
      <c r="I14" s="21">
        <f>IF(OR(D14="",H14="",'04_Depreciacion'!C14=0),"",MAX('04_Depreciacion'!C14-H14,0)/'04_Depreciacion'!C14*D14)</f>
        <v/>
      </c>
      <c r="J14" s="19">
        <f>IF(AND('04_Depreciacion'!K14="Sí",'04_Depreciacion'!L14="En uso"),"Sí","No")</f>
        <v/>
      </c>
      <c r="K14" s="19">
        <f>IF(E14&gt;F14,"Sí","No")</f>
        <v/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Vida útil (meses)</t>
        </is>
      </c>
      <c r="B18" s="25" t="inlineStr">
        <is>
          <t>'=IF('03_Auxiliar'!I5="","",'03_Auxiliar'!I5)</t>
        </is>
      </c>
      <c r="C18" s="24" t="inlineStr">
        <is>
          <t>Trae la vida útil en meses informada en la hoja 03 (Auxiliar de activos); en blanco si no se informó.</t>
        </is>
      </c>
      <c r="D18" s="24" t="inlineStr">
        <is>
          <t>Fila 1: IF(480=""; ""; 480) → 480</t>
        </is>
      </c>
      <c r="E18" s="24" t="inlineStr">
        <is>
          <t>hoja «Auxiliar de activos (datos del cliente)»</t>
        </is>
      </c>
      <c r="F18" s="24" t="inlineStr">
        <is>
          <t>—</t>
        </is>
      </c>
    </row>
    <row r="19">
      <c r="A19" s="24" t="inlineStr">
        <is>
          <t>Valor residual</t>
        </is>
      </c>
      <c r="B19" s="25" t="inlineStr">
        <is>
          <t>'='03_Auxiliar'!H5</t>
        </is>
      </c>
      <c r="C19" s="24" t="inlineStr">
        <is>
          <t>Trae el valor residual del activo desde la hoja 03 (Auxiliar de activos); si está vacío, cero.</t>
        </is>
      </c>
      <c r="D19" s="24" t="inlineStr">
        <is>
          <t>Fila 1: 50.000,00 → 50.000,00</t>
        </is>
      </c>
      <c r="E19" s="24" t="inlineStr">
        <is>
          <t>hoja «Auxiliar de activos (datos del cliente)»</t>
        </is>
      </c>
      <c r="F19" s="24" t="inlineStr">
        <is>
          <t>—</t>
        </is>
      </c>
    </row>
    <row r="20">
      <c r="A20" s="24" t="inlineStr">
        <is>
          <t>Costo</t>
        </is>
      </c>
      <c r="B20" s="25" t="inlineStr">
        <is>
          <t>'='04_Depreciacion'!B5</t>
        </is>
      </c>
      <c r="C20" s="24" t="inlineStr">
        <is>
          <t>Trae el costo del activo (costo inicial más adiciones) desde la hoja 04 (Recálculo de depreciación y VNL).</t>
        </is>
      </c>
      <c r="D20" s="24" t="inlineStr">
        <is>
          <t>Fila 1: 500.000,00 → 500.000,00</t>
        </is>
      </c>
      <c r="E20" s="24" t="inlineStr">
        <is>
          <t>hoja «Recálculo de depreciación y VNL»</t>
        </is>
      </c>
      <c r="F20" s="24" t="inlineStr">
        <is>
          <t>—</t>
        </is>
      </c>
    </row>
    <row r="21">
      <c r="A21" s="24" t="inlineStr">
        <is>
          <t>Residual % del costo</t>
        </is>
      </c>
      <c r="B21" s="25" t="inlineStr">
        <is>
          <t>'=IF(F5=0,"",E5/F5)</t>
        </is>
      </c>
      <c r="C21" s="24" t="inlineStr">
        <is>
          <t>Divide el valor residual para el costo, para ver si el residual es razonable; en blanco si el costo es cero.</t>
        </is>
      </c>
      <c r="D21" s="24" t="inlineStr">
        <is>
          <t>Fila 1: IF(500.000,00=0; ""; 50.000,00/500.000,00) → 10,00 %</t>
        </is>
      </c>
      <c r="E21" s="24" t="inlineStr">
        <is>
          <t>«Costo» (esta hoja), «Valor residual» (esta hoja)</t>
        </is>
      </c>
      <c r="F21" s="24" t="inlineStr">
        <is>
          <t>—</t>
        </is>
      </c>
    </row>
    <row r="22">
      <c r="A22" s="24" t="inlineStr">
        <is>
          <t>Dep. acumulada recalculada</t>
        </is>
      </c>
      <c r="B22" s="25" t="inlineStr">
        <is>
          <t>'=IF('04_Depreciacion'!H5="","",'04_Depreciacion'!H5)</t>
        </is>
      </c>
      <c r="C22" s="24" t="inlineStr">
        <is>
          <t>Trae la depreciación acumulada recalculada desde la hoja 04 (Recálculo de depreciación y VNL); en blanco si allí no se recalculó.</t>
        </is>
      </c>
      <c r="D22" s="24" t="inlineStr">
        <is>
          <t>Fila 1: IF(123.750,00=""; ""; 123.750,00) → 123.750,00</t>
        </is>
      </c>
      <c r="E22" s="24" t="inlineStr">
        <is>
          <t>hoja «Recálculo de depreciación y VNL»</t>
        </is>
      </c>
      <c r="F22" s="24" t="inlineStr">
        <is>
          <t>—</t>
        </is>
      </c>
    </row>
    <row r="23">
      <c r="A23" s="24" t="inlineStr">
        <is>
          <t>Vida remanente (meses)</t>
        </is>
      </c>
      <c r="B23" s="25" t="inlineStr">
        <is>
          <t>'=IF(OR(D5="",H5="",'04_Depreciacion'!C5=0),"",MAX('04_Depreciacion'!C5-H5,0)/'04_Depreciacion'!C5*D5)</t>
        </is>
      </c>
      <c r="C23" s="24" t="inlineStr">
        <is>
          <t>Parte de la vida útil que queda: importe depreciable pendiente (hoja 04) sobre el importe depreciable total, por la vida útil en meses. En blanco si falta la vida útil o la depreciación.</t>
        </is>
      </c>
      <c r="D23" s="24" t="inlineStr">
        <is>
          <t>Fila 1: IF(OR(480=""; 123.750,00=""; 450.000,00=0); ""; MAX(450.000,00-123.750,00; 0)/450.000,00*480) → 348,00</t>
        </is>
      </c>
      <c r="E23" s="24" t="inlineStr">
        <is>
          <t>«Vida útil (meses)» (esta hoja), «Dep. acumulada recalculada» (esta hoja), hoja «Recálculo de depreciación y VNL»</t>
        </is>
      </c>
      <c r="F23" s="24" t="inlineStr">
        <is>
          <t>—</t>
        </is>
      </c>
    </row>
    <row r="24">
      <c r="A24" s="24" t="inlineStr">
        <is>
          <t>Totalmente depreciado en uso</t>
        </is>
      </c>
      <c r="B24" s="25" t="inlineStr">
        <is>
          <t>'=IF(AND('04_Depreciacion'!K5="Sí",'04_Depreciacion'!L5="En uso"),"Sí","No")</t>
        </is>
      </c>
      <c r="C24" s="24" t="inlineStr">
        <is>
          <t>«Sí» cuando en la hoja 04 el activo figura totalmente depreciado y sigue en uso: señal de que la vida útil estimada fue corta.</t>
        </is>
      </c>
      <c r="D24" s="24" t="inlineStr">
        <is>
          <t>Fila 1: IF(AND(«No»="Sí"; «En uso»="En uso"); "Sí"; "No") → No</t>
        </is>
      </c>
      <c r="E24" s="24" t="inlineStr">
        <is>
          <t>hoja «Recálculo de depreciación y VNL»</t>
        </is>
      </c>
      <c r="F24" s="24" t="inlineStr">
        <is>
          <t>—</t>
        </is>
      </c>
    </row>
    <row r="25">
      <c r="A25" s="24" t="inlineStr">
        <is>
          <t>Residual mayor que el costo</t>
        </is>
      </c>
      <c r="B25" s="25" t="inlineStr">
        <is>
          <t>'=IF(E5&gt;F5,"Sí","No")</t>
        </is>
      </c>
      <c r="C25" s="24" t="inlineStr">
        <is>
          <t>«Sí» si el valor residual supera al costo del activo, lo que no es razonable; «No» en caso contrario.</t>
        </is>
      </c>
      <c r="D25" s="24" t="inlineStr">
        <is>
          <t>Fila 1: IF(50.000,00&gt;500.000,00; "Sí"; "No") → No</t>
        </is>
      </c>
      <c r="E25" s="24" t="inlineStr">
        <is>
          <t>«Valor residual» (esta hoja), «Costo» (esta hoja)</t>
        </is>
      </c>
      <c r="F25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6" customWidth="1" min="5" max="5"/>
    <col width="21" customWidth="1" min="6" max="6"/>
    <col width="19" customWidth="1" min="7" max="7"/>
    <col width="12" customWidth="1" min="8" max="8"/>
  </cols>
  <sheetData>
    <row r="1">
      <c r="A1" s="3" t="inlineStr">
        <is>
          <t>Componentes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Elemento</t>
        </is>
      </c>
      <c r="C4" s="17" t="inlineStr">
        <is>
          <t>Costo de la parte</t>
        </is>
      </c>
      <c r="D4" s="17" t="inlineStr">
        <is>
          <t>Costo del elemento</t>
        </is>
      </c>
      <c r="E4" s="17" t="inlineStr">
        <is>
          <t>% del elemento</t>
        </is>
      </c>
      <c r="F4" s="17" t="inlineStr">
        <is>
          <t>Parte significativa</t>
        </is>
      </c>
      <c r="G4" s="17" t="inlineStr">
        <is>
          <t>Vida útil (meses)</t>
        </is>
      </c>
      <c r="H4" s="17" t="inlineStr">
        <is>
          <t>Método</t>
        </is>
      </c>
    </row>
    <row r="5">
      <c r="A5" s="18" t="inlineStr">
        <is>
          <t>MAQ-01</t>
        </is>
      </c>
      <c r="B5" s="18" t="inlineStr">
        <is>
          <t>MAQ-01</t>
        </is>
      </c>
      <c r="C5" s="20">
        <f>'04_Depreciacion'!B10</f>
        <v/>
      </c>
      <c r="D5" s="20">
        <f>SUMIF($B$5:$B$6,B5,$C$5:$C$6)</f>
        <v/>
      </c>
      <c r="E5" s="39">
        <f>IF(D5=0,"",C5/D5)</f>
        <v/>
      </c>
      <c r="F5" s="18">
        <f>IF(E5="","",IF(E5&gt;='02_Parametros'!$B$12/100,"Sí","No"))</f>
        <v/>
      </c>
      <c r="G5" s="31">
        <f>IF('03_Auxiliar'!I10="","",'03_Auxiliar'!I10)</f>
        <v/>
      </c>
      <c r="H5" s="18" t="inlineStr">
        <is>
          <t>Lineal</t>
        </is>
      </c>
    </row>
    <row r="6">
      <c r="A6" s="19" t="inlineStr">
        <is>
          <t>MAQ-01-M</t>
        </is>
      </c>
      <c r="B6" s="19" t="inlineStr">
        <is>
          <t>MAQ-01</t>
        </is>
      </c>
      <c r="C6" s="21">
        <f>'04_Depreciacion'!B11</f>
        <v/>
      </c>
      <c r="D6" s="21">
        <f>SUMIF($B$5:$B$6,B6,$C$5:$C$6)</f>
        <v/>
      </c>
      <c r="E6" s="40">
        <f>IF(D6=0,"",C6/D6)</f>
        <v/>
      </c>
      <c r="F6" s="19">
        <f>IF(E6="","",IF(E6&gt;='02_Parametros'!$B$12/100,"Sí","No"))</f>
        <v/>
      </c>
      <c r="G6" s="34">
        <f>IF('03_Auxiliar'!I11="","",'03_Auxiliar'!I11)</f>
        <v/>
      </c>
      <c r="H6" s="19" t="inlineStr">
        <is>
          <t>Lineal</t>
        </is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Costo de la parte</t>
        </is>
      </c>
      <c r="B10" s="25" t="inlineStr">
        <is>
          <t>'='04_Depreciacion'!B10</t>
        </is>
      </c>
      <c r="C10" s="24" t="inlineStr">
        <is>
          <t>Trae el costo de esta parte (componente) desde la hoja 04 (Recálculo de depreciación y VNL).</t>
        </is>
      </c>
      <c r="D10" s="24" t="inlineStr">
        <is>
          <t>Fila 1: 120.000,00 → 120.000,00</t>
        </is>
      </c>
      <c r="E10" s="24" t="inlineStr">
        <is>
          <t>hoja «Recálculo de depreciación y VNL»</t>
        </is>
      </c>
      <c r="F10" s="24" t="inlineStr">
        <is>
          <t>—</t>
        </is>
      </c>
    </row>
    <row r="11">
      <c r="A11" s="24" t="inlineStr">
        <is>
          <t>Costo del elemento</t>
        </is>
      </c>
      <c r="B11" s="25" t="inlineStr">
        <is>
          <t>'=SUMIF($B$5:$B$6,B5,$C$5:$C$6)</t>
        </is>
      </c>
      <c r="C11" s="24" t="inlineStr">
        <is>
          <t>Suma el costo de todas las partes de esta hoja que pertenecen al mismo elemento: es el costo total del elemento.</t>
        </is>
      </c>
      <c r="D11" s="24" t="inlineStr">
        <is>
          <t>Fila 1: SUMIF([«Elemento», 2 filas]; «MAQ-01»; [«Costo de la parte», 2 filas]) → 150.000,00</t>
        </is>
      </c>
      <c r="E11" s="24" t="inlineStr">
        <is>
          <t>«Elemento» (esta hoja), «Costo de la parte» (esta hoja)</t>
        </is>
      </c>
      <c r="F11" s="24" t="inlineStr">
        <is>
          <t>—</t>
        </is>
      </c>
    </row>
    <row r="12">
      <c r="A12" s="24" t="inlineStr">
        <is>
          <t>% del elemento</t>
        </is>
      </c>
      <c r="B12" s="25" t="inlineStr">
        <is>
          <t>'=IF(D5=0,"",C5/D5)</t>
        </is>
      </c>
      <c r="C12" s="24" t="inlineStr">
        <is>
          <t>Divide el costo de la parte para el costo total del elemento; en blanco si el elemento no tiene costo.</t>
        </is>
      </c>
      <c r="D12" s="24" t="inlineStr">
        <is>
          <t>Fila 1: IF(150.000,00=0; ""; 120.000,00/150.000,00) → 80,00 %</t>
        </is>
      </c>
      <c r="E12" s="24" t="inlineStr">
        <is>
          <t>«Costo del elemento» (esta hoja), «Costo de la parte» (esta hoja)</t>
        </is>
      </c>
      <c r="F12" s="24" t="inlineStr">
        <is>
          <t>—</t>
        </is>
      </c>
    </row>
    <row r="13">
      <c r="A13" s="24" t="inlineStr">
        <is>
          <t>Parte significativa</t>
        </is>
      </c>
      <c r="B13" s="25" t="inlineStr">
        <is>
          <t>'=IF(E5="","",IF(E5&gt;='02_Parametros'!$B$12/100,"Sí","No"))</t>
        </is>
      </c>
      <c r="C13" s="24" t="inlineStr">
        <is>
          <t>«Sí» si el % del elemento alcanza el umbral de parte significativa de la hoja 02 (Parámetros), por lo que debe depreciarse por separado; «No» si no llega.</t>
        </is>
      </c>
      <c r="D13" s="24" t="inlineStr">
        <is>
          <t>Fila 1: IF(80,00 %=""; ""; IF(80,00 %&gt;=10,00/100; "Sí"; "No")) → Sí</t>
        </is>
      </c>
      <c r="E13" s="24" t="inlineStr">
        <is>
          <t>«% del elemento» (esta hoja), hoja «Parámetros»</t>
        </is>
      </c>
      <c r="F13" s="24" t="inlineStr">
        <is>
          <t>—</t>
        </is>
      </c>
    </row>
    <row r="14">
      <c r="A14" s="24" t="inlineStr">
        <is>
          <t>Vida útil (meses)</t>
        </is>
      </c>
      <c r="B14" s="25" t="inlineStr">
        <is>
          <t>'=IF('03_Auxiliar'!I10="","",'03_Auxiliar'!I10)</t>
        </is>
      </c>
      <c r="C14" s="24" t="inlineStr">
        <is>
          <t>Trae la vida útil en meses de la parte desde la hoja 03 (Auxiliar de activos); en blanco si no se informó.</t>
        </is>
      </c>
      <c r="D14" s="24" t="inlineStr">
        <is>
          <t>Fila 1: IF(120=""; ""; 120) → 120</t>
        </is>
      </c>
      <c r="E14" s="24" t="inlineStr">
        <is>
          <t>hoja «Auxiliar de activos (datos del cliente)»</t>
        </is>
      </c>
      <c r="F14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6" customWidth="1" min="4" max="4"/>
    <col width="12" customWidth="1" min="5" max="5"/>
    <col width="19" customWidth="1" min="6" max="6"/>
    <col width="12" customWidth="1" min="7" max="7"/>
    <col width="23" customWidth="1" min="8" max="8"/>
    <col width="22" customWidth="1" min="9" max="9"/>
    <col width="20" customWidth="1" min="10" max="10"/>
  </cols>
  <sheetData>
    <row r="1">
      <c r="A1" s="3" t="inlineStr">
        <is>
          <t>Bajas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Fecha de baja</t>
        </is>
      </c>
      <c r="C4" s="17" t="inlineStr">
        <is>
          <t>Costo</t>
        </is>
      </c>
      <c r="D4" s="17" t="inlineStr">
        <is>
          <t>Dep. acumulada a la baja</t>
        </is>
      </c>
      <c r="E4" s="17" t="inlineStr">
        <is>
          <t>Deterioro</t>
        </is>
      </c>
      <c r="F4" s="17" t="inlineStr">
        <is>
          <t>VNL a la baja</t>
        </is>
      </c>
      <c r="G4" s="17" t="inlineStr">
        <is>
          <t>Producto</t>
        </is>
      </c>
      <c r="H4" s="17" t="inlineStr">
        <is>
          <t>Resultado recalculado</t>
        </is>
      </c>
      <c r="I4" s="17" t="inlineStr">
        <is>
          <t>Resultado registrado</t>
        </is>
      </c>
      <c r="J4" s="17" t="inlineStr">
        <is>
          <t>Diferencia</t>
        </is>
      </c>
    </row>
    <row r="5">
      <c r="A5" s="18" t="inlineStr">
        <is>
          <t>VEH-02</t>
        </is>
      </c>
      <c r="B5" s="30" t="n">
        <v>45838</v>
      </c>
      <c r="C5" s="20">
        <f>'04_Depreciacion'!B9</f>
        <v/>
      </c>
      <c r="D5" s="20">
        <f>IF('04_Depreciacion'!H9="","",'04_Depreciacion'!H9)</f>
        <v/>
      </c>
      <c r="E5" s="20">
        <f>'03_Auxiliar'!M9</f>
        <v/>
      </c>
      <c r="F5" s="20">
        <f>IF(D5="","",C5-D5-E5)</f>
        <v/>
      </c>
      <c r="G5" s="20">
        <f>'03_Auxiliar'!S9</f>
        <v/>
      </c>
      <c r="H5" s="20">
        <f>IF(F5="","",G5-F5)</f>
        <v/>
      </c>
      <c r="I5" s="20">
        <f>IF('03_Auxiliar'!T9="","",'03_Auxiliar'!T9)</f>
        <v/>
      </c>
      <c r="J5" s="20">
        <f>IF(OR(H5="",I5=""),"",H5-I5)</f>
        <v/>
      </c>
    </row>
    <row r="6">
      <c r="A6" s="36" t="inlineStr">
        <is>
          <t>TOTAL</t>
        </is>
      </c>
      <c r="B6" s="41" t="inlineStr"/>
      <c r="C6" s="37" t="n"/>
      <c r="D6" s="37" t="n"/>
      <c r="E6" s="37" t="n"/>
      <c r="F6" s="37" t="n"/>
      <c r="G6" s="37" t="n"/>
      <c r="H6" s="37" t="n"/>
      <c r="I6" s="37" t="n"/>
      <c r="J6" s="37">
        <f>SUM(J5:J5)</f>
        <v/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Costo</t>
        </is>
      </c>
      <c r="B10" s="25" t="inlineStr">
        <is>
          <t>'='04_Depreciacion'!B9</t>
        </is>
      </c>
      <c r="C10" s="24" t="inlineStr">
        <is>
          <t>Trae el costo del activo dado de baja desde la hoja 04 (Recálculo de depreciación y VNL).</t>
        </is>
      </c>
      <c r="D10" s="24" t="inlineStr">
        <is>
          <t>Fila 1: 30.000,00 → 30.000,00</t>
        </is>
      </c>
      <c r="E10" s="24" t="inlineStr">
        <is>
          <t>hoja «Recálculo de depreciación y VNL»</t>
        </is>
      </c>
      <c r="F10" s="24" t="inlineStr">
        <is>
          <t>—</t>
        </is>
      </c>
    </row>
    <row r="11">
      <c r="A11" s="24" t="inlineStr">
        <is>
          <t>Dep. acumulada a la baja</t>
        </is>
      </c>
      <c r="B11" s="25" t="inlineStr">
        <is>
          <t>'=IF('04_Depreciacion'!H9="","",'04_Depreciacion'!H9)</t>
        </is>
      </c>
      <c r="C11" s="24" t="inlineStr">
        <is>
          <t>Trae la depreciación acumulada recalculada hasta la fecha de baja, desde la hoja 04; en blanco si no se pudo recalcular.</t>
        </is>
      </c>
      <c r="D11" s="24" t="inlineStr">
        <is>
          <t>Fila 1: IF(24.277,81=""; ""; 24.277,81) → 24.277,81</t>
        </is>
      </c>
      <c r="E11" s="24" t="inlineStr">
        <is>
          <t>hoja «Recálculo de depreciación y VNL»</t>
        </is>
      </c>
      <c r="F11" s="24" t="inlineStr">
        <is>
          <t>—</t>
        </is>
      </c>
    </row>
    <row r="12">
      <c r="A12" s="24" t="inlineStr">
        <is>
          <t>Deterioro</t>
        </is>
      </c>
      <c r="B12" s="25" t="inlineStr">
        <is>
          <t>'='03_Auxiliar'!M9</t>
        </is>
      </c>
      <c r="C12" s="24" t="inlineStr">
        <is>
          <t>Trae el deterioro acumulado del activo desde la hoja 03 (Auxiliar de activos).</t>
        </is>
      </c>
      <c r="D12" s="24" t="inlineStr">
        <is>
          <t>Fila 1: (vacío) → 0,00</t>
        </is>
      </c>
      <c r="E12" s="24" t="inlineStr">
        <is>
          <t>hoja «Auxiliar de activos (datos del cliente)»</t>
        </is>
      </c>
      <c r="F12" s="24" t="inlineStr">
        <is>
          <t>—</t>
        </is>
      </c>
    </row>
    <row r="13">
      <c r="A13" s="24" t="inlineStr">
        <is>
          <t>VNL a la baja</t>
        </is>
      </c>
      <c r="B13" s="25" t="inlineStr">
        <is>
          <t>'=IF(D5="","",C5-D5-E5)</t>
        </is>
      </c>
      <c r="C13" s="24" t="inlineStr">
        <is>
          <t>Costo menos depreciación acumulada a la baja menos deterioro: es el valor en libros que sale con la baja (en blanco si falta la depreciación acumulada).</t>
        </is>
      </c>
      <c r="D13" s="24" t="inlineStr">
        <is>
          <t>Fila 1: IF(24.277,81=""; ""; 30.000,00-24.277,81-0,00) → 5.722,19</t>
        </is>
      </c>
      <c r="E13" s="24" t="inlineStr">
        <is>
          <t>«Dep. acumulada a la baja» (esta hoja), «Costo» (esta hoja), «Deterioro» (esta hoja)</t>
        </is>
      </c>
      <c r="F13" s="24" t="inlineStr">
        <is>
          <t>—</t>
        </is>
      </c>
    </row>
    <row r="14">
      <c r="A14" s="24" t="inlineStr">
        <is>
          <t>Producto</t>
        </is>
      </c>
      <c r="B14" s="25" t="inlineStr">
        <is>
          <t>'='03_Auxiliar'!S9</t>
        </is>
      </c>
      <c r="C14" s="24" t="inlineStr">
        <is>
          <t>Trae lo que se cobró por la baja (venta o indemnización) desde la hoja 03 (Auxiliar de activos); si está vacío, cero.</t>
        </is>
      </c>
      <c r="D14" s="24" t="inlineStr">
        <is>
          <t>Fila 1: 9.000,00 → 9.000,00</t>
        </is>
      </c>
      <c r="E14" s="24" t="inlineStr">
        <is>
          <t>hoja «Auxiliar de activos (datos del cliente)»</t>
        </is>
      </c>
      <c r="F14" s="24" t="inlineStr">
        <is>
          <t>—</t>
        </is>
      </c>
    </row>
    <row r="15">
      <c r="A15" s="24" t="inlineStr">
        <is>
          <t>Resultado recalculado</t>
        </is>
      </c>
      <c r="B15" s="25" t="inlineStr">
        <is>
          <t>'=IF(F5="","",G5-F5)</t>
        </is>
      </c>
      <c r="C15" s="24" t="inlineStr">
        <is>
          <t>Producto de la baja menos el valor neto en libros a la baja: positivo es ganancia y negativo pérdida.</t>
        </is>
      </c>
      <c r="D15" s="24" t="inlineStr">
        <is>
          <t>Fila 1: IF(5.722,19=""; ""; 9.000,00-5.722,19) → 3.277,81</t>
        </is>
      </c>
      <c r="E15" s="24" t="inlineStr">
        <is>
          <t>«VNL a la baja» (esta hoja), «Producto» (esta hoja)</t>
        </is>
      </c>
      <c r="F15" s="24" t="inlineStr">
        <is>
          <t>—</t>
        </is>
      </c>
    </row>
    <row r="16">
      <c r="A16" s="24" t="inlineStr">
        <is>
          <t>Resultado registrado</t>
        </is>
      </c>
      <c r="B16" s="25" t="inlineStr">
        <is>
          <t>'=IF('03_Auxiliar'!T9="","",'03_Auxiliar'!T9)</t>
        </is>
      </c>
      <c r="C16" s="24" t="inlineStr">
        <is>
          <t>Trae la ganancia o pérdida en la baja que registró el cliente, desde la hoja 03; en blanco si no la informó.</t>
        </is>
      </c>
      <c r="D16" s="24" t="inlineStr">
        <is>
          <t>Fila 1: IF(1.500,00=""; ""; 1.500,00) → 1.500,00</t>
        </is>
      </c>
      <c r="E16" s="24" t="inlineStr">
        <is>
          <t>hoja «Auxiliar de activos (datos del cliente)»</t>
        </is>
      </c>
      <c r="F16" s="24" t="inlineStr">
        <is>
          <t>—</t>
        </is>
      </c>
    </row>
    <row r="17">
      <c r="A17" s="24" t="inlineStr">
        <is>
          <t>Diferencia</t>
        </is>
      </c>
      <c r="B17" s="25" t="inlineStr">
        <is>
          <t>'=IF(OR(H5="",I5=""),"",H5-I5)</t>
        </is>
      </c>
      <c r="C17" s="24" t="inlineStr">
        <is>
          <t>Resultado recalculado menos resultado registrado; en blanco si falta alguno de los dos.</t>
        </is>
      </c>
      <c r="D17" s="24" t="inlineStr">
        <is>
          <t>Fila 1: IF(OR(3.277,81=""; 1.500,00=""); ""; 3.277,81-1.500,00) → 1.777,81</t>
        </is>
      </c>
      <c r="E17" s="24" t="inlineStr">
        <is>
          <t>«Resultado recalculado» (esta hoja), «Resultado registrado» (esta hoja)</t>
        </is>
      </c>
      <c r="F17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2" customWidth="1" min="5" max="5"/>
    <col width="18" customWidth="1" min="6" max="6"/>
    <col width="33" customWidth="1" min="7" max="7"/>
    <col width="27" customWidth="1" min="8" max="8"/>
    <col width="14" customWidth="1" min="9" max="9"/>
  </cols>
  <sheetData>
    <row r="1">
      <c r="A1" s="3" t="inlineStr">
        <is>
          <t>Revaluación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Código</t>
        </is>
      </c>
      <c r="B4" s="17" t="inlineStr">
        <is>
          <t>Clase</t>
        </is>
      </c>
      <c r="C4" s="17" t="inlineStr">
        <is>
          <t>VNL al corte</t>
        </is>
      </c>
      <c r="D4" s="17" t="inlineStr">
        <is>
          <t>Valor revaluado</t>
        </is>
      </c>
      <c r="E4" s="17" t="inlineStr">
        <is>
          <t>Diferencia</t>
        </is>
      </c>
      <c r="F4" s="17" t="inlineStr">
        <is>
          <t>Superávit previo</t>
        </is>
      </c>
      <c r="G4" s="17" t="inlineStr">
        <is>
          <t>Decremento previo en resultados</t>
        </is>
      </c>
      <c r="H4" s="17" t="inlineStr">
        <is>
          <t>A otro resultado integral</t>
        </is>
      </c>
      <c r="I4" s="17" t="inlineStr">
        <is>
          <t>A resultados</t>
        </is>
      </c>
    </row>
    <row r="5">
      <c r="A5" s="18" t="inlineStr">
        <is>
          <t>TERR-01</t>
        </is>
      </c>
      <c r="B5" s="18" t="inlineStr">
        <is>
          <t>Terrenos</t>
        </is>
      </c>
      <c r="C5" s="20">
        <f>'04_Depreciacion'!J6</f>
        <v/>
      </c>
      <c r="D5" s="20">
        <f>'03_Auxiliar'!O6</f>
        <v/>
      </c>
      <c r="E5" s="20">
        <f>D5-C5</f>
        <v/>
      </c>
      <c r="F5" s="20">
        <f>'03_Auxiliar'!P6</f>
        <v/>
      </c>
      <c r="G5" s="20">
        <f>IF('03_Auxiliar'!Q6="","",'03_Auxiliar'!Q6)</f>
        <v/>
      </c>
      <c r="H5" s="20">
        <f>IF(E5&gt;=0,IF(G5="",E5,E5-MIN(E5,G5)),-MIN(-E5,F5))</f>
        <v/>
      </c>
      <c r="I5" s="20">
        <f>IF(E5&gt;=0,IF(G5="",0,MIN(E5,G5)),E5+MIN(-E5,F5))</f>
        <v/>
      </c>
    </row>
    <row r="6">
      <c r="A6" s="36" t="inlineStr">
        <is>
          <t>TOTAL</t>
        </is>
      </c>
      <c r="B6" s="36" t="inlineStr"/>
      <c r="C6" s="37" t="n"/>
      <c r="D6" s="37" t="n"/>
      <c r="E6" s="37" t="n"/>
      <c r="F6" s="37" t="n"/>
      <c r="G6" s="37" t="n"/>
      <c r="H6" s="37">
        <f>SUM(H5:H5)</f>
        <v/>
      </c>
      <c r="I6" s="37">
        <f>SUM(I5:I5)</f>
        <v/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VNL al corte</t>
        </is>
      </c>
      <c r="B10" s="25" t="inlineStr">
        <is>
          <t>'='04_Depreciacion'!J6</t>
        </is>
      </c>
      <c r="C10" s="24" t="inlineStr">
        <is>
          <t>Trae el valor neto en libros recalculado al corte desde la hoja 04 (Recálculo de depreciación y VNL).</t>
        </is>
      </c>
      <c r="D10" s="24" t="inlineStr">
        <is>
          <t>Fila 1: 300.000,00 → 300.000,00</t>
        </is>
      </c>
      <c r="E10" s="24" t="inlineStr">
        <is>
          <t>hoja «Recálculo de depreciación y VNL»</t>
        </is>
      </c>
      <c r="F10" s="24" t="inlineStr">
        <is>
          <t>—</t>
        </is>
      </c>
    </row>
    <row r="11">
      <c r="A11" s="24" t="inlineStr">
        <is>
          <t>Valor revaluado</t>
        </is>
      </c>
      <c r="B11" s="25" t="inlineStr">
        <is>
          <t>'='03_Auxiliar'!O6</t>
        </is>
      </c>
      <c r="C11" s="24" t="inlineStr">
        <is>
          <t>Trae el valor revaluado del activo (según el perito) desde la hoja 03 (Auxiliar de activos).</t>
        </is>
      </c>
      <c r="D11" s="24" t="inlineStr">
        <is>
          <t>Fila 1: 360.000,00 → 360.000,00</t>
        </is>
      </c>
      <c r="E11" s="24" t="inlineStr">
        <is>
          <t>hoja «Auxiliar de activos (datos del cliente)»</t>
        </is>
      </c>
      <c r="F11" s="24" t="inlineStr">
        <is>
          <t>—</t>
        </is>
      </c>
    </row>
    <row r="12">
      <c r="A12" s="24" t="inlineStr">
        <is>
          <t>Diferencia</t>
        </is>
      </c>
      <c r="B12" s="25" t="inlineStr">
        <is>
          <t>'=D5-C5</t>
        </is>
      </c>
      <c r="C12" s="24" t="inlineStr">
        <is>
          <t>Valor revaluado menos valor neto en libros: positivo es aumento y negativo disminución por revaluación.</t>
        </is>
      </c>
      <c r="D12" s="24" t="inlineStr">
        <is>
          <t>Fila 1: 360.000,00-300.000,00 → 60.000,00</t>
        </is>
      </c>
      <c r="E12" s="24" t="inlineStr">
        <is>
          <t>«Valor revaluado» (esta hoja), «VNL al corte» (esta hoja)</t>
        </is>
      </c>
      <c r="F12" s="24" t="inlineStr">
        <is>
          <t>—</t>
        </is>
      </c>
    </row>
    <row r="13">
      <c r="A13" s="24" t="inlineStr">
        <is>
          <t>Superávit previo</t>
        </is>
      </c>
      <c r="B13" s="25" t="inlineStr">
        <is>
          <t>'='03_Auxiliar'!P6</t>
        </is>
      </c>
      <c r="C13" s="24" t="inlineStr">
        <is>
          <t>Trae el superávit de revaluación que ya tenía el activo, desde la hoja 03 (Auxiliar de activos).</t>
        </is>
      </c>
      <c r="D13" s="24" t="inlineStr">
        <is>
          <t>Fila 1: (vacío) → 0,00</t>
        </is>
      </c>
      <c r="E13" s="24" t="inlineStr">
        <is>
          <t>hoja «Auxiliar de activos (datos del cliente)»</t>
        </is>
      </c>
      <c r="F13" s="24" t="inlineStr">
        <is>
          <t>—</t>
        </is>
      </c>
    </row>
    <row r="14">
      <c r="A14" s="24" t="inlineStr">
        <is>
          <t>Decremento previo en resultados</t>
        </is>
      </c>
      <c r="B14" s="25" t="inlineStr">
        <is>
          <t>'=IF('03_Auxiliar'!Q6="","",'03_Auxiliar'!Q6)</t>
        </is>
      </c>
      <c r="C14" s="24" t="inlineStr">
        <is>
          <t>Trae la disminución por revaluación que se llevó antes a resultados, desde la hoja 03; en blanco si no se informó.</t>
        </is>
      </c>
      <c r="D14" s="24" t="inlineStr">
        <is>
          <t>Fila 1: IF((vacío)=""; ""; (vacío)) → (en blanco)</t>
        </is>
      </c>
      <c r="E14" s="24" t="inlineStr">
        <is>
          <t>hoja «Auxiliar de activos (datos del cliente)»</t>
        </is>
      </c>
      <c r="F14" s="24" t="inlineStr">
        <is>
          <t>—</t>
        </is>
      </c>
    </row>
    <row r="15">
      <c r="A15" s="24" t="inlineStr">
        <is>
          <t>A otro resultado integral</t>
        </is>
      </c>
      <c r="B15" s="25" t="inlineStr">
        <is>
          <t>'=IF(E5&gt;=0,IF(G5="",E5,E5-MIN(E5,G5)),-MIN(-E5,F5))</t>
        </is>
      </c>
      <c r="C15" s="24" t="inlineStr">
        <is>
          <t>Si es aumento, va a ORI lo que excede al decremento previo llevado a resultados (todo, si ese dato está vacío). Si es disminución, se carga a ORI solo hasta el superávit previo.</t>
        </is>
      </c>
      <c r="D15" s="24" t="inlineStr">
        <is>
          <t>Fila 1: IF(60.000,00&gt;=0; IF((vacío)=""; 60.000,00; 60.000,00-MIN(60.000,00; (vacío))); -MIN(-60.000,00; 0,00)) → 60.000,00</t>
        </is>
      </c>
      <c r="E15" s="24" t="inlineStr">
        <is>
          <t>«Diferencia» (esta hoja), «Decremento previo en resultados» (esta hoja), «Superávit previo» (esta hoja)</t>
        </is>
      </c>
      <c r="F15" s="24" t="inlineStr">
        <is>
          <t>—</t>
        </is>
      </c>
    </row>
    <row r="16">
      <c r="A16" s="24" t="inlineStr">
        <is>
          <t>A resultados</t>
        </is>
      </c>
      <c r="B16" s="25" t="inlineStr">
        <is>
          <t>'=IF(E5&gt;=0,IF(G5="",0,MIN(E5,G5)),E5+MIN(-E5,F5))</t>
        </is>
      </c>
      <c r="C16" s="24" t="inlineStr">
        <is>
          <t>Si es aumento, va a resultados solo lo que revierte el decremento previo (cero si ese dato está vacío). Si es disminución, va a resultados lo que excede al superávit previo.</t>
        </is>
      </c>
      <c r="D16" s="24" t="inlineStr">
        <is>
          <t>Fila 1: IF(60.000,00&gt;=0; IF((vacío)=""; 0; MIN(60.000,00; (vacío))); 60.000,00+MIN(-60.000,00; 0,00)) → 0,00</t>
        </is>
      </c>
      <c r="E16" s="24" t="inlineStr">
        <is>
          <t>«Diferencia» (esta hoja), «Decremento previo en resultados» (esta hoja), «Superávit previo» (esta hoja)</t>
        </is>
      </c>
      <c r="F16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9" customWidth="1" min="5" max="5"/>
    <col width="18" customWidth="1" min="6" max="6"/>
    <col width="27" customWidth="1" min="7" max="7"/>
    <col width="22" customWidth="1" min="8" max="8"/>
    <col width="27" customWidth="1" min="9" max="9"/>
    <col width="14" customWidth="1" min="10" max="10"/>
  </cols>
  <sheetData>
    <row r="1">
      <c r="A1" s="3" t="inlineStr">
        <is>
          <t>Deterioro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Clase</t>
        </is>
      </c>
      <c r="C4" s="17" t="inlineStr">
        <is>
          <t>Importe en libros</t>
        </is>
      </c>
      <c r="D4" s="17" t="inlineStr">
        <is>
          <t>Importe recuperable</t>
        </is>
      </c>
      <c r="E4" s="17" t="inlineStr">
        <is>
          <t>Pérdida adicional</t>
        </is>
      </c>
      <c r="F4" s="17" t="inlineStr">
        <is>
          <t>Superávit previo</t>
        </is>
      </c>
      <c r="G4" s="17" t="inlineStr">
        <is>
          <t>Revaluación del año a ORI</t>
        </is>
      </c>
      <c r="H4" s="17" t="inlineStr">
        <is>
          <t>Superávit disponible</t>
        </is>
      </c>
      <c r="I4" s="17" t="inlineStr">
        <is>
          <t>Contra el superávit (ORI)</t>
        </is>
      </c>
      <c r="J4" s="17" t="inlineStr">
        <is>
          <t>A resultados</t>
        </is>
      </c>
    </row>
    <row r="5">
      <c r="A5" s="18" t="inlineStr">
        <is>
          <t>MAQ-01</t>
        </is>
      </c>
      <c r="B5" s="18" t="inlineStr">
        <is>
          <t>Maquinaria</t>
        </is>
      </c>
      <c r="C5" s="20">
        <f>IF('03_Auxiliar'!O10&lt;&gt;"",'03_Auxiliar'!O10,'04_Depreciacion'!J10)</f>
        <v/>
      </c>
      <c r="D5" s="20">
        <f>'03_Auxiliar'!N10</f>
        <v/>
      </c>
      <c r="E5" s="20">
        <f>IF(C5="","",MAX(C5-D5,0))</f>
        <v/>
      </c>
      <c r="F5" s="20">
        <f>IF('03_Auxiliar'!P10="",0,'03_Auxiliar'!P10)</f>
        <v/>
      </c>
      <c r="G5" s="20">
        <f>0</f>
        <v/>
      </c>
      <c r="H5" s="20">
        <f>MAX(F5+G5,0)</f>
        <v/>
      </c>
      <c r="I5" s="20">
        <f>IF(E5="","",IF(AND('03_Auxiliar'!O10="",'03_Auxiliar'!P10=""),0,IF('03_Auxiliar'!P10="","",MIN(E5,H5))))</f>
        <v/>
      </c>
      <c r="J5" s="20">
        <f>IF(E5="","",IF(I5="",E5,E5-I5))</f>
        <v/>
      </c>
    </row>
    <row r="6">
      <c r="A6" s="36" t="inlineStr">
        <is>
          <t>TOTAL</t>
        </is>
      </c>
      <c r="B6" s="36" t="inlineStr"/>
      <c r="C6" s="37" t="n"/>
      <c r="D6" s="37" t="n"/>
      <c r="E6" s="37">
        <f>SUM(E5:E5)</f>
        <v/>
      </c>
      <c r="F6" s="37" t="n"/>
      <c r="G6" s="37" t="n"/>
      <c r="H6" s="37" t="n"/>
      <c r="I6" s="37">
        <f>SUM(I5:I5)</f>
        <v/>
      </c>
      <c r="J6" s="37">
        <f>SUM(J5:J5)</f>
        <v/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Importe en libros</t>
        </is>
      </c>
      <c r="B10" s="25" t="inlineStr">
        <is>
          <t>'=IF('03_Auxiliar'!O10&lt;&gt;"",'03_Auxiliar'!O10,'04_Depreciacion'!J10)</t>
        </is>
      </c>
      <c r="C10" s="24" t="inlineStr">
        <is>
          <t>Usa el valor revaluado de la hoja 03 si el activo se revaluó; si no, el valor neto en libros de la hoja 04 (Recálculo de depreciación y VNL).</t>
        </is>
      </c>
      <c r="D10" s="24" t="inlineStr">
        <is>
          <t>Fila 1: IF((vacío)&lt;&gt;""; (vacío); 48.000,00) → 48.000,00</t>
        </is>
      </c>
      <c r="E10" s="24" t="inlineStr">
        <is>
          <t>hoja «Auxiliar de activos (datos del cliente)», hoja «Recálculo de depreciación y VNL»</t>
        </is>
      </c>
      <c r="F10" s="24" t="inlineStr">
        <is>
          <t>—</t>
        </is>
      </c>
    </row>
    <row r="11">
      <c r="A11" s="24" t="inlineStr">
        <is>
          <t>Importe recuperable</t>
        </is>
      </c>
      <c r="B11" s="25" t="inlineStr">
        <is>
          <t>'='03_Auxiliar'!N10</t>
        </is>
      </c>
      <c r="C11" s="24" t="inlineStr">
        <is>
          <t>Trae el importe recuperable estimado del activo desde la hoja 03 (Auxiliar de activos).</t>
        </is>
      </c>
      <c r="D11" s="24" t="inlineStr">
        <is>
          <t>Fila 1: 40.000,00 → 40.000,00</t>
        </is>
      </c>
      <c r="E11" s="24" t="inlineStr">
        <is>
          <t>hoja «Auxiliar de activos (datos del cliente)»</t>
        </is>
      </c>
      <c r="F11" s="24" t="inlineStr">
        <is>
          <t>—</t>
        </is>
      </c>
    </row>
    <row r="12">
      <c r="A12" s="24" t="inlineStr">
        <is>
          <t>Pérdida adicional</t>
        </is>
      </c>
      <c r="B12" s="25" t="inlineStr">
        <is>
          <t>'=IF(C5="","",MAX(C5-D5,0))</t>
        </is>
      </c>
      <c r="C12" s="24" t="inlineStr">
        <is>
          <t>Importe en libros menos importe recuperable, sin bajar de cero: es la pérdida por deterioro. En blanco si no hay importe en libros.</t>
        </is>
      </c>
      <c r="D12" s="24" t="inlineStr">
        <is>
          <t>Fila 1: IF(48.000,00=""; ""; MAX(48.000,00-40.000,00; 0)) → 8.000,00</t>
        </is>
      </c>
      <c r="E12" s="24" t="inlineStr">
        <is>
          <t>«Importe en libros» (esta hoja), «Importe recuperable» (esta hoja)</t>
        </is>
      </c>
      <c r="F12" s="24" t="inlineStr">
        <is>
          <t>—</t>
        </is>
      </c>
    </row>
    <row r="13">
      <c r="A13" s="24" t="inlineStr">
        <is>
          <t>Superávit previo</t>
        </is>
      </c>
      <c r="B13" s="25" t="inlineStr">
        <is>
          <t>'=IF('03_Auxiliar'!P10="",0,'03_Auxiliar'!P10)</t>
        </is>
      </c>
      <c r="C13" s="24" t="inlineStr">
        <is>
          <t>Trae el superávit de revaluación previo del activo desde la hoja 03 (Auxiliar de activos); si está vacío, cero.</t>
        </is>
      </c>
      <c r="D13" s="24" t="inlineStr">
        <is>
          <t>Fila 1: IF((vacío)=""; 0; (vacío)) → 0,00</t>
        </is>
      </c>
      <c r="E13" s="24" t="inlineStr">
        <is>
          <t>hoja «Auxiliar de activos (datos del cliente)»</t>
        </is>
      </c>
      <c r="F13" s="24" t="inlineStr">
        <is>
          <t>—</t>
        </is>
      </c>
    </row>
    <row r="14">
      <c r="A14" s="24" t="inlineStr">
        <is>
          <t>Revaluación del año a ORI</t>
        </is>
      </c>
      <c r="B14" s="25" t="inlineStr">
        <is>
          <t>'=0</t>
        </is>
      </c>
      <c r="C14" s="24" t="inlineStr">
        <is>
          <t>Trae lo que la revaluación del año llevó a ORI en la hoja 08 (Revaluación); cero si el activo no se revaluó este año.</t>
        </is>
      </c>
      <c r="D14" s="24" t="inlineStr">
        <is>
          <t>Fila 1: 0 → 0,00</t>
        </is>
      </c>
      <c r="E14" s="24" t="inlineStr">
        <is>
          <t>datos cargados del cliente</t>
        </is>
      </c>
      <c r="F14" s="24" t="inlineStr">
        <is>
          <t>—</t>
        </is>
      </c>
    </row>
    <row r="15">
      <c r="A15" s="24" t="inlineStr">
        <is>
          <t>Superávit disponible</t>
        </is>
      </c>
      <c r="B15" s="25" t="inlineStr">
        <is>
          <t>'=MAX(F5+G5,0)</t>
        </is>
      </c>
      <c r="C15" s="24" t="inlineStr">
        <is>
          <t>Suma el superávit previo y la revaluación del año a ORI, sin bajar de cero: es el colchón contra el que se carga primero el deterioro.</t>
        </is>
      </c>
      <c r="D15" s="24" t="inlineStr">
        <is>
          <t>Fila 1: MAX(0,00+0,00; 0) → 0,00</t>
        </is>
      </c>
      <c r="E15" s="24" t="inlineStr">
        <is>
          <t>«Superávit previo» (esta hoja), «Revaluación del año a ORI» (esta hoja)</t>
        </is>
      </c>
      <c r="F15" s="24" t="inlineStr">
        <is>
          <t>—</t>
        </is>
      </c>
    </row>
    <row r="16">
      <c r="A16" s="24" t="inlineStr">
        <is>
          <t>Contra el superávit (ORI)</t>
        </is>
      </c>
      <c r="B16" s="25" t="inlineStr">
        <is>
          <t>'=IF(E5="","",IF(AND('03_Auxiliar'!O10="",'03_Auxiliar'!P10=""),0,IF('03_Auxiliar'!P10="","",MIN(E5,H5))))</t>
        </is>
      </c>
      <c r="C16" s="24" t="inlineStr">
        <is>
          <t>Carga la pérdida contra el superávit disponible, hasta agotarlo. Si el activo no está revaluado ni tiene superávit, es cero; si está revaluado pero falta el superávit, queda en blanco.</t>
        </is>
      </c>
      <c r="D16" s="24" t="inlineStr">
        <is>
          <t>Fila 1: IF(8.000,00=""; ""; IF(AND((vacío)=""; (vacío)=""); 0; IF((vacío)=""; ""; MIN(8.000,00; 0,00)))) → 0,00</t>
        </is>
      </c>
      <c r="E16" s="24" t="inlineStr">
        <is>
          <t>«Pérdida adicional» (esta hoja), «Superávit disponible» (esta hoja), hoja «Auxiliar de activos (datos del cliente)»</t>
        </is>
      </c>
      <c r="F16" s="24" t="inlineStr">
        <is>
          <t>—</t>
        </is>
      </c>
    </row>
    <row r="17">
      <c r="A17" s="24" t="inlineStr">
        <is>
          <t>A resultados</t>
        </is>
      </c>
      <c r="B17" s="25" t="inlineStr">
        <is>
          <t>'=IF(E5="","",IF(I5="",E5,E5-I5))</t>
        </is>
      </c>
      <c r="C17" s="24" t="inlineStr">
        <is>
          <t>La pérdida que no se cargó al superávit va a resultados; si no se pudo repartir (celda anterior en blanco), va toda la pérdida.</t>
        </is>
      </c>
      <c r="D17" s="24" t="inlineStr">
        <is>
          <t>Fila 1: IF(8.000,00=""; ""; IF(0,00=""; 8.000,00; 8.000,00-0,00)) → 8.000,00</t>
        </is>
      </c>
      <c r="E17" s="24" t="inlineStr">
        <is>
          <t>«Pérdida adicional» (esta hoja), «Contra el superávit (ORI)» (esta hoja)</t>
        </is>
      </c>
      <c r="F17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2" customWidth="1" min="6" max="6"/>
    <col width="12" customWidth="1" min="7" max="7"/>
    <col width="25" customWidth="1" min="8" max="8"/>
    <col width="24" customWidth="1" min="9" max="9"/>
    <col width="26" customWidth="1" min="10" max="10"/>
    <col width="12" customWidth="1" min="11" max="11"/>
    <col width="23" customWidth="1" min="12" max="12"/>
  </cols>
  <sheetData>
    <row r="1">
      <c r="A1" s="3" t="inlineStr">
        <is>
          <t>Adiciones y costos por préstamos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Documento</t>
        </is>
      </c>
      <c r="B4" s="17" t="inlineStr">
        <is>
          <t>Activo</t>
        </is>
      </c>
      <c r="C4" s="17" t="inlineStr">
        <is>
          <t>Fecha</t>
        </is>
      </c>
      <c r="D4" s="17" t="inlineStr">
        <is>
          <t>Descripción</t>
        </is>
      </c>
      <c r="E4" s="17" t="inlineStr">
        <is>
          <t>Tipo</t>
        </is>
      </c>
      <c r="F4" s="17" t="inlineStr">
        <is>
          <t>Importe</t>
        </is>
      </c>
      <c r="G4" s="17" t="inlineStr">
        <is>
          <t>Apto</t>
        </is>
      </c>
      <c r="H4" s="17" t="inlineStr">
        <is>
          <t>Intereses capitalizados</t>
        </is>
      </c>
      <c r="I4" s="17" t="inlineStr">
        <is>
          <t>Días de capitalización</t>
        </is>
      </c>
      <c r="J4" s="17" t="inlineStr">
        <is>
          <t>Intereses capitalizables</t>
        </is>
      </c>
      <c r="K4" s="17" t="inlineStr">
        <is>
          <t>Diferencia</t>
        </is>
      </c>
      <c r="L4" s="17" t="inlineStr">
        <is>
          <t>Capitalizable</t>
        </is>
      </c>
    </row>
    <row r="5">
      <c r="A5" s="18" t="inlineStr">
        <is>
          <t>AD-01</t>
        </is>
      </c>
      <c r="B5" s="18" t="inlineStr">
        <is>
          <t>OBRA-01</t>
        </is>
      </c>
      <c r="C5" s="30" t="n">
        <v>45717</v>
      </c>
      <c r="D5" s="18" t="inlineStr">
        <is>
          <t>Avance de obra 1</t>
        </is>
      </c>
      <c r="E5" s="18" t="inlineStr">
        <is>
          <t>Capitalizable</t>
        </is>
      </c>
      <c r="F5" s="20" t="n">
        <v>150000</v>
      </c>
      <c r="G5" s="18" t="inlineStr">
        <is>
          <t>Sí</t>
        </is>
      </c>
      <c r="H5" s="20" t="n">
        <v>9000</v>
      </c>
      <c r="I5" s="31">
        <f>IF(OR('02_Parametros'!$B$8="NIIF para las PYMES",NOT(OR(G5="Sí",G5="Si"))),0,MAX(IF(ISNA(MATCH(B5,'03_Auxiliar'!$A$5:$A$14,0)),'02_Parametros'!$B$5,IF(INDEX('03_Auxiliar'!$E$5:$E$14,MATCH(B5,'03_Auxiliar'!$A$5:$A$14,0))="",'02_Parametros'!$B$5,MIN(INDEX('03_Auxiliar'!$E$5:$E$14,MATCH(B5,'03_Auxiliar'!$A$5:$A$14,0)),'02_Parametros'!$B$5)))-MAX(C5,'02_Parametros'!$B$6),0))</f>
        <v/>
      </c>
      <c r="J5" s="20">
        <f>""</f>
        <v/>
      </c>
      <c r="K5" s="20">
        <f>IF(J5="","",J5-H5)</f>
        <v/>
      </c>
      <c r="L5" s="18">
        <f>IF(OR(ISNUMBER(SEARCH("repar",E5)),ISNUMBER(SEARCH("manten",E5))),"No: gasto (NIC 16.12)","Sí")</f>
        <v/>
      </c>
    </row>
    <row r="6">
      <c r="A6" s="19" t="inlineStr">
        <is>
          <t>AD-02</t>
        </is>
      </c>
      <c r="B6" s="19" t="inlineStr">
        <is>
          <t>OBRA-01</t>
        </is>
      </c>
      <c r="C6" s="33" t="n">
        <v>45901</v>
      </c>
      <c r="D6" s="19" t="inlineStr">
        <is>
          <t>Avance de obra 2</t>
        </is>
      </c>
      <c r="E6" s="19" t="inlineStr">
        <is>
          <t>Capitalizable</t>
        </is>
      </c>
      <c r="F6" s="21" t="n">
        <v>45000</v>
      </c>
      <c r="G6" s="19" t="inlineStr">
        <is>
          <t>Sí</t>
        </is>
      </c>
      <c r="H6" s="21" t="n">
        <v>0</v>
      </c>
      <c r="I6" s="34">
        <f>IF(OR('02_Parametros'!$B$8="NIIF para las PYMES",NOT(OR(G6="Sí",G6="Si"))),0,MAX(IF(ISNA(MATCH(B6,'03_Auxiliar'!$A$5:$A$14,0)),'02_Parametros'!$B$5,IF(INDEX('03_Auxiliar'!$E$5:$E$14,MATCH(B6,'03_Auxiliar'!$A$5:$A$14,0))="",'02_Parametros'!$B$5,MIN(INDEX('03_Auxiliar'!$E$5:$E$14,MATCH(B6,'03_Auxiliar'!$A$5:$A$14,0)),'02_Parametros'!$B$5)))-MAX(C6,'02_Parametros'!$B$6),0))</f>
        <v/>
      </c>
      <c r="J6" s="21">
        <f>""</f>
        <v/>
      </c>
      <c r="K6" s="21">
        <f>IF(J6="","",J6-H6)</f>
        <v/>
      </c>
      <c r="L6" s="19">
        <f>IF(OR(ISNUMBER(SEARCH("repar",E6)),ISNUMBER(SEARCH("manten",E6))),"No: gasto (NIC 16.12)","Sí")</f>
        <v/>
      </c>
    </row>
    <row r="7">
      <c r="A7" s="18" t="inlineStr">
        <is>
          <t>AD-03</t>
        </is>
      </c>
      <c r="B7" s="18" t="inlineStr">
        <is>
          <t>OBRA-01</t>
        </is>
      </c>
      <c r="C7" s="30" t="n">
        <v>45945</v>
      </c>
      <c r="D7" s="18" t="inlineStr">
        <is>
          <t>Cubierta provisional</t>
        </is>
      </c>
      <c r="E7" s="18" t="inlineStr">
        <is>
          <t>Reparación</t>
        </is>
      </c>
      <c r="F7" s="20" t="n">
        <v>5000</v>
      </c>
      <c r="G7" s="18" t="inlineStr">
        <is>
          <t>No</t>
        </is>
      </c>
      <c r="H7" s="20" t="n"/>
      <c r="I7" s="31">
        <f>IF(OR('02_Parametros'!$B$8="NIIF para las PYMES",NOT(OR(G7="Sí",G7="Si"))),0,MAX(IF(ISNA(MATCH(B7,'03_Auxiliar'!$A$5:$A$14,0)),'02_Parametros'!$B$5,IF(INDEX('03_Auxiliar'!$E$5:$E$14,MATCH(B7,'03_Auxiliar'!$A$5:$A$14,0))="",'02_Parametros'!$B$5,MIN(INDEX('03_Auxiliar'!$E$5:$E$14,MATCH(B7,'03_Auxiliar'!$A$5:$A$14,0)),'02_Parametros'!$B$5)))-MAX(C7,'02_Parametros'!$B$6),0))</f>
        <v/>
      </c>
      <c r="J7" s="20">
        <f>""</f>
        <v/>
      </c>
      <c r="K7" s="20">
        <f>IF(J7="","",J7-H7)</f>
        <v/>
      </c>
      <c r="L7" s="18">
        <f>IF(OR(ISNUMBER(SEARCH("repar",E7)),ISNUMBER(SEARCH("manten",E7))),"No: gasto (NIC 16.12)","Sí")</f>
        <v/>
      </c>
    </row>
    <row r="8">
      <c r="A8" s="19" t="inlineStr">
        <is>
          <t>AD-04</t>
        </is>
      </c>
      <c r="B8" s="19" t="inlineStr">
        <is>
          <t>MOB-01</t>
        </is>
      </c>
      <c r="C8" s="33" t="n">
        <v>45748</v>
      </c>
      <c r="D8" s="19" t="inlineStr">
        <is>
          <t>Escritorios y sillas</t>
        </is>
      </c>
      <c r="E8" s="19" t="inlineStr">
        <is>
          <t>Capitalizable</t>
        </is>
      </c>
      <c r="F8" s="21" t="n">
        <v>12000</v>
      </c>
      <c r="G8" s="19" t="inlineStr">
        <is>
          <t>No</t>
        </is>
      </c>
      <c r="H8" s="21" t="n"/>
      <c r="I8" s="34">
        <f>IF(OR('02_Parametros'!$B$8="NIIF para las PYMES",NOT(OR(G8="Sí",G8="Si"))),0,MAX(IF(ISNA(MATCH(B8,'03_Auxiliar'!$A$5:$A$14,0)),'02_Parametros'!$B$5,IF(INDEX('03_Auxiliar'!$E$5:$E$14,MATCH(B8,'03_Auxiliar'!$A$5:$A$14,0))="",'02_Parametros'!$B$5,MIN(INDEX('03_Auxiliar'!$E$5:$E$14,MATCH(B8,'03_Auxiliar'!$A$5:$A$14,0)),'02_Parametros'!$B$5)))-MAX(C8,'02_Parametros'!$B$6),0))</f>
        <v/>
      </c>
      <c r="J8" s="21">
        <f>""</f>
        <v/>
      </c>
      <c r="K8" s="21">
        <f>IF(J8="","",J8-H8)</f>
        <v/>
      </c>
      <c r="L8" s="19">
        <f>IF(OR(ISNUMBER(SEARCH("repar",E8)),ISNUMBER(SEARCH("manten",E8))),"No: gasto (NIC 16.12)","Sí")</f>
        <v/>
      </c>
    </row>
    <row r="9">
      <c r="A9" s="36" t="inlineStr">
        <is>
          <t>TOTAL</t>
        </is>
      </c>
      <c r="B9" s="36" t="inlineStr"/>
      <c r="C9" s="41" t="inlineStr"/>
      <c r="D9" s="36" t="inlineStr"/>
      <c r="E9" s="36" t="inlineStr"/>
      <c r="F9" s="37">
        <f>SUM(F5:F8)</f>
        <v/>
      </c>
      <c r="G9" s="36" t="inlineStr"/>
      <c r="H9" s="37">
        <f>SUM(H5:H8)</f>
        <v/>
      </c>
      <c r="I9" s="38" t="n"/>
      <c r="J9" s="37" t="n"/>
      <c r="K9" s="37">
        <f>SUM(K5:K8)</f>
        <v/>
      </c>
      <c r="L9" s="36" t="inlineStr"/>
    </row>
    <row r="11">
      <c r="A11" s="22" t="inlineStr">
        <is>
          <t>ⓘ  Cómo se calcula esta hoja</t>
        </is>
      </c>
    </row>
    <row r="12">
      <c r="A12" s="23" t="inlineStr">
        <is>
          <t>Columna</t>
        </is>
      </c>
      <c r="B12" s="23" t="inlineStr">
        <is>
          <t>Fórmula (Excel)</t>
        </is>
      </c>
      <c r="C12" s="23" t="inlineStr">
        <is>
          <t>Cómo se calcula (sencillo)</t>
        </is>
      </c>
      <c r="D12" s="23" t="inlineStr">
        <is>
          <t>Ejemplo con números reales</t>
        </is>
      </c>
      <c r="E12" s="23" t="inlineStr">
        <is>
          <t>De dónde viene</t>
        </is>
      </c>
      <c r="F12" s="23" t="inlineStr">
        <is>
          <t>Norma</t>
        </is>
      </c>
    </row>
    <row r="13">
      <c r="A13" s="24" t="inlineStr">
        <is>
          <t>Días de capitalización</t>
        </is>
      </c>
      <c r="B13" s="25" t="inlineStr">
        <is>
          <t>'=IF(OR('02_Parametros'!$B$8="NIIF para las PYMES",NOT(OR(G5="Sí",G5="Si"))),0,MAX(IF(ISNA(MATCH(B5,'03_Auxiliar'!$A$5:$A$14,0)),'02_Parametros'!$B$5,IF(INDEX('03_Auxiliar'!$E$5:$E$14,MATCH(B5,'03_Auxiliar'!$A$5:$A$14,0))="",'02_Parametros'!$B$5,MIN(INDEX('03_Auxiliar'!$E$5:$E$14,MATCH(B5,'03_Auxiliar'!$A$5:$A$14,0)),'02_Parametros'!$B$5)))-MAX(C5,'02_Parametros'!$B$6),0))</t>
        </is>
      </c>
      <c r="C13" s="24" t="inlineStr">
        <is>
          <t>Para adiciones de activos aptos (y solo en NIIF completas): días desde la fecha de la adición (o el inicio del ejercicio) hasta que el activo está disponible para uso según la hoja 03, o hasta el corte. Si no, cero.</t>
        </is>
      </c>
      <c r="D13" s="24" t="inlineStr">
        <is>
          <t>Fila 1: IF(OR(«NIIF completas»="NIIF para las PYMES"; NOT(OR(«Sí»="Sí"; «Sí»="Si"))); 0; MAX(IF(ISNA(MATCH(«OBRA-01»; [«Código» de «Auxiliar de activos (datos del cliente)», 10 filas]; 0)); «2025-12-31»; IF(INDEX([«Disponible para uso» de «Auxiliar de activos (datos del cliente)», 10 filas]; MATCH(«OBRA-01»; [«Código» de «Auxiliar de activos (datos del cliente)», 10 filas]; 0))=""; «2025-12-31»; MIN(INDEX([«Disponible para uso» de «Auxiliar de activos (datos del cliente)», 10 filas]; MATCH(«OBRA-01»; [«Código» de «Auxiliar de activos (datos del cliente)», 10 filas]; 0)); «2025-12-31»)))-MAX(«2025-03-01»; «2025-01-01»); 0)) → 305</t>
        </is>
      </c>
      <c r="E13" s="24" t="inlineStr">
        <is>
          <t>«Apto» (esta hoja), «Activo» (esta hoja), «Fecha» (esta hoja), hoja «Parámetros», hoja «Auxiliar de activos (datos del cliente)»</t>
        </is>
      </c>
      <c r="F13" s="24" t="inlineStr">
        <is>
          <t>—</t>
        </is>
      </c>
    </row>
    <row r="14">
      <c r="A14" s="24" t="inlineStr">
        <is>
          <t>Intereses capitalizables</t>
        </is>
      </c>
      <c r="B14" s="25" t="inlineStr">
        <is>
          <t>'=""</t>
        </is>
      </c>
      <c r="C14" s="24" t="inlineStr">
        <is>
          <t>Con el anexo de préstamos los intereses capitalizables se miden por activo en la hoja 12 (Capitalización de costos por préstamos), por eso aquí quedan en blanco.</t>
        </is>
      </c>
      <c r="D14" s="24" t="inlineStr">
        <is>
          <t>Fila 1: "" → (en blanco)</t>
        </is>
      </c>
      <c r="E14" s="24" t="inlineStr">
        <is>
          <t>datos cargados del cliente</t>
        </is>
      </c>
      <c r="F14" s="24" t="inlineStr">
        <is>
          <t>—</t>
        </is>
      </c>
    </row>
    <row r="15">
      <c r="A15" s="24" t="inlineStr">
        <is>
          <t>Diferencia</t>
        </is>
      </c>
      <c r="B15" s="25" t="inlineStr">
        <is>
          <t>'=IF(J5="","",J5-H5)</t>
        </is>
      </c>
      <c r="C15" s="24" t="inlineStr">
        <is>
          <t>Intereses capitalizables menos intereses capitalizados por el cliente; con el anexo de préstamos queda en blanco porque la comparación se hace en la hoja 12.</t>
        </is>
      </c>
      <c r="D15" s="24" t="inlineStr">
        <is>
          <t>Fila 1: IF((vacío)=""; ""; (vacío)-9.000,00) → (en blanco)</t>
        </is>
      </c>
      <c r="E15" s="24" t="inlineStr">
        <is>
          <t>«Intereses capitalizables» (esta hoja), «Intereses capitalizados» (esta hoja)</t>
        </is>
      </c>
      <c r="F15" s="24" t="inlineStr">
        <is>
          <t>—</t>
        </is>
      </c>
    </row>
    <row r="16">
      <c r="A16" s="24" t="inlineStr">
        <is>
          <t>Capitalizable</t>
        </is>
      </c>
      <c r="B16" s="25" t="inlineStr">
        <is>
          <t>'=IF(OR(ISNUMBER(SEARCH("repar",E5)),ISNUMBER(SEARCH("manten",E5))),"No: gasto (NIC 16.12)","Sí")</t>
        </is>
      </c>
      <c r="C16" s="24" t="inlineStr">
        <is>
          <t>«No: gasto» si el tipo de adición es una reparación o un mantenimiento, que no se capitalizan; «Sí» en los demás casos.</t>
        </is>
      </c>
      <c r="D16" s="24" t="inlineStr">
        <is>
          <t>Fila 1: IF(OR(ISNUMBER(SEARCH("repar"; «Capitalizable»)); ISNUMBER(SEARCH("manten"; «Capitalizable»))); "No: gasto (NIC 16.12)"; "Sí") → Sí</t>
        </is>
      </c>
      <c r="E16" s="24" t="inlineStr">
        <is>
          <t>«Tipo» (esta hoja)</t>
        </is>
      </c>
      <c r="F16" s="24" t="inlineStr">
        <is>
          <t>—</t>
        </is>
      </c>
    </row>
  </sheetData>
  <mergeCells count="3">
    <mergeCell ref="A2:F2"/>
    <mergeCell ref="A11:F1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8" customWidth="1" min="4" max="4"/>
    <col width="22" customWidth="1" min="5" max="5"/>
    <col width="24" customWidth="1" min="6" max="6"/>
    <col width="30" customWidth="1" min="7" max="7"/>
    <col width="43" customWidth="1" min="8" max="8"/>
    <col width="42" customWidth="1" min="9" max="9"/>
  </cols>
  <sheetData>
    <row r="1">
      <c r="A1" s="3" t="inlineStr">
        <is>
          <t>Préstamos para la construcción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Préstamo</t>
        </is>
      </c>
      <c r="B4" s="17" t="inlineStr">
        <is>
          <t>Tipo</t>
        </is>
      </c>
      <c r="C4" s="17" t="inlineStr">
        <is>
          <t>Activo u obra</t>
        </is>
      </c>
      <c r="D4" s="17" t="inlineStr">
        <is>
          <t>Descripción</t>
        </is>
      </c>
      <c r="E4" s="17" t="inlineStr">
        <is>
          <t>Importe del préstamo</t>
        </is>
      </c>
      <c r="F4" s="17" t="inlineStr">
        <is>
          <t>Tasa nominal anual (%)</t>
        </is>
      </c>
      <c r="G4" s="17" t="inlineStr">
        <is>
          <t>Costo financiero del período</t>
        </is>
      </c>
      <c r="H4" s="17" t="inlineStr">
        <is>
          <t>(−) Rendimientos de la inversión temporal</t>
        </is>
      </c>
      <c r="I4" s="17" t="inlineStr">
        <is>
          <t>Capitalizable del específico (NIC 23.12)</t>
        </is>
      </c>
    </row>
    <row r="5">
      <c r="A5" s="18" t="inlineStr">
        <is>
          <t>PR-01</t>
        </is>
      </c>
      <c r="B5" s="18" t="inlineStr">
        <is>
          <t>Específico</t>
        </is>
      </c>
      <c r="C5" s="18" t="inlineStr">
        <is>
          <t>OBRA-01</t>
        </is>
      </c>
      <c r="D5" s="18" t="inlineStr">
        <is>
          <t>Banco del Pacífico · nave industrial</t>
        </is>
      </c>
      <c r="E5" s="20" t="n">
        <v>120000</v>
      </c>
      <c r="F5" s="20" t="n">
        <v>9</v>
      </c>
      <c r="G5" s="20" t="n">
        <v>9000</v>
      </c>
      <c r="H5" s="20" t="n">
        <v>1200</v>
      </c>
      <c r="I5" s="20">
        <f>IF(B5&lt;&gt;"Específico","",IF(OR(G5="",H5=""),"",G5-H5))</f>
        <v/>
      </c>
    </row>
    <row r="6">
      <c r="A6" s="19" t="inlineStr">
        <is>
          <t>PR-02</t>
        </is>
      </c>
      <c r="B6" s="19" t="inlineStr">
        <is>
          <t>General</t>
        </is>
      </c>
      <c r="C6" s="19" t="inlineStr"/>
      <c r="D6" s="19" t="inlineStr">
        <is>
          <t>Banco Pichincha · capital de trabajo</t>
        </is>
      </c>
      <c r="E6" s="21" t="n">
        <v>400000</v>
      </c>
      <c r="F6" s="21" t="n">
        <v>8</v>
      </c>
      <c r="G6" s="21" t="n">
        <v>32000</v>
      </c>
      <c r="H6" s="21" t="n"/>
      <c r="I6" s="21">
        <f>IF(B6&lt;&gt;"Específico","",IF(OR(G6="",H6=""),"",G6-H6))</f>
        <v/>
      </c>
    </row>
    <row r="7">
      <c r="A7" s="18" t="inlineStr">
        <is>
          <t>PR-03</t>
        </is>
      </c>
      <c r="B7" s="18" t="inlineStr">
        <is>
          <t>General</t>
        </is>
      </c>
      <c r="C7" s="18" t="inlineStr"/>
      <c r="D7" s="18" t="inlineStr">
        <is>
          <t>Produbanco · línea de crédito</t>
        </is>
      </c>
      <c r="E7" s="20" t="n">
        <v>100000</v>
      </c>
      <c r="F7" s="20" t="n">
        <v>12</v>
      </c>
      <c r="G7" s="20" t="n">
        <v>12000</v>
      </c>
      <c r="H7" s="20" t="n"/>
      <c r="I7" s="20">
        <f>IF(B7&lt;&gt;"Específico","",IF(OR(G7="",H7=""),"",G7-H7))</f>
        <v/>
      </c>
    </row>
    <row r="8">
      <c r="A8" s="36" t="inlineStr">
        <is>
          <t>TOTAL</t>
        </is>
      </c>
      <c r="B8" s="36" t="inlineStr"/>
      <c r="C8" s="36" t="inlineStr"/>
      <c r="D8" s="36" t="inlineStr"/>
      <c r="E8" s="37">
        <f>SUM(E5:E7)</f>
        <v/>
      </c>
      <c r="F8" s="37" t="n"/>
      <c r="G8" s="37">
        <f>SUM(G5:G7)</f>
        <v/>
      </c>
      <c r="H8" s="37">
        <f>SUM(H5:H7)</f>
        <v/>
      </c>
      <c r="I8" s="37">
        <f>SUM(I5:I7)</f>
        <v/>
      </c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Capitalizable del específico (NIC 23.12)</t>
        </is>
      </c>
      <c r="B12" s="25" t="inlineStr">
        <is>
          <t>'=IF(B5&lt;&gt;"Específico","",IF(OR(G5="",H5=""),"",G5-H5))</t>
        </is>
      </c>
      <c r="C12" s="24" t="inlineStr">
        <is>
          <t>Solo para préstamos específicos: costo financiero del período menos los rendimientos de la inversión temporal de esos fondos. En blanco para préstamos generales o si falta un dato.</t>
        </is>
      </c>
      <c r="D12" s="24" t="inlineStr">
        <is>
          <t>Fila 1: IF(«Específico»&lt;&gt;"Específico"; ""; IF(OR(9.000,00=""; 1.200,00=""); ""; 9.000,00-1.200,00)) → 7.800,00</t>
        </is>
      </c>
      <c r="E12" s="24" t="inlineStr">
        <is>
          <t>«Tipo» (esta hoja), «Costo financiero del período» (esta hoja), «(−) Rendimientos de la inversión temporal» (esta hoja)</t>
        </is>
      </c>
      <c r="F12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30" customWidth="1" min="4" max="4"/>
    <col width="42" customWidth="1" min="5" max="5"/>
    <col width="38" customWidth="1" min="6" max="6"/>
    <col width="31" customWidth="1" min="7" max="7"/>
    <col width="36" customWidth="1" min="8" max="8"/>
    <col width="32" customWidth="1" min="9" max="9"/>
    <col width="30" customWidth="1" min="10" max="10"/>
    <col width="29" customWidth="1" min="11" max="11"/>
    <col width="27" customWidth="1" min="12" max="12"/>
    <col width="37" customWidth="1" min="13" max="13"/>
    <col width="17" customWidth="1" min="14" max="14"/>
  </cols>
  <sheetData>
    <row r="1">
      <c r="A1" s="3" t="inlineStr">
        <is>
          <t>Capitalización de costos por préstamos por activo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4" ht="30" customHeight="1">
      <c r="A4" s="17" t="inlineStr">
        <is>
          <t>Activo</t>
        </is>
      </c>
      <c r="B4" s="17" t="inlineStr">
        <is>
          <t>Desembolsos aptos del período</t>
        </is>
      </c>
      <c r="C4" s="17" t="inlineStr">
        <is>
          <t>Base ponderada por tiempo</t>
        </is>
      </c>
      <c r="D4" s="17" t="inlineStr">
        <is>
          <t>Préstamo específico: importe</t>
        </is>
      </c>
      <c r="E4" s="17" t="inlineStr">
        <is>
          <t>Capitalizable del específico (NIC 23.12)</t>
        </is>
      </c>
      <c r="F4" s="17" t="inlineStr">
        <is>
          <t>% financiado con préstamos generales</t>
        </is>
      </c>
      <c r="G4" s="17" t="inlineStr">
        <is>
          <t>Base financiada con generales</t>
        </is>
      </c>
      <c r="H4" s="17" t="inlineStr">
        <is>
          <t>Tasa de capitalización (NIC 23.14)</t>
        </is>
      </c>
      <c r="I4" s="17" t="inlineStr">
        <is>
          <t>Capitalizable de los generales</t>
        </is>
      </c>
      <c r="J4" s="17" t="inlineStr">
        <is>
          <t>Capitalizable antes del tope</t>
        </is>
      </c>
      <c r="K4" s="17" t="inlineStr">
        <is>
          <t>Factor del tope (NIC 23.14)</t>
        </is>
      </c>
      <c r="L4" s="17" t="inlineStr">
        <is>
          <t>Capitalizable del período</t>
        </is>
      </c>
      <c r="M4" s="17" t="inlineStr">
        <is>
          <t>Intereses capitalizados registrados</t>
        </is>
      </c>
      <c r="N4" s="17" t="inlineStr">
        <is>
          <t>Diferencia</t>
        </is>
      </c>
    </row>
    <row r="5">
      <c r="A5" s="18" t="inlineStr">
        <is>
          <t>OBRA-01</t>
        </is>
      </c>
      <c r="B5" s="20">
        <f>SUMIFS('10_Adiciones'!$F$5:$F$8,'10_Adiciones'!$B$5:$B$8,A5,'10_Adiciones'!$I$5:$I$8,"&gt;0")</f>
        <v/>
      </c>
      <c r="C5" s="20">
        <f>SUMPRODUCT(('10_Adiciones'!$B$5:$B$8=A5)*'10_Adiciones'!$F$5:$F$8*'10_Adiciones'!$I$5:$I$8)/'02_Parametros'!$B$7</f>
        <v/>
      </c>
      <c r="D5" s="20">
        <f>IF(SUMPRODUCT(('11_Prestamos'!$B$5:$B$7="Específico")*('11_Prestamos'!$C$5:$C$7=A5))=0,0,IF(SUMPRODUCT(('11_Prestamos'!$B$5:$B$7="Específico")*('11_Prestamos'!$C$5:$C$7=A5)*ISNUMBER('11_Prestamos'!$E$5:$E$7))&lt;SUMPRODUCT(('11_Prestamos'!$B$5:$B$7="Específico")*('11_Prestamos'!$C$5:$C$7=A5)),"",SUMIFS('11_Prestamos'!$E$5:$E$7,'11_Prestamos'!$B$5:$B$7,"Específico",'11_Prestamos'!$C$5:$C$7,A5)))</f>
        <v/>
      </c>
      <c r="E5" s="20">
        <f>IF('02_Parametros'!$B$8="NIIF para las PYMES",0,IF(SUMPRODUCT(('11_Prestamos'!$B$5:$B$7="Específico")*('11_Prestamos'!$C$5:$C$7=A5))=0,0,IF(SUMPRODUCT(('11_Prestamos'!$B$5:$B$7="Específico")*('11_Prestamos'!$C$5:$C$7=A5)*ISNUMBER('11_Prestamos'!$I$5:$I$7))&lt;SUMPRODUCT(('11_Prestamos'!$B$5:$B$7="Específico")*('11_Prestamos'!$C$5:$C$7=A5)),"",SUMIFS('11_Prestamos'!$I$5:$I$7,'11_Prestamos'!$B$5:$B$7,"Específico",'11_Prestamos'!$C$5:$C$7,A5))))</f>
        <v/>
      </c>
      <c r="F5" s="39">
        <f>IF(D5="","",IF(B5=0,0,MAX(1-D5/B5,0)))</f>
        <v/>
      </c>
      <c r="G5" s="20">
        <f>IF(F5="","",C5*F5)</f>
        <v/>
      </c>
      <c r="H5" s="39">
        <f>IF('02_Parametros'!$B$8="NIIF para las PYMES",0,IF(COUNTIF('11_Prestamos'!$B$5:$B$7,"General")=0,0,IF(OR(SUMPRODUCT(('11_Prestamos'!$B$5:$B$7="General")*ISNUMBER('11_Prestamos'!$E$5:$E$7)*ISNUMBER('11_Prestamos'!$G$5:$G$7))&lt;COUNTIF('11_Prestamos'!$B$5:$B$7,"General"),SUMIFS('11_Prestamos'!$E$5:$E$7,'11_Prestamos'!$B$5:$B$7,"General")=0),"",SUMIFS('11_Prestamos'!$G$5:$G$7,'11_Prestamos'!$B$5:$B$7,"General")/SUMIFS('11_Prestamos'!$E$5:$E$7,'11_Prestamos'!$B$5:$B$7,"General"))))</f>
        <v/>
      </c>
      <c r="I5" s="20">
        <f>IF(OR(G5="",H5=""),"",G5*H5)</f>
        <v/>
      </c>
      <c r="J5" s="20">
        <f>IF(OR(E5="",I5=""),"",E5+I5)</f>
        <v/>
      </c>
      <c r="K5" s="39">
        <f>IF(OR(SUMPRODUCT(--ISNUMBER('11_Prestamos'!$G$5:$G$7))&lt;3,COUNT($J$5:$J$5)&lt;1),"",IF(SUM($J$5:$J$5)&lt;=SUM('11_Prestamos'!$G$5:$G$7),1,SUM('11_Prestamos'!$G$5:$G$7)/SUM($J$5:$J$5)))</f>
        <v/>
      </c>
      <c r="L5" s="20">
        <f>IF(J5="","",IF(K5="",J5,J5*K5))</f>
        <v/>
      </c>
      <c r="M5" s="20">
        <f>SUMIFS('10_Adiciones'!$H$5:$H$8,'10_Adiciones'!$B$5:$B$8,A5)</f>
        <v/>
      </c>
      <c r="N5" s="20">
        <f>IF(L5="","",L5-M5)</f>
        <v/>
      </c>
    </row>
    <row r="6">
      <c r="A6" s="36" t="inlineStr">
        <is>
          <t>TOTAL</t>
        </is>
      </c>
      <c r="B6" s="37">
        <f>SUM(B5:B5)</f>
        <v/>
      </c>
      <c r="C6" s="37">
        <f>SUM(C5:C5)</f>
        <v/>
      </c>
      <c r="D6" s="37">
        <f>SUM(D5:D5)</f>
        <v/>
      </c>
      <c r="E6" s="37">
        <f>SUM(E5:E5)</f>
        <v/>
      </c>
      <c r="F6" s="42" t="n"/>
      <c r="G6" s="37">
        <f>SUM(G5:G5)</f>
        <v/>
      </c>
      <c r="H6" s="42" t="n"/>
      <c r="I6" s="37">
        <f>SUM(I5:I5)</f>
        <v/>
      </c>
      <c r="J6" s="37">
        <f>SUM(J5:J5)</f>
        <v/>
      </c>
      <c r="K6" s="42" t="n"/>
      <c r="L6" s="37">
        <f>SUM(L5:L5)</f>
        <v/>
      </c>
      <c r="M6" s="37">
        <f>SUM(M5:M5)</f>
        <v/>
      </c>
      <c r="N6" s="37">
        <f>SUM(N5:N5)</f>
        <v/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Desembolsos aptos del período</t>
        </is>
      </c>
      <c r="B10" s="25" t="inlineStr">
        <is>
          <t>'=SUMIFS('10_Adiciones'!$F$5:$F$8,'10_Adiciones'!$B$5:$B$8,A5,'10_Adiciones'!$I$5:$I$8,"&gt;0")</t>
        </is>
      </c>
      <c r="C10" s="24" t="inlineStr">
        <is>
          <t>Suma las adiciones de este activo en la hoja 10 (Adiciones) que tienen días de capitalización.</t>
        </is>
      </c>
      <c r="D10" s="24" t="inlineStr">
        <is>
          <t>Fila 1: SUMIFS([«Importe» de «Adiciones y costos por préstamos», 4 filas]; [«Activo» de «Adiciones y costos por préstamos», 4 filas]; «OBRA-01»; [«Días de capitalización» de «Adiciones y costos por préstamos», 4 filas]; "&gt;0") → 195.000,00</t>
        </is>
      </c>
      <c r="E10" s="24" t="inlineStr">
        <is>
          <t>«Activo» (esta hoja), hoja «Adiciones y costos por préstamos»</t>
        </is>
      </c>
      <c r="F10" s="24" t="inlineStr">
        <is>
          <t>—</t>
        </is>
      </c>
    </row>
    <row r="11">
      <c r="A11" s="24" t="inlineStr">
        <is>
          <t>Base ponderada por tiempo</t>
        </is>
      </c>
      <c r="B11" s="25" t="inlineStr">
        <is>
          <t>'=SUMPRODUCT(('10_Adiciones'!$B$5:$B$8=A5)*'10_Adiciones'!$F$5:$F$8*'10_Adiciones'!$I$5:$I$8)/'02_Parametros'!$B$7</t>
        </is>
      </c>
      <c r="C11" s="24" t="inlineStr">
        <is>
          <t>Suma cada adición del activo en la hoja 10 multiplicada por sus días de capitalización y la divide para los días del ejercicio: es el desembolso promedio del año.</t>
        </is>
      </c>
      <c r="D11" s="24" t="inlineStr">
        <is>
          <t>Fila 1: SUMPRODUCT(([«Activo» de «Adiciones y costos por préstamos», 4 filas]=«OBRA-01»)*[«Importe» de «Adiciones y costos por préstamos», 4 filas]*[«Días de capitalización» de «Adiciones y costos por préstamos», 4 filas])/365,00 → 140.260,27</t>
        </is>
      </c>
      <c r="E11" s="24" t="inlineStr">
        <is>
          <t>«Activo» (esta hoja), hoja «Adiciones y costos por préstamos», hoja «Parámetros»</t>
        </is>
      </c>
      <c r="F11" s="24" t="inlineStr">
        <is>
          <t>—</t>
        </is>
      </c>
    </row>
    <row r="12">
      <c r="A12" s="24" t="inlineStr">
        <is>
          <t>Préstamo específico: importe</t>
        </is>
      </c>
      <c r="B12" s="25" t="inlineStr">
        <is>
          <t>'=IF(SUMPRODUCT(('11_Prestamos'!$B$5:$B$7="Específico")*('11_Prestamos'!$C$5:$C$7=A5))=0,0,IF(SUMPRODUCT(('11_Prestamos'!$B$5:$B$7="Específico")*('11_Prestamos'!$C$5:$C$7=A5)*ISNUMBER('11_Prestamos'!$E$5:$E$7))&lt;SUMPRODUCT(('11_Prestamos'!$B$5:$B$7="Específico")*('11_Prestamos'!$C$5:$C$7=A5)),"",SUMIFS('11_Prestamos'!$E$5:$E$7,'11_Prestamos'!$B$5:$B$7,"Específico",'11_Prestamos'!$C$5:$C$7,A5)))</t>
        </is>
      </c>
      <c r="C12" s="24" t="inlineStr">
        <is>
          <t>Suma el importe de los préstamos específicos de este activo en la hoja 11 (Préstamos); cero si no tiene y en blanco si alguno no trae importe.</t>
        </is>
      </c>
      <c r="D12" s="24" t="inlineStr">
        <is>
          <t>Fila 1: IF(SUMPRODUCT(([«Tipo» de «Préstamos para la construcción», 3 filas]="Específico")*([«Activo u obra» de «Préstamos para la construcción», 3 filas]=«OBRA-01»))=0; 0; IF(SUMPRODUCT(([«Tipo» de «Préstamos para la construcción», 3 filas]="Específico")*([«Activo u obra» de «Préstamos para la construcción», 3 filas]=«OBRA-01»)*ISNUMBER([«Importe del préstamo» de «Préstamos para la construcción», 3 filas]))&lt;SUMPRODUCT(([«Tipo» de «Préstamos para la construcción», 3 filas]="Específico")*([«Activo u obra» de «Préstamos para la construcción», 3 filas]=«OBRA-01»)); ""; SUMIFS([«Importe del préstamo» de «Préstamos para la construcción», 3 filas]; [«Tipo» de «Préstamos para la construcción», 3 filas]; "Específico"; [«Activo u obra» de «Préstamos para la construcción», 3 filas]; «OBRA-01»))) → 120.000,00</t>
        </is>
      </c>
      <c r="E12" s="24" t="inlineStr">
        <is>
          <t>«Activo» (esta hoja), hoja «Préstamos para la construcción»</t>
        </is>
      </c>
      <c r="F12" s="24" t="inlineStr">
        <is>
          <t>—</t>
        </is>
      </c>
    </row>
    <row r="13">
      <c r="A13" s="24" t="inlineStr">
        <is>
          <t>Capitalizable del específico (NIC 23.12)</t>
        </is>
      </c>
      <c r="B13" s="25" t="inlineStr">
        <is>
          <t>'=IF('02_Parametros'!$B$8="NIIF para las PYMES",0,IF(SUMPRODUCT(('11_Prestamos'!$B$5:$B$7="Específico")*('11_Prestamos'!$C$5:$C$7=A5))=0,0,IF(SUMPRODUCT(('11_Prestamos'!$B$5:$B$7="Específico")*('11_Prestamos'!$C$5:$C$7=A5)*ISNUMBER('11_Prestamos'!$I$5:$I$7))&lt;SUMPRODUCT(('11_Prestamos'!$B$5:$B$7="Específico")*('11_Prestamos'!$C$5:$C$7=A5)),"",SUMIFS('11_Prestamos'!$I$5:$I$7,'11_Prestamos'!$B$5:$B$7,"Específico",'11_Prestamos'!$C$5:$C$7,A5))))</t>
        </is>
      </c>
      <c r="C13" s="24" t="inlineStr">
        <is>
          <t>Suma lo capitalizable de los préstamos específicos del activo en la hoja 11. Es cero en PYMES o sin préstamo específico, y en blanco si falta un dato.</t>
        </is>
      </c>
      <c r="D13" s="24" t="inlineStr">
        <is>
          <t>Fila 1: IF(«NIIF completas»="NIIF para las PYMES"; 0; IF(SUMPRODUCT(([«Tipo» de «Préstamos para la construcción», 3 filas]="Específico")*([«Activo u obra» de «Préstamos para la construcción», 3 filas]=«OBRA-01»))=0; 0; IF(SUMPRODUCT(([«Tipo» de «Préstamos para la construcción», 3 filas]="Específico")*([«Activo u obra» de «Préstamos para la construcción», 3 filas]=«OBRA-01»)*ISNUMBER([«Capitalizable del específico (NIC 23.12)» de «Préstamos para la construcción», 3 filas]))&lt;SUMPRODUCT(([«Tipo» de «Préstamos para la construcción», 3 filas]="Específico")*([«Activo u obra» de «Préstamos para la construcción», 3 filas]=«OBRA-01»)); ""; SUMIFS([«Capitalizable del específico (NIC 23.12)» de «Préstamos para la construcción», 3 filas]; [«Tipo» de «Préstamos para la construcción», 3 filas]; "Específico"; [«Activo u obra» de «Préstamos para la construcción», 3 filas]; «OBRA-01»)))) → 7.800,00</t>
        </is>
      </c>
      <c r="E13" s="24" t="inlineStr">
        <is>
          <t>«Activo» (esta hoja), hoja «Parámetros», hoja «Préstamos para la construcción»</t>
        </is>
      </c>
      <c r="F13" s="24" t="inlineStr">
        <is>
          <t>—</t>
        </is>
      </c>
    </row>
    <row r="14">
      <c r="A14" s="24" t="inlineStr">
        <is>
          <t>% financiado con préstamos generales</t>
        </is>
      </c>
      <c r="B14" s="25" t="inlineStr">
        <is>
          <t>'=IF(D5="","",IF(B5=0,0,MAX(1-D5/B5,0)))</t>
        </is>
      </c>
      <c r="C14" s="24" t="inlineStr">
        <is>
          <t>Parte de los desembolsos que no cubre el préstamo específico: 1 − importe específico ÷ desembolsos, sin bajar de cero. Cero si no hubo desembolsos.</t>
        </is>
      </c>
      <c r="D14" s="24" t="inlineStr">
        <is>
          <t>Fila 1: IF(120.000,00=""; ""; IF(195.000,00=0; 0; MAX(1-120.000,00/195.000,00; 0))) → 38,46 %</t>
        </is>
      </c>
      <c r="E14" s="24" t="inlineStr">
        <is>
          <t>«Préstamo específico: importe» (esta hoja), «Desembolsos aptos del período» (esta hoja)</t>
        </is>
      </c>
      <c r="F14" s="24" t="inlineStr">
        <is>
          <t>—</t>
        </is>
      </c>
    </row>
    <row r="15">
      <c r="A15" s="24" t="inlineStr">
        <is>
          <t>Base financiada con generales</t>
        </is>
      </c>
      <c r="B15" s="25" t="inlineStr">
        <is>
          <t>'=IF(F5="","",C5*F5)</t>
        </is>
      </c>
      <c r="C15" s="24" t="inlineStr">
        <is>
          <t>Multiplica la base ponderada por tiempo por el % financiado con préstamos generales.</t>
        </is>
      </c>
      <c r="D15" s="24" t="inlineStr">
        <is>
          <t>Fila 1: IF(38,46 %=""; ""; 140.260,27*38,46 %) → 53.946,26</t>
        </is>
      </c>
      <c r="E15" s="24" t="inlineStr">
        <is>
          <t>«% financiado con préstamos generales» (esta hoja), «Base ponderada por tiempo» (esta hoja)</t>
        </is>
      </c>
      <c r="F15" s="24" t="inlineStr">
        <is>
          <t>—</t>
        </is>
      </c>
    </row>
    <row r="16">
      <c r="A16" s="24" t="inlineStr">
        <is>
          <t>Tasa de capitalización (NIC 23.14)</t>
        </is>
      </c>
      <c r="B16" s="25" t="inlineStr">
        <is>
          <t>'=IF('02_Parametros'!$B$8="NIIF para las PYMES",0,IF(COUNTIF('11_Prestamos'!$B$5:$B$7,"General")=0,0,IF(OR(SUMPRODUCT(('11_Prestamos'!$B$5:$B$7="General")*ISNUMBER('11_Prestamos'!$E$5:$E$7)*ISNUMBER('11_Prestamos'!$G$5:$G$7))&lt;COUNTIF('11_Prestamos'!$B$5:$B$7,"General"),SUMIFS('11_Prestamos'!$E$5:$E$7,'11_Prestamos'!$B$5:$B$7,"General")=0),"",SUMIFS('11_Prestamos'!$G$5:$G$7,'11_Prestamos'!$B$5:$B$7,"General")/SUMIFS('11_Prestamos'!$E$5:$E$7,'11_Prestamos'!$B$5:$B$7,"General"))))</t>
        </is>
      </c>
      <c r="C16" s="24" t="inlineStr">
        <is>
          <t>Media ponderada de los préstamos generales de la hoja 11: su costo financiero total ÷ su importe total. Cero en PYMES o sin generales; en blanco si falta un dato.</t>
        </is>
      </c>
      <c r="D16" s="24" t="inlineStr">
        <is>
          <t>Fila 1: IF(«NIIF completas»="NIIF para las PYMES"; 0; IF(COUNTIF([«Tipo» de «Préstamos para la construcción», 3 filas]; "General")=0; 0; IF(OR(SUMPRODUCT(([«Tipo» de «Préstamos para la construcción», 3 filas]="General")*ISNUMBER([«Importe del préstamo» de «Préstamos para la construcción», 3 filas])*ISNUMBER([«Costo financiero del período» de «Préstamos para la construcción», 3 filas]))&lt;COUNTIF([«Tipo» de «Préstamos para la construcción», 3 filas]; "General"); SUMIFS([«Importe del préstamo» de «Préstamos para la construcción», 3 filas]; [«Tipo» de «Préstamos para la construcción», 3 filas]; "General")=0); ""; SUMIFS([«Costo financiero del período» de «Préstamos para la construcción», 3 filas]; [«Tipo» de «Préstamos para la construcción», 3 filas]; "General")/SUMIFS([«Importe del préstamo» de «Préstamos para la construcción», 3 filas]; [«Tipo» de «Préstamos para la construcción», 3 filas]; "General")))) → 8,80 %</t>
        </is>
      </c>
      <c r="E16" s="24" t="inlineStr">
        <is>
          <t>hoja «Parámetros», hoja «Préstamos para la construcción»</t>
        </is>
      </c>
      <c r="F16" s="24" t="inlineStr">
        <is>
          <t>—</t>
        </is>
      </c>
    </row>
    <row r="17">
      <c r="A17" s="24" t="inlineStr">
        <is>
          <t>Capitalizable de los generales</t>
        </is>
      </c>
      <c r="B17" s="25" t="inlineStr">
        <is>
          <t>'=IF(OR(G5="",H5=""),"",G5*H5)</t>
        </is>
      </c>
      <c r="C17" s="24" t="inlineStr">
        <is>
          <t>Multiplica la base financiada con generales por la tasa de capitalización; en blanco si falta alguno de los dos.</t>
        </is>
      </c>
      <c r="D17" s="24" t="inlineStr">
        <is>
          <t>Fila 1: IF(OR(53.946,26=""; 8,80 %=""); ""; 53.946,26*8,80 %) → 4.747,27</t>
        </is>
      </c>
      <c r="E17" s="24" t="inlineStr">
        <is>
          <t>«Base financiada con generales» (esta hoja), «Tasa de capitalización (NIC 23.14)» (esta hoja)</t>
        </is>
      </c>
      <c r="F17" s="24" t="inlineStr">
        <is>
          <t>—</t>
        </is>
      </c>
    </row>
    <row r="18">
      <c r="A18" s="24" t="inlineStr">
        <is>
          <t>Capitalizable antes del tope</t>
        </is>
      </c>
      <c r="B18" s="25" t="inlineStr">
        <is>
          <t>'=IF(OR(E5="",I5=""),"",E5+I5)</t>
        </is>
      </c>
      <c r="C18" s="24" t="inlineStr">
        <is>
          <t>Suma lo capitalizable del préstamo específico y de los generales para este activo.</t>
        </is>
      </c>
      <c r="D18" s="24" t="inlineStr">
        <is>
          <t>Fila 1: IF(OR(7.800,00=""; 4.747,27=""); ""; 7.800,00+4.747,27) → 12.547,27</t>
        </is>
      </c>
      <c r="E18" s="24" t="inlineStr">
        <is>
          <t>«Capitalizable del específico (NIC 23.12)» (esta hoja), «Capitalizable de los generales» (esta hoja)</t>
        </is>
      </c>
      <c r="F18" s="24" t="inlineStr">
        <is>
          <t>—</t>
        </is>
      </c>
    </row>
    <row r="19">
      <c r="A19" s="24" t="inlineStr">
        <is>
          <t>Factor del tope (NIC 23.14)</t>
        </is>
      </c>
      <c r="B19" s="25" t="inlineStr">
        <is>
          <t>'=IF(OR(SUMPRODUCT(--ISNUMBER('11_Prestamos'!$G$5:$G$7))&lt;3,COUNT($J$5:$J$5)&lt;1),"",IF(SUM($J$5:$J$5)&lt;=SUM('11_Prestamos'!$G$5:$G$7),1,SUM('11_Prestamos'!$G$5:$G$7)/SUM($J$5:$J$5)))</t>
        </is>
      </c>
      <c r="C19" s="24" t="inlineStr">
        <is>
          <t>Si lo capitalizable de todos los activos no supera el costo financiero incurrido de la hoja 11, es 1; si lo supera, es costo incurrido ÷ capitalizable total, para no pasar del tope. En blanco si falta algún dato.</t>
        </is>
      </c>
      <c r="D19" s="24" t="inlineStr">
        <is>
          <t>Fila 1: IF(OR(SUMPRODUCT(--ISNUMBER([«Costo financiero del período» de «Préstamos para la construcción», 3 filas]))&lt;3; COUNT([«Capitalizable antes del tope», 1 fila])&lt;1); ""; IF(SUM([«Capitalizable antes del tope», 1 fila])&lt;=SUM([«Costo financiero del período» de «Préstamos para la construcción», 3 filas]); 1; SUM([«Costo financiero del período» de «Préstamos para la construcción», 3 filas])/SUM([«Capitalizable antes del tope», 1 fila]))) → 100,00 %</t>
        </is>
      </c>
      <c r="E19" s="24" t="inlineStr">
        <is>
          <t>«Capitalizable antes del tope» (esta hoja), hoja «Préstamos para la construcción»</t>
        </is>
      </c>
      <c r="F19" s="24" t="inlineStr">
        <is>
          <t>—</t>
        </is>
      </c>
    </row>
    <row r="20">
      <c r="A20" s="24" t="inlineStr">
        <is>
          <t>Capitalizable del período</t>
        </is>
      </c>
      <c r="B20" s="25" t="inlineStr">
        <is>
          <t>'=IF(J5="","",IF(K5="",J5,J5*K5))</t>
        </is>
      </c>
      <c r="C20" s="24" t="inlineStr">
        <is>
          <t>Capitalizable antes del tope multiplicado por el factor del tope (si el factor está en blanco, se deja sin reducir).</t>
        </is>
      </c>
      <c r="D20" s="24" t="inlineStr">
        <is>
          <t>Fila 1: IF(12.547,27=""; ""; IF(100,00 %=""; 12.547,27; 12.547,27*100,00 %)) → 12.547,27</t>
        </is>
      </c>
      <c r="E20" s="24" t="inlineStr">
        <is>
          <t>«Capitalizable antes del tope» (esta hoja), «Factor del tope (NIC 23.14)» (esta hoja)</t>
        </is>
      </c>
      <c r="F20" s="24" t="inlineStr">
        <is>
          <t>—</t>
        </is>
      </c>
    </row>
    <row r="21">
      <c r="A21" s="24" t="inlineStr">
        <is>
          <t>Intereses capitalizados registrados</t>
        </is>
      </c>
      <c r="B21" s="25" t="inlineStr">
        <is>
          <t>'=SUMIFS('10_Adiciones'!$H$5:$H$8,'10_Adiciones'!$B$5:$B$8,A5)</t>
        </is>
      </c>
      <c r="C21" s="24" t="inlineStr">
        <is>
          <t>Suma los intereses que el cliente capitalizó en las adiciones de este activo, según la hoja 10 (Adiciones).</t>
        </is>
      </c>
      <c r="D21" s="24" t="inlineStr">
        <is>
          <t>Fila 1: SUMIFS([«Intereses capitalizados» de «Adiciones y costos por préstamos», 4 filas]; [«Activo» de «Adiciones y costos por préstamos», 4 filas]; «OBRA-01») → 9.000,00</t>
        </is>
      </c>
      <c r="E21" s="24" t="inlineStr">
        <is>
          <t>«Activo» (esta hoja), hoja «Adiciones y costos por préstamos»</t>
        </is>
      </c>
      <c r="F21" s="24" t="inlineStr">
        <is>
          <t>—</t>
        </is>
      </c>
    </row>
    <row r="22">
      <c r="A22" s="24" t="inlineStr">
        <is>
          <t>Diferencia</t>
        </is>
      </c>
      <c r="B22" s="25" t="inlineStr">
        <is>
          <t>'=IF(L5="","",L5-M5)</t>
        </is>
      </c>
      <c r="C22" s="24" t="inlineStr">
        <is>
          <t>Capitalizable del período menos intereses capitalizados registrados: positivo falta capitalizar y negativo se capitalizó de más.</t>
        </is>
      </c>
      <c r="D22" s="24" t="inlineStr">
        <is>
          <t>Fila 1: IF(12.547,27=""; ""; 12.547,27-9.000,00) → 3.547,27</t>
        </is>
      </c>
      <c r="E22" s="24" t="inlineStr">
        <is>
          <t>«Capitalizable del período» (esta hoja), «Intereses capitalizados registrados» (esta hoja)</t>
        </is>
      </c>
      <c r="F22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3" t="inlineStr">
        <is>
          <t>Desmantelamiento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Costo estimado futuro</t>
        </is>
      </c>
      <c r="B5" s="20">
        <f>IF('02_Parametros'!$B$14="","",'02_Parametros'!$B$14)</f>
        <v/>
      </c>
    </row>
    <row r="6">
      <c r="A6" s="19" t="inlineStr">
        <is>
          <t>Años hasta el desembolso</t>
        </is>
      </c>
      <c r="B6" s="21">
        <f>IF('02_Parametros'!$B$15="","",'02_Parametros'!$B$15)</f>
        <v/>
      </c>
    </row>
    <row r="7">
      <c r="A7" s="18" t="inlineStr">
        <is>
          <t>Tasa de descuento antes de impuestos (%)</t>
        </is>
      </c>
      <c r="B7" s="20">
        <f>IF('02_Parametros'!$B$16="","",'02_Parametros'!$B$16)</f>
        <v/>
      </c>
    </row>
    <row r="8">
      <c r="A8" s="19" t="inlineStr">
        <is>
          <t>Valor presente = costo ÷ (1 + tasa)^años</t>
        </is>
      </c>
      <c r="B8" s="21">
        <f>IF(OR(B5="",B6="",B7=""),"",B5/(1+B7/100)^B6)</f>
        <v/>
      </c>
    </row>
    <row r="9">
      <c r="A9" s="18" t="inlineStr">
        <is>
          <t>Provisión registrada al cierre</t>
        </is>
      </c>
      <c r="B9" s="20">
        <f>IF('02_Parametros'!$B$17="","",'02_Parametros'!$B$17)</f>
        <v/>
      </c>
    </row>
    <row r="10">
      <c r="A10" s="19" t="inlineStr">
        <is>
          <t>Provisión registrada al inicio del ejercicio</t>
        </is>
      </c>
      <c r="B10" s="21">
        <f>IF('02_Parametros'!$B$18&lt;&gt;"",'02_Parametros'!$B$18,IF('02_Parametros'!$B$17="",0,""))</f>
        <v/>
      </c>
    </row>
    <row r="11">
      <c r="A11" s="18" t="inlineStr">
        <is>
          <t>Actualización financiera del período = inicial × tasa → resultados, costo financiero (CINIIF 1.8; NIC 37.60; PYMES 21.11)</t>
        </is>
      </c>
      <c r="B11" s="20">
        <f>IF(OR(B8="",B10="",B7=""),"",B10*B7/100)</f>
        <v/>
      </c>
    </row>
    <row r="12">
      <c r="A12" s="19" t="inlineStr">
        <is>
          <t>Ajuste total = valor presente − registrada al cierre</t>
        </is>
      </c>
      <c r="B12" s="21">
        <f>IF(B8="","",B8-IF(B9="",0,B9))</f>
        <v/>
      </c>
    </row>
    <row r="13">
      <c r="A13" s="18" t="inlineStr">
        <is>
          <t>Cambio de estimación = ajuste total − actualización → costo del activo (CINIIF 1.5 a; PYMES 21.7 b)</t>
        </is>
      </c>
      <c r="B13" s="20">
        <f>IF(OR(B12="",B11=""),"",B12-B11)</f>
        <v/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Importe</t>
        </is>
      </c>
      <c r="B17" s="25" t="inlineStr">
        <is>
          <t>'=IF('02_Parametros'!$B$14="","",'02_Parametros'!$B$14)</t>
        </is>
      </c>
      <c r="C17" s="24" t="inlineStr">
        <is>
          <t>Toma de la hoja 02 (Parámetros) el costo futuro, los años, la tasa y la provisión registrada; calcula el valor presente (costo ÷ (1 + tasa)^años), la actualización del año (provisión inicial × tasa) y separa el ajuste total en actualización y cambio de estimación.</t>
        </is>
      </c>
      <c r="D17" s="24" t="inlineStr">
        <is>
          <t>Fila 1: IF(50.000,00=""; ""; 50.000,00) → 50.000,00</t>
        </is>
      </c>
      <c r="E17" s="24" t="inlineStr">
        <is>
          <t>hoja «Parámetros»</t>
        </is>
      </c>
      <c r="F17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3" t="inlineStr">
        <is>
          <t>Movimiento del año y conciliación auxiliar-mayor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Costo al inicio (auxiliar)</t>
        </is>
      </c>
      <c r="B5" s="20">
        <f>SUM('03_Auxiliar'!$F$5:$F$14)</f>
        <v/>
      </c>
    </row>
    <row r="6">
      <c r="A6" s="19" t="inlineStr">
        <is>
          <t>(+) Adiciones del año</t>
        </is>
      </c>
      <c r="B6" s="21">
        <f>SUM('03_Auxiliar'!$G$5:$G$14)</f>
        <v/>
      </c>
    </row>
    <row r="7">
      <c r="A7" s="18" t="inlineStr">
        <is>
          <t>(−) Costo de las bajas</t>
        </is>
      </c>
      <c r="B7" s="20">
        <f>SUMIF('04_Depreciacion'!$L$5:$L$14,"Baja",'04_Depreciacion'!$B$5:$B$14)</f>
        <v/>
      </c>
    </row>
    <row r="8">
      <c r="A8" s="19" t="inlineStr">
        <is>
          <t>Costo al cierre (auxiliar)</t>
        </is>
      </c>
      <c r="B8" s="21">
        <f>B5+B6-B7</f>
        <v/>
      </c>
    </row>
    <row r="9">
      <c r="A9" s="18" t="inlineStr">
        <is>
          <t>Costo al cierre según el mayor</t>
        </is>
      </c>
      <c r="B9" s="20">
        <f>IF('02_Parametros'!$B$19="","",'02_Parametros'!$B$19)</f>
        <v/>
      </c>
    </row>
    <row r="10">
      <c r="A10" s="19" t="inlineStr">
        <is>
          <t>Diferencia auxiliar − mayor (costo)</t>
        </is>
      </c>
      <c r="B10" s="21">
        <f>IF(B9="","",B8-B9)</f>
        <v/>
      </c>
    </row>
    <row r="11">
      <c r="A11" s="18" t="inlineStr">
        <is>
          <t>Depreciación acumulada al inicio</t>
        </is>
      </c>
      <c r="B11" s="20">
        <f>SUM('03_Auxiliar'!$K$5:$K$14)</f>
        <v/>
      </c>
    </row>
    <row r="12">
      <c r="A12" s="19" t="inlineStr">
        <is>
          <t>(+) Depreciación del año registrada</t>
        </is>
      </c>
      <c r="B12" s="21">
        <f>SUM('03_Auxiliar'!$L$5:$L$14)</f>
        <v/>
      </c>
    </row>
    <row r="13">
      <c r="A13" s="18" t="inlineStr">
        <is>
          <t>(−) Depreciación acumulada de las bajas</t>
        </is>
      </c>
      <c r="B13" s="20">
        <f>SUMIF('04_Depreciacion'!$L$5:$L$14,"Baja",'03_Auxiliar'!$K$5:$K$14)+SUMIF('04_Depreciacion'!$L$5:$L$14,"Baja",'03_Auxiliar'!$L$5:$L$14)</f>
        <v/>
      </c>
    </row>
    <row r="14">
      <c r="A14" s="19" t="inlineStr">
        <is>
          <t>Depreciación acumulada al cierre (registrada)</t>
        </is>
      </c>
      <c r="B14" s="21">
        <f>B11+B12-B13</f>
        <v/>
      </c>
    </row>
    <row r="15">
      <c r="A15" s="18" t="inlineStr">
        <is>
          <t>Depreciación acumulada según el mayor</t>
        </is>
      </c>
      <c r="B15" s="20">
        <f>IF('02_Parametros'!$B$20="","",'02_Parametros'!$B$20)</f>
        <v/>
      </c>
    </row>
    <row r="16">
      <c r="A16" s="19" t="inlineStr">
        <is>
          <t>Diferencia auxiliar − mayor (depreciación)</t>
        </is>
      </c>
      <c r="B16" s="21">
        <f>IF(B15="","",B14-B15)</f>
        <v/>
      </c>
    </row>
    <row r="17">
      <c r="A17" s="18" t="inlineStr">
        <is>
          <t>Depreciación acumulada al cierre recalculada (activos medidos)</t>
        </is>
      </c>
      <c r="B17" s="20">
        <f>SUMIF('04_Depreciacion'!$L$5:$L$14,"&lt;&gt;Baja",'04_Depreciacion'!$H$5:$H$14)</f>
        <v/>
      </c>
    </row>
    <row r="18">
      <c r="A18" s="19" t="inlineStr">
        <is>
          <t>Valor neto en libros recalculado (activos medidos)</t>
        </is>
      </c>
      <c r="B18" s="21">
        <f>SUMIF('04_Depreciacion'!$L$5:$L$14,"&lt;&gt;Baja",'04_Depreciacion'!$J$5:$J$14)</f>
        <v/>
      </c>
    </row>
    <row r="19">
      <c r="A19" s="18" t="inlineStr">
        <is>
          <t>Adiciones según el detalle</t>
        </is>
      </c>
      <c r="B19" s="20">
        <f>SUM('10_Adiciones'!$F$5:$F$8)</f>
        <v/>
      </c>
    </row>
    <row r="20">
      <c r="A20" s="19" t="inlineStr">
        <is>
          <t>Diferencia adiciones auxiliar − detalle</t>
        </is>
      </c>
      <c r="B20" s="21">
        <f>B6-B19</f>
        <v/>
      </c>
    </row>
    <row r="22">
      <c r="A22" s="22" t="inlineStr">
        <is>
          <t>ⓘ  Cómo se calcula esta hoja</t>
        </is>
      </c>
    </row>
    <row r="23">
      <c r="A23" s="23" t="inlineStr">
        <is>
          <t>Columna</t>
        </is>
      </c>
      <c r="B23" s="23" t="inlineStr">
        <is>
          <t>Fórmula (Excel)</t>
        </is>
      </c>
      <c r="C23" s="23" t="inlineStr">
        <is>
          <t>Cómo se calcula (sencillo)</t>
        </is>
      </c>
      <c r="D23" s="23" t="inlineStr">
        <is>
          <t>Ejemplo con números reales</t>
        </is>
      </c>
      <c r="E23" s="23" t="inlineStr">
        <is>
          <t>De dónde viene</t>
        </is>
      </c>
      <c r="F23" s="23" t="inlineStr">
        <is>
          <t>Norma</t>
        </is>
      </c>
    </row>
    <row r="24">
      <c r="A24" s="24" t="inlineStr">
        <is>
          <t>Importe</t>
        </is>
      </c>
      <c r="B24" s="25" t="inlineStr">
        <is>
          <t>'=SUM('03_Auxiliar'!$F$5:$F$14)</t>
        </is>
      </c>
      <c r="C24" s="24" t="inlineStr">
        <is>
          <t>Arma el movimiento del año con las sumas de la hoja 03 (costo, adiciones, depreciación) y de la hoja 04 (bajas y valores recalculados), lo compara con el mayor de la hoja 02 y cuadra las adiciones con la hoja 10.</t>
        </is>
      </c>
      <c r="D24" s="24" t="inlineStr">
        <is>
          <t>Fila 1: SUM([«Costo inicial» de «Auxiliar de activos (datos del cliente)», 10 filas]) → 1.115.000,00</t>
        </is>
      </c>
      <c r="E24" s="24" t="inlineStr">
        <is>
          <t>hoja «Auxiliar de activos (datos del cliente)»</t>
        </is>
      </c>
      <c r="F24" s="24" t="inlineStr">
        <is>
          <t>—</t>
        </is>
      </c>
    </row>
  </sheetData>
  <mergeCells count="3">
    <mergeCell ref="A2:F2"/>
    <mergeCell ref="A22:F2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1" customWidth="1" min="2" max="2"/>
    <col width="58" customWidth="1" min="3" max="3"/>
    <col width="44" customWidth="1" min="4" max="4"/>
    <col width="60" customWidth="1" min="5" max="5"/>
  </cols>
  <sheetData>
    <row r="1">
      <c r="A1" s="3" t="inlineStr">
        <is>
          <t>Ajustes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Ajuste</t>
        </is>
      </c>
      <c r="B4" s="17" t="inlineStr">
        <is>
          <t>Importe</t>
        </is>
      </c>
      <c r="C4" s="17" t="inlineStr">
        <is>
          <t>Débito (si positivo)</t>
        </is>
      </c>
      <c r="D4" s="17" t="inlineStr">
        <is>
          <t>Crédito (si positivo)</t>
        </is>
      </c>
      <c r="E4" s="17" t="inlineStr">
        <is>
          <t>Base</t>
        </is>
      </c>
    </row>
    <row r="5">
      <c r="A5" s="18" t="inlineStr">
        <is>
          <t>Depreciación recalculada − registrada</t>
        </is>
      </c>
      <c r="B5" s="20">
        <f>SUM('04_Depreciacion'!$G$5:$G$14)</f>
        <v/>
      </c>
      <c r="C5" s="18" t="inlineStr">
        <is>
          <t>Gasto por depreciación</t>
        </is>
      </c>
      <c r="D5" s="18" t="inlineStr">
        <is>
          <t>(−) Depreciación acumulada</t>
        </is>
      </c>
      <c r="E5" s="18" t="inlineStr">
        <is>
          <t>NIC 16.50; PYMES 17.18</t>
        </is>
      </c>
    </row>
    <row r="6">
      <c r="A6" s="19" t="inlineStr">
        <is>
          <t>Deterioro a resultados</t>
        </is>
      </c>
      <c r="B6" s="21">
        <f>SUM('09_Deterioro'!$J$5:$J$5)</f>
        <v/>
      </c>
      <c r="C6" s="19" t="inlineStr">
        <is>
          <t>Pérdida por deterioro</t>
        </is>
      </c>
      <c r="D6" s="19" t="inlineStr">
        <is>
          <t>(−) Deterioro acumulado</t>
        </is>
      </c>
      <c r="E6" s="19" t="inlineStr">
        <is>
          <t>NIC 36.59–61; PYMES 27.5–27.6: en un activo revaluado, primero contra el superávit y solo el exceso a resultados</t>
        </is>
      </c>
    </row>
    <row r="7">
      <c r="A7" s="18" t="inlineStr">
        <is>
          <t>Resultado de bajas recalculado − registrado</t>
        </is>
      </c>
      <c r="B7" s="20">
        <f>SUM('07_Bajas'!$J$5:$J$5)</f>
        <v/>
      </c>
      <c r="C7" s="18" t="inlineStr">
        <is>
          <t>Resultado en baja de activos</t>
        </is>
      </c>
      <c r="D7" s="18" t="inlineStr">
        <is>
          <t>Propiedad, planta y equipo</t>
        </is>
      </c>
      <c r="E7" s="18" t="inlineStr">
        <is>
          <t>NIC 16.68, 71; PYMES 17.28–17.30</t>
        </is>
      </c>
    </row>
    <row r="8">
      <c r="A8" s="19" t="inlineStr">
        <is>
          <t>Costos por préstamos capitalizables − capitalizados</t>
        </is>
      </c>
      <c r="B8" s="21">
        <f>SUM('12_Capitalizacion'!$N$5:$N$5)</f>
        <v/>
      </c>
      <c r="C8" s="19" t="inlineStr">
        <is>
          <t>Construcciones en curso / Gasto financiero</t>
        </is>
      </c>
      <c r="D8" s="19" t="inlineStr">
        <is>
          <t>Gasto financiero / Construcciones en curso</t>
        </is>
      </c>
      <c r="E8" s="19" t="inlineStr">
        <is>
          <t>NIC 23.12 (específico: costo real − rendimientos), 23.14 (generales: tasa de capitalización) y el tope del 23.14</t>
        </is>
      </c>
    </row>
    <row r="9">
      <c r="A9" s="18" t="inlineStr">
        <is>
          <t>Revaluación a otro resultado integral</t>
        </is>
      </c>
      <c r="B9" s="20">
        <f>SUM('08_Revaluacion'!$H$5:$H$5)</f>
        <v/>
      </c>
      <c r="C9" s="18" t="inlineStr">
        <is>
          <t>Propiedad, planta y equipo</t>
        </is>
      </c>
      <c r="D9" s="18" t="inlineStr">
        <is>
          <t>Superávit de revaluación (ORI)</t>
        </is>
      </c>
      <c r="E9" s="18" t="inlineStr">
        <is>
          <t>NIC 16.39–40; PYMES 17.15C–17.15D</t>
        </is>
      </c>
    </row>
    <row r="10">
      <c r="A10" s="19" t="inlineStr">
        <is>
          <t>Revaluación a resultados</t>
        </is>
      </c>
      <c r="B10" s="21">
        <f>SUM('08_Revaluacion'!$I$5:$I$5)</f>
        <v/>
      </c>
      <c r="C10" s="19" t="inlineStr">
        <is>
          <t>Pérdida por revaluación / Reversión de decremento previo</t>
        </is>
      </c>
      <c r="D10" s="19" t="inlineStr">
        <is>
          <t>Propiedad, planta y equipo</t>
        </is>
      </c>
      <c r="E10" s="19" t="inlineStr">
        <is>
          <t>NIC 16.39 (aumento que revierte un decremento previo en resultados) y 16.40; PYMES 17.15C–17.15D</t>
        </is>
      </c>
    </row>
    <row r="11">
      <c r="A11" s="18" t="inlineStr">
        <is>
          <t>Deterioro contra el superávit de revaluación</t>
        </is>
      </c>
      <c r="B11" s="20">
        <f>SUM('09_Deterioro'!$I$5:$I$5)</f>
        <v/>
      </c>
      <c r="C11" s="18" t="inlineStr">
        <is>
          <t>Superávit de revaluación (ORI)</t>
        </is>
      </c>
      <c r="D11" s="18" t="inlineStr">
        <is>
          <t>(−) Deterioro acumulado</t>
        </is>
      </c>
      <c r="E11" s="18" t="inlineStr">
        <is>
          <t>NIC 36.60–61; PYMES 27.6</t>
        </is>
      </c>
    </row>
    <row r="12">
      <c r="A12" s="19" t="inlineStr">
        <is>
          <t>Desmantelamiento: cambio de estimación</t>
        </is>
      </c>
      <c r="B12" s="21">
        <f>'13_Desmantelamiento'!B13</f>
        <v/>
      </c>
      <c r="C12" s="19" t="inlineStr">
        <is>
          <t>Propiedad, planta y equipo (costo)</t>
        </is>
      </c>
      <c r="D12" s="19" t="inlineStr">
        <is>
          <t>Provisión por desmantelamiento</t>
        </is>
      </c>
      <c r="E12" s="19" t="inlineStr">
        <is>
          <t>CINIIF 1.5 a; NIC 16.16 c; NIC 37.45; PYMES 21.7 b</t>
        </is>
      </c>
    </row>
    <row r="13">
      <c r="A13" s="18" t="inlineStr">
        <is>
          <t>Desmantelamiento: actualización financiera del período</t>
        </is>
      </c>
      <c r="B13" s="20">
        <f>'13_Desmantelamiento'!B11</f>
        <v/>
      </c>
      <c r="C13" s="18" t="inlineStr">
        <is>
          <t>Costo financiero (resultados)</t>
        </is>
      </c>
      <c r="D13" s="18" t="inlineStr">
        <is>
          <t>Provisión por desmantelamiento</t>
        </is>
      </c>
      <c r="E13" s="18" t="inlineStr">
        <is>
          <t>CINIIF 1.8; NIC 37.60; PYMES 21.11</t>
        </is>
      </c>
    </row>
    <row r="14">
      <c r="A14" s="19" t="inlineStr">
        <is>
          <t>Efecto neto en resultados</t>
        </is>
      </c>
      <c r="B14" s="21">
        <f>-B5-B6+B7+B8+B10-IF(B13="",0,B13)</f>
        <v/>
      </c>
      <c r="C14" s="19" t="inlineStr"/>
      <c r="D14" s="19" t="inlineStr"/>
      <c r="E14" s="19" t="inlineStr">
        <is>
          <t>− depreciación − deterioro a resultados + bajas + intereses + revaluación a resultados − actualización financiera del desmantelamiento</t>
        </is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Importe</t>
        </is>
      </c>
      <c r="B18" s="25" t="inlineStr">
        <is>
          <t>'=SUM('04_Depreciacion'!$G$5:$G$14)</t>
        </is>
      </c>
      <c r="C18" s="24" t="inlineStr">
        <is>
          <t>Suma la diferencia de cada prueba desde su hoja (04 depreciación, 09 deterioro, 07 bajas, 12 o 10 intereses, 08 revaluación, 13 desmantelamiento); la última fila combina esos ajustes para dar el efecto neto en resultados.</t>
        </is>
      </c>
      <c r="D18" s="24" t="inlineStr">
        <is>
          <t>Fila 1: SUM([«Diferencia» de «Recálculo de depreciación y VNL», 10 filas]) → 177,81</t>
        </is>
      </c>
      <c r="E18" s="24" t="inlineStr">
        <is>
          <t>hoja «Recálculo de depreciación y VNL»</t>
        </is>
      </c>
      <c r="F18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DEPRECIACION_DIFERENTE</t>
        </is>
      </c>
      <c r="B5" s="18" t="inlineStr">
        <is>
          <t>VEH-01: depreciación recalculada 7.200,00 ≠ registrada 6.000,00 (NIC 16.50; PYMES 17.18).</t>
        </is>
      </c>
      <c r="C5" s="20" t="n">
        <v>1200</v>
      </c>
    </row>
    <row r="6">
      <c r="A6" s="19" t="inlineStr">
        <is>
          <t>DEPRECIACION_DIFERENTE</t>
        </is>
      </c>
      <c r="B6" s="19" t="inlineStr">
        <is>
          <t>VEH-02: depreciación recalculada 2.677,81 ≠ registrada 2.700,00 (NIC 16.50; PYMES 17.18).</t>
        </is>
      </c>
      <c r="C6" s="21" t="n">
        <v>-22.19</v>
      </c>
    </row>
    <row r="7">
      <c r="A7" s="18" t="inlineStr">
        <is>
          <t>TOTALMENTE_DEPRECIADO_EN_USO</t>
        </is>
      </c>
      <c r="B7" s="18" t="inlineStr">
        <is>
          <t>MAQ-01-M: totalmente depreciado y aún en uso; revise la vida útil y el residual (NIC 16.51; PYMES 17.19).</t>
        </is>
      </c>
      <c r="C7" s="20" t="n">
        <v>30000</v>
      </c>
    </row>
    <row r="8">
      <c r="A8" s="19" t="inlineStr">
        <is>
          <t>METODO_NO_RECALCULADO</t>
        </is>
      </c>
      <c r="B8" s="19" t="inlineStr">
        <is>
          <t>EQC-01: método «Unidades producidas» no se recalcula; pida el cálculo del cliente y evalúe el patrón de consumo (NIC 16.60–62).</t>
        </is>
      </c>
      <c r="C8" s="21" t="n">
        <v>0</v>
      </c>
    </row>
    <row r="9">
      <c r="A9" s="18" t="inlineStr">
        <is>
          <t>DEPRECIACION_DIFERENTE</t>
        </is>
      </c>
      <c r="B9" s="18" t="inlineStr">
        <is>
          <t>OBRA-01: depreciación recalculada 0,00 ≠ registrada 1.000,00 (NIC 16.50; PYMES 17.18).</t>
        </is>
      </c>
      <c r="C9" s="20" t="n">
        <v>-1000</v>
      </c>
    </row>
    <row r="10">
      <c r="A10" s="19" t="inlineStr">
        <is>
          <t>DEPRECIACION_EN_CONSTRUCCION</t>
        </is>
      </c>
      <c r="B10" s="19" t="inlineStr">
        <is>
          <t>OBRA-01: se registró depreciación de un activo que aún no está disponible para su uso (NIC 16.55; PYMES 17.20).</t>
        </is>
      </c>
      <c r="C10" s="21" t="n">
        <v>1000</v>
      </c>
    </row>
    <row r="11">
      <c r="A11" s="18" t="inlineStr">
        <is>
          <t>REVISAR_COMPONENTES</t>
        </is>
      </c>
      <c r="B11" s="18" t="inlineStr">
        <is>
          <t>EDIF-01: elemento de costo 500.000,00 sin partes; confirme que no tiene partes significativas con vida distinta (NIC 16.43–44; PYMES 17.16).</t>
        </is>
      </c>
      <c r="C11" s="20" t="n">
        <v>0</v>
      </c>
    </row>
    <row r="12">
      <c r="A12" s="19" t="inlineStr">
        <is>
          <t>BAJA_MAL_CALCULADA</t>
        </is>
      </c>
      <c r="B12" s="19" t="inlineStr">
        <is>
          <t>VEH-02: resultado de la baja recalculado 3.277,81 ≠ registrado 1.500,00 (NIC 16.71; PYMES 17.30).</t>
        </is>
      </c>
      <c r="C12" s="21" t="n">
        <v>1777.81</v>
      </c>
    </row>
    <row r="13">
      <c r="A13" s="18" t="inlineStr">
        <is>
          <t>REVALUACION_CLASE_INCOMPLETA</t>
        </is>
      </c>
      <c r="B13" s="18" t="inlineStr">
        <is>
          <t>Clase Terrenos: se revaluó una parte; también deben revaluarse TERR-02 (NIC 16.36; PYMES 17.15 y 17.15B).</t>
        </is>
      </c>
      <c r="C13" s="20" t="n">
        <v>0</v>
      </c>
    </row>
    <row r="14">
      <c r="A14" s="19" t="inlineStr">
        <is>
          <t>DETERIORO</t>
        </is>
      </c>
      <c r="B14" s="19" t="inlineStr">
        <is>
          <t>MAQ-01: importe en libros 48.000,00 mayor que el importe recuperable 40.000,00 (NIC 36.59; PYMES 27.5).</t>
        </is>
      </c>
      <c r="C14" s="21" t="n">
        <v>8000</v>
      </c>
    </row>
    <row r="15">
      <c r="A15" s="18" t="inlineStr">
        <is>
          <t>REVALUACION_SIN_DECREMENTO_PREVIO</t>
        </is>
      </c>
      <c r="B15" s="18" t="inlineStr">
        <is>
          <t>Activos revaluados sin el dato «decremento previo del mismo activo reconocido en resultados»: TERR-01. El aumento por revaluación va a resultados hasta revertir ese decremento anterior (NIC 16.39; PYMES 17.15C): indique el importe; mientras tanto el aumento queda íntegro en otro resultado integral.</t>
        </is>
      </c>
      <c r="C15" s="20" t="n">
        <v>60000</v>
      </c>
    </row>
    <row r="16">
      <c r="A16" s="19" t="inlineStr">
        <is>
          <t>TASA_CAPITALIZACION_DIFIERE</t>
        </is>
      </c>
      <c r="B16" s="19" t="inlineStr">
        <is>
          <t>La tasa de capitalización del parámetro (8.0000 %) no coincide con la media ponderada de los préstamos generales del anexo (8.8000 %): se usa la del anexo (NIC 23.14).</t>
        </is>
      </c>
      <c r="C16" s="21" t="n">
        <v>0</v>
      </c>
    </row>
    <row r="17">
      <c r="A17" s="18" t="inlineStr">
        <is>
          <t>INTERESES_DIFERENCIA</t>
        </is>
      </c>
      <c r="B17" s="18" t="inlineStr">
        <is>
          <t>OBRA-01: costos por préstamos capitalizables 12.547,27 ≠ capitalizados 9.000,00 (NIC 23.12 el específico, 23.14 los generales y el tope).</t>
        </is>
      </c>
      <c r="C17" s="20" t="n">
        <v>3547.27</v>
      </c>
    </row>
    <row r="18">
      <c r="A18" s="19" t="inlineStr">
        <is>
          <t>ADICION_GASTO_CAPITALIZADO</t>
        </is>
      </c>
      <c r="B18" s="19" t="inlineStr">
        <is>
          <t>AD-03: «Reparación» capitalizado; las reparaciones y el mantenimiento son gasto (NIC 16.12; PYMES 17.15); el mantenimiento mayor o las inspecciones generales pueden capitalizarse (NIC 16.13–14).</t>
        </is>
      </c>
      <c r="C18" s="21" t="n">
        <v>5000</v>
      </c>
    </row>
    <row r="19">
      <c r="A19" s="18" t="inlineStr">
        <is>
          <t>DESMANTELAMIENTO_NO_RECONOCIDO</t>
        </is>
      </c>
      <c r="B19" s="18" t="inlineStr">
        <is>
          <t>Obligación de desmantelamiento no reconocida: valor presente 27.919,74 (NIC 16.16 c, NIC 37.45; Sección 21 (21.7 b)).</t>
        </is>
      </c>
      <c r="C19" s="20" t="n">
        <v>27919.74</v>
      </c>
    </row>
    <row r="20">
      <c r="A20" s="19" t="inlineStr">
        <is>
          <t>CONCILIACION_AUXILIAR_MAYOR</t>
        </is>
      </c>
      <c r="B20" s="19" t="inlineStr">
        <is>
          <t>Auxiliar y mayor no concilian en el saldo de la depreciación acumulada: diferencia 454,11.</t>
        </is>
      </c>
      <c r="C20" s="21" t="n">
        <v>454.11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Propiedad, planta y equipo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2026-09-24T04:19:30Z</dcterms:created>
  <dcterms:modified xmlns:dcterms="http://purl.org/dc/terms/" xmlns:xsi="http://www.w3.org/2001/XMLSchema-instance" xsi:type="dcterms:W3CDTF">2026-09-24T04:19:30Z</dcterms:modified>
</cp:coreProperties>
</file>