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Provisiones" sheetId="7" state="visible" r:id="rId7"/>
    <sheet xmlns:r="http://schemas.openxmlformats.org/officeDocument/2006/relationships" name="04_Garantias" sheetId="8" state="visible" r:id="rId8"/>
    <sheet xmlns:r="http://schemas.openxmlformats.org/officeDocument/2006/relationships" name="05_Obligacion_prob" sheetId="9" state="visible" r:id="rId9"/>
    <sheet xmlns:r="http://schemas.openxmlformats.org/officeDocument/2006/relationships" name="06_Mejor_estimacion" sheetId="10" state="visible" r:id="rId10"/>
    <sheet xmlns:r="http://schemas.openxmlformats.org/officeDocument/2006/relationships" name="07_Valor_presente" sheetId="11" state="visible" r:id="rId11"/>
    <sheet xmlns:r="http://schemas.openxmlformats.org/officeDocument/2006/relationships" name="08_Reversion_descuento" sheetId="12" state="visible" r:id="rId12"/>
    <sheet xmlns:r="http://schemas.openxmlformats.org/officeDocument/2006/relationships" name="09_Litigios_abogados" sheetId="13" state="visible" r:id="rId13"/>
    <sheet xmlns:r="http://schemas.openxmlformats.org/officeDocument/2006/relationships" name="10_Garantias_calculo" sheetId="14" state="visible" r:id="rId14"/>
    <sheet xmlns:r="http://schemas.openxmlformats.org/officeDocument/2006/relationships" name="11_Onerosos" sheetId="15" state="visible" r:id="rId15"/>
    <sheet xmlns:r="http://schemas.openxmlformats.org/officeDocument/2006/relationships" name="12_Desmantelamiento" sheetId="16" state="visible" r:id="rId16"/>
    <sheet xmlns:r="http://schemas.openxmlformats.org/officeDocument/2006/relationships" name="13_Reconocimiento" sheetId="17" state="visible" r:id="rId17"/>
    <sheet xmlns:r="http://schemas.openxmlformats.org/officeDocument/2006/relationships" name="14_Contingencias" sheetId="18" state="visible" r:id="rId18"/>
    <sheet xmlns:r="http://schemas.openxmlformats.org/officeDocument/2006/relationships" name="15_Ajustes" sheetId="19" state="visible" r:id="rId19"/>
    <sheet xmlns:r="http://schemas.openxmlformats.org/officeDocument/2006/relationships" name="16_Problemas" sheetId="20" state="visible" r:id="rId20"/>
    <sheet xmlns:r="http://schemas.openxmlformats.org/officeDocument/2006/relationships" name="13_Conclusion" sheetId="21" state="visible" r:id="rId21"/>
    <sheet xmlns:r="http://schemas.openxmlformats.org/officeDocument/2006/relationships" name="14_Control_Revision" sheetId="22" state="visible" r:id="rId22"/>
  </sheets>
  <definedNames>
    <definedName name="_xlnm.Print_Area" localSheetId="0">'00_Inicio'!$A$1:$L$70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'00_Inicio'!O24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'00_Inicio'!$N$25:$N$37</f>
            </numRef>
          </cat>
          <val>
            <numRef>
              <f>'00_Inicio'!$O$25:$O$37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'00_Inicio'!O39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'00_Inicio'!$N$40:$N$47</f>
            </numRef>
          </cat>
          <val>
            <numRef>
              <f>'00_Inicio'!$O$40:$O$47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7740000" cy="4449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50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Provisiones'!A1" TargetMode="External" Id="rId6"/><Relationship Type="http://schemas.openxmlformats.org/officeDocument/2006/relationships/hyperlink" Target="#'04_Garantias'!A1" TargetMode="External" Id="rId7"/><Relationship Type="http://schemas.openxmlformats.org/officeDocument/2006/relationships/hyperlink" Target="#'05_Obligacion_prob'!A1" TargetMode="External" Id="rId8"/><Relationship Type="http://schemas.openxmlformats.org/officeDocument/2006/relationships/hyperlink" Target="#'06_Mejor_estimacion'!A1" TargetMode="External" Id="rId9"/><Relationship Type="http://schemas.openxmlformats.org/officeDocument/2006/relationships/hyperlink" Target="#'07_Valor_presente'!A1" TargetMode="External" Id="rId10"/><Relationship Type="http://schemas.openxmlformats.org/officeDocument/2006/relationships/hyperlink" Target="#'08_Reversion_descuento'!A1" TargetMode="External" Id="rId11"/><Relationship Type="http://schemas.openxmlformats.org/officeDocument/2006/relationships/hyperlink" Target="#'09_Litigios_abogados'!A1" TargetMode="External" Id="rId12"/><Relationship Type="http://schemas.openxmlformats.org/officeDocument/2006/relationships/hyperlink" Target="#'10_Garantias_calculo'!A1" TargetMode="External" Id="rId13"/><Relationship Type="http://schemas.openxmlformats.org/officeDocument/2006/relationships/hyperlink" Target="#'11_Onerosos'!A1" TargetMode="External" Id="rId14"/><Relationship Type="http://schemas.openxmlformats.org/officeDocument/2006/relationships/hyperlink" Target="#'12_Desmantelamiento'!A1" TargetMode="External" Id="rId15"/><Relationship Type="http://schemas.openxmlformats.org/officeDocument/2006/relationships/hyperlink" Target="#'13_Reconocimiento'!A1" TargetMode="External" Id="rId16"/><Relationship Type="http://schemas.openxmlformats.org/officeDocument/2006/relationships/hyperlink" Target="#'14_Contingencias'!A1" TargetMode="External" Id="rId17"/><Relationship Type="http://schemas.openxmlformats.org/officeDocument/2006/relationships/hyperlink" Target="#'15_Ajustes'!A1" TargetMode="External" Id="rId18"/><Relationship Type="http://schemas.openxmlformats.org/officeDocument/2006/relationships/hyperlink" Target="#'16_Problemas'!A1" TargetMode="External" Id="rId19"/><Relationship Type="http://schemas.openxmlformats.org/officeDocument/2006/relationships/hyperlink" Target="#'13_Conclusion'!A1" TargetMode="External" Id="rId20"/><Relationship Type="http://schemas.openxmlformats.org/officeDocument/2006/relationships/hyperlink" Target="#'14_Control_Revision'!A1" TargetMode="External" Id="rId21"/><Relationship Type="http://schemas.openxmlformats.org/officeDocument/2006/relationships/drawing" Target="/xl/drawings/drawing1.xml" Id="rId22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Provisione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Garantias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Provisiones'!A1" TargetMode="External" Id="rId2"/><Relationship Type="http://schemas.openxmlformats.org/officeDocument/2006/relationships/hyperlink" Target="#'05_Obligacion_prob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Garantias'!A1" TargetMode="External" Id="rId2"/><Relationship Type="http://schemas.openxmlformats.org/officeDocument/2006/relationships/hyperlink" Target="#'06_Mejor_estimacion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Obligacion_prob'!A1" TargetMode="External" Id="rId2"/><Relationship Type="http://schemas.openxmlformats.org/officeDocument/2006/relationships/hyperlink" Target="#'07_Valor_presente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Mejor_estimacion'!A1" TargetMode="External" Id="rId2"/><Relationship Type="http://schemas.openxmlformats.org/officeDocument/2006/relationships/hyperlink" Target="#'08_Reversion_descuent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Valor_presente'!A1" TargetMode="External" Id="rId2"/><Relationship Type="http://schemas.openxmlformats.org/officeDocument/2006/relationships/hyperlink" Target="#'09_Litigios_abogados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Reversion_descuento'!A1" TargetMode="External" Id="rId2"/><Relationship Type="http://schemas.openxmlformats.org/officeDocument/2006/relationships/hyperlink" Target="#'10_Garantias_calculo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Litigios_abogados'!A1" TargetMode="External" Id="rId2"/><Relationship Type="http://schemas.openxmlformats.org/officeDocument/2006/relationships/hyperlink" Target="#'11_Oneros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Garantias_calculo'!A1" TargetMode="External" Id="rId2"/><Relationship Type="http://schemas.openxmlformats.org/officeDocument/2006/relationships/hyperlink" Target="#'12_Desmantelamiento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Onerosos'!A1" TargetMode="External" Id="rId2"/><Relationship Type="http://schemas.openxmlformats.org/officeDocument/2006/relationships/hyperlink" Target="#'13_Reconocimiento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Desmantelamiento'!A1" TargetMode="External" Id="rId2"/><Relationship Type="http://schemas.openxmlformats.org/officeDocument/2006/relationships/hyperlink" Target="#'14_Contingencias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Reconocimiento'!A1" TargetMode="External" Id="rId2"/><Relationship Type="http://schemas.openxmlformats.org/officeDocument/2006/relationships/hyperlink" Target="#'15_Ajustes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Contingencias'!A1" TargetMode="External" Id="rId2"/><Relationship Type="http://schemas.openxmlformats.org/officeDocument/2006/relationships/hyperlink" Target="#'16_Problemas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Ajustes'!A1" TargetMode="External" Id="rId2"/><Relationship Type="http://schemas.openxmlformats.org/officeDocument/2006/relationships/hyperlink" Target="#'13_Conclusion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6_Problemas'!A1" TargetMode="External" Id="rId2"/><Relationship Type="http://schemas.openxmlformats.org/officeDocument/2006/relationships/hyperlink" Target="#'14_Control_Revision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Provisiones y contingencias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(requerida − libros)</t>
        </is>
      </c>
      <c r="C11" s="7" t="inlineStr">
        <is>
          <t>Problemas encontrados</t>
        </is>
      </c>
    </row>
    <row r="12">
      <c r="B12" s="8" t="n">
        <v>38758.9</v>
      </c>
      <c r="C12" s="9" t="n">
        <v>21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Provisiones y contingencias (datos del cliente)</t>
        </is>
      </c>
      <c r="D17" s="10" t="inlineStr">
        <is>
          <t>Garantías (datos del cliente)</t>
        </is>
      </c>
      <c r="E17" s="10" t="inlineStr">
        <is>
          <t>Obligación presente y probabilidad</t>
        </is>
      </c>
    </row>
    <row r="18" ht="32" customHeight="1">
      <c r="B18" s="10" t="inlineStr">
        <is>
          <t>Mejor estimación</t>
        </is>
      </c>
      <c r="C18" s="10" t="inlineStr">
        <is>
          <t>Valor presente (descuento)</t>
        </is>
      </c>
      <c r="D18" s="10" t="inlineStr">
        <is>
          <t>Actualización financiera (reversión del descuento)</t>
        </is>
      </c>
      <c r="E18" s="10" t="inlineStr">
        <is>
          <t>Litigios y cartas de abogados</t>
        </is>
      </c>
    </row>
    <row r="19" ht="32" customHeight="1">
      <c r="B19" s="10" t="inlineStr">
        <is>
          <t>Garantías: cálculo</t>
        </is>
      </c>
      <c r="C19" s="10" t="inlineStr">
        <is>
          <t>Contratos onerosos</t>
        </is>
      </c>
      <c r="D19" s="10" t="inlineStr">
        <is>
          <t>Desmantelamiento</t>
        </is>
      </c>
      <c r="E19" s="10" t="inlineStr">
        <is>
          <t>Provisión requerida vs libros</t>
        </is>
      </c>
    </row>
    <row r="20" ht="32" customHeight="1">
      <c r="B20" s="10" t="inlineStr">
        <is>
          <t>Contingencias a revelar</t>
        </is>
      </c>
      <c r="C20" s="10" t="inlineStr">
        <is>
          <t>Ajustes propuestos y conciliación</t>
        </is>
      </c>
      <c r="D20" s="10" t="inlineStr">
        <is>
          <t>Problemas encontrados</t>
        </is>
      </c>
      <c r="E20" s="10" t="inlineStr">
        <is>
          <t>Conclusión</t>
        </is>
      </c>
    </row>
    <row r="21" ht="32" customHeight="1">
      <c r="B21" s="10" t="inlineStr">
        <is>
          <t>Control de revisión</t>
        </is>
      </c>
    </row>
    <row r="23">
      <c r="B23" s="6" t="inlineStr">
        <is>
          <t>PANORAMA</t>
        </is>
      </c>
      <c r="N23" s="11" t="inlineStr">
        <is>
          <t>Datos de los gráficos (fórmulas a las cédulas)</t>
        </is>
      </c>
    </row>
    <row r="24">
      <c r="N24" s="12" t="inlineStr">
        <is>
          <t>Cifras del resumen</t>
        </is>
      </c>
      <c r="O24" s="12" t="inlineStr">
        <is>
          <t>Importe (USD)</t>
        </is>
      </c>
    </row>
    <row r="25">
      <c r="N25" s="12">
        <f>'01_Resumen'!A5</f>
        <v/>
      </c>
      <c r="O25" s="13">
        <f>'01_Resumen'!B5</f>
        <v/>
      </c>
    </row>
    <row r="26">
      <c r="N26" s="12">
        <f>'01_Resumen'!A6</f>
        <v/>
      </c>
      <c r="O26" s="13">
        <f>'01_Resumen'!B6</f>
        <v/>
      </c>
    </row>
    <row r="27">
      <c r="N27" s="12">
        <f>'01_Resumen'!A7</f>
        <v/>
      </c>
      <c r="O27" s="13">
        <f>'01_Resumen'!B7</f>
        <v/>
      </c>
    </row>
    <row r="28">
      <c r="N28" s="12">
        <f>'01_Resumen'!A8</f>
        <v/>
      </c>
      <c r="O28" s="13">
        <f>'01_Resumen'!B8</f>
        <v/>
      </c>
    </row>
    <row r="29">
      <c r="N29" s="12">
        <f>'01_Resumen'!A9</f>
        <v/>
      </c>
      <c r="O29" s="13">
        <f>'01_Resumen'!B9</f>
        <v/>
      </c>
    </row>
    <row r="30">
      <c r="N30" s="12">
        <f>'01_Resumen'!A10</f>
        <v/>
      </c>
      <c r="O30" s="13">
        <f>'01_Resumen'!B10</f>
        <v/>
      </c>
    </row>
    <row r="31">
      <c r="N31" s="12">
        <f>'01_Resumen'!A11</f>
        <v/>
      </c>
      <c r="O31" s="13">
        <f>'01_Resumen'!B11</f>
        <v/>
      </c>
    </row>
    <row r="32">
      <c r="N32" s="12">
        <f>'01_Resumen'!A12</f>
        <v/>
      </c>
      <c r="O32" s="13">
        <f>'01_Resumen'!B12</f>
        <v/>
      </c>
    </row>
    <row r="33">
      <c r="N33" s="12">
        <f>'01_Resumen'!A13</f>
        <v/>
      </c>
      <c r="O33" s="13">
        <f>'01_Resumen'!B13</f>
        <v/>
      </c>
    </row>
    <row r="34">
      <c r="N34" s="12">
        <f>'01_Resumen'!A14</f>
        <v/>
      </c>
      <c r="O34" s="13">
        <f>'01_Resumen'!B14</f>
        <v/>
      </c>
    </row>
    <row r="35">
      <c r="N35" s="12">
        <f>'01_Resumen'!A15</f>
        <v/>
      </c>
      <c r="O35" s="13">
        <f>'01_Resumen'!B15</f>
        <v/>
      </c>
    </row>
    <row r="36">
      <c r="N36" s="12">
        <f>'01_Resumen'!A16</f>
        <v/>
      </c>
      <c r="O36" s="13">
        <f>'01_Resumen'!B16</f>
        <v/>
      </c>
    </row>
    <row r="37">
      <c r="N37" s="12">
        <f>'01_Resumen'!A17</f>
        <v/>
      </c>
      <c r="O37" s="13">
        <f>'01_Resumen'!B17</f>
        <v/>
      </c>
    </row>
    <row r="39">
      <c r="N39" s="12" t="inlineStr">
        <is>
          <t>Hallazgos de mayor impacto</t>
        </is>
      </c>
      <c r="O39" s="12" t="inlineStr">
        <is>
          <t>Importe (USD)</t>
        </is>
      </c>
    </row>
    <row r="40">
      <c r="N40" s="12" t="inlineStr">
        <is>
          <t>Diferencia provision (×5)</t>
        </is>
      </c>
      <c r="O40" s="13">
        <f>SUMIFS('16_Problemas'!$C$5:$C$25,'16_Problemas'!$A$5:$A$25,"DIFERENCIA_PROVISION",'16_Problemas'!$C$5:$C$25,"&gt;0")-SUMIFS('16_Problemas'!$C$5:$C$25,'16_Problemas'!$A$5:$A$25,"DIFERENCIA_PROVISION",'16_Problemas'!$C$5:$C$25,"&lt;0")</f>
        <v/>
      </c>
    </row>
    <row r="41">
      <c r="N41" s="12" t="inlineStr">
        <is>
          <t>Diferencia carta abogado (×2)</t>
        </is>
      </c>
      <c r="O41" s="13">
        <f>SUMIFS('16_Problemas'!$C$5:$C$25,'16_Problemas'!$A$5:$A$25,"DIFERENCIA_CARTA_ABOGADO",'16_Problemas'!$C$5:$C$25,"&gt;0")-SUMIFS('16_Problemas'!$C$5:$C$25,'16_Problemas'!$A$5:$A$25,"DIFERENCIA_CARTA_ABOGADO",'16_Problemas'!$C$5:$C$25,"&lt;0")</f>
        <v/>
      </c>
    </row>
    <row r="42">
      <c r="N42" s="12" t="inlineStr">
        <is>
          <t>Descuento no aplicado</t>
        </is>
      </c>
      <c r="O42" s="13">
        <f>SUMIFS('16_Problemas'!$C$5:$C$25,'16_Problemas'!$A$5:$A$25,"DESCUENTO_NO_APLICADO",'16_Problemas'!$C$5:$C$25,"&gt;0")-SUMIFS('16_Problemas'!$C$5:$C$25,'16_Problemas'!$A$5:$A$25,"DESCUENTO_NO_APLICADO",'16_Problemas'!$C$5:$C$25,"&lt;0")</f>
        <v/>
      </c>
    </row>
    <row r="43">
      <c r="N43" s="12" t="inlineStr">
        <is>
          <t>Provision no registrada</t>
        </is>
      </c>
      <c r="O43" s="13">
        <f>SUMIFS('16_Problemas'!$C$5:$C$25,'16_Problemas'!$A$5:$A$25,"PROVISION_NO_REGISTRADA",'16_Problemas'!$C$5:$C$25,"&gt;0")-SUMIFS('16_Problemas'!$C$5:$C$25,'16_Problemas'!$A$5:$A$25,"PROVISION_NO_REGISTRADA",'16_Problemas'!$C$5:$C$25,"&lt;0")</f>
        <v/>
      </c>
    </row>
    <row r="44">
      <c r="N44" s="12" t="inlineStr">
        <is>
          <t>Activo contingente reconocido</t>
        </is>
      </c>
      <c r="O44" s="13">
        <f>SUMIFS('16_Problemas'!$C$5:$C$25,'16_Problemas'!$A$5:$A$25,"ACTIVO_CONTINGENTE_RECONOCIDO",'16_Problemas'!$C$5:$C$25,"&gt;0")-SUMIFS('16_Problemas'!$C$5:$C$25,'16_Problemas'!$A$5:$A$25,"ACTIVO_CONTINGENTE_RECONOCIDO",'16_Problemas'!$C$5:$C$25,"&lt;0")</f>
        <v/>
      </c>
    </row>
    <row r="45">
      <c r="N45" s="12" t="inlineStr">
        <is>
          <t>Activo contingente sin revelar</t>
        </is>
      </c>
      <c r="O45" s="13">
        <f>SUMIFS('16_Problemas'!$C$5:$C$25,'16_Problemas'!$A$5:$A$25,"ACTIVO_CONTINGENTE_SIN_REVELAR",'16_Problemas'!$C$5:$C$25,"&gt;0")-SUMIFS('16_Problemas'!$C$5:$C$25,'16_Problemas'!$A$5:$A$25,"ACTIVO_CONTINGENTE_SIN_REVELAR",'16_Problemas'!$C$5:$C$25,"&lt;0")</f>
        <v/>
      </c>
    </row>
    <row r="46">
      <c r="N46" s="12" t="inlineStr">
        <is>
          <t>Provision posible o remota</t>
        </is>
      </c>
      <c r="O46" s="13">
        <f>SUMIFS('16_Problemas'!$C$5:$C$25,'16_Problemas'!$A$5:$A$25,"PROVISION_POSIBLE_O_REMOTA",'16_Problemas'!$C$5:$C$25,"&gt;0")-SUMIFS('16_Problemas'!$C$5:$C$25,'16_Problemas'!$A$5:$A$25,"PROVISION_POSIBLE_O_REMOTA",'16_Problemas'!$C$5:$C$25,"&lt;0")</f>
        <v/>
      </c>
    </row>
    <row r="47">
      <c r="N47" s="12" t="inlineStr">
        <is>
          <t>Otros (7 tipos)</t>
        </is>
      </c>
      <c r="O47" s="13">
        <f>SUMIF('16_Problemas'!$C$5:$C$25,"&gt;0")-SUMIF('16_Problemas'!$C$5:$C$25,"&lt;0")-((SUMIFS('16_Problemas'!$C$5:$C$25,'16_Problemas'!$A$5:$A$25,"DIFERENCIA_PROVISION",'16_Problemas'!$C$5:$C$25,"&gt;0")-SUMIFS('16_Problemas'!$C$5:$C$25,'16_Problemas'!$A$5:$A$25,"DIFERENCIA_PROVISION",'16_Problemas'!$C$5:$C$25,"&lt;0"))+(SUMIFS('16_Problemas'!$C$5:$C$25,'16_Problemas'!$A$5:$A$25,"DIFERENCIA_CARTA_ABOGADO",'16_Problemas'!$C$5:$C$25,"&gt;0")-SUMIFS('16_Problemas'!$C$5:$C$25,'16_Problemas'!$A$5:$A$25,"DIFERENCIA_CARTA_ABOGADO",'16_Problemas'!$C$5:$C$25,"&lt;0"))+(SUMIFS('16_Problemas'!$C$5:$C$25,'16_Problemas'!$A$5:$A$25,"DESCUENTO_NO_APLICADO",'16_Problemas'!$C$5:$C$25,"&gt;0")-SUMIFS('16_Problemas'!$C$5:$C$25,'16_Problemas'!$A$5:$A$25,"DESCUENTO_NO_APLICADO",'16_Problemas'!$C$5:$C$25,"&lt;0"))+(SUMIFS('16_Problemas'!$C$5:$C$25,'16_Problemas'!$A$5:$A$25,"PROVISION_NO_REGISTRADA",'16_Problemas'!$C$5:$C$25,"&gt;0")-SUMIFS('16_Problemas'!$C$5:$C$25,'16_Problemas'!$A$5:$A$25,"PROVISION_NO_REGISTRADA",'16_Problemas'!$C$5:$C$25,"&lt;0"))+(SUMIFS('16_Problemas'!$C$5:$C$25,'16_Problemas'!$A$5:$A$25,"ACTIVO_CONTINGENTE_RECONOCIDO",'16_Problemas'!$C$5:$C$25,"&gt;0")-SUMIFS('16_Problemas'!$C$5:$C$25,'16_Problemas'!$A$5:$A$25,"ACTIVO_CONTINGENTE_RECONOCIDO",'16_Problemas'!$C$5:$C$25,"&lt;0"))+(SUMIFS('16_Problemas'!$C$5:$C$25,'16_Problemas'!$A$5:$A$25,"ACTIVO_CONTINGENTE_SIN_REVELAR",'16_Problemas'!$C$5:$C$25,"&gt;0")-SUMIFS('16_Problemas'!$C$5:$C$25,'16_Problemas'!$A$5:$A$25,"ACTIVO_CONTINGENTE_SIN_REVELAR",'16_Problemas'!$C$5:$C$25,"&lt;0"))+(SUMIFS('16_Problemas'!$C$5:$C$25,'16_Problemas'!$A$5:$A$25,"PROVISION_POSIBLE_O_REMOTA",'16_Problemas'!$C$5:$C$25,"&gt;0")-SUMIFS('16_Problemas'!$C$5:$C$25,'16_Problemas'!$A$5:$A$25,"PROVISION_POSIBLE_O_REMOTA",'16_Problemas'!$C$5:$C$25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  <hyperlink xmlns:r="http://schemas.openxmlformats.org/officeDocument/2006/relationships" ref="B21" r:id="rId21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Provisiones y contingencias</t>
        </is>
      </c>
    </row>
    <row r="12">
      <c r="A12" s="19" t="inlineStr">
        <is>
          <t>Rubro</t>
        </is>
      </c>
      <c r="B12" s="19" t="inlineStr">
        <is>
          <t>Provisiones</t>
        </is>
      </c>
    </row>
    <row r="13">
      <c r="A13" s="18" t="inlineStr">
        <is>
          <t>Motor</t>
        </is>
      </c>
      <c r="B13" s="18" t="inlineStr">
        <is>
          <t>provisiones_contingencias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60" customWidth="1" min="4" max="4"/>
    <col width="58" customWidth="1" min="5" max="5"/>
    <col width="47" customWidth="1" min="6" max="6"/>
    <col width="21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PROV-01</t>
        </is>
      </c>
      <c r="B5" s="18" t="inlineStr">
        <is>
          <t>Obligación presente</t>
        </is>
      </c>
      <c r="C5" s="18" t="inlineStr">
        <is>
          <t>Existencia</t>
        </is>
      </c>
      <c r="D5" s="18" t="inlineStr">
        <is>
          <t>Revisar el suceso que origina cada partida y la existencia de obligación legal o implícita</t>
        </is>
      </c>
      <c r="E5" s="18" t="inlineStr">
        <is>
          <t>Contratos, demandas, actas</t>
        </is>
      </c>
      <c r="F5" s="18" t="inlineStr">
        <is>
          <t>NIC 37.14–16; PYMES 21.4–21.6</t>
        </is>
      </c>
      <c r="G5" s="18" t="inlineStr">
        <is>
          <t>NIC 37 · Sección 21</t>
        </is>
      </c>
    </row>
    <row r="6">
      <c r="A6" s="19" t="inlineStr">
        <is>
          <t>PROV-02</t>
        </is>
      </c>
      <c r="B6" s="19" t="inlineStr">
        <is>
          <t>Probabilidad</t>
        </is>
      </c>
      <c r="C6" s="19" t="inlineStr">
        <is>
          <t>Existencia / Integridad</t>
        </is>
      </c>
      <c r="D6" s="19" t="inlineStr">
        <is>
          <t>Comparar la evaluación del abogado y de la gerencia y clasificar (probable/posible/remota)</t>
        </is>
      </c>
      <c r="E6" s="19" t="inlineStr">
        <is>
          <t>Cartas de abogados, informe de gerencia</t>
        </is>
      </c>
      <c r="F6" s="19" t="inlineStr">
        <is>
          <t>Probable = más probable que no (NIC 37.23)</t>
        </is>
      </c>
      <c r="G6" s="19" t="inlineStr">
        <is>
          <t>NIC 37.23 · NIA 501</t>
        </is>
      </c>
    </row>
    <row r="7">
      <c r="A7" s="18" t="inlineStr">
        <is>
          <t>PROV-03</t>
        </is>
      </c>
      <c r="B7" s="18" t="inlineStr">
        <is>
          <t>Mejor estimación</t>
        </is>
      </c>
      <c r="C7" s="18" t="inlineStr">
        <is>
          <t>Valoración</t>
        </is>
      </c>
      <c r="D7" s="18" t="inlineStr">
        <is>
          <t>Recalcular valor esperado, desenlace más probable o punto medio y comparar con libros</t>
        </is>
      </c>
      <c r="E7" s="18" t="inlineStr">
        <is>
          <t>Escenarios, rango, cálculo de la gerencia</t>
        </is>
      </c>
      <c r="F7" s="18" t="inlineStr">
        <is>
          <t>NIC 37.36–40; PYMES 21.7</t>
        </is>
      </c>
      <c r="G7" s="18" t="inlineStr">
        <is>
          <t>NIC 37 · NIA 540</t>
        </is>
      </c>
    </row>
    <row r="8">
      <c r="A8" s="19" t="inlineStr">
        <is>
          <t>PROV-04</t>
        </is>
      </c>
      <c r="B8" s="19" t="inlineStr">
        <is>
          <t>Cartas de abogados y litigios</t>
        </is>
      </c>
      <c r="C8" s="19" t="inlineStr">
        <is>
          <t>Integridad</t>
        </is>
      </c>
      <c r="D8" s="19" t="inlineStr">
        <is>
          <t>Enviar cartas a los abogados, obtener respuesta posterior al corte y conciliar importes con libros</t>
        </is>
      </c>
      <c r="E8" s="19" t="inlineStr">
        <is>
          <t>Respuestas de abogados</t>
        </is>
      </c>
      <c r="F8" s="19" t="inlineStr">
        <is>
          <t>Respuesta recibida y concordante</t>
        </is>
      </c>
      <c r="G8" s="19" t="inlineStr">
        <is>
          <t>NIA 501 · NIA 560</t>
        </is>
      </c>
    </row>
    <row r="9">
      <c r="A9" s="18" t="inlineStr">
        <is>
          <t>PROV-05</t>
        </is>
      </c>
      <c r="B9" s="18" t="inlineStr">
        <is>
          <t>Garantías</t>
        </is>
      </c>
      <c r="C9" s="18" t="inlineStr">
        <is>
          <t>Valoración</t>
        </is>
      </c>
      <c r="D9" s="18" t="inlineStr">
        <is>
          <t>Recalcular unidades con garantía × % de reclamos × costo medio</t>
        </is>
      </c>
      <c r="E9" s="18" t="inlineStr">
        <is>
          <t>Ventas con garantía, reclamos históricos</t>
        </is>
      </c>
      <c r="F9" s="18" t="inlineStr">
        <is>
          <t>NIC 37.24, 39; PYMES 21A.4</t>
        </is>
      </c>
      <c r="G9" s="18" t="inlineStr">
        <is>
          <t>NIC 37 · Sección 21</t>
        </is>
      </c>
    </row>
    <row r="10">
      <c r="A10" s="19" t="inlineStr">
        <is>
          <t>PROV-06</t>
        </is>
      </c>
      <c r="B10" s="19" t="inlineStr">
        <is>
          <t>Contratos onerosos</t>
        </is>
      </c>
      <c r="C10" s="19" t="inlineStr">
        <is>
          <t>Integridad / Valoración</t>
        </is>
      </c>
      <c r="D10" s="19" t="inlineStr">
        <is>
          <t>Restar los beneficios esperados del costo de cumplir, comparar con la penalización y provisionar el menor (previo deterioro de activos, NIC 37.69)</t>
        </is>
      </c>
      <c r="E10" s="19" t="inlineStr">
        <is>
          <t>Contratos, presupuestos, ingresos esperados del contrato</t>
        </is>
      </c>
      <c r="F10" s="19" t="inlineStr">
        <is>
          <t>NIC 37.66–69; PYMES 21A.2</t>
        </is>
      </c>
      <c r="G10" s="19" t="inlineStr">
        <is>
          <t>NIC 37</t>
        </is>
      </c>
    </row>
    <row r="11">
      <c r="A11" s="18" t="inlineStr">
        <is>
          <t>PROV-07</t>
        </is>
      </c>
      <c r="B11" s="18" t="inlineStr">
        <is>
          <t>Desmantelamiento y descuento</t>
        </is>
      </c>
      <c r="C11" s="18" t="inlineStr">
        <is>
          <t>Valoración / Presentación</t>
        </is>
      </c>
      <c r="D11" s="18" t="inlineStr">
        <is>
          <t>Recalcular el valor presente a la tasa antes de impuestos y la reversión del descuento del período</t>
        </is>
      </c>
      <c r="E11" s="18" t="inlineStr">
        <is>
          <t>Estudio técnico, tasas</t>
        </is>
      </c>
      <c r="F11" s="18" t="inlineStr">
        <is>
          <t>NIC 37.45–47, 60; CINIIF 1; PYMES 21.7, 21.11</t>
        </is>
      </c>
      <c r="G11" s="18" t="inlineStr">
        <is>
          <t>NIC 37 · CINIIF 1</t>
        </is>
      </c>
    </row>
    <row r="12">
      <c r="A12" s="19" t="inlineStr">
        <is>
          <t>PROV-08</t>
        </is>
      </c>
      <c r="B12" s="19" t="inlineStr">
        <is>
          <t>Contingencias y revelación</t>
        </is>
      </c>
      <c r="C12" s="19" t="inlineStr">
        <is>
          <t>Presentación y revelación</t>
        </is>
      </c>
      <c r="D12" s="19" t="inlineStr">
        <is>
          <t>Listar pasivos y activos contingentes y verificar su revelación; obtener manifestaciones escritas</t>
        </is>
      </c>
      <c r="E12" s="19" t="inlineStr">
        <is>
          <t>Notas, carta de manifestaciones</t>
        </is>
      </c>
      <c r="F12" s="19" t="inlineStr">
        <is>
          <t>NIC 37.86, 89; PYMES 21.15–21.16</t>
        </is>
      </c>
      <c r="G12" s="19" t="inlineStr">
        <is>
          <t>NIC 37 · NIA 580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6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501</t>
        </is>
      </c>
      <c r="B5" s="18" t="inlineStr">
        <is>
          <t>Litigios y reclamaciones: indagación y carta a los abogados externos; negativa o falta de respuesta → opinión modificada (NIA 705).</t>
        </is>
      </c>
      <c r="C5" s="18" t="inlineStr">
        <is>
          <t>párr. 9–12</t>
        </is>
      </c>
      <c r="D5" s="18" t="inlineStr"/>
      <c r="E5" s="18" t="inlineStr"/>
    </row>
    <row r="6">
      <c r="A6" s="19" t="inlineStr">
        <is>
          <t>NIA · NIA 540 (Revisada)</t>
        </is>
      </c>
      <c r="B6" s="19" t="inlineStr">
        <is>
          <t>Estimaciones contables: método, supuestos (probabilidades, tasa) y datos; rango del auditor.</t>
        </is>
      </c>
      <c r="C6" s="19" t="inlineStr">
        <is>
          <t>párr. 13, 22–26, 28–29 y 37</t>
        </is>
      </c>
      <c r="D6" s="19" t="inlineStr"/>
      <c r="E6" s="19" t="inlineStr"/>
    </row>
    <row r="7">
      <c r="A7" s="18" t="inlineStr">
        <is>
          <t>NIA · NIA 560</t>
        </is>
      </c>
      <c r="B7" s="18" t="inlineStr">
        <is>
          <t>Hechos posteriores: sentencias o acuerdos después del corte que confirman la obligación.</t>
        </is>
      </c>
      <c r="C7" s="18" t="inlineStr">
        <is>
          <t>párr. 6–9</t>
        </is>
      </c>
      <c r="D7" s="18" t="inlineStr"/>
      <c r="E7" s="18" t="inlineStr"/>
    </row>
    <row r="8">
      <c r="A8" s="19" t="inlineStr">
        <is>
          <t>NIA · NIA 501 y NIA 580</t>
        </is>
      </c>
      <c r="B8" s="19" t="inlineStr">
        <is>
          <t>Manifestaciones escritas sobre litigios, reclamaciones y contingencias conocidas.</t>
        </is>
      </c>
      <c r="C8" s="19" t="inlineStr">
        <is>
          <t>NIA 501 párr. 12; NIA 580 párr. 13</t>
        </is>
      </c>
      <c r="D8" s="19" t="inlineStr"/>
      <c r="E8" s="19" t="inlineStr"/>
    </row>
    <row r="9">
      <c r="A9" s="18" t="inlineStr">
        <is>
          <t>NIA · NIA 500</t>
        </is>
      </c>
      <c r="B9" s="18" t="inlineStr">
        <is>
          <t>Exactitud e integridad del detalle de provisiones frente al mayor.</t>
        </is>
      </c>
      <c r="C9" s="18" t="inlineStr">
        <is>
          <t>párr. 9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Provisiones registradas en libros</t>
        </is>
      </c>
      <c r="B5" s="20">
        <f>'15_Ajustes'!B5</f>
        <v/>
      </c>
    </row>
    <row r="6">
      <c r="A6" s="19" t="inlineStr">
        <is>
          <t>Provisión requerida (NIC 37 · Secc. 21)</t>
        </is>
      </c>
      <c r="B6" s="21">
        <f>'15_Ajustes'!B6</f>
        <v/>
      </c>
    </row>
    <row r="7">
      <c r="A7" s="18" t="inlineStr">
        <is>
          <t>Ajuste propuesto (requerida − libros)</t>
        </is>
      </c>
      <c r="B7" s="20">
        <f>'15_Ajustes'!B7</f>
        <v/>
      </c>
    </row>
    <row r="8">
      <c r="A8" s="19" t="inlineStr">
        <is>
          <t>Efecto del descuento a valor presente</t>
        </is>
      </c>
      <c r="B8" s="21">
        <f>'15_Ajustes'!B8</f>
        <v/>
      </c>
    </row>
    <row r="9">
      <c r="A9" s="18" t="inlineStr">
        <is>
          <t>Reversión del descuento calculada</t>
        </is>
      </c>
      <c r="B9" s="20">
        <f>'15_Ajustes'!B9</f>
        <v/>
      </c>
    </row>
    <row r="10">
      <c r="A10" s="19" t="inlineStr">
        <is>
          <t>Reversión del descuento registrada</t>
        </is>
      </c>
      <c r="B10" s="21">
        <f>'15_Ajustes'!B10</f>
        <v/>
      </c>
    </row>
    <row r="11">
      <c r="A11" s="18" t="inlineStr">
        <is>
          <t>Reversión: calculada − registrada (reclasificación)</t>
        </is>
      </c>
      <c r="B11" s="20">
        <f>'15_Ajustes'!B11</f>
        <v/>
      </c>
    </row>
    <row r="12">
      <c r="A12" s="19" t="inlineStr">
        <is>
          <t>Garantías calculadas</t>
        </is>
      </c>
      <c r="B12" s="21">
        <f>'15_Ajustes'!B12</f>
        <v/>
      </c>
    </row>
    <row r="13">
      <c r="A13" s="18" t="inlineStr">
        <is>
          <t>Pasivos contingentes a revelar (efecto estimado)</t>
        </is>
      </c>
      <c r="B13" s="20">
        <f>'15_Ajustes'!B13</f>
        <v/>
      </c>
    </row>
    <row r="14">
      <c r="A14" s="19" t="inlineStr">
        <is>
          <t>Pasivos contingentes sin revelar</t>
        </is>
      </c>
      <c r="B14" s="21">
        <f>'15_Ajustes'!B14</f>
        <v/>
      </c>
    </row>
    <row r="15">
      <c r="A15" s="18" t="inlineStr">
        <is>
          <t>Activo contingente reconocido indebidamente</t>
        </is>
      </c>
      <c r="B15" s="20">
        <f>'15_Ajustes'!B15</f>
        <v/>
      </c>
    </row>
    <row r="16">
      <c r="A16" s="19" t="inlineStr">
        <is>
          <t>Ajuste del activo contingente</t>
        </is>
      </c>
      <c r="B16" s="21">
        <f>'15_Ajustes'!B16</f>
        <v/>
      </c>
    </row>
    <row r="17">
      <c r="A17" s="18" t="inlineStr">
        <is>
          <t>Diferencia detalle − mayor</t>
        </is>
      </c>
      <c r="B17" s="20">
        <f>'15_Ajustes'!B18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Importe</t>
        </is>
      </c>
      <c r="B21" s="25" t="inlineStr">
        <is>
          <t>'='15_Ajustes'!B5</t>
        </is>
      </c>
      <c r="C21" s="24" t="inlineStr">
        <is>
          <t>Trae cada importe de la hoja 15 (Ajustes propuestos y conciliación), concepto por concepto, para que el resumen y el detalle coincidan siempre.</t>
        </is>
      </c>
      <c r="D21" s="24" t="inlineStr">
        <is>
          <t>Fila 1: 725.000,00 → 725.000,00</t>
        </is>
      </c>
      <c r="E21" s="24" t="inlineStr">
        <is>
          <t>hoja «Ajustes propuestos y conciliación»</t>
        </is>
      </c>
      <c r="F21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Mismo cálculo en NIIF completas (NIC 37) y PYMES (Sección 21): no se enruta</t>
        </is>
      </c>
    </row>
    <row r="7">
      <c r="A7" s="18" t="inlineStr">
        <is>
          <t>Edición PYMES</t>
        </is>
      </c>
      <c r="B7" s="18" t="inlineStr"/>
      <c r="C7" s="18" t="inlineStr">
        <is>
          <t>2015 y 2025: misma numeración en los párrafos citados y sin diferencias de cálculo (leído en PYMES 2015 ES y 2025 EN)</t>
        </is>
      </c>
    </row>
    <row r="8">
      <c r="A8" s="19" t="inlineStr">
        <is>
          <t>Tasa de descuento por defecto (%)</t>
        </is>
      </c>
      <c r="B8" s="27" t="n">
        <v>8</v>
      </c>
      <c r="C8" s="19" t="inlineStr">
        <is>
          <t>Tasa antes de impuestos, riesgos específicos (NIC 37.47; PYMES 21.7)</t>
        </is>
      </c>
    </row>
    <row r="9">
      <c r="A9" s="18" t="inlineStr">
        <is>
          <t>Descontar si el plazo supera (años)</t>
        </is>
      </c>
      <c r="B9" s="28" t="n">
        <v>1</v>
      </c>
      <c r="C9" s="18" t="inlineStr">
        <is>
          <t>Efecto material del valor temporal (NIC 37.45–46): juicio del auditor</t>
        </is>
      </c>
    </row>
    <row r="10">
      <c r="A10" s="19" t="inlineStr">
        <is>
          <t>Materialidad (importe)</t>
        </is>
      </c>
      <c r="B10" s="27" t="n">
        <v>50000</v>
      </c>
      <c r="C10" s="19" t="inlineStr">
        <is>
          <t>Plan de auditoría (NIA 320)</t>
        </is>
      </c>
    </row>
    <row r="11">
      <c r="A11" s="18" t="inlineStr">
        <is>
          <t>Tolerancia (importe)</t>
        </is>
      </c>
      <c r="B11" s="28" t="n">
        <v>1</v>
      </c>
      <c r="C11" s="18" t="inlineStr">
        <is>
          <t>Materialidad de ejecución / diferencias triviales</t>
        </is>
      </c>
    </row>
    <row r="12">
      <c r="A12" s="19" t="inlineStr">
        <is>
          <t>Mayor: provisiones al corte</t>
        </is>
      </c>
      <c r="B12" s="27" t="n">
        <v>730000</v>
      </c>
      <c r="C12" s="19" t="inlineStr">
        <is>
          <t>Mayor contable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  <col width="60" customWidth="1" min="3" max="3"/>
    <col width="38" customWidth="1" min="4" max="4"/>
    <col width="57" customWidth="1" min="5" max="5"/>
    <col width="58" customWidth="1" min="6" max="6"/>
    <col width="36" customWidth="1" min="7" max="7"/>
    <col width="43" customWidth="1" min="8" max="8"/>
    <col width="26" customWidth="1" min="9" max="9"/>
    <col width="26" customWidth="1" min="10" max="10"/>
    <col width="22" customWidth="1" min="11" max="11"/>
    <col width="31" customWidth="1" min="12" max="12"/>
    <col width="22" customWidth="1" min="13" max="13"/>
    <col width="31" customWidth="1" min="14" max="14"/>
    <col width="22" customWidth="1" min="15" max="15"/>
    <col width="31" customWidth="1" min="16" max="16"/>
    <col width="54" customWidth="1" min="17" max="17"/>
    <col width="27" customWidth="1" min="18" max="18"/>
    <col width="37" customWidth="1" min="19" max="19"/>
    <col width="55" customWidth="1" min="20" max="20"/>
    <col width="56" customWidth="1" min="21" max="21"/>
    <col width="33" customWidth="1" min="22" max="22"/>
    <col width="42" customWidth="1" min="23" max="23"/>
    <col width="37" customWidth="1" min="24" max="24"/>
    <col width="27" customWidth="1" min="25" max="25"/>
    <col width="50" customWidth="1" min="26" max="26"/>
    <col width="44" customWidth="1" min="27" max="27"/>
    <col width="31" customWidth="1" min="28" max="28"/>
    <col width="29" customWidth="1" min="29" max="29"/>
  </cols>
  <sheetData>
    <row r="1">
      <c r="A1" s="3" t="inlineStr">
        <is>
          <t>Provisiones y contingencias (datos del cliente)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</row>
    <row r="4" ht="30" customHeight="1">
      <c r="A4" s="17" t="inlineStr">
        <is>
          <t>Código de la provisión o contingencia</t>
        </is>
      </c>
      <c r="B4" s="17" t="inlineStr">
        <is>
          <t>Descripción</t>
        </is>
      </c>
      <c r="C4" s="17" t="inlineStr">
        <is>
          <t>Tipo (Litigio/Garantía/Oneroso/Desmantelamiento/Reestructuración/Otro/Activo contingente)</t>
        </is>
      </c>
      <c r="D4" s="17" t="inlineStr">
        <is>
          <t>¿Existe obligación presente? (Sí/No)</t>
        </is>
      </c>
      <c r="E4" s="17" t="inlineStr">
        <is>
          <t>Probabilidad según el abogado (Probable/Posible/Remota)</t>
        </is>
      </c>
      <c r="F4" s="17" t="inlineStr">
        <is>
          <t>Probabilidad según la gerencia (Probable/Posible/Remota)</t>
        </is>
      </c>
      <c r="G4" s="17" t="inlineStr">
        <is>
          <t>Importe según la carta del abogado</t>
        </is>
      </c>
      <c r="H4" s="17" t="inlineStr">
        <is>
          <t>Estimación de la gerencia (sin descontar)</t>
        </is>
      </c>
      <c r="I4" s="17" t="inlineStr">
        <is>
          <t>Importe mínimo del rango</t>
        </is>
      </c>
      <c r="J4" s="17" t="inlineStr">
        <is>
          <t>Importe máximo del rango</t>
        </is>
      </c>
      <c r="K4" s="17" t="inlineStr">
        <is>
          <t>Escenario 1: importe</t>
        </is>
      </c>
      <c r="L4" s="17" t="inlineStr">
        <is>
          <t>Escenario 1: probabilidad (%)</t>
        </is>
      </c>
      <c r="M4" s="17" t="inlineStr">
        <is>
          <t>Escenario 2: importe</t>
        </is>
      </c>
      <c r="N4" s="17" t="inlineStr">
        <is>
          <t>Escenario 2: probabilidad (%)</t>
        </is>
      </c>
      <c r="O4" s="17" t="inlineStr">
        <is>
          <t>Escenario 3: importe</t>
        </is>
      </c>
      <c r="P4" s="17" t="inlineStr">
        <is>
          <t>Escenario 3: probabilidad (%)</t>
        </is>
      </c>
      <c r="Q4" s="17" t="inlineStr">
        <is>
          <t>Método para escenarios (Valor esperado/Más probable)</t>
        </is>
      </c>
      <c r="R4" s="17" t="inlineStr">
        <is>
          <t>Oneroso: costo de cumplir</t>
        </is>
      </c>
      <c r="S4" s="17" t="inlineStr">
        <is>
          <t>Oneroso: penalización por incumplir</t>
        </is>
      </c>
      <c r="T4" s="17" t="inlineStr">
        <is>
          <t>Oneroso: beneficios económicos esperados del contrato</t>
        </is>
      </c>
      <c r="U4" s="17" t="inlineStr">
        <is>
          <t>Importe fijado después del corte (sentencia o acuerdo)</t>
        </is>
      </c>
      <c r="V4" s="17" t="inlineStr">
        <is>
          <t>Plazo esperado de salida (años)</t>
        </is>
      </c>
      <c r="W4" s="17" t="inlineStr">
        <is>
          <t>Tasa de descuento antes de impuestos (%)</t>
        </is>
      </c>
      <c r="X4" s="17" t="inlineStr">
        <is>
          <t>Saldo registrado en libros al corte</t>
        </is>
      </c>
      <c r="Y4" s="17" t="inlineStr">
        <is>
          <t>Saldo inicial del período</t>
        </is>
      </c>
      <c r="Z4" s="17" t="inlineStr">
        <is>
          <t>Reversión del descuento registrada en el período</t>
        </is>
      </c>
      <c r="AA4" s="17" t="inlineStr">
        <is>
          <t>¿Se recibió respuesta del abogado? (Sí/No)</t>
        </is>
      </c>
      <c r="AB4" s="17" t="inlineStr">
        <is>
          <t>Fecha de la carta del abogado</t>
        </is>
      </c>
      <c r="AC4" s="17" t="inlineStr">
        <is>
          <t>¿Revelado en notas? (Sí/No)</t>
        </is>
      </c>
    </row>
    <row r="5">
      <c r="A5" s="18" t="inlineStr">
        <is>
          <t>LIT-01</t>
        </is>
      </c>
      <c r="B5" s="18" t="inlineStr">
        <is>
          <t>Demanda laboral ex gerente</t>
        </is>
      </c>
      <c r="C5" s="18" t="inlineStr">
        <is>
          <t>Litigio</t>
        </is>
      </c>
      <c r="D5" s="18" t="inlineStr">
        <is>
          <t>Sí</t>
        </is>
      </c>
      <c r="E5" s="18" t="inlineStr">
        <is>
          <t>Probable</t>
        </is>
      </c>
      <c r="F5" s="18" t="inlineStr">
        <is>
          <t>Probable</t>
        </is>
      </c>
      <c r="G5" s="20" t="n">
        <v>120000</v>
      </c>
      <c r="H5" s="20" t="n"/>
      <c r="I5" s="20" t="n"/>
      <c r="J5" s="20" t="n"/>
      <c r="K5" s="20" t="n">
        <v>150000</v>
      </c>
      <c r="L5" s="20" t="n">
        <v>60</v>
      </c>
      <c r="M5" s="20" t="n">
        <v>80000</v>
      </c>
      <c r="N5" s="20" t="n">
        <v>30</v>
      </c>
      <c r="O5" s="20" t="n">
        <v>0</v>
      </c>
      <c r="P5" s="20" t="n">
        <v>10</v>
      </c>
      <c r="Q5" s="18" t="inlineStr"/>
      <c r="R5" s="20" t="n"/>
      <c r="S5" s="20" t="n"/>
      <c r="T5" s="20" t="n"/>
      <c r="U5" s="20" t="n"/>
      <c r="V5" s="20" t="n">
        <v>1</v>
      </c>
      <c r="W5" s="20" t="n"/>
      <c r="X5" s="20" t="n">
        <v>100000</v>
      </c>
      <c r="Y5" s="20" t="n"/>
      <c r="Z5" s="20" t="n"/>
      <c r="AA5" s="18" t="inlineStr">
        <is>
          <t>Sí</t>
        </is>
      </c>
      <c r="AB5" s="29" t="n">
        <v>46063</v>
      </c>
      <c r="AC5" s="18" t="inlineStr">
        <is>
          <t>Sí</t>
        </is>
      </c>
    </row>
    <row r="6">
      <c r="A6" s="19" t="inlineStr">
        <is>
          <t>LIT-02</t>
        </is>
      </c>
      <c r="B6" s="19" t="inlineStr">
        <is>
          <t>Juicio de impugnación tributaria</t>
        </is>
      </c>
      <c r="C6" s="19" t="inlineStr">
        <is>
          <t>Litigio</t>
        </is>
      </c>
      <c r="D6" s="19" t="inlineStr">
        <is>
          <t>Sí</t>
        </is>
      </c>
      <c r="E6" s="19" t="inlineStr">
        <is>
          <t>Probable</t>
        </is>
      </c>
      <c r="F6" s="19" t="inlineStr">
        <is>
          <t>Posible</t>
        </is>
      </c>
      <c r="G6" s="21" t="n">
        <v>85000</v>
      </c>
      <c r="H6" s="21" t="n"/>
      <c r="I6" s="21" t="n">
        <v>60000</v>
      </c>
      <c r="J6" s="21" t="n">
        <v>100000</v>
      </c>
      <c r="K6" s="21" t="n"/>
      <c r="L6" s="21" t="n"/>
      <c r="M6" s="21" t="n"/>
      <c r="N6" s="21" t="n"/>
      <c r="O6" s="21" t="n"/>
      <c r="P6" s="21" t="n"/>
      <c r="Q6" s="19" t="inlineStr"/>
      <c r="R6" s="21" t="n"/>
      <c r="S6" s="21" t="n"/>
      <c r="T6" s="21" t="n"/>
      <c r="U6" s="21" t="n"/>
      <c r="V6" s="21" t="n">
        <v>2.5</v>
      </c>
      <c r="W6" s="21" t="n"/>
      <c r="X6" s="21" t="n">
        <v>0</v>
      </c>
      <c r="Y6" s="21" t="n"/>
      <c r="Z6" s="21" t="n"/>
      <c r="AA6" s="19" t="inlineStr">
        <is>
          <t>Sí</t>
        </is>
      </c>
      <c r="AB6" s="30" t="n">
        <v>46006</v>
      </c>
      <c r="AC6" s="19" t="inlineStr">
        <is>
          <t>No</t>
        </is>
      </c>
    </row>
    <row r="7">
      <c r="A7" s="18" t="inlineStr">
        <is>
          <t>LIT-03</t>
        </is>
      </c>
      <c r="B7" s="18" t="inlineStr">
        <is>
          <t>Demanda civil de proveedor</t>
        </is>
      </c>
      <c r="C7" s="18" t="inlineStr">
        <is>
          <t>Litigio</t>
        </is>
      </c>
      <c r="D7" s="18" t="inlineStr">
        <is>
          <t>Sí</t>
        </is>
      </c>
      <c r="E7" s="18" t="inlineStr">
        <is>
          <t>Posible</t>
        </is>
      </c>
      <c r="F7" s="18" t="inlineStr"/>
      <c r="G7" s="20" t="n">
        <v>40000</v>
      </c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18" t="inlineStr"/>
      <c r="R7" s="20" t="n"/>
      <c r="S7" s="20" t="n"/>
      <c r="T7" s="20" t="n"/>
      <c r="U7" s="20" t="n"/>
      <c r="V7" s="20" t="n">
        <v>1</v>
      </c>
      <c r="W7" s="20" t="n"/>
      <c r="X7" s="20" t="n">
        <v>40000</v>
      </c>
      <c r="Y7" s="20" t="n"/>
      <c r="Z7" s="20" t="n"/>
      <c r="AA7" s="18" t="inlineStr">
        <is>
          <t>Sí</t>
        </is>
      </c>
      <c r="AB7" s="29" t="n">
        <v>46065</v>
      </c>
      <c r="AC7" s="18" t="inlineStr">
        <is>
          <t>Sí</t>
        </is>
      </c>
    </row>
    <row r="8">
      <c r="A8" s="19" t="inlineStr">
        <is>
          <t>LIT-04</t>
        </is>
      </c>
      <c r="B8" s="19" t="inlineStr">
        <is>
          <t>Reclamo de cliente por entrega tardía</t>
        </is>
      </c>
      <c r="C8" s="19" t="inlineStr">
        <is>
          <t>Litigio</t>
        </is>
      </c>
      <c r="D8" s="19" t="inlineStr">
        <is>
          <t>No</t>
        </is>
      </c>
      <c r="E8" s="19" t="inlineStr"/>
      <c r="F8" s="19" t="inlineStr">
        <is>
          <t>Posible</t>
        </is>
      </c>
      <c r="G8" s="21" t="n"/>
      <c r="H8" s="21" t="n"/>
      <c r="I8" s="21" t="n">
        <v>10000</v>
      </c>
      <c r="J8" s="21" t="n">
        <v>30000</v>
      </c>
      <c r="K8" s="21" t="n"/>
      <c r="L8" s="21" t="n"/>
      <c r="M8" s="21" t="n"/>
      <c r="N8" s="21" t="n"/>
      <c r="O8" s="21" t="n"/>
      <c r="P8" s="21" t="n"/>
      <c r="Q8" s="19" t="inlineStr"/>
      <c r="R8" s="21" t="n"/>
      <c r="S8" s="21" t="n"/>
      <c r="T8" s="21" t="n"/>
      <c r="U8" s="21" t="n"/>
      <c r="V8" s="21" t="n"/>
      <c r="W8" s="21" t="n"/>
      <c r="X8" s="21" t="n">
        <v>0</v>
      </c>
      <c r="Y8" s="21" t="n"/>
      <c r="Z8" s="21" t="n"/>
      <c r="AA8" s="19" t="inlineStr">
        <is>
          <t>No</t>
        </is>
      </c>
      <c r="AB8" s="31" t="n"/>
      <c r="AC8" s="19" t="inlineStr">
        <is>
          <t>No</t>
        </is>
      </c>
    </row>
    <row r="9">
      <c r="A9" s="18" t="inlineStr">
        <is>
          <t>GAR-01</t>
        </is>
      </c>
      <c r="B9" s="18" t="inlineStr">
        <is>
          <t>Garantías de electrodomésticos</t>
        </is>
      </c>
      <c r="C9" s="18" t="inlineStr">
        <is>
          <t>Garantía</t>
        </is>
      </c>
      <c r="D9" s="18" t="inlineStr">
        <is>
          <t>Sí</t>
        </is>
      </c>
      <c r="E9" s="18" t="inlineStr"/>
      <c r="F9" s="18" t="inlineStr">
        <is>
          <t>Probable</t>
        </is>
      </c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18" t="inlineStr"/>
      <c r="R9" s="20" t="n"/>
      <c r="S9" s="20" t="n"/>
      <c r="T9" s="20" t="n"/>
      <c r="U9" s="20" t="n"/>
      <c r="V9" s="20" t="n">
        <v>1</v>
      </c>
      <c r="W9" s="20" t="n"/>
      <c r="X9" s="20" t="n">
        <v>30000</v>
      </c>
      <c r="Y9" s="20" t="n"/>
      <c r="Z9" s="20" t="n"/>
      <c r="AA9" s="18" t="inlineStr"/>
      <c r="AB9" s="32" t="n"/>
      <c r="AC9" s="18" t="inlineStr"/>
    </row>
    <row r="10">
      <c r="A10" s="19" t="inlineStr">
        <is>
          <t>ONE-01</t>
        </is>
      </c>
      <c r="B10" s="19" t="inlineStr">
        <is>
          <t>Contrato de suministro con pérdida</t>
        </is>
      </c>
      <c r="C10" s="19" t="inlineStr">
        <is>
          <t>Oneroso</t>
        </is>
      </c>
      <c r="D10" s="19" t="inlineStr">
        <is>
          <t>Sí</t>
        </is>
      </c>
      <c r="E10" s="19" t="inlineStr"/>
      <c r="F10" s="19" t="inlineStr">
        <is>
          <t>Probable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19" t="inlineStr"/>
      <c r="R10" s="21" t="n">
        <v>75000</v>
      </c>
      <c r="S10" s="21" t="n">
        <v>45000</v>
      </c>
      <c r="T10" s="21" t="n">
        <v>40000</v>
      </c>
      <c r="U10" s="21" t="n"/>
      <c r="V10" s="21" t="n">
        <v>0.5</v>
      </c>
      <c r="W10" s="21" t="n"/>
      <c r="X10" s="21" t="n">
        <v>0</v>
      </c>
      <c r="Y10" s="21" t="n"/>
      <c r="Z10" s="21" t="n"/>
      <c r="AA10" s="19" t="inlineStr"/>
      <c r="AB10" s="31" t="n"/>
      <c r="AC10" s="19" t="inlineStr"/>
    </row>
    <row r="11">
      <c r="A11" s="18" t="inlineStr">
        <is>
          <t>DES-01</t>
        </is>
      </c>
      <c r="B11" s="18" t="inlineStr">
        <is>
          <t>Desmantelamiento de planta en terreno arrendado</t>
        </is>
      </c>
      <c r="C11" s="18" t="inlineStr">
        <is>
          <t>Desmantelamiento</t>
        </is>
      </c>
      <c r="D11" s="18" t="inlineStr">
        <is>
          <t>Sí</t>
        </is>
      </c>
      <c r="E11" s="18" t="inlineStr"/>
      <c r="F11" s="18" t="inlineStr">
        <is>
          <t>Probable</t>
        </is>
      </c>
      <c r="G11" s="20" t="n"/>
      <c r="H11" s="20" t="n">
        <v>500000</v>
      </c>
      <c r="I11" s="20" t="n"/>
      <c r="J11" s="20" t="n"/>
      <c r="K11" s="20" t="n"/>
      <c r="L11" s="20" t="n"/>
      <c r="M11" s="20" t="n"/>
      <c r="N11" s="20" t="n"/>
      <c r="O11" s="20" t="n"/>
      <c r="P11" s="20" t="n"/>
      <c r="Q11" s="18" t="inlineStr"/>
      <c r="R11" s="20" t="n"/>
      <c r="S11" s="20" t="n"/>
      <c r="T11" s="20" t="n"/>
      <c r="U11" s="20" t="n"/>
      <c r="V11" s="20" t="n">
        <v>10</v>
      </c>
      <c r="W11" s="20" t="n">
        <v>7</v>
      </c>
      <c r="X11" s="20" t="n">
        <v>240000</v>
      </c>
      <c r="Y11" s="20" t="n">
        <v>225000</v>
      </c>
      <c r="Z11" s="20" t="n"/>
      <c r="AA11" s="18" t="inlineStr"/>
      <c r="AB11" s="32" t="n"/>
      <c r="AC11" s="18" t="inlineStr"/>
    </row>
    <row r="12">
      <c r="A12" s="19" t="inlineStr">
        <is>
          <t>REE-01</t>
        </is>
      </c>
      <c r="B12" s="19" t="inlineStr">
        <is>
          <t>Reestructuración de la línea textil (plan comunicado)</t>
        </is>
      </c>
      <c r="C12" s="19" t="inlineStr">
        <is>
          <t>Reestructuración</t>
        </is>
      </c>
      <c r="D12" s="19" t="inlineStr">
        <is>
          <t>Sí</t>
        </is>
      </c>
      <c r="E12" s="19" t="inlineStr"/>
      <c r="F12" s="19" t="inlineStr">
        <is>
          <t>Probable</t>
        </is>
      </c>
      <c r="G12" s="21" t="n"/>
      <c r="H12" s="21" t="n">
        <v>60000</v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19" t="inlineStr"/>
      <c r="R12" s="21" t="n"/>
      <c r="S12" s="21" t="n"/>
      <c r="T12" s="21" t="n"/>
      <c r="U12" s="21" t="n"/>
      <c r="V12" s="21" t="n">
        <v>0.5</v>
      </c>
      <c r="W12" s="21" t="n"/>
      <c r="X12" s="21" t="n">
        <v>60000</v>
      </c>
      <c r="Y12" s="21" t="n"/>
      <c r="Z12" s="21" t="n"/>
      <c r="AA12" s="19" t="inlineStr"/>
      <c r="AB12" s="31" t="n"/>
      <c r="AC12" s="19" t="inlineStr"/>
    </row>
    <row r="13">
      <c r="A13" s="18" t="inlineStr">
        <is>
          <t>AMB-01</t>
        </is>
      </c>
      <c r="B13" s="18" t="inlineStr">
        <is>
          <t>Remediación ambiental de relaves</t>
        </is>
      </c>
      <c r="C13" s="18" t="inlineStr">
        <is>
          <t>Otro</t>
        </is>
      </c>
      <c r="D13" s="18" t="inlineStr">
        <is>
          <t>Sí</t>
        </is>
      </c>
      <c r="E13" s="18" t="inlineStr"/>
      <c r="F13" s="18" t="inlineStr">
        <is>
          <t>Probable</t>
        </is>
      </c>
      <c r="G13" s="20" t="n"/>
      <c r="H13" s="20" t="n">
        <v>200000</v>
      </c>
      <c r="I13" s="20" t="n"/>
      <c r="J13" s="20" t="n"/>
      <c r="K13" s="20" t="n"/>
      <c r="L13" s="20" t="n"/>
      <c r="M13" s="20" t="n"/>
      <c r="N13" s="20" t="n"/>
      <c r="O13" s="20" t="n"/>
      <c r="P13" s="20" t="n"/>
      <c r="Q13" s="18" t="inlineStr"/>
      <c r="R13" s="20" t="n"/>
      <c r="S13" s="20" t="n"/>
      <c r="T13" s="20" t="n"/>
      <c r="U13" s="20" t="n"/>
      <c r="V13" s="20" t="n">
        <v>5</v>
      </c>
      <c r="W13" s="20" t="n">
        <v>9</v>
      </c>
      <c r="X13" s="20" t="n">
        <v>200000</v>
      </c>
      <c r="Y13" s="20" t="n">
        <v>190000</v>
      </c>
      <c r="Z13" s="20" t="n">
        <v>5000</v>
      </c>
      <c r="AA13" s="18" t="inlineStr"/>
      <c r="AB13" s="32" t="n"/>
      <c r="AC13" s="18" t="inlineStr"/>
    </row>
    <row r="14">
      <c r="A14" s="19" t="inlineStr">
        <is>
          <t>LIT-05</t>
        </is>
      </c>
      <c r="B14" s="19" t="inlineStr">
        <is>
          <t>Juicio laboral de operario</t>
        </is>
      </c>
      <c r="C14" s="19" t="inlineStr">
        <is>
          <t>Litigio</t>
        </is>
      </c>
      <c r="D14" s="19" t="inlineStr">
        <is>
          <t>Sí</t>
        </is>
      </c>
      <c r="E14" s="19" t="inlineStr">
        <is>
          <t>Probable</t>
        </is>
      </c>
      <c r="F14" s="19" t="inlineStr"/>
      <c r="G14" s="21" t="n">
        <v>25000</v>
      </c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19" t="inlineStr"/>
      <c r="R14" s="21" t="n"/>
      <c r="S14" s="21" t="n"/>
      <c r="T14" s="21" t="n"/>
      <c r="U14" s="21" t="n">
        <v>32000</v>
      </c>
      <c r="V14" s="21" t="n">
        <v>0.25</v>
      </c>
      <c r="W14" s="21" t="n"/>
      <c r="X14" s="21" t="n">
        <v>25000</v>
      </c>
      <c r="Y14" s="21" t="n"/>
      <c r="Z14" s="21" t="n"/>
      <c r="AA14" s="19" t="inlineStr">
        <is>
          <t>Sí</t>
        </is>
      </c>
      <c r="AB14" s="30" t="n">
        <v>46063</v>
      </c>
      <c r="AC14" s="19" t="inlineStr"/>
    </row>
    <row r="15">
      <c r="A15" s="18" t="inlineStr">
        <is>
          <t>LIT-06</t>
        </is>
      </c>
      <c r="B15" s="18" t="inlineStr">
        <is>
          <t>Demanda por uso de marca</t>
        </is>
      </c>
      <c r="C15" s="18" t="inlineStr">
        <is>
          <t>Litigio</t>
        </is>
      </c>
      <c r="D15" s="18" t="inlineStr">
        <is>
          <t>No</t>
        </is>
      </c>
      <c r="E15" s="18" t="inlineStr">
        <is>
          <t>Remota</t>
        </is>
      </c>
      <c r="F15" s="18" t="inlineStr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18" t="inlineStr"/>
      <c r="R15" s="20" t="n"/>
      <c r="S15" s="20" t="n"/>
      <c r="T15" s="20" t="n"/>
      <c r="U15" s="20" t="n"/>
      <c r="V15" s="20" t="n"/>
      <c r="W15" s="20" t="n"/>
      <c r="X15" s="20" t="n">
        <v>0</v>
      </c>
      <c r="Y15" s="20" t="n"/>
      <c r="Z15" s="20" t="n"/>
      <c r="AA15" s="18" t="inlineStr">
        <is>
          <t>Sí</t>
        </is>
      </c>
      <c r="AB15" s="29" t="n">
        <v>46063</v>
      </c>
      <c r="AC15" s="18" t="inlineStr"/>
    </row>
    <row r="16">
      <c r="A16" s="19" t="inlineStr">
        <is>
          <t>OTR-01</t>
        </is>
      </c>
      <c r="B16" s="19" t="inlineStr">
        <is>
          <t>Multa de la autoridad ambiental</t>
        </is>
      </c>
      <c r="C16" s="19" t="inlineStr">
        <is>
          <t>Otro</t>
        </is>
      </c>
      <c r="D16" s="19" t="inlineStr">
        <is>
          <t>Sí</t>
        </is>
      </c>
      <c r="E16" s="19" t="inlineStr"/>
      <c r="F16" s="19" t="inlineStr">
        <is>
          <t>Probable</t>
        </is>
      </c>
      <c r="G16" s="21" t="n"/>
      <c r="H16" s="21" t="n"/>
      <c r="I16" s="21" t="n"/>
      <c r="J16" s="21" t="n"/>
      <c r="K16" s="21" t="n">
        <v>30000</v>
      </c>
      <c r="L16" s="21" t="n">
        <v>50</v>
      </c>
      <c r="M16" s="21" t="n">
        <v>60000</v>
      </c>
      <c r="N16" s="21" t="n">
        <v>30</v>
      </c>
      <c r="O16" s="21" t="n">
        <v>90000</v>
      </c>
      <c r="P16" s="21" t="n">
        <v>20</v>
      </c>
      <c r="Q16" s="19" t="inlineStr">
        <is>
          <t>Más probable</t>
        </is>
      </c>
      <c r="R16" s="21" t="n"/>
      <c r="S16" s="21" t="n"/>
      <c r="T16" s="21" t="n"/>
      <c r="U16" s="21" t="n"/>
      <c r="V16" s="21" t="n">
        <v>1</v>
      </c>
      <c r="W16" s="21" t="n"/>
      <c r="X16" s="21" t="n">
        <v>30000</v>
      </c>
      <c r="Y16" s="21" t="n"/>
      <c r="Z16" s="21" t="n"/>
      <c r="AA16" s="19" t="inlineStr"/>
      <c r="AB16" s="31" t="n"/>
      <c r="AC16" s="19" t="inlineStr"/>
    </row>
    <row r="17">
      <c r="A17" s="18" t="inlineStr">
        <is>
          <t>ACT-01</t>
        </is>
      </c>
      <c r="B17" s="18" t="inlineStr">
        <is>
          <t>Demanda a la aseguradora por siniestro</t>
        </is>
      </c>
      <c r="C17" s="18" t="inlineStr">
        <is>
          <t>Activo contingente</t>
        </is>
      </c>
      <c r="D17" s="18" t="inlineStr"/>
      <c r="E17" s="18" t="inlineStr">
        <is>
          <t>Probable</t>
        </is>
      </c>
      <c r="F17" s="18" t="inlineStr"/>
      <c r="G17" s="20" t="n">
        <v>50000</v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18" t="inlineStr"/>
      <c r="R17" s="20" t="n"/>
      <c r="S17" s="20" t="n"/>
      <c r="T17" s="20" t="n"/>
      <c r="U17" s="20" t="n"/>
      <c r="V17" s="20" t="n"/>
      <c r="W17" s="20" t="n"/>
      <c r="X17" s="20" t="n">
        <v>50000</v>
      </c>
      <c r="Y17" s="20" t="n"/>
      <c r="Z17" s="20" t="n"/>
      <c r="AA17" s="18" t="inlineStr">
        <is>
          <t>Sí</t>
        </is>
      </c>
      <c r="AB17" s="29" t="n">
        <v>46063</v>
      </c>
      <c r="AC17" s="18" t="inlineStr">
        <is>
          <t>No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12" customWidth="1" min="5" max="5"/>
    <col width="13" customWidth="1" min="6" max="6"/>
  </cols>
  <sheetData>
    <row r="1">
      <c r="A1" s="3" t="inlineStr">
        <is>
          <t>Garantías (datos del cliente)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Línea</t>
        </is>
      </c>
      <c r="B4" s="17" t="inlineStr">
        <is>
          <t>Provisión</t>
        </is>
      </c>
      <c r="C4" s="17" t="inlineStr">
        <is>
          <t>Descripción</t>
        </is>
      </c>
      <c r="D4" s="17" t="inlineStr">
        <is>
          <t>Unidades con garantía</t>
        </is>
      </c>
      <c r="E4" s="17" t="inlineStr">
        <is>
          <t>% reclamos</t>
        </is>
      </c>
      <c r="F4" s="17" t="inlineStr">
        <is>
          <t>Costo medio</t>
        </is>
      </c>
    </row>
    <row r="5">
      <c r="A5" s="18" t="inlineStr">
        <is>
          <t>GA-A</t>
        </is>
      </c>
      <c r="B5" s="18" t="inlineStr">
        <is>
          <t>GAR-01</t>
        </is>
      </c>
      <c r="C5" s="18" t="inlineStr">
        <is>
          <t>Refrigeradoras</t>
        </is>
      </c>
      <c r="D5" s="20" t="n">
        <v>12000</v>
      </c>
      <c r="E5" s="20" t="n">
        <v>3</v>
      </c>
      <c r="F5" s="20" t="n">
        <v>85</v>
      </c>
    </row>
    <row r="6">
      <c r="A6" s="19" t="inlineStr">
        <is>
          <t>GA-B</t>
        </is>
      </c>
      <c r="B6" s="19" t="inlineStr">
        <is>
          <t>GAR-01</t>
        </is>
      </c>
      <c r="C6" s="19" t="inlineStr">
        <is>
          <t>Lavadoras</t>
        </is>
      </c>
      <c r="D6" s="21" t="n">
        <v>5000</v>
      </c>
      <c r="E6" s="21" t="n">
        <v>2</v>
      </c>
      <c r="F6" s="21" t="n">
        <v>120</v>
      </c>
    </row>
    <row r="7">
      <c r="A7" s="18" t="inlineStr">
        <is>
          <t>GA-C</t>
        </is>
      </c>
      <c r="B7" s="18" t="inlineStr">
        <is>
          <t>GAR-09</t>
        </is>
      </c>
      <c r="C7" s="18" t="inlineStr">
        <is>
          <t>Microondas</t>
        </is>
      </c>
      <c r="D7" s="20" t="n">
        <v>2000</v>
      </c>
      <c r="E7" s="20" t="n">
        <v>5</v>
      </c>
      <c r="F7" s="20" t="n">
        <v>50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5" customWidth="1" min="4" max="4"/>
    <col width="16" customWidth="1" min="5" max="5"/>
    <col width="20" customWidth="1" min="6" max="6"/>
    <col width="38" customWidth="1" min="7" max="7"/>
    <col width="14" customWidth="1" min="8" max="8"/>
  </cols>
  <sheetData>
    <row r="1">
      <c r="A1" s="3" t="inlineStr">
        <is>
          <t>Obligación presente y probabilidad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Tipo</t>
        </is>
      </c>
      <c r="C4" s="17" t="inlineStr">
        <is>
          <t>Obligación presente</t>
        </is>
      </c>
      <c r="D4" s="17" t="inlineStr">
        <is>
          <t>Prob. abogado</t>
        </is>
      </c>
      <c r="E4" s="17" t="inlineStr">
        <is>
          <t>Prob. gerencia</t>
        </is>
      </c>
      <c r="F4" s="17" t="inlineStr">
        <is>
          <t>Probabilidad usada</t>
        </is>
      </c>
      <c r="G4" s="17" t="inlineStr">
        <is>
          <t>Clasificación (NIC 37.14, 23, 27–35)</t>
        </is>
      </c>
      <c r="H4" s="17" t="inlineStr">
        <is>
          <t>Discrepancia</t>
        </is>
      </c>
    </row>
    <row r="5">
      <c r="A5" s="18" t="inlineStr">
        <is>
          <t>LIT-01</t>
        </is>
      </c>
      <c r="B5" s="18">
        <f>'03_Provisiones'!C5</f>
        <v/>
      </c>
      <c r="C5" s="18">
        <f>IF('03_Provisiones'!D5="","",'03_Provisiones'!D5)</f>
        <v/>
      </c>
      <c r="D5" s="18">
        <f>IF('03_Provisiones'!E5="","",'03_Provisiones'!E5)</f>
        <v/>
      </c>
      <c r="E5" s="18">
        <f>IF('03_Provisiones'!F5="","",'03_Provisiones'!F5)</f>
        <v/>
      </c>
      <c r="F5" s="18">
        <f>IF(D5&lt;&gt;"",D5,E5)</f>
        <v/>
      </c>
      <c r="G5" s="18">
        <f>IF(B5="Activo contingente",IF(F5="","Sin evaluación",IF(F5="Prácticamente cierta","Activo reconocible",IF(F5="Probable","Activo contingente: revelar","Activo contingente: no revelar"))),IF(OR(F5="",C5=""),"Sin evaluación",IF(F5="Remota","Remota: no revelar",IF(AND(C5="Sí",OR(F5="Probable",F5="Prácticamente cierta")),"Reconocer provisión","Pasivo contingente: revelar"))))</f>
        <v/>
      </c>
      <c r="H5" s="18">
        <f>IF(AND(D5&lt;&gt;"",E5&lt;&gt;"",D5&lt;&gt;E5),"Discrepancia","")</f>
        <v/>
      </c>
    </row>
    <row r="6">
      <c r="A6" s="19" t="inlineStr">
        <is>
          <t>LIT-02</t>
        </is>
      </c>
      <c r="B6" s="19">
        <f>'03_Provisiones'!C6</f>
        <v/>
      </c>
      <c r="C6" s="19">
        <f>IF('03_Provisiones'!D6="","",'03_Provisiones'!D6)</f>
        <v/>
      </c>
      <c r="D6" s="19">
        <f>IF('03_Provisiones'!E6="","",'03_Provisiones'!E6)</f>
        <v/>
      </c>
      <c r="E6" s="19">
        <f>IF('03_Provisiones'!F6="","",'03_Provisiones'!F6)</f>
        <v/>
      </c>
      <c r="F6" s="19">
        <f>IF(D6&lt;&gt;"",D6,E6)</f>
        <v/>
      </c>
      <c r="G6" s="19">
        <f>IF(B6="Activo contingente",IF(F6="","Sin evaluación",IF(F6="Prácticamente cierta","Activo reconocible",IF(F6="Probable","Activo contingente: revelar","Activo contingente: no revelar"))),IF(OR(F6="",C6=""),"Sin evaluación",IF(F6="Remota","Remota: no revelar",IF(AND(C6="Sí",OR(F6="Probable",F6="Prácticamente cierta")),"Reconocer provisión","Pasivo contingente: revelar"))))</f>
        <v/>
      </c>
      <c r="H6" s="19">
        <f>IF(AND(D6&lt;&gt;"",E6&lt;&gt;"",D6&lt;&gt;E6),"Discrepancia","")</f>
        <v/>
      </c>
    </row>
    <row r="7">
      <c r="A7" s="18" t="inlineStr">
        <is>
          <t>LIT-03</t>
        </is>
      </c>
      <c r="B7" s="18">
        <f>'03_Provisiones'!C7</f>
        <v/>
      </c>
      <c r="C7" s="18">
        <f>IF('03_Provisiones'!D7="","",'03_Provisiones'!D7)</f>
        <v/>
      </c>
      <c r="D7" s="18">
        <f>IF('03_Provisiones'!E7="","",'03_Provisiones'!E7)</f>
        <v/>
      </c>
      <c r="E7" s="18">
        <f>IF('03_Provisiones'!F7="","",'03_Provisiones'!F7)</f>
        <v/>
      </c>
      <c r="F7" s="18">
        <f>IF(D7&lt;&gt;"",D7,E7)</f>
        <v/>
      </c>
      <c r="G7" s="18">
        <f>IF(B7="Activo contingente",IF(F7="","Sin evaluación",IF(F7="Prácticamente cierta","Activo reconocible",IF(F7="Probable","Activo contingente: revelar","Activo contingente: no revelar"))),IF(OR(F7="",C7=""),"Sin evaluación",IF(F7="Remota","Remota: no revelar",IF(AND(C7="Sí",OR(F7="Probable",F7="Prácticamente cierta")),"Reconocer provisión","Pasivo contingente: revelar"))))</f>
        <v/>
      </c>
      <c r="H7" s="18">
        <f>IF(AND(D7&lt;&gt;"",E7&lt;&gt;"",D7&lt;&gt;E7),"Discrepancia","")</f>
        <v/>
      </c>
    </row>
    <row r="8">
      <c r="A8" s="19" t="inlineStr">
        <is>
          <t>LIT-04</t>
        </is>
      </c>
      <c r="B8" s="19">
        <f>'03_Provisiones'!C8</f>
        <v/>
      </c>
      <c r="C8" s="19">
        <f>IF('03_Provisiones'!D8="","",'03_Provisiones'!D8)</f>
        <v/>
      </c>
      <c r="D8" s="19">
        <f>IF('03_Provisiones'!E8="","",'03_Provisiones'!E8)</f>
        <v/>
      </c>
      <c r="E8" s="19">
        <f>IF('03_Provisiones'!F8="","",'03_Provisiones'!F8)</f>
        <v/>
      </c>
      <c r="F8" s="19">
        <f>IF(D8&lt;&gt;"",D8,E8)</f>
        <v/>
      </c>
      <c r="G8" s="19">
        <f>IF(B8="Activo contingente",IF(F8="","Sin evaluación",IF(F8="Prácticamente cierta","Activo reconocible",IF(F8="Probable","Activo contingente: revelar","Activo contingente: no revelar"))),IF(OR(F8="",C8=""),"Sin evaluación",IF(F8="Remota","Remota: no revelar",IF(AND(C8="Sí",OR(F8="Probable",F8="Prácticamente cierta")),"Reconocer provisión","Pasivo contingente: revelar"))))</f>
        <v/>
      </c>
      <c r="H8" s="19">
        <f>IF(AND(D8&lt;&gt;"",E8&lt;&gt;"",D8&lt;&gt;E8),"Discrepancia","")</f>
        <v/>
      </c>
    </row>
    <row r="9">
      <c r="A9" s="18" t="inlineStr">
        <is>
          <t>GAR-01</t>
        </is>
      </c>
      <c r="B9" s="18">
        <f>'03_Provisiones'!C9</f>
        <v/>
      </c>
      <c r="C9" s="18">
        <f>IF('03_Provisiones'!D9="","",'03_Provisiones'!D9)</f>
        <v/>
      </c>
      <c r="D9" s="18">
        <f>IF('03_Provisiones'!E9="","",'03_Provisiones'!E9)</f>
        <v/>
      </c>
      <c r="E9" s="18">
        <f>IF('03_Provisiones'!F9="","",'03_Provisiones'!F9)</f>
        <v/>
      </c>
      <c r="F9" s="18">
        <f>IF(D9&lt;&gt;"",D9,E9)</f>
        <v/>
      </c>
      <c r="G9" s="18">
        <f>IF(B9="Activo contingente",IF(F9="","Sin evaluación",IF(F9="Prácticamente cierta","Activo reconocible",IF(F9="Probable","Activo contingente: revelar","Activo contingente: no revelar"))),IF(OR(F9="",C9=""),"Sin evaluación",IF(F9="Remota","Remota: no revelar",IF(AND(C9="Sí",OR(F9="Probable",F9="Prácticamente cierta")),"Reconocer provisión","Pasivo contingente: revelar"))))</f>
        <v/>
      </c>
      <c r="H9" s="18">
        <f>IF(AND(D9&lt;&gt;"",E9&lt;&gt;"",D9&lt;&gt;E9),"Discrepancia","")</f>
        <v/>
      </c>
    </row>
    <row r="10">
      <c r="A10" s="19" t="inlineStr">
        <is>
          <t>ONE-01</t>
        </is>
      </c>
      <c r="B10" s="19">
        <f>'03_Provisiones'!C10</f>
        <v/>
      </c>
      <c r="C10" s="19">
        <f>IF('03_Provisiones'!D10="","",'03_Provisiones'!D10)</f>
        <v/>
      </c>
      <c r="D10" s="19">
        <f>IF('03_Provisiones'!E10="","",'03_Provisiones'!E10)</f>
        <v/>
      </c>
      <c r="E10" s="19">
        <f>IF('03_Provisiones'!F10="","",'03_Provisiones'!F10)</f>
        <v/>
      </c>
      <c r="F10" s="19">
        <f>IF(D10&lt;&gt;"",D10,E10)</f>
        <v/>
      </c>
      <c r="G10" s="19">
        <f>IF(B10="Activo contingente",IF(F10="","Sin evaluación",IF(F10="Prácticamente cierta","Activo reconocible",IF(F10="Probable","Activo contingente: revelar","Activo contingente: no revelar"))),IF(OR(F10="",C10=""),"Sin evaluación",IF(F10="Remota","Remota: no revelar",IF(AND(C10="Sí",OR(F10="Probable",F10="Prácticamente cierta")),"Reconocer provisión","Pasivo contingente: revelar"))))</f>
        <v/>
      </c>
      <c r="H10" s="19">
        <f>IF(AND(D10&lt;&gt;"",E10&lt;&gt;"",D10&lt;&gt;E10),"Discrepancia","")</f>
        <v/>
      </c>
    </row>
    <row r="11">
      <c r="A11" s="18" t="inlineStr">
        <is>
          <t>DES-01</t>
        </is>
      </c>
      <c r="B11" s="18">
        <f>'03_Provisiones'!C11</f>
        <v/>
      </c>
      <c r="C11" s="18">
        <f>IF('03_Provisiones'!D11="","",'03_Provisiones'!D11)</f>
        <v/>
      </c>
      <c r="D11" s="18">
        <f>IF('03_Provisiones'!E11="","",'03_Provisiones'!E11)</f>
        <v/>
      </c>
      <c r="E11" s="18">
        <f>IF('03_Provisiones'!F11="","",'03_Provisiones'!F11)</f>
        <v/>
      </c>
      <c r="F11" s="18">
        <f>IF(D11&lt;&gt;"",D11,E11)</f>
        <v/>
      </c>
      <c r="G11" s="18">
        <f>IF(B11="Activo contingente",IF(F11="","Sin evaluación",IF(F11="Prácticamente cierta","Activo reconocible",IF(F11="Probable","Activo contingente: revelar","Activo contingente: no revelar"))),IF(OR(F11="",C11=""),"Sin evaluación",IF(F11="Remota","Remota: no revelar",IF(AND(C11="Sí",OR(F11="Probable",F11="Prácticamente cierta")),"Reconocer provisión","Pasivo contingente: revelar"))))</f>
        <v/>
      </c>
      <c r="H11" s="18">
        <f>IF(AND(D11&lt;&gt;"",E11&lt;&gt;"",D11&lt;&gt;E11),"Discrepancia","")</f>
        <v/>
      </c>
    </row>
    <row r="12">
      <c r="A12" s="19" t="inlineStr">
        <is>
          <t>REE-01</t>
        </is>
      </c>
      <c r="B12" s="19">
        <f>'03_Provisiones'!C12</f>
        <v/>
      </c>
      <c r="C12" s="19">
        <f>IF('03_Provisiones'!D12="","",'03_Provisiones'!D12)</f>
        <v/>
      </c>
      <c r="D12" s="19">
        <f>IF('03_Provisiones'!E12="","",'03_Provisiones'!E12)</f>
        <v/>
      </c>
      <c r="E12" s="19">
        <f>IF('03_Provisiones'!F12="","",'03_Provisiones'!F12)</f>
        <v/>
      </c>
      <c r="F12" s="19">
        <f>IF(D12&lt;&gt;"",D12,E12)</f>
        <v/>
      </c>
      <c r="G12" s="19">
        <f>IF(B12="Activo contingente",IF(F12="","Sin evaluación",IF(F12="Prácticamente cierta","Activo reconocible",IF(F12="Probable","Activo contingente: revelar","Activo contingente: no revelar"))),IF(OR(F12="",C12=""),"Sin evaluación",IF(F12="Remota","Remota: no revelar",IF(AND(C12="Sí",OR(F12="Probable",F12="Prácticamente cierta")),"Reconocer provisión","Pasivo contingente: revelar"))))</f>
        <v/>
      </c>
      <c r="H12" s="19">
        <f>IF(AND(D12&lt;&gt;"",E12&lt;&gt;"",D12&lt;&gt;E12),"Discrepancia","")</f>
        <v/>
      </c>
    </row>
    <row r="13">
      <c r="A13" s="18" t="inlineStr">
        <is>
          <t>AMB-01</t>
        </is>
      </c>
      <c r="B13" s="18">
        <f>'03_Provisiones'!C13</f>
        <v/>
      </c>
      <c r="C13" s="18">
        <f>IF('03_Provisiones'!D13="","",'03_Provisiones'!D13)</f>
        <v/>
      </c>
      <c r="D13" s="18">
        <f>IF('03_Provisiones'!E13="","",'03_Provisiones'!E13)</f>
        <v/>
      </c>
      <c r="E13" s="18">
        <f>IF('03_Provisiones'!F13="","",'03_Provisiones'!F13)</f>
        <v/>
      </c>
      <c r="F13" s="18">
        <f>IF(D13&lt;&gt;"",D13,E13)</f>
        <v/>
      </c>
      <c r="G13" s="18">
        <f>IF(B13="Activo contingente",IF(F13="","Sin evaluación",IF(F13="Prácticamente cierta","Activo reconocible",IF(F13="Probable","Activo contingente: revelar","Activo contingente: no revelar"))),IF(OR(F13="",C13=""),"Sin evaluación",IF(F13="Remota","Remota: no revelar",IF(AND(C13="Sí",OR(F13="Probable",F13="Prácticamente cierta")),"Reconocer provisión","Pasivo contingente: revelar"))))</f>
        <v/>
      </c>
      <c r="H13" s="18">
        <f>IF(AND(D13&lt;&gt;"",E13&lt;&gt;"",D13&lt;&gt;E13),"Discrepancia","")</f>
        <v/>
      </c>
    </row>
    <row r="14">
      <c r="A14" s="19" t="inlineStr">
        <is>
          <t>LIT-05</t>
        </is>
      </c>
      <c r="B14" s="19">
        <f>'03_Provisiones'!C14</f>
        <v/>
      </c>
      <c r="C14" s="19">
        <f>IF('03_Provisiones'!D14="","",'03_Provisiones'!D14)</f>
        <v/>
      </c>
      <c r="D14" s="19">
        <f>IF('03_Provisiones'!E14="","",'03_Provisiones'!E14)</f>
        <v/>
      </c>
      <c r="E14" s="19">
        <f>IF('03_Provisiones'!F14="","",'03_Provisiones'!F14)</f>
        <v/>
      </c>
      <c r="F14" s="19">
        <f>IF(D14&lt;&gt;"",D14,E14)</f>
        <v/>
      </c>
      <c r="G14" s="19">
        <f>IF(B14="Activo contingente",IF(F14="","Sin evaluación",IF(F14="Prácticamente cierta","Activo reconocible",IF(F14="Probable","Activo contingente: revelar","Activo contingente: no revelar"))),IF(OR(F14="",C14=""),"Sin evaluación",IF(F14="Remota","Remota: no revelar",IF(AND(C14="Sí",OR(F14="Probable",F14="Prácticamente cierta")),"Reconocer provisión","Pasivo contingente: revelar"))))</f>
        <v/>
      </c>
      <c r="H14" s="19">
        <f>IF(AND(D14&lt;&gt;"",E14&lt;&gt;"",D14&lt;&gt;E14),"Discrepancia","")</f>
        <v/>
      </c>
    </row>
    <row r="15">
      <c r="A15" s="18" t="inlineStr">
        <is>
          <t>LIT-06</t>
        </is>
      </c>
      <c r="B15" s="18">
        <f>'03_Provisiones'!C15</f>
        <v/>
      </c>
      <c r="C15" s="18">
        <f>IF('03_Provisiones'!D15="","",'03_Provisiones'!D15)</f>
        <v/>
      </c>
      <c r="D15" s="18">
        <f>IF('03_Provisiones'!E15="","",'03_Provisiones'!E15)</f>
        <v/>
      </c>
      <c r="E15" s="18">
        <f>IF('03_Provisiones'!F15="","",'03_Provisiones'!F15)</f>
        <v/>
      </c>
      <c r="F15" s="18">
        <f>IF(D15&lt;&gt;"",D15,E15)</f>
        <v/>
      </c>
      <c r="G15" s="18">
        <f>IF(B15="Activo contingente",IF(F15="","Sin evaluación",IF(F15="Prácticamente cierta","Activo reconocible",IF(F15="Probable","Activo contingente: revelar","Activo contingente: no revelar"))),IF(OR(F15="",C15=""),"Sin evaluación",IF(F15="Remota","Remota: no revelar",IF(AND(C15="Sí",OR(F15="Probable",F15="Prácticamente cierta")),"Reconocer provisión","Pasivo contingente: revelar"))))</f>
        <v/>
      </c>
      <c r="H15" s="18">
        <f>IF(AND(D15&lt;&gt;"",E15&lt;&gt;"",D15&lt;&gt;E15),"Discrepancia","")</f>
        <v/>
      </c>
    </row>
    <row r="16">
      <c r="A16" s="19" t="inlineStr">
        <is>
          <t>OTR-01</t>
        </is>
      </c>
      <c r="B16" s="19">
        <f>'03_Provisiones'!C16</f>
        <v/>
      </c>
      <c r="C16" s="19">
        <f>IF('03_Provisiones'!D16="","",'03_Provisiones'!D16)</f>
        <v/>
      </c>
      <c r="D16" s="19">
        <f>IF('03_Provisiones'!E16="","",'03_Provisiones'!E16)</f>
        <v/>
      </c>
      <c r="E16" s="19">
        <f>IF('03_Provisiones'!F16="","",'03_Provisiones'!F16)</f>
        <v/>
      </c>
      <c r="F16" s="19">
        <f>IF(D16&lt;&gt;"",D16,E16)</f>
        <v/>
      </c>
      <c r="G16" s="19">
        <f>IF(B16="Activo contingente",IF(F16="","Sin evaluación",IF(F16="Prácticamente cierta","Activo reconocible",IF(F16="Probable","Activo contingente: revelar","Activo contingente: no revelar"))),IF(OR(F16="",C16=""),"Sin evaluación",IF(F16="Remota","Remota: no revelar",IF(AND(C16="Sí",OR(F16="Probable",F16="Prácticamente cierta")),"Reconocer provisión","Pasivo contingente: revelar"))))</f>
        <v/>
      </c>
      <c r="H16" s="19">
        <f>IF(AND(D16&lt;&gt;"",E16&lt;&gt;"",D16&lt;&gt;E16),"Discrepancia","")</f>
        <v/>
      </c>
    </row>
    <row r="17">
      <c r="A17" s="18" t="inlineStr">
        <is>
          <t>ACT-01</t>
        </is>
      </c>
      <c r="B17" s="18">
        <f>'03_Provisiones'!C17</f>
        <v/>
      </c>
      <c r="C17" s="18">
        <f>IF('03_Provisiones'!D17="","",'03_Provisiones'!D17)</f>
        <v/>
      </c>
      <c r="D17" s="18">
        <f>IF('03_Provisiones'!E17="","",'03_Provisiones'!E17)</f>
        <v/>
      </c>
      <c r="E17" s="18">
        <f>IF('03_Provisiones'!F17="","",'03_Provisiones'!F17)</f>
        <v/>
      </c>
      <c r="F17" s="18">
        <f>IF(D17&lt;&gt;"",D17,E17)</f>
        <v/>
      </c>
      <c r="G17" s="18">
        <f>IF(B17="Activo contingente",IF(F17="","Sin evaluación",IF(F17="Prácticamente cierta","Activo reconocible",IF(F17="Probable","Activo contingente: revelar","Activo contingente: no revelar"))),IF(OR(F17="",C17=""),"Sin evaluación",IF(F17="Remota","Remota: no revelar",IF(AND(C17="Sí",OR(F17="Probable",F17="Prácticamente cierta")),"Reconocer provisión","Pasivo contingente: revelar"))))</f>
        <v/>
      </c>
      <c r="H17" s="18">
        <f>IF(AND(D17&lt;&gt;"",E17&lt;&gt;"",D17&lt;&gt;E17),"Discrepancia","")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Tipo</t>
        </is>
      </c>
      <c r="B21" s="25" t="inlineStr">
        <is>
          <t>'='03_Provisiones'!C5</t>
        </is>
      </c>
      <c r="C21" s="24" t="inlineStr">
        <is>
          <t>Copia el tipo de la partida (litigio, garantía, oneroso, etc.) desde la hoja 03 (datos del cliente), en la misma fila.</t>
        </is>
      </c>
      <c r="D21" s="24" t="inlineStr">
        <is>
          <t>Fila 1: «Litigio» → Litigio</t>
        </is>
      </c>
      <c r="E21" s="24" t="inlineStr">
        <is>
          <t>hoja «Provisiones y contingencias (datos del cliente)»</t>
        </is>
      </c>
      <c r="F21" s="24" t="inlineStr">
        <is>
          <t>—</t>
        </is>
      </c>
    </row>
    <row r="22">
      <c r="A22" s="24" t="inlineStr">
        <is>
          <t>Obligación presente</t>
        </is>
      </c>
      <c r="B22" s="25" t="inlineStr">
        <is>
          <t>'=IF('03_Provisiones'!D5="","",'03_Provisiones'!D5)</t>
        </is>
      </c>
      <c r="C22" s="24" t="inlineStr">
        <is>
          <t>Copia de la hoja 03 (datos del cliente) si existe obligación presente (Sí/No); si el cliente la dejó vacía, queda en blanco.</t>
        </is>
      </c>
      <c r="D22" s="24" t="inlineStr">
        <is>
          <t>Fila 1: IF(«Sí»=""; ""; «Sí») → Sí</t>
        </is>
      </c>
      <c r="E22" s="24" t="inlineStr">
        <is>
          <t>hoja «Provisiones y contingencias (datos del cliente)»</t>
        </is>
      </c>
      <c r="F22" s="24" t="inlineStr">
        <is>
          <t>—</t>
        </is>
      </c>
    </row>
    <row r="23">
      <c r="A23" s="24" t="inlineStr">
        <is>
          <t>Prob. abogado</t>
        </is>
      </c>
      <c r="B23" s="25" t="inlineStr">
        <is>
          <t>'=IF('03_Provisiones'!E5="","",'03_Provisiones'!E5)</t>
        </is>
      </c>
      <c r="C23" s="24" t="inlineStr">
        <is>
          <t>Copia la probabilidad que asigna el abogado desde la hoja 03 (datos del cliente); si no la informó, queda en blanco.</t>
        </is>
      </c>
      <c r="D23" s="24" t="inlineStr">
        <is>
          <t>Fila 1: IF(«Probable»=""; ""; «Probable») → Probable</t>
        </is>
      </c>
      <c r="E23" s="24" t="inlineStr">
        <is>
          <t>hoja «Provisiones y contingencias (datos del cliente)»</t>
        </is>
      </c>
      <c r="F23" s="24" t="inlineStr">
        <is>
          <t>—</t>
        </is>
      </c>
    </row>
    <row r="24">
      <c r="A24" s="24" t="inlineStr">
        <is>
          <t>Prob. gerencia</t>
        </is>
      </c>
      <c r="B24" s="25" t="inlineStr">
        <is>
          <t>'=IF('03_Provisiones'!F5="","",'03_Provisiones'!F5)</t>
        </is>
      </c>
      <c r="C24" s="24" t="inlineStr">
        <is>
          <t>Copia la probabilidad que asigna la gerencia desde la hoja 03 (datos del cliente); si no la informó, queda en blanco.</t>
        </is>
      </c>
      <c r="D24" s="24" t="inlineStr">
        <is>
          <t>Fila 1: IF(«Probable»=""; ""; «Probable») → Probable</t>
        </is>
      </c>
      <c r="E24" s="24" t="inlineStr">
        <is>
          <t>hoja «Provisiones y contingencias (datos del cliente)»</t>
        </is>
      </c>
      <c r="F24" s="24" t="inlineStr">
        <is>
          <t>—</t>
        </is>
      </c>
    </row>
    <row r="25">
      <c r="A25" s="24" t="inlineStr">
        <is>
          <t>Probabilidad usada</t>
        </is>
      </c>
      <c r="B25" s="25" t="inlineStr">
        <is>
          <t>'=IF(D5&lt;&gt;"",D5,E5)</t>
        </is>
      </c>
      <c r="C25" s="24" t="inlineStr">
        <is>
          <t>Usa la probabilidad del abogado y, si no la hay, la probabilidad de la gerencia.</t>
        </is>
      </c>
      <c r="D25" s="24" t="inlineStr">
        <is>
          <t>Fila 1: IF(«Probable»&lt;&gt;""; «Probable»; «Probable») → Probable</t>
        </is>
      </c>
      <c r="E25" s="24" t="inlineStr">
        <is>
          <t>«Prob. abogado» (esta hoja), «Prob. gerencia» (esta hoja)</t>
        </is>
      </c>
      <c r="F25" s="24" t="inlineStr">
        <is>
          <t>—</t>
        </is>
      </c>
    </row>
    <row r="26">
      <c r="A26" s="24" t="inlineStr">
        <is>
          <t>Clasificación (NIC 37.14, 23, 27–35)</t>
        </is>
      </c>
      <c r="B26" s="25" t="inlineStr">
        <is>
          <t>'=IF(B5="Activo contingente",IF(F5="","Sin evaluación",IF(F5="Prácticamente cierta","Activo reconocible",IF(F5="Probable","Activo contingente: revelar","Activo contingente: no revelar"))),IF(OR(F5="",C5=""),"Sin evaluación",IF(F5="Remota","Remota: no revelar",IF(AND(C5="Sí",OR(F5="Probable",F5="Prácticamente cierta")),"Reconocer provisión","Pasivo contingente: revelar"))))</t>
        </is>
      </c>
      <c r="C26" s="24" t="inlineStr">
        <is>
          <t>En un activo contingente: prácticamente cierto → reconocible, probable → revelar y lo demás → no revelar. En el resto: sin obligación o sin probabilidad queda «Sin evaluación»; remota → no revelar; obligación presente y probable (o prácticamente cierta) → reconocer provisión; si no, pasivo contingente a revelar.</t>
        </is>
      </c>
      <c r="D26" s="24" t="inlineStr">
        <is>
          <t>Fila 1: IF(«Litigio»="Activo contingente"; IF(«Probable»=""; "Sin evaluación"; IF(«Probable»="Prácticamente cierta"; "Activo reconocible"; IF(«Probable»="Probable"; "Activo contingente: revelar"; "Activo contingente: no revelar"))); IF(OR(«Probable»=""; «Sí»=""); "Sin evaluación"; IF(«Probable»="Remota"; "Remota: no revelar"; IF(AND(«Sí»="Sí"; OR(«Probable»="Probable"; «Probable»="Prácticamente cierta")); "Reconocer provisión"; "Pasivo contingente: revelar")))) → Reconocer provisión</t>
        </is>
      </c>
      <c r="E26" s="24" t="inlineStr">
        <is>
          <t>«Tipo» (esta hoja), «Probabilidad usada» (esta hoja), «Obligación presente» (esta hoja)</t>
        </is>
      </c>
      <c r="F26" s="24" t="inlineStr">
        <is>
          <t>—</t>
        </is>
      </c>
    </row>
    <row r="27">
      <c r="A27" s="24" t="inlineStr">
        <is>
          <t>Discrepancia</t>
        </is>
      </c>
      <c r="B27" s="25" t="inlineStr">
        <is>
          <t>'=IF(AND(D5&lt;&gt;"",E5&lt;&gt;"",D5&lt;&gt;E5),"Discrepancia","")</t>
        </is>
      </c>
      <c r="C27" s="24" t="inlineStr">
        <is>
          <t>Marca «Discrepancia» cuando el abogado y la gerencia informaron probabilidades distintas; si coinciden o falta alguna, queda vacío.</t>
        </is>
      </c>
      <c r="D27" s="24" t="inlineStr">
        <is>
          <t>Fila 1: IF(AND(«Probable»&lt;&gt;""; «Probable»&lt;&gt;""; «Probable»&lt;&gt;«Probable»); "Discrepancia"; "") → (en blanco)</t>
        </is>
      </c>
      <c r="E27" s="24" t="inlineStr">
        <is>
          <t>«Prob. abogado» (esta hoja), «Prob. gerencia» (esta hoja)</t>
        </is>
      </c>
      <c r="F27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0" customWidth="1" min="3" max="3"/>
    <col width="12" customWidth="1" min="4" max="4"/>
    <col width="20" customWidth="1" min="5" max="5"/>
    <col width="16" customWidth="1" min="6" max="6"/>
    <col width="14" customWidth="1" min="7" max="7"/>
    <col width="23" customWidth="1" min="8" max="8"/>
    <col width="19" customWidth="1" min="9" max="9"/>
    <col width="21" customWidth="1" min="10" max="10"/>
    <col width="35" customWidth="1" min="11" max="11"/>
    <col width="18" customWidth="1" min="12" max="12"/>
  </cols>
  <sheetData>
    <row r="1">
      <c r="A1" s="3" t="inlineStr">
        <is>
          <t>Mejor estimación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Código</t>
        </is>
      </c>
      <c r="B4" s="17" t="inlineStr">
        <is>
          <t>Hecho posterior</t>
        </is>
      </c>
      <c r="C4" s="17" t="inlineStr">
        <is>
          <t>Oneroso: mín(costo neto, penalización)</t>
        </is>
      </c>
      <c r="D4" s="17" t="inlineStr">
        <is>
          <t>Garantías</t>
        </is>
      </c>
      <c r="E4" s="17" t="inlineStr">
        <is>
          <t>Σ probabilidades %</t>
        </is>
      </c>
      <c r="F4" s="17" t="inlineStr">
        <is>
          <t>Valor esperado</t>
        </is>
      </c>
      <c r="G4" s="17" t="inlineStr">
        <is>
          <t>Más probable</t>
        </is>
      </c>
      <c r="H4" s="17" t="inlineStr">
        <is>
          <t>Punto medio del rango</t>
        </is>
      </c>
      <c r="I4" s="17" t="inlineStr">
        <is>
          <t>Carta del abogado</t>
        </is>
      </c>
      <c r="J4" s="17" t="inlineStr">
        <is>
          <t>Estimación gerencia</t>
        </is>
      </c>
      <c r="K4" s="17" t="inlineStr">
        <is>
          <t>Base usada</t>
        </is>
      </c>
      <c r="L4" s="17" t="inlineStr">
        <is>
          <t>Mejor estimación</t>
        </is>
      </c>
    </row>
    <row r="5">
      <c r="A5" s="18" t="inlineStr">
        <is>
          <t>LIT-01</t>
        </is>
      </c>
      <c r="B5" s="20">
        <f>IF('03_Provisiones'!U5="","",'03_Provisiones'!U5)</f>
        <v/>
      </c>
      <c r="C5" s="20">
        <f>IF('03_Provisiones'!C5&lt;&gt;"Oneroso","",IF(AND('03_Provisiones'!R5="",'03_Provisiones'!S5=""),"",IF('03_Provisiones'!R5="",'03_Provisiones'!S5,IF('03_Provisiones'!S5="",MAX('03_Provisiones'!R5-N('03_Provisiones'!T5),0),MIN(MAX('03_Provisiones'!R5-N('03_Provisiones'!T5),0),'03_Provisiones'!S5)))))</f>
        <v/>
      </c>
      <c r="D5" s="20">
        <f>IF('03_Provisiones'!C5="Garantía",IF(COUNTIF('04_Garantias'!$B$5:$B$7,A5)=0,"",SUMIF('04_Garantias'!$B$5:$B$7,A5,'10_Garantias_calculo'!$F$5:$F$7)),"")</f>
        <v/>
      </c>
      <c r="E5" s="20">
        <f>N('03_Provisiones'!L5)+N('03_Provisiones'!N5)+N('03_Provisiones'!P5)</f>
        <v/>
      </c>
      <c r="F5" s="20">
        <f>IF(E5=0,"",(N('03_Provisiones'!K5)*N('03_Provisiones'!L5)+N('03_Provisiones'!M5)*N('03_Provisiones'!N5)+N('03_Provisiones'!O5)*N('03_Provisiones'!P5))/(N('03_Provisiones'!L5)+N('03_Provisiones'!N5)+N('03_Provisiones'!P5)))</f>
        <v/>
      </c>
      <c r="G5" s="20">
        <f>IF(E5=0,"",IF(AND(N('03_Provisiones'!L5)&gt;=N('03_Provisiones'!N5),N('03_Provisiones'!L5)&gt;=N('03_Provisiones'!P5)),'03_Provisiones'!K5,IF(N('03_Provisiones'!N5)&gt;=N('03_Provisiones'!P5),'03_Provisiones'!M5,'03_Provisiones'!O5)))</f>
        <v/>
      </c>
      <c r="H5" s="20">
        <f>IF(AND('03_Provisiones'!I5&lt;&gt;"",'03_Provisiones'!J5&lt;&gt;""),('03_Provisiones'!I5+'03_Provisiones'!J5)/2,"")</f>
        <v/>
      </c>
      <c r="I5" s="20">
        <f>IF('03_Provisiones'!G5="","",'03_Provisiones'!G5)</f>
        <v/>
      </c>
      <c r="J5" s="20">
        <f>IF('03_Provisiones'!H5="","",'03_Provisiones'!H5)</f>
        <v/>
      </c>
      <c r="K5" s="18">
        <f>IF(B5&lt;&gt;"","Hecho posterior (NIC 10.9 a)",IF(C5&lt;&gt;"","Oneroso: menor costo (37.68)",IF(D5&lt;&gt;"","Garantías: valor esperado (37.39)",IF(E5&gt;0,IF('03_Provisiones'!Q5="Más probable","Desenlace más probable (37.40)","Valor esperado (37.39)"),IF(H5&lt;&gt;"","Punto medio del rango (37.39)",IF(I5&lt;&gt;"","Carta del abogado",IF(J5&lt;&gt;"","Estimación de la gerencia","Sin estimación")))))))</f>
        <v/>
      </c>
      <c r="L5" s="20">
        <f>IF(B5&lt;&gt;"",B5,IF(C5&lt;&gt;"",C5,IF(D5&lt;&gt;"",D5,IF(E5&gt;0,IF('03_Provisiones'!Q5="Más probable",G5,F5),IF(H5&lt;&gt;"",H5,IF(I5&lt;&gt;"",I5,IF(J5&lt;&gt;"",J5,"")))))))</f>
        <v/>
      </c>
    </row>
    <row r="6">
      <c r="A6" s="19" t="inlineStr">
        <is>
          <t>LIT-02</t>
        </is>
      </c>
      <c r="B6" s="21">
        <f>IF('03_Provisiones'!U6="","",'03_Provisiones'!U6)</f>
        <v/>
      </c>
      <c r="C6" s="21">
        <f>IF('03_Provisiones'!C6&lt;&gt;"Oneroso","",IF(AND('03_Provisiones'!R6="",'03_Provisiones'!S6=""),"",IF('03_Provisiones'!R6="",'03_Provisiones'!S6,IF('03_Provisiones'!S6="",MAX('03_Provisiones'!R6-N('03_Provisiones'!T6),0),MIN(MAX('03_Provisiones'!R6-N('03_Provisiones'!T6),0),'03_Provisiones'!S6)))))</f>
        <v/>
      </c>
      <c r="D6" s="21">
        <f>IF('03_Provisiones'!C6="Garantía",IF(COUNTIF('04_Garantias'!$B$5:$B$7,A6)=0,"",SUMIF('04_Garantias'!$B$5:$B$7,A6,'10_Garantias_calculo'!$F$5:$F$7)),"")</f>
        <v/>
      </c>
      <c r="E6" s="21">
        <f>N('03_Provisiones'!L6)+N('03_Provisiones'!N6)+N('03_Provisiones'!P6)</f>
        <v/>
      </c>
      <c r="F6" s="21">
        <f>IF(E6=0,"",(N('03_Provisiones'!K6)*N('03_Provisiones'!L6)+N('03_Provisiones'!M6)*N('03_Provisiones'!N6)+N('03_Provisiones'!O6)*N('03_Provisiones'!P6))/(N('03_Provisiones'!L6)+N('03_Provisiones'!N6)+N('03_Provisiones'!P6)))</f>
        <v/>
      </c>
      <c r="G6" s="21">
        <f>IF(E6=0,"",IF(AND(N('03_Provisiones'!L6)&gt;=N('03_Provisiones'!N6),N('03_Provisiones'!L6)&gt;=N('03_Provisiones'!P6)),'03_Provisiones'!K6,IF(N('03_Provisiones'!N6)&gt;=N('03_Provisiones'!P6),'03_Provisiones'!M6,'03_Provisiones'!O6)))</f>
        <v/>
      </c>
      <c r="H6" s="21">
        <f>IF(AND('03_Provisiones'!I6&lt;&gt;"",'03_Provisiones'!J6&lt;&gt;""),('03_Provisiones'!I6+'03_Provisiones'!J6)/2,"")</f>
        <v/>
      </c>
      <c r="I6" s="21">
        <f>IF('03_Provisiones'!G6="","",'03_Provisiones'!G6)</f>
        <v/>
      </c>
      <c r="J6" s="21">
        <f>IF('03_Provisiones'!H6="","",'03_Provisiones'!H6)</f>
        <v/>
      </c>
      <c r="K6" s="19">
        <f>IF(B6&lt;&gt;"","Hecho posterior (NIC 10.9 a)",IF(C6&lt;&gt;"","Oneroso: menor costo (37.68)",IF(D6&lt;&gt;"","Garantías: valor esperado (37.39)",IF(E6&gt;0,IF('03_Provisiones'!Q6="Más probable","Desenlace más probable (37.40)","Valor esperado (37.39)"),IF(H6&lt;&gt;"","Punto medio del rango (37.39)",IF(I6&lt;&gt;"","Carta del abogado",IF(J6&lt;&gt;"","Estimación de la gerencia","Sin estimación")))))))</f>
        <v/>
      </c>
      <c r="L6" s="21">
        <f>IF(B6&lt;&gt;"",B6,IF(C6&lt;&gt;"",C6,IF(D6&lt;&gt;"",D6,IF(E6&gt;0,IF('03_Provisiones'!Q6="Más probable",G6,F6),IF(H6&lt;&gt;"",H6,IF(I6&lt;&gt;"",I6,IF(J6&lt;&gt;"",J6,"")))))))</f>
        <v/>
      </c>
    </row>
    <row r="7">
      <c r="A7" s="18" t="inlineStr">
        <is>
          <t>LIT-03</t>
        </is>
      </c>
      <c r="B7" s="20">
        <f>IF('03_Provisiones'!U7="","",'03_Provisiones'!U7)</f>
        <v/>
      </c>
      <c r="C7" s="20">
        <f>IF('03_Provisiones'!C7&lt;&gt;"Oneroso","",IF(AND('03_Provisiones'!R7="",'03_Provisiones'!S7=""),"",IF('03_Provisiones'!R7="",'03_Provisiones'!S7,IF('03_Provisiones'!S7="",MAX('03_Provisiones'!R7-N('03_Provisiones'!T7),0),MIN(MAX('03_Provisiones'!R7-N('03_Provisiones'!T7),0),'03_Provisiones'!S7)))))</f>
        <v/>
      </c>
      <c r="D7" s="20">
        <f>IF('03_Provisiones'!C7="Garantía",IF(COUNTIF('04_Garantias'!$B$5:$B$7,A7)=0,"",SUMIF('04_Garantias'!$B$5:$B$7,A7,'10_Garantias_calculo'!$F$5:$F$7)),"")</f>
        <v/>
      </c>
      <c r="E7" s="20">
        <f>N('03_Provisiones'!L7)+N('03_Provisiones'!N7)+N('03_Provisiones'!P7)</f>
        <v/>
      </c>
      <c r="F7" s="20">
        <f>IF(E7=0,"",(N('03_Provisiones'!K7)*N('03_Provisiones'!L7)+N('03_Provisiones'!M7)*N('03_Provisiones'!N7)+N('03_Provisiones'!O7)*N('03_Provisiones'!P7))/(N('03_Provisiones'!L7)+N('03_Provisiones'!N7)+N('03_Provisiones'!P7)))</f>
        <v/>
      </c>
      <c r="G7" s="20">
        <f>IF(E7=0,"",IF(AND(N('03_Provisiones'!L7)&gt;=N('03_Provisiones'!N7),N('03_Provisiones'!L7)&gt;=N('03_Provisiones'!P7)),'03_Provisiones'!K7,IF(N('03_Provisiones'!N7)&gt;=N('03_Provisiones'!P7),'03_Provisiones'!M7,'03_Provisiones'!O7)))</f>
        <v/>
      </c>
      <c r="H7" s="20">
        <f>IF(AND('03_Provisiones'!I7&lt;&gt;"",'03_Provisiones'!J7&lt;&gt;""),('03_Provisiones'!I7+'03_Provisiones'!J7)/2,"")</f>
        <v/>
      </c>
      <c r="I7" s="20">
        <f>IF('03_Provisiones'!G7="","",'03_Provisiones'!G7)</f>
        <v/>
      </c>
      <c r="J7" s="20">
        <f>IF('03_Provisiones'!H7="","",'03_Provisiones'!H7)</f>
        <v/>
      </c>
      <c r="K7" s="18">
        <f>IF(B7&lt;&gt;"","Hecho posterior (NIC 10.9 a)",IF(C7&lt;&gt;"","Oneroso: menor costo (37.68)",IF(D7&lt;&gt;"","Garantías: valor esperado (37.39)",IF(E7&gt;0,IF('03_Provisiones'!Q7="Más probable","Desenlace más probable (37.40)","Valor esperado (37.39)"),IF(H7&lt;&gt;"","Punto medio del rango (37.39)",IF(I7&lt;&gt;"","Carta del abogado",IF(J7&lt;&gt;"","Estimación de la gerencia","Sin estimación")))))))</f>
        <v/>
      </c>
      <c r="L7" s="20">
        <f>IF(B7&lt;&gt;"",B7,IF(C7&lt;&gt;"",C7,IF(D7&lt;&gt;"",D7,IF(E7&gt;0,IF('03_Provisiones'!Q7="Más probable",G7,F7),IF(H7&lt;&gt;"",H7,IF(I7&lt;&gt;"",I7,IF(J7&lt;&gt;"",J7,"")))))))</f>
        <v/>
      </c>
    </row>
    <row r="8">
      <c r="A8" s="19" t="inlineStr">
        <is>
          <t>LIT-04</t>
        </is>
      </c>
      <c r="B8" s="21">
        <f>IF('03_Provisiones'!U8="","",'03_Provisiones'!U8)</f>
        <v/>
      </c>
      <c r="C8" s="21">
        <f>IF('03_Provisiones'!C8&lt;&gt;"Oneroso","",IF(AND('03_Provisiones'!R8="",'03_Provisiones'!S8=""),"",IF('03_Provisiones'!R8="",'03_Provisiones'!S8,IF('03_Provisiones'!S8="",MAX('03_Provisiones'!R8-N('03_Provisiones'!T8),0),MIN(MAX('03_Provisiones'!R8-N('03_Provisiones'!T8),0),'03_Provisiones'!S8)))))</f>
        <v/>
      </c>
      <c r="D8" s="21">
        <f>IF('03_Provisiones'!C8="Garantía",IF(COUNTIF('04_Garantias'!$B$5:$B$7,A8)=0,"",SUMIF('04_Garantias'!$B$5:$B$7,A8,'10_Garantias_calculo'!$F$5:$F$7)),"")</f>
        <v/>
      </c>
      <c r="E8" s="21">
        <f>N('03_Provisiones'!L8)+N('03_Provisiones'!N8)+N('03_Provisiones'!P8)</f>
        <v/>
      </c>
      <c r="F8" s="21">
        <f>IF(E8=0,"",(N('03_Provisiones'!K8)*N('03_Provisiones'!L8)+N('03_Provisiones'!M8)*N('03_Provisiones'!N8)+N('03_Provisiones'!O8)*N('03_Provisiones'!P8))/(N('03_Provisiones'!L8)+N('03_Provisiones'!N8)+N('03_Provisiones'!P8)))</f>
        <v/>
      </c>
      <c r="G8" s="21">
        <f>IF(E8=0,"",IF(AND(N('03_Provisiones'!L8)&gt;=N('03_Provisiones'!N8),N('03_Provisiones'!L8)&gt;=N('03_Provisiones'!P8)),'03_Provisiones'!K8,IF(N('03_Provisiones'!N8)&gt;=N('03_Provisiones'!P8),'03_Provisiones'!M8,'03_Provisiones'!O8)))</f>
        <v/>
      </c>
      <c r="H8" s="21">
        <f>IF(AND('03_Provisiones'!I8&lt;&gt;"",'03_Provisiones'!J8&lt;&gt;""),('03_Provisiones'!I8+'03_Provisiones'!J8)/2,"")</f>
        <v/>
      </c>
      <c r="I8" s="21">
        <f>IF('03_Provisiones'!G8="","",'03_Provisiones'!G8)</f>
        <v/>
      </c>
      <c r="J8" s="21">
        <f>IF('03_Provisiones'!H8="","",'03_Provisiones'!H8)</f>
        <v/>
      </c>
      <c r="K8" s="19">
        <f>IF(B8&lt;&gt;"","Hecho posterior (NIC 10.9 a)",IF(C8&lt;&gt;"","Oneroso: menor costo (37.68)",IF(D8&lt;&gt;"","Garantías: valor esperado (37.39)",IF(E8&gt;0,IF('03_Provisiones'!Q8="Más probable","Desenlace más probable (37.40)","Valor esperado (37.39)"),IF(H8&lt;&gt;"","Punto medio del rango (37.39)",IF(I8&lt;&gt;"","Carta del abogado",IF(J8&lt;&gt;"","Estimación de la gerencia","Sin estimación")))))))</f>
        <v/>
      </c>
      <c r="L8" s="21">
        <f>IF(B8&lt;&gt;"",B8,IF(C8&lt;&gt;"",C8,IF(D8&lt;&gt;"",D8,IF(E8&gt;0,IF('03_Provisiones'!Q8="Más probable",G8,F8),IF(H8&lt;&gt;"",H8,IF(I8&lt;&gt;"",I8,IF(J8&lt;&gt;"",J8,"")))))))</f>
        <v/>
      </c>
    </row>
    <row r="9">
      <c r="A9" s="18" t="inlineStr">
        <is>
          <t>GAR-01</t>
        </is>
      </c>
      <c r="B9" s="20">
        <f>IF('03_Provisiones'!U9="","",'03_Provisiones'!U9)</f>
        <v/>
      </c>
      <c r="C9" s="20">
        <f>IF('03_Provisiones'!C9&lt;&gt;"Oneroso","",IF(AND('03_Provisiones'!R9="",'03_Provisiones'!S9=""),"",IF('03_Provisiones'!R9="",'03_Provisiones'!S9,IF('03_Provisiones'!S9="",MAX('03_Provisiones'!R9-N('03_Provisiones'!T9),0),MIN(MAX('03_Provisiones'!R9-N('03_Provisiones'!T9),0),'03_Provisiones'!S9)))))</f>
        <v/>
      </c>
      <c r="D9" s="20">
        <f>IF('03_Provisiones'!C9="Garantía",IF(COUNTIF('04_Garantias'!$B$5:$B$7,A9)=0,"",SUMIF('04_Garantias'!$B$5:$B$7,A9,'10_Garantias_calculo'!$F$5:$F$7)),"")</f>
        <v/>
      </c>
      <c r="E9" s="20">
        <f>N('03_Provisiones'!L9)+N('03_Provisiones'!N9)+N('03_Provisiones'!P9)</f>
        <v/>
      </c>
      <c r="F9" s="20">
        <f>IF(E9=0,"",(N('03_Provisiones'!K9)*N('03_Provisiones'!L9)+N('03_Provisiones'!M9)*N('03_Provisiones'!N9)+N('03_Provisiones'!O9)*N('03_Provisiones'!P9))/(N('03_Provisiones'!L9)+N('03_Provisiones'!N9)+N('03_Provisiones'!P9)))</f>
        <v/>
      </c>
      <c r="G9" s="20">
        <f>IF(E9=0,"",IF(AND(N('03_Provisiones'!L9)&gt;=N('03_Provisiones'!N9),N('03_Provisiones'!L9)&gt;=N('03_Provisiones'!P9)),'03_Provisiones'!K9,IF(N('03_Provisiones'!N9)&gt;=N('03_Provisiones'!P9),'03_Provisiones'!M9,'03_Provisiones'!O9)))</f>
        <v/>
      </c>
      <c r="H9" s="20">
        <f>IF(AND('03_Provisiones'!I9&lt;&gt;"",'03_Provisiones'!J9&lt;&gt;""),('03_Provisiones'!I9+'03_Provisiones'!J9)/2,"")</f>
        <v/>
      </c>
      <c r="I9" s="20">
        <f>IF('03_Provisiones'!G9="","",'03_Provisiones'!G9)</f>
        <v/>
      </c>
      <c r="J9" s="20">
        <f>IF('03_Provisiones'!H9="","",'03_Provisiones'!H9)</f>
        <v/>
      </c>
      <c r="K9" s="18">
        <f>IF(B9&lt;&gt;"","Hecho posterior (NIC 10.9 a)",IF(C9&lt;&gt;"","Oneroso: menor costo (37.68)",IF(D9&lt;&gt;"","Garantías: valor esperado (37.39)",IF(E9&gt;0,IF('03_Provisiones'!Q9="Más probable","Desenlace más probable (37.40)","Valor esperado (37.39)"),IF(H9&lt;&gt;"","Punto medio del rango (37.39)",IF(I9&lt;&gt;"","Carta del abogado",IF(J9&lt;&gt;"","Estimación de la gerencia","Sin estimación")))))))</f>
        <v/>
      </c>
      <c r="L9" s="20">
        <f>IF(B9&lt;&gt;"",B9,IF(C9&lt;&gt;"",C9,IF(D9&lt;&gt;"",D9,IF(E9&gt;0,IF('03_Provisiones'!Q9="Más probable",G9,F9),IF(H9&lt;&gt;"",H9,IF(I9&lt;&gt;"",I9,IF(J9&lt;&gt;"",J9,"")))))))</f>
        <v/>
      </c>
    </row>
    <row r="10">
      <c r="A10" s="19" t="inlineStr">
        <is>
          <t>ONE-01</t>
        </is>
      </c>
      <c r="B10" s="21">
        <f>IF('03_Provisiones'!U10="","",'03_Provisiones'!U10)</f>
        <v/>
      </c>
      <c r="C10" s="21">
        <f>IF('03_Provisiones'!C10&lt;&gt;"Oneroso","",IF(AND('03_Provisiones'!R10="",'03_Provisiones'!S10=""),"",IF('03_Provisiones'!R10="",'03_Provisiones'!S10,IF('03_Provisiones'!S10="",MAX('03_Provisiones'!R10-N('03_Provisiones'!T10),0),MIN(MAX('03_Provisiones'!R10-N('03_Provisiones'!T10),0),'03_Provisiones'!S10)))))</f>
        <v/>
      </c>
      <c r="D10" s="21">
        <f>IF('03_Provisiones'!C10="Garantía",IF(COUNTIF('04_Garantias'!$B$5:$B$7,A10)=0,"",SUMIF('04_Garantias'!$B$5:$B$7,A10,'10_Garantias_calculo'!$F$5:$F$7)),"")</f>
        <v/>
      </c>
      <c r="E10" s="21">
        <f>N('03_Provisiones'!L10)+N('03_Provisiones'!N10)+N('03_Provisiones'!P10)</f>
        <v/>
      </c>
      <c r="F10" s="21">
        <f>IF(E10=0,"",(N('03_Provisiones'!K10)*N('03_Provisiones'!L10)+N('03_Provisiones'!M10)*N('03_Provisiones'!N10)+N('03_Provisiones'!O10)*N('03_Provisiones'!P10))/(N('03_Provisiones'!L10)+N('03_Provisiones'!N10)+N('03_Provisiones'!P10)))</f>
        <v/>
      </c>
      <c r="G10" s="21">
        <f>IF(E10=0,"",IF(AND(N('03_Provisiones'!L10)&gt;=N('03_Provisiones'!N10),N('03_Provisiones'!L10)&gt;=N('03_Provisiones'!P10)),'03_Provisiones'!K10,IF(N('03_Provisiones'!N10)&gt;=N('03_Provisiones'!P10),'03_Provisiones'!M10,'03_Provisiones'!O10)))</f>
        <v/>
      </c>
      <c r="H10" s="21">
        <f>IF(AND('03_Provisiones'!I10&lt;&gt;"",'03_Provisiones'!J10&lt;&gt;""),('03_Provisiones'!I10+'03_Provisiones'!J10)/2,"")</f>
        <v/>
      </c>
      <c r="I10" s="21">
        <f>IF('03_Provisiones'!G10="","",'03_Provisiones'!G10)</f>
        <v/>
      </c>
      <c r="J10" s="21">
        <f>IF('03_Provisiones'!H10="","",'03_Provisiones'!H10)</f>
        <v/>
      </c>
      <c r="K10" s="19">
        <f>IF(B10&lt;&gt;"","Hecho posterior (NIC 10.9 a)",IF(C10&lt;&gt;"","Oneroso: menor costo (37.68)",IF(D10&lt;&gt;"","Garantías: valor esperado (37.39)",IF(E10&gt;0,IF('03_Provisiones'!Q10="Más probable","Desenlace más probable (37.40)","Valor esperado (37.39)"),IF(H10&lt;&gt;"","Punto medio del rango (37.39)",IF(I10&lt;&gt;"","Carta del abogado",IF(J10&lt;&gt;"","Estimación de la gerencia","Sin estimación")))))))</f>
        <v/>
      </c>
      <c r="L10" s="21">
        <f>IF(B10&lt;&gt;"",B10,IF(C10&lt;&gt;"",C10,IF(D10&lt;&gt;"",D10,IF(E10&gt;0,IF('03_Provisiones'!Q10="Más probable",G10,F10),IF(H10&lt;&gt;"",H10,IF(I10&lt;&gt;"",I10,IF(J10&lt;&gt;"",J10,"")))))))</f>
        <v/>
      </c>
    </row>
    <row r="11">
      <c r="A11" s="18" t="inlineStr">
        <is>
          <t>DES-01</t>
        </is>
      </c>
      <c r="B11" s="20">
        <f>IF('03_Provisiones'!U11="","",'03_Provisiones'!U11)</f>
        <v/>
      </c>
      <c r="C11" s="20">
        <f>IF('03_Provisiones'!C11&lt;&gt;"Oneroso","",IF(AND('03_Provisiones'!R11="",'03_Provisiones'!S11=""),"",IF('03_Provisiones'!R11="",'03_Provisiones'!S11,IF('03_Provisiones'!S11="",MAX('03_Provisiones'!R11-N('03_Provisiones'!T11),0),MIN(MAX('03_Provisiones'!R11-N('03_Provisiones'!T11),0),'03_Provisiones'!S11)))))</f>
        <v/>
      </c>
      <c r="D11" s="20">
        <f>IF('03_Provisiones'!C11="Garantía",IF(COUNTIF('04_Garantias'!$B$5:$B$7,A11)=0,"",SUMIF('04_Garantias'!$B$5:$B$7,A11,'10_Garantias_calculo'!$F$5:$F$7)),"")</f>
        <v/>
      </c>
      <c r="E11" s="20">
        <f>N('03_Provisiones'!L11)+N('03_Provisiones'!N11)+N('03_Provisiones'!P11)</f>
        <v/>
      </c>
      <c r="F11" s="20">
        <f>IF(E11=0,"",(N('03_Provisiones'!K11)*N('03_Provisiones'!L11)+N('03_Provisiones'!M11)*N('03_Provisiones'!N11)+N('03_Provisiones'!O11)*N('03_Provisiones'!P11))/(N('03_Provisiones'!L11)+N('03_Provisiones'!N11)+N('03_Provisiones'!P11)))</f>
        <v/>
      </c>
      <c r="G11" s="20">
        <f>IF(E11=0,"",IF(AND(N('03_Provisiones'!L11)&gt;=N('03_Provisiones'!N11),N('03_Provisiones'!L11)&gt;=N('03_Provisiones'!P11)),'03_Provisiones'!K11,IF(N('03_Provisiones'!N11)&gt;=N('03_Provisiones'!P11),'03_Provisiones'!M11,'03_Provisiones'!O11)))</f>
        <v/>
      </c>
      <c r="H11" s="20">
        <f>IF(AND('03_Provisiones'!I11&lt;&gt;"",'03_Provisiones'!J11&lt;&gt;""),('03_Provisiones'!I11+'03_Provisiones'!J11)/2,"")</f>
        <v/>
      </c>
      <c r="I11" s="20">
        <f>IF('03_Provisiones'!G11="","",'03_Provisiones'!G11)</f>
        <v/>
      </c>
      <c r="J11" s="20">
        <f>IF('03_Provisiones'!H11="","",'03_Provisiones'!H11)</f>
        <v/>
      </c>
      <c r="K11" s="18">
        <f>IF(B11&lt;&gt;"","Hecho posterior (NIC 10.9 a)",IF(C11&lt;&gt;"","Oneroso: menor costo (37.68)",IF(D11&lt;&gt;"","Garantías: valor esperado (37.39)",IF(E11&gt;0,IF('03_Provisiones'!Q11="Más probable","Desenlace más probable (37.40)","Valor esperado (37.39)"),IF(H11&lt;&gt;"","Punto medio del rango (37.39)",IF(I11&lt;&gt;"","Carta del abogado",IF(J11&lt;&gt;"","Estimación de la gerencia","Sin estimación")))))))</f>
        <v/>
      </c>
      <c r="L11" s="20">
        <f>IF(B11&lt;&gt;"",B11,IF(C11&lt;&gt;"",C11,IF(D11&lt;&gt;"",D11,IF(E11&gt;0,IF('03_Provisiones'!Q11="Más probable",G11,F11),IF(H11&lt;&gt;"",H11,IF(I11&lt;&gt;"",I11,IF(J11&lt;&gt;"",J11,"")))))))</f>
        <v/>
      </c>
    </row>
    <row r="12">
      <c r="A12" s="19" t="inlineStr">
        <is>
          <t>REE-01</t>
        </is>
      </c>
      <c r="B12" s="21">
        <f>IF('03_Provisiones'!U12="","",'03_Provisiones'!U12)</f>
        <v/>
      </c>
      <c r="C12" s="21">
        <f>IF('03_Provisiones'!C12&lt;&gt;"Oneroso","",IF(AND('03_Provisiones'!R12="",'03_Provisiones'!S12=""),"",IF('03_Provisiones'!R12="",'03_Provisiones'!S12,IF('03_Provisiones'!S12="",MAX('03_Provisiones'!R12-N('03_Provisiones'!T12),0),MIN(MAX('03_Provisiones'!R12-N('03_Provisiones'!T12),0),'03_Provisiones'!S12)))))</f>
        <v/>
      </c>
      <c r="D12" s="21">
        <f>IF('03_Provisiones'!C12="Garantía",IF(COUNTIF('04_Garantias'!$B$5:$B$7,A12)=0,"",SUMIF('04_Garantias'!$B$5:$B$7,A12,'10_Garantias_calculo'!$F$5:$F$7)),"")</f>
        <v/>
      </c>
      <c r="E12" s="21">
        <f>N('03_Provisiones'!L12)+N('03_Provisiones'!N12)+N('03_Provisiones'!P12)</f>
        <v/>
      </c>
      <c r="F12" s="21">
        <f>IF(E12=0,"",(N('03_Provisiones'!K12)*N('03_Provisiones'!L12)+N('03_Provisiones'!M12)*N('03_Provisiones'!N12)+N('03_Provisiones'!O12)*N('03_Provisiones'!P12))/(N('03_Provisiones'!L12)+N('03_Provisiones'!N12)+N('03_Provisiones'!P12)))</f>
        <v/>
      </c>
      <c r="G12" s="21">
        <f>IF(E12=0,"",IF(AND(N('03_Provisiones'!L12)&gt;=N('03_Provisiones'!N12),N('03_Provisiones'!L12)&gt;=N('03_Provisiones'!P12)),'03_Provisiones'!K12,IF(N('03_Provisiones'!N12)&gt;=N('03_Provisiones'!P12),'03_Provisiones'!M12,'03_Provisiones'!O12)))</f>
        <v/>
      </c>
      <c r="H12" s="21">
        <f>IF(AND('03_Provisiones'!I12&lt;&gt;"",'03_Provisiones'!J12&lt;&gt;""),('03_Provisiones'!I12+'03_Provisiones'!J12)/2,"")</f>
        <v/>
      </c>
      <c r="I12" s="21">
        <f>IF('03_Provisiones'!G12="","",'03_Provisiones'!G12)</f>
        <v/>
      </c>
      <c r="J12" s="21">
        <f>IF('03_Provisiones'!H12="","",'03_Provisiones'!H12)</f>
        <v/>
      </c>
      <c r="K12" s="19">
        <f>IF(B12&lt;&gt;"","Hecho posterior (NIC 10.9 a)",IF(C12&lt;&gt;"","Oneroso: menor costo (37.68)",IF(D12&lt;&gt;"","Garantías: valor esperado (37.39)",IF(E12&gt;0,IF('03_Provisiones'!Q12="Más probable","Desenlace más probable (37.40)","Valor esperado (37.39)"),IF(H12&lt;&gt;"","Punto medio del rango (37.39)",IF(I12&lt;&gt;"","Carta del abogado",IF(J12&lt;&gt;"","Estimación de la gerencia","Sin estimación")))))))</f>
        <v/>
      </c>
      <c r="L12" s="21">
        <f>IF(B12&lt;&gt;"",B12,IF(C12&lt;&gt;"",C12,IF(D12&lt;&gt;"",D12,IF(E12&gt;0,IF('03_Provisiones'!Q12="Más probable",G12,F12),IF(H12&lt;&gt;"",H12,IF(I12&lt;&gt;"",I12,IF(J12&lt;&gt;"",J12,"")))))))</f>
        <v/>
      </c>
    </row>
    <row r="13">
      <c r="A13" s="18" t="inlineStr">
        <is>
          <t>AMB-01</t>
        </is>
      </c>
      <c r="B13" s="20">
        <f>IF('03_Provisiones'!U13="","",'03_Provisiones'!U13)</f>
        <v/>
      </c>
      <c r="C13" s="20">
        <f>IF('03_Provisiones'!C13&lt;&gt;"Oneroso","",IF(AND('03_Provisiones'!R13="",'03_Provisiones'!S13=""),"",IF('03_Provisiones'!R13="",'03_Provisiones'!S13,IF('03_Provisiones'!S13="",MAX('03_Provisiones'!R13-N('03_Provisiones'!T13),0),MIN(MAX('03_Provisiones'!R13-N('03_Provisiones'!T13),0),'03_Provisiones'!S13)))))</f>
        <v/>
      </c>
      <c r="D13" s="20">
        <f>IF('03_Provisiones'!C13="Garantía",IF(COUNTIF('04_Garantias'!$B$5:$B$7,A13)=0,"",SUMIF('04_Garantias'!$B$5:$B$7,A13,'10_Garantias_calculo'!$F$5:$F$7)),"")</f>
        <v/>
      </c>
      <c r="E13" s="20">
        <f>N('03_Provisiones'!L13)+N('03_Provisiones'!N13)+N('03_Provisiones'!P13)</f>
        <v/>
      </c>
      <c r="F13" s="20">
        <f>IF(E13=0,"",(N('03_Provisiones'!K13)*N('03_Provisiones'!L13)+N('03_Provisiones'!M13)*N('03_Provisiones'!N13)+N('03_Provisiones'!O13)*N('03_Provisiones'!P13))/(N('03_Provisiones'!L13)+N('03_Provisiones'!N13)+N('03_Provisiones'!P13)))</f>
        <v/>
      </c>
      <c r="G13" s="20">
        <f>IF(E13=0,"",IF(AND(N('03_Provisiones'!L13)&gt;=N('03_Provisiones'!N13),N('03_Provisiones'!L13)&gt;=N('03_Provisiones'!P13)),'03_Provisiones'!K13,IF(N('03_Provisiones'!N13)&gt;=N('03_Provisiones'!P13),'03_Provisiones'!M13,'03_Provisiones'!O13)))</f>
        <v/>
      </c>
      <c r="H13" s="20">
        <f>IF(AND('03_Provisiones'!I13&lt;&gt;"",'03_Provisiones'!J13&lt;&gt;""),('03_Provisiones'!I13+'03_Provisiones'!J13)/2,"")</f>
        <v/>
      </c>
      <c r="I13" s="20">
        <f>IF('03_Provisiones'!G13="","",'03_Provisiones'!G13)</f>
        <v/>
      </c>
      <c r="J13" s="20">
        <f>IF('03_Provisiones'!H13="","",'03_Provisiones'!H13)</f>
        <v/>
      </c>
      <c r="K13" s="18">
        <f>IF(B13&lt;&gt;"","Hecho posterior (NIC 10.9 a)",IF(C13&lt;&gt;"","Oneroso: menor costo (37.68)",IF(D13&lt;&gt;"","Garantías: valor esperado (37.39)",IF(E13&gt;0,IF('03_Provisiones'!Q13="Más probable","Desenlace más probable (37.40)","Valor esperado (37.39)"),IF(H13&lt;&gt;"","Punto medio del rango (37.39)",IF(I13&lt;&gt;"","Carta del abogado",IF(J13&lt;&gt;"","Estimación de la gerencia","Sin estimación")))))))</f>
        <v/>
      </c>
      <c r="L13" s="20">
        <f>IF(B13&lt;&gt;"",B13,IF(C13&lt;&gt;"",C13,IF(D13&lt;&gt;"",D13,IF(E13&gt;0,IF('03_Provisiones'!Q13="Más probable",G13,F13),IF(H13&lt;&gt;"",H13,IF(I13&lt;&gt;"",I13,IF(J13&lt;&gt;"",J13,"")))))))</f>
        <v/>
      </c>
    </row>
    <row r="14">
      <c r="A14" s="19" t="inlineStr">
        <is>
          <t>LIT-05</t>
        </is>
      </c>
      <c r="B14" s="21">
        <f>IF('03_Provisiones'!U14="","",'03_Provisiones'!U14)</f>
        <v/>
      </c>
      <c r="C14" s="21">
        <f>IF('03_Provisiones'!C14&lt;&gt;"Oneroso","",IF(AND('03_Provisiones'!R14="",'03_Provisiones'!S14=""),"",IF('03_Provisiones'!R14="",'03_Provisiones'!S14,IF('03_Provisiones'!S14="",MAX('03_Provisiones'!R14-N('03_Provisiones'!T14),0),MIN(MAX('03_Provisiones'!R14-N('03_Provisiones'!T14),0),'03_Provisiones'!S14)))))</f>
        <v/>
      </c>
      <c r="D14" s="21">
        <f>IF('03_Provisiones'!C14="Garantía",IF(COUNTIF('04_Garantias'!$B$5:$B$7,A14)=0,"",SUMIF('04_Garantias'!$B$5:$B$7,A14,'10_Garantias_calculo'!$F$5:$F$7)),"")</f>
        <v/>
      </c>
      <c r="E14" s="21">
        <f>N('03_Provisiones'!L14)+N('03_Provisiones'!N14)+N('03_Provisiones'!P14)</f>
        <v/>
      </c>
      <c r="F14" s="21">
        <f>IF(E14=0,"",(N('03_Provisiones'!K14)*N('03_Provisiones'!L14)+N('03_Provisiones'!M14)*N('03_Provisiones'!N14)+N('03_Provisiones'!O14)*N('03_Provisiones'!P14))/(N('03_Provisiones'!L14)+N('03_Provisiones'!N14)+N('03_Provisiones'!P14)))</f>
        <v/>
      </c>
      <c r="G14" s="21">
        <f>IF(E14=0,"",IF(AND(N('03_Provisiones'!L14)&gt;=N('03_Provisiones'!N14),N('03_Provisiones'!L14)&gt;=N('03_Provisiones'!P14)),'03_Provisiones'!K14,IF(N('03_Provisiones'!N14)&gt;=N('03_Provisiones'!P14),'03_Provisiones'!M14,'03_Provisiones'!O14)))</f>
        <v/>
      </c>
      <c r="H14" s="21">
        <f>IF(AND('03_Provisiones'!I14&lt;&gt;"",'03_Provisiones'!J14&lt;&gt;""),('03_Provisiones'!I14+'03_Provisiones'!J14)/2,"")</f>
        <v/>
      </c>
      <c r="I14" s="21">
        <f>IF('03_Provisiones'!G14="","",'03_Provisiones'!G14)</f>
        <v/>
      </c>
      <c r="J14" s="21">
        <f>IF('03_Provisiones'!H14="","",'03_Provisiones'!H14)</f>
        <v/>
      </c>
      <c r="K14" s="19">
        <f>IF(B14&lt;&gt;"","Hecho posterior (NIC 10.9 a)",IF(C14&lt;&gt;"","Oneroso: menor costo (37.68)",IF(D14&lt;&gt;"","Garantías: valor esperado (37.39)",IF(E14&gt;0,IF('03_Provisiones'!Q14="Más probable","Desenlace más probable (37.40)","Valor esperado (37.39)"),IF(H14&lt;&gt;"","Punto medio del rango (37.39)",IF(I14&lt;&gt;"","Carta del abogado",IF(J14&lt;&gt;"","Estimación de la gerencia","Sin estimación")))))))</f>
        <v/>
      </c>
      <c r="L14" s="21">
        <f>IF(B14&lt;&gt;"",B14,IF(C14&lt;&gt;"",C14,IF(D14&lt;&gt;"",D14,IF(E14&gt;0,IF('03_Provisiones'!Q14="Más probable",G14,F14),IF(H14&lt;&gt;"",H14,IF(I14&lt;&gt;"",I14,IF(J14&lt;&gt;"",J14,"")))))))</f>
        <v/>
      </c>
    </row>
    <row r="15">
      <c r="A15" s="18" t="inlineStr">
        <is>
          <t>LIT-06</t>
        </is>
      </c>
      <c r="B15" s="20">
        <f>IF('03_Provisiones'!U15="","",'03_Provisiones'!U15)</f>
        <v/>
      </c>
      <c r="C15" s="20">
        <f>IF('03_Provisiones'!C15&lt;&gt;"Oneroso","",IF(AND('03_Provisiones'!R15="",'03_Provisiones'!S15=""),"",IF('03_Provisiones'!R15="",'03_Provisiones'!S15,IF('03_Provisiones'!S15="",MAX('03_Provisiones'!R15-N('03_Provisiones'!T15),0),MIN(MAX('03_Provisiones'!R15-N('03_Provisiones'!T15),0),'03_Provisiones'!S15)))))</f>
        <v/>
      </c>
      <c r="D15" s="20">
        <f>IF('03_Provisiones'!C15="Garantía",IF(COUNTIF('04_Garantias'!$B$5:$B$7,A15)=0,"",SUMIF('04_Garantias'!$B$5:$B$7,A15,'10_Garantias_calculo'!$F$5:$F$7)),"")</f>
        <v/>
      </c>
      <c r="E15" s="20">
        <f>N('03_Provisiones'!L15)+N('03_Provisiones'!N15)+N('03_Provisiones'!P15)</f>
        <v/>
      </c>
      <c r="F15" s="20">
        <f>IF(E15=0,"",(N('03_Provisiones'!K15)*N('03_Provisiones'!L15)+N('03_Provisiones'!M15)*N('03_Provisiones'!N15)+N('03_Provisiones'!O15)*N('03_Provisiones'!P15))/(N('03_Provisiones'!L15)+N('03_Provisiones'!N15)+N('03_Provisiones'!P15)))</f>
        <v/>
      </c>
      <c r="G15" s="20">
        <f>IF(E15=0,"",IF(AND(N('03_Provisiones'!L15)&gt;=N('03_Provisiones'!N15),N('03_Provisiones'!L15)&gt;=N('03_Provisiones'!P15)),'03_Provisiones'!K15,IF(N('03_Provisiones'!N15)&gt;=N('03_Provisiones'!P15),'03_Provisiones'!M15,'03_Provisiones'!O15)))</f>
        <v/>
      </c>
      <c r="H15" s="20">
        <f>IF(AND('03_Provisiones'!I15&lt;&gt;"",'03_Provisiones'!J15&lt;&gt;""),('03_Provisiones'!I15+'03_Provisiones'!J15)/2,"")</f>
        <v/>
      </c>
      <c r="I15" s="20">
        <f>IF('03_Provisiones'!G15="","",'03_Provisiones'!G15)</f>
        <v/>
      </c>
      <c r="J15" s="20">
        <f>IF('03_Provisiones'!H15="","",'03_Provisiones'!H15)</f>
        <v/>
      </c>
      <c r="K15" s="18">
        <f>IF(B15&lt;&gt;"","Hecho posterior (NIC 10.9 a)",IF(C15&lt;&gt;"","Oneroso: menor costo (37.68)",IF(D15&lt;&gt;"","Garantías: valor esperado (37.39)",IF(E15&gt;0,IF('03_Provisiones'!Q15="Más probable","Desenlace más probable (37.40)","Valor esperado (37.39)"),IF(H15&lt;&gt;"","Punto medio del rango (37.39)",IF(I15&lt;&gt;"","Carta del abogado",IF(J15&lt;&gt;"","Estimación de la gerencia","Sin estimación")))))))</f>
        <v/>
      </c>
      <c r="L15" s="20">
        <f>IF(B15&lt;&gt;"",B15,IF(C15&lt;&gt;"",C15,IF(D15&lt;&gt;"",D15,IF(E15&gt;0,IF('03_Provisiones'!Q15="Más probable",G15,F15),IF(H15&lt;&gt;"",H15,IF(I15&lt;&gt;"",I15,IF(J15&lt;&gt;"",J15,"")))))))</f>
        <v/>
      </c>
    </row>
    <row r="16">
      <c r="A16" s="19" t="inlineStr">
        <is>
          <t>OTR-01</t>
        </is>
      </c>
      <c r="B16" s="21">
        <f>IF('03_Provisiones'!U16="","",'03_Provisiones'!U16)</f>
        <v/>
      </c>
      <c r="C16" s="21">
        <f>IF('03_Provisiones'!C16&lt;&gt;"Oneroso","",IF(AND('03_Provisiones'!R16="",'03_Provisiones'!S16=""),"",IF('03_Provisiones'!R16="",'03_Provisiones'!S16,IF('03_Provisiones'!S16="",MAX('03_Provisiones'!R16-N('03_Provisiones'!T16),0),MIN(MAX('03_Provisiones'!R16-N('03_Provisiones'!T16),0),'03_Provisiones'!S16)))))</f>
        <v/>
      </c>
      <c r="D16" s="21">
        <f>IF('03_Provisiones'!C16="Garantía",IF(COUNTIF('04_Garantias'!$B$5:$B$7,A16)=0,"",SUMIF('04_Garantias'!$B$5:$B$7,A16,'10_Garantias_calculo'!$F$5:$F$7)),"")</f>
        <v/>
      </c>
      <c r="E16" s="21">
        <f>N('03_Provisiones'!L16)+N('03_Provisiones'!N16)+N('03_Provisiones'!P16)</f>
        <v/>
      </c>
      <c r="F16" s="21">
        <f>IF(E16=0,"",(N('03_Provisiones'!K16)*N('03_Provisiones'!L16)+N('03_Provisiones'!M16)*N('03_Provisiones'!N16)+N('03_Provisiones'!O16)*N('03_Provisiones'!P16))/(N('03_Provisiones'!L16)+N('03_Provisiones'!N16)+N('03_Provisiones'!P16)))</f>
        <v/>
      </c>
      <c r="G16" s="21">
        <f>IF(E16=0,"",IF(AND(N('03_Provisiones'!L16)&gt;=N('03_Provisiones'!N16),N('03_Provisiones'!L16)&gt;=N('03_Provisiones'!P16)),'03_Provisiones'!K16,IF(N('03_Provisiones'!N16)&gt;=N('03_Provisiones'!P16),'03_Provisiones'!M16,'03_Provisiones'!O16)))</f>
        <v/>
      </c>
      <c r="H16" s="21">
        <f>IF(AND('03_Provisiones'!I16&lt;&gt;"",'03_Provisiones'!J16&lt;&gt;""),('03_Provisiones'!I16+'03_Provisiones'!J16)/2,"")</f>
        <v/>
      </c>
      <c r="I16" s="21">
        <f>IF('03_Provisiones'!G16="","",'03_Provisiones'!G16)</f>
        <v/>
      </c>
      <c r="J16" s="21">
        <f>IF('03_Provisiones'!H16="","",'03_Provisiones'!H16)</f>
        <v/>
      </c>
      <c r="K16" s="19">
        <f>IF(B16&lt;&gt;"","Hecho posterior (NIC 10.9 a)",IF(C16&lt;&gt;"","Oneroso: menor costo (37.68)",IF(D16&lt;&gt;"","Garantías: valor esperado (37.39)",IF(E16&gt;0,IF('03_Provisiones'!Q16="Más probable","Desenlace más probable (37.40)","Valor esperado (37.39)"),IF(H16&lt;&gt;"","Punto medio del rango (37.39)",IF(I16&lt;&gt;"","Carta del abogado",IF(J16&lt;&gt;"","Estimación de la gerencia","Sin estimación")))))))</f>
        <v/>
      </c>
      <c r="L16" s="21">
        <f>IF(B16&lt;&gt;"",B16,IF(C16&lt;&gt;"",C16,IF(D16&lt;&gt;"",D16,IF(E16&gt;0,IF('03_Provisiones'!Q16="Más probable",G16,F16),IF(H16&lt;&gt;"",H16,IF(I16&lt;&gt;"",I16,IF(J16&lt;&gt;"",J16,"")))))))</f>
        <v/>
      </c>
    </row>
    <row r="17">
      <c r="A17" s="18" t="inlineStr">
        <is>
          <t>ACT-01</t>
        </is>
      </c>
      <c r="B17" s="20">
        <f>IF('03_Provisiones'!U17="","",'03_Provisiones'!U17)</f>
        <v/>
      </c>
      <c r="C17" s="20">
        <f>IF('03_Provisiones'!C17&lt;&gt;"Oneroso","",IF(AND('03_Provisiones'!R17="",'03_Provisiones'!S17=""),"",IF('03_Provisiones'!R17="",'03_Provisiones'!S17,IF('03_Provisiones'!S17="",MAX('03_Provisiones'!R17-N('03_Provisiones'!T17),0),MIN(MAX('03_Provisiones'!R17-N('03_Provisiones'!T17),0),'03_Provisiones'!S17)))))</f>
        <v/>
      </c>
      <c r="D17" s="20">
        <f>IF('03_Provisiones'!C17="Garantía",IF(COUNTIF('04_Garantias'!$B$5:$B$7,A17)=0,"",SUMIF('04_Garantias'!$B$5:$B$7,A17,'10_Garantias_calculo'!$F$5:$F$7)),"")</f>
        <v/>
      </c>
      <c r="E17" s="20">
        <f>N('03_Provisiones'!L17)+N('03_Provisiones'!N17)+N('03_Provisiones'!P17)</f>
        <v/>
      </c>
      <c r="F17" s="20">
        <f>IF(E17=0,"",(N('03_Provisiones'!K17)*N('03_Provisiones'!L17)+N('03_Provisiones'!M17)*N('03_Provisiones'!N17)+N('03_Provisiones'!O17)*N('03_Provisiones'!P17))/(N('03_Provisiones'!L17)+N('03_Provisiones'!N17)+N('03_Provisiones'!P17)))</f>
        <v/>
      </c>
      <c r="G17" s="20">
        <f>IF(E17=0,"",IF(AND(N('03_Provisiones'!L17)&gt;=N('03_Provisiones'!N17),N('03_Provisiones'!L17)&gt;=N('03_Provisiones'!P17)),'03_Provisiones'!K17,IF(N('03_Provisiones'!N17)&gt;=N('03_Provisiones'!P17),'03_Provisiones'!M17,'03_Provisiones'!O17)))</f>
        <v/>
      </c>
      <c r="H17" s="20">
        <f>IF(AND('03_Provisiones'!I17&lt;&gt;"",'03_Provisiones'!J17&lt;&gt;""),('03_Provisiones'!I17+'03_Provisiones'!J17)/2,"")</f>
        <v/>
      </c>
      <c r="I17" s="20">
        <f>IF('03_Provisiones'!G17="","",'03_Provisiones'!G17)</f>
        <v/>
      </c>
      <c r="J17" s="20">
        <f>IF('03_Provisiones'!H17="","",'03_Provisiones'!H17)</f>
        <v/>
      </c>
      <c r="K17" s="18">
        <f>IF(B17&lt;&gt;"","Hecho posterior (NIC 10.9 a)",IF(C17&lt;&gt;"","Oneroso: menor costo (37.68)",IF(D17&lt;&gt;"","Garantías: valor esperado (37.39)",IF(E17&gt;0,IF('03_Provisiones'!Q17="Más probable","Desenlace más probable (37.40)","Valor esperado (37.39)"),IF(H17&lt;&gt;"","Punto medio del rango (37.39)",IF(I17&lt;&gt;"","Carta del abogado",IF(J17&lt;&gt;"","Estimación de la gerencia","Sin estimación")))))))</f>
        <v/>
      </c>
      <c r="L17" s="20">
        <f>IF(B17&lt;&gt;"",B17,IF(C17&lt;&gt;"",C17,IF(D17&lt;&gt;"",D17,IF(E17&gt;0,IF('03_Provisiones'!Q17="Más probable",G17,F17),IF(H17&lt;&gt;"",H17,IF(I17&lt;&gt;"",I17,IF(J17&lt;&gt;"",J17,"")))))))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Hecho posterior</t>
        </is>
      </c>
      <c r="B21" s="25" t="inlineStr">
        <is>
          <t>'=IF('03_Provisiones'!U5="","",'03_Provisiones'!U5)</t>
        </is>
      </c>
      <c r="C21" s="24" t="inlineStr">
        <is>
          <t>Copia de la hoja 03 (datos del cliente) el importe fijado después del corte por sentencia o acuerdo; vacío si no lo hay.</t>
        </is>
      </c>
      <c r="D21" s="24" t="inlineStr">
        <is>
          <t>Fila 1: IF((vacío)=""; ""; (vacío)) → (en blanco)</t>
        </is>
      </c>
      <c r="E21" s="24" t="inlineStr">
        <is>
          <t>hoja «Provisiones y contingencias (datos del cliente)»</t>
        </is>
      </c>
      <c r="F21" s="24" t="inlineStr">
        <is>
          <t>—</t>
        </is>
      </c>
    </row>
    <row r="22">
      <c r="A22" s="24" t="inlineStr">
        <is>
          <t>Oneroso: mín(costo neto, penalización)</t>
        </is>
      </c>
      <c r="B22" s="25" t="inlineStr">
        <is>
          <t>'=IF('03_Provisiones'!C5&lt;&gt;"Oneroso","",IF(AND('03_Provisiones'!R5="",'03_Provisiones'!S5=""),"",IF('03_Provisiones'!R5="",'03_Provisiones'!S5,IF('03_Provisiones'!S5="",MAX('03_Provisiones'!R5-N('03_Provisiones'!T5),0),MIN(MAX('03_Provisiones'!R5-N('03_Provisiones'!T5),0),'03_Provisiones'!S5)))))</t>
        </is>
      </c>
      <c r="C22" s="24" t="inlineStr">
        <is>
          <t>Solo en contratos onerosos, con datos de la hoja 03 (datos del cliente): costo de cumplir menos beneficios esperados (nunca negativo) y, si hay penalización, el menor entre ese costo neto y la penalización; si falta uno, usa el otro.</t>
        </is>
      </c>
      <c r="D22" s="24" t="inlineStr">
        <is>
          <t>Fila 1: IF(«Litigio»&lt;&gt;"Oneroso"; ""; IF(AND((vacío)=""; (vacío)=""); ""; IF((vacío)=""; (vacío); IF((vacío)=""; MAX((vacío)-N((vacío)); 0); MIN(MAX((vacío)-N((vacío)); 0); (vacío)))))) → (en blanco)</t>
        </is>
      </c>
      <c r="E22" s="24" t="inlineStr">
        <is>
          <t>hoja «Provisiones y contingencias (datos del cliente)»</t>
        </is>
      </c>
      <c r="F22" s="24" t="inlineStr">
        <is>
          <t>—</t>
        </is>
      </c>
    </row>
    <row r="23">
      <c r="A23" s="24" t="inlineStr">
        <is>
          <t>Garantías</t>
        </is>
      </c>
      <c r="B23" s="25" t="inlineStr">
        <is>
          <t>'=IF('03_Provisiones'!C5="Garantía",IF(COUNTIF('04_Garantias'!$B$5:$B$7,A5)=0,"",SUMIF('04_Garantias'!$B$5:$B$7,A5,'10_Garantias_calculo'!$F$5:$F$7)),"")</t>
        </is>
      </c>
      <c r="C23" s="24" t="inlineStr">
        <is>
          <t>Solo en provisiones de tipo garantía: suma la provisión calculada en la hoja 10 (Garantías: cálculo) de las líneas de la hoja 04 vinculadas a este código; vacío si no tiene líneas.</t>
        </is>
      </c>
      <c r="D23" s="24" t="inlineStr">
        <is>
          <t>Fila 1: IF(«Litigio»="Garantía"; IF(COUNTIF([«Provisión» de «Garantías (datos del cliente)», 3 filas]; «LIT-01»)=0; ""; SUMIF([«Provisión» de «Garantías (datos del cliente)», 3 filas]; «LIT-01»; [«Provisión calculada» de «Garantías: cálculo», 3 filas])); "") → (en blanco)</t>
        </is>
      </c>
      <c r="E23" s="24" t="inlineStr">
        <is>
          <t>«Código» (esta hoja), hoja «Provisiones y contingencias (datos del cliente)», hoja «Garantías (datos del cliente)», hoja «Garantías: cálculo»</t>
        </is>
      </c>
      <c r="F23" s="24" t="inlineStr">
        <is>
          <t>—</t>
        </is>
      </c>
    </row>
    <row r="24">
      <c r="A24" s="24" t="inlineStr">
        <is>
          <t>Σ probabilidades %</t>
        </is>
      </c>
      <c r="B24" s="25" t="inlineStr">
        <is>
          <t>'=N('03_Provisiones'!L5)+N('03_Provisiones'!N5)+N('03_Provisiones'!P5)</t>
        </is>
      </c>
      <c r="C24" s="24" t="inlineStr">
        <is>
          <t>Suma las probabilidades (%) de los tres escenarios informados en la hoja 03 (datos del cliente); las vacías cuentan como cero.</t>
        </is>
      </c>
      <c r="D24" s="24" t="inlineStr">
        <is>
          <t>Fila 1: N(60,00)+N(30,00)+N(10,00) → 100,00</t>
        </is>
      </c>
      <c r="E24" s="24" t="inlineStr">
        <is>
          <t>hoja «Provisiones y contingencias (datos del cliente)»</t>
        </is>
      </c>
      <c r="F24" s="24" t="inlineStr">
        <is>
          <t>—</t>
        </is>
      </c>
    </row>
    <row r="25">
      <c r="A25" s="24" t="inlineStr">
        <is>
          <t>Valor esperado</t>
        </is>
      </c>
      <c r="B25" s="25" t="inlineStr">
        <is>
          <t>'=IF(E5=0,"",(N('03_Provisiones'!K5)*N('03_Provisiones'!L5)+N('03_Provisiones'!M5)*N('03_Provisiones'!N5)+N('03_Provisiones'!O5)*N('03_Provisiones'!P5))/(N('03_Provisiones'!L5)+N('03_Provisiones'!N5)+N('03_Provisiones'!P5)))</t>
        </is>
      </c>
      <c r="C25" s="24" t="inlineStr">
        <is>
          <t>Pondera el importe de cada escenario de la hoja 03 por su probabilidad y divide para la suma de probabilidades; en blanco si ningún escenario tiene probabilidad.</t>
        </is>
      </c>
      <c r="D25" s="24" t="inlineStr">
        <is>
          <t>Fila 1: IF(100,00=0; ""; (N(150.000,00)*N(60,00)+N(80.000,00)*N(30,00)+N(0,00)*N(10,00))/(N(60,00)+N(30,00)+N(10,00))) → 114.000,00</t>
        </is>
      </c>
      <c r="E25" s="24" t="inlineStr">
        <is>
          <t>«Σ probabilidades %» (esta hoja), hoja «Provisiones y contingencias (datos del cliente)»</t>
        </is>
      </c>
      <c r="F25" s="24" t="inlineStr">
        <is>
          <t>—</t>
        </is>
      </c>
    </row>
    <row r="26">
      <c r="A26" s="24" t="inlineStr">
        <is>
          <t>Más probable</t>
        </is>
      </c>
      <c r="B26" s="25" t="inlineStr">
        <is>
          <t>'=IF(E5=0,"",IF(AND(N('03_Provisiones'!L5)&gt;=N('03_Provisiones'!N5),N('03_Provisiones'!L5)&gt;=N('03_Provisiones'!P5)),'03_Provisiones'!K5,IF(N('03_Provisiones'!N5)&gt;=N('03_Provisiones'!P5),'03_Provisiones'!M5,'03_Provisiones'!O5)))</t>
        </is>
      </c>
      <c r="C26" s="24" t="inlineStr">
        <is>
          <t>Toma el importe del escenario con mayor probabilidad (en empate gana el de menor número); en blanco si ningún escenario tiene probabilidad.</t>
        </is>
      </c>
      <c r="D26" s="24" t="inlineStr">
        <is>
          <t>Fila 1: IF(100,00=0; ""; IF(AND(N(60,00)&gt;=N(30,00); N(60,00)&gt;=N(10,00)); 150.000,00; IF(N(30,00)&gt;=N(10,00); 80.000,00; 0,00))) → 150.000,00</t>
        </is>
      </c>
      <c r="E26" s="24" t="inlineStr">
        <is>
          <t>«Σ probabilidades %» (esta hoja), hoja «Provisiones y contingencias (datos del cliente)»</t>
        </is>
      </c>
      <c r="F26" s="24" t="inlineStr">
        <is>
          <t>—</t>
        </is>
      </c>
    </row>
    <row r="27">
      <c r="A27" s="24" t="inlineStr">
        <is>
          <t>Punto medio del rango</t>
        </is>
      </c>
      <c r="B27" s="25" t="inlineStr">
        <is>
          <t>'=IF(AND('03_Provisiones'!I5&lt;&gt;"",'03_Provisiones'!J5&lt;&gt;""),('03_Provisiones'!I5+'03_Provisiones'!J5)/2,"")</t>
        </is>
      </c>
      <c r="C27" s="24" t="inlineStr">
        <is>
          <t>Promedia el importe mínimo y el máximo del rango informado en la hoja 03; en blanco si falta alguno de los dos.</t>
        </is>
      </c>
      <c r="D27" s="24" t="inlineStr">
        <is>
          <t>Fila 1: IF(AND((vacío)&lt;&gt;""; (vacío)&lt;&gt;""); ((vacío)+(vacío))/2; "") → (en blanco)</t>
        </is>
      </c>
      <c r="E27" s="24" t="inlineStr">
        <is>
          <t>hoja «Provisiones y contingencias (datos del cliente)»</t>
        </is>
      </c>
      <c r="F27" s="24" t="inlineStr">
        <is>
          <t>—</t>
        </is>
      </c>
    </row>
    <row r="28">
      <c r="A28" s="24" t="inlineStr">
        <is>
          <t>Carta del abogado</t>
        </is>
      </c>
      <c r="B28" s="25" t="inlineStr">
        <is>
          <t>'=IF('03_Provisiones'!G5="","",'03_Provisiones'!G5)</t>
        </is>
      </c>
      <c r="C28" s="24" t="inlineStr">
        <is>
          <t>Copia el importe que indica la carta del abogado en la hoja 03 (datos del cliente); vacío si no lo informó.</t>
        </is>
      </c>
      <c r="D28" s="24" t="inlineStr">
        <is>
          <t>Fila 1: IF(120.000,00=""; ""; 120.000,00) → 120.000,00</t>
        </is>
      </c>
      <c r="E28" s="24" t="inlineStr">
        <is>
          <t>hoja «Provisiones y contingencias (datos del cliente)»</t>
        </is>
      </c>
      <c r="F28" s="24" t="inlineStr">
        <is>
          <t>—</t>
        </is>
      </c>
    </row>
    <row r="29">
      <c r="A29" s="24" t="inlineStr">
        <is>
          <t>Estimación gerencia</t>
        </is>
      </c>
      <c r="B29" s="25" t="inlineStr">
        <is>
          <t>'=IF('03_Provisiones'!H5="","",'03_Provisiones'!H5)</t>
        </is>
      </c>
      <c r="C29" s="24" t="inlineStr">
        <is>
          <t>Copia la estimación de la gerencia (sin descontar) de la hoja 03 (datos del cliente); vacío si no la informó.</t>
        </is>
      </c>
      <c r="D29" s="24" t="inlineStr">
        <is>
          <t>Fila 1: IF((vacío)=""; ""; (vacío)) → (en blanco)</t>
        </is>
      </c>
      <c r="E29" s="24" t="inlineStr">
        <is>
          <t>hoja «Provisiones y contingencias (datos del cliente)»</t>
        </is>
      </c>
      <c r="F29" s="24" t="inlineStr">
        <is>
          <t>—</t>
        </is>
      </c>
    </row>
    <row r="30">
      <c r="A30" s="24" t="inlineStr">
        <is>
          <t>Base usada</t>
        </is>
      </c>
      <c r="B30" s="25" t="inlineStr">
        <is>
          <t>'=IF(B5&lt;&gt;"","Hecho posterior (NIC 10.9 a)",IF(C5&lt;&gt;"","Oneroso: menor costo (37.68)",IF(D5&lt;&gt;"","Garantías: valor esperado (37.39)",IF(E5&gt;0,IF('03_Provisiones'!Q5="Más probable","Desenlace más probable (37.40)","Valor esperado (37.39)"),IF(H5&lt;&gt;"","Punto medio del rango (37.39)",IF(I5&lt;&gt;"","Carta del abogado",IF(J5&lt;&gt;"","Estimación de la gerencia","Sin estimación")))))))</t>
        </is>
      </c>
      <c r="C30" s="24" t="inlineStr">
        <is>
          <t>Indica qué dato se tomó como mejor estimación, en este orden: hecho posterior, contrato oneroso, garantías, escenarios (valor esperado o más probable según el método), punto medio del rango, carta del abogado y estimación de la gerencia.</t>
        </is>
      </c>
      <c r="D30" s="24" t="inlineStr">
        <is>
          <t>Fila 1: IF((vacío)&lt;&gt;""; "Hecho posterior (NIC 10.9 a)"; IF((vacío)&lt;&gt;""; "Oneroso: menor costo (37.68)"; IF((vacío)&lt;&gt;""; "Garantías: valor esperado (37.39)"; IF(100,00&gt;0; IF((vacío)="Más probable"; "Desenlace más probable (37.40)"; "Valor esperado (37.39)"); IF((vacío)&lt;&gt;""; "Punto medio del rango (37.39)"; IF(120.000,00&lt;&gt;""; "Carta del abogado"; IF((vacío)&lt;&gt;""; "Estimación de la gerencia"; "Sin estimación"))))))) → Valor esperado (37.39)</t>
        </is>
      </c>
      <c r="E30" s="24" t="inlineStr">
        <is>
          <t>«Hecho posterior» (esta hoja), «Oneroso: mín(costo neto, penalización)» (esta hoja), «Garantías» (esta hoja), «Σ probabilidades %» (esta hoja), «Punto medio del rango» (esta hoja), «Carta del abogado» (esta hoja), «Estimación gerencia» (esta hoja), hoja «Provisiones y contingencias (datos del cliente)»</t>
        </is>
      </c>
      <c r="F30" s="24" t="inlineStr">
        <is>
          <t>—</t>
        </is>
      </c>
    </row>
    <row r="31">
      <c r="A31" s="24" t="inlineStr">
        <is>
          <t>Mejor estimación</t>
        </is>
      </c>
      <c r="B31" s="25" t="inlineStr">
        <is>
          <t>'=IF(B5&lt;&gt;"",B5,IF(C5&lt;&gt;"",C5,IF(D5&lt;&gt;"",D5,IF(E5&gt;0,IF('03_Provisiones'!Q5="Más probable",G5,F5),IF(H5&lt;&gt;"",H5,IF(I5&lt;&gt;"",I5,IF(J5&lt;&gt;"",J5,"")))))))</t>
        </is>
      </c>
      <c r="C31" s="24" t="inlineStr">
        <is>
          <t>Toma el importe de la primera base disponible en ese mismo orden; con escenarios usa el más probable si el método de la hoja 03 lo pide y, si no, el valor esperado; vacío si no hay ninguna base.</t>
        </is>
      </c>
      <c r="D31" s="24" t="inlineStr">
        <is>
          <t>Fila 1: IF((vacío)&lt;&gt;""; (vacío); IF((vacío)&lt;&gt;""; (vacío); IF((vacío)&lt;&gt;""; (vacío); IF(100,00&gt;0; IF((vacío)="Más probable"; 150.000,00; 114.000,00); IF((vacío)&lt;&gt;""; (vacío); IF(120.000,00&lt;&gt;""; 120.000,00; IF((vacío)&lt;&gt;""; (vacío); ""))))))) → 114.000,00</t>
        </is>
      </c>
      <c r="E31" s="24" t="inlineStr">
        <is>
          <t>«Hecho posterior» (esta hoja), «Oneroso: mín(costo neto, penalización)» (esta hoja), «Garantías» (esta hoja), «Σ probabilidades %» (esta hoja), «Más probable» (esta hoja), «Valor esperado» (esta hoja), «Punto medio del rango» (esta hoja), «Carta del abogado» (esta hoja), «Estimación gerencia» (esta hoja), hoja «Provisiones y contingencias (datos del cliente)»</t>
        </is>
      </c>
      <c r="F31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7" customWidth="1" min="4" max="4"/>
    <col width="13" customWidth="1" min="5" max="5"/>
    <col width="21" customWidth="1" min="6" max="6"/>
    <col width="20" customWidth="1" min="7" max="7"/>
    <col width="22" customWidth="1" min="8" max="8"/>
  </cols>
  <sheetData>
    <row r="1">
      <c r="A1" s="3" t="inlineStr">
        <is>
          <t>Valor presente (descuento)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Mejor estimación</t>
        </is>
      </c>
      <c r="C4" s="17" t="inlineStr">
        <is>
          <t>Plazo (años)</t>
        </is>
      </c>
      <c r="D4" s="17" t="inlineStr">
        <is>
          <t>Tasa antes de impuestos %</t>
        </is>
      </c>
      <c r="E4" s="17" t="inlineStr">
        <is>
          <t>¿Descontar?</t>
        </is>
      </c>
      <c r="F4" s="17" t="inlineStr">
        <is>
          <t>Factor de descuento</t>
        </is>
      </c>
      <c r="G4" s="17" t="inlineStr">
        <is>
          <t>Valor presente</t>
        </is>
      </c>
      <c r="H4" s="17" t="inlineStr">
        <is>
          <t>Efecto del descuento</t>
        </is>
      </c>
    </row>
    <row r="5">
      <c r="A5" s="18" t="inlineStr">
        <is>
          <t>LIT-01</t>
        </is>
      </c>
      <c r="B5" s="20">
        <f>IF('06_Mejor_estimacion'!L5="","",'06_Mejor_estimacion'!L5)</f>
        <v/>
      </c>
      <c r="C5" s="20">
        <f>IF('03_Provisiones'!V5="","",'03_Provisiones'!V5)</f>
        <v/>
      </c>
      <c r="D5" s="20">
        <f>IF('03_Provisiones'!W5&lt;&gt;"",'03_Provisiones'!W5,IF('02_Parametros'!$B$8&lt;&gt;"",'02_Parametros'!$B$8,""))</f>
        <v/>
      </c>
      <c r="E5" s="18">
        <f>IF(AND(C5&lt;&gt;"",C5&gt;'02_Parametros'!$B$9),"Sí","No")</f>
        <v/>
      </c>
      <c r="F5" s="28">
        <f>IF(E5="No",1,IF(D5="","",1/(1+D5/100)^C5))</f>
        <v/>
      </c>
      <c r="G5" s="20">
        <f>IF(OR(B5="",F5=""),"",B5*F5)</f>
        <v/>
      </c>
      <c r="H5" s="20">
        <f>IF(G5="","",B5-G5)</f>
        <v/>
      </c>
    </row>
    <row r="6">
      <c r="A6" s="19" t="inlineStr">
        <is>
          <t>LIT-02</t>
        </is>
      </c>
      <c r="B6" s="21">
        <f>IF('06_Mejor_estimacion'!L6="","",'06_Mejor_estimacion'!L6)</f>
        <v/>
      </c>
      <c r="C6" s="21">
        <f>IF('03_Provisiones'!V6="","",'03_Provisiones'!V6)</f>
        <v/>
      </c>
      <c r="D6" s="21">
        <f>IF('03_Provisiones'!W6&lt;&gt;"",'03_Provisiones'!W6,IF('02_Parametros'!$B$8&lt;&gt;"",'02_Parametros'!$B$8,""))</f>
        <v/>
      </c>
      <c r="E6" s="19">
        <f>IF(AND(C6&lt;&gt;"",C6&gt;'02_Parametros'!$B$9),"Sí","No")</f>
        <v/>
      </c>
      <c r="F6" s="27">
        <f>IF(E6="No",1,IF(D6="","",1/(1+D6/100)^C6))</f>
        <v/>
      </c>
      <c r="G6" s="21">
        <f>IF(OR(B6="",F6=""),"",B6*F6)</f>
        <v/>
      </c>
      <c r="H6" s="21">
        <f>IF(G6="","",B6-G6)</f>
        <v/>
      </c>
    </row>
    <row r="7">
      <c r="A7" s="18" t="inlineStr">
        <is>
          <t>LIT-03</t>
        </is>
      </c>
      <c r="B7" s="20">
        <f>IF('06_Mejor_estimacion'!L7="","",'06_Mejor_estimacion'!L7)</f>
        <v/>
      </c>
      <c r="C7" s="20">
        <f>IF('03_Provisiones'!V7="","",'03_Provisiones'!V7)</f>
        <v/>
      </c>
      <c r="D7" s="20">
        <f>IF('03_Provisiones'!W7&lt;&gt;"",'03_Provisiones'!W7,IF('02_Parametros'!$B$8&lt;&gt;"",'02_Parametros'!$B$8,""))</f>
        <v/>
      </c>
      <c r="E7" s="18">
        <f>IF(AND(C7&lt;&gt;"",C7&gt;'02_Parametros'!$B$9),"Sí","No")</f>
        <v/>
      </c>
      <c r="F7" s="28">
        <f>IF(E7="No",1,IF(D7="","",1/(1+D7/100)^C7))</f>
        <v/>
      </c>
      <c r="G7" s="20">
        <f>IF(OR(B7="",F7=""),"",B7*F7)</f>
        <v/>
      </c>
      <c r="H7" s="20">
        <f>IF(G7="","",B7-G7)</f>
        <v/>
      </c>
    </row>
    <row r="8">
      <c r="A8" s="19" t="inlineStr">
        <is>
          <t>LIT-04</t>
        </is>
      </c>
      <c r="B8" s="21">
        <f>IF('06_Mejor_estimacion'!L8="","",'06_Mejor_estimacion'!L8)</f>
        <v/>
      </c>
      <c r="C8" s="21">
        <f>IF('03_Provisiones'!V8="","",'03_Provisiones'!V8)</f>
        <v/>
      </c>
      <c r="D8" s="21">
        <f>IF('03_Provisiones'!W8&lt;&gt;"",'03_Provisiones'!W8,IF('02_Parametros'!$B$8&lt;&gt;"",'02_Parametros'!$B$8,""))</f>
        <v/>
      </c>
      <c r="E8" s="19">
        <f>IF(AND(C8&lt;&gt;"",C8&gt;'02_Parametros'!$B$9),"Sí","No")</f>
        <v/>
      </c>
      <c r="F8" s="27">
        <f>IF(E8="No",1,IF(D8="","",1/(1+D8/100)^C8))</f>
        <v/>
      </c>
      <c r="G8" s="21">
        <f>IF(OR(B8="",F8=""),"",B8*F8)</f>
        <v/>
      </c>
      <c r="H8" s="21">
        <f>IF(G8="","",B8-G8)</f>
        <v/>
      </c>
    </row>
    <row r="9">
      <c r="A9" s="18" t="inlineStr">
        <is>
          <t>GAR-01</t>
        </is>
      </c>
      <c r="B9" s="20">
        <f>IF('06_Mejor_estimacion'!L9="","",'06_Mejor_estimacion'!L9)</f>
        <v/>
      </c>
      <c r="C9" s="20">
        <f>IF('03_Provisiones'!V9="","",'03_Provisiones'!V9)</f>
        <v/>
      </c>
      <c r="D9" s="20">
        <f>IF('03_Provisiones'!W9&lt;&gt;"",'03_Provisiones'!W9,IF('02_Parametros'!$B$8&lt;&gt;"",'02_Parametros'!$B$8,""))</f>
        <v/>
      </c>
      <c r="E9" s="18">
        <f>IF(AND(C9&lt;&gt;"",C9&gt;'02_Parametros'!$B$9),"Sí","No")</f>
        <v/>
      </c>
      <c r="F9" s="28">
        <f>IF(E9="No",1,IF(D9="","",1/(1+D9/100)^C9))</f>
        <v/>
      </c>
      <c r="G9" s="20">
        <f>IF(OR(B9="",F9=""),"",B9*F9)</f>
        <v/>
      </c>
      <c r="H9" s="20">
        <f>IF(G9="","",B9-G9)</f>
        <v/>
      </c>
    </row>
    <row r="10">
      <c r="A10" s="19" t="inlineStr">
        <is>
          <t>ONE-01</t>
        </is>
      </c>
      <c r="B10" s="21">
        <f>IF('06_Mejor_estimacion'!L10="","",'06_Mejor_estimacion'!L10)</f>
        <v/>
      </c>
      <c r="C10" s="21">
        <f>IF('03_Provisiones'!V10="","",'03_Provisiones'!V10)</f>
        <v/>
      </c>
      <c r="D10" s="21">
        <f>IF('03_Provisiones'!W10&lt;&gt;"",'03_Provisiones'!W10,IF('02_Parametros'!$B$8&lt;&gt;"",'02_Parametros'!$B$8,""))</f>
        <v/>
      </c>
      <c r="E10" s="19">
        <f>IF(AND(C10&lt;&gt;"",C10&gt;'02_Parametros'!$B$9),"Sí","No")</f>
        <v/>
      </c>
      <c r="F10" s="27">
        <f>IF(E10="No",1,IF(D10="","",1/(1+D10/100)^C10))</f>
        <v/>
      </c>
      <c r="G10" s="21">
        <f>IF(OR(B10="",F10=""),"",B10*F10)</f>
        <v/>
      </c>
      <c r="H10" s="21">
        <f>IF(G10="","",B10-G10)</f>
        <v/>
      </c>
    </row>
    <row r="11">
      <c r="A11" s="18" t="inlineStr">
        <is>
          <t>DES-01</t>
        </is>
      </c>
      <c r="B11" s="20">
        <f>IF('06_Mejor_estimacion'!L11="","",'06_Mejor_estimacion'!L11)</f>
        <v/>
      </c>
      <c r="C11" s="20">
        <f>IF('03_Provisiones'!V11="","",'03_Provisiones'!V11)</f>
        <v/>
      </c>
      <c r="D11" s="20">
        <f>IF('03_Provisiones'!W11&lt;&gt;"",'03_Provisiones'!W11,IF('02_Parametros'!$B$8&lt;&gt;"",'02_Parametros'!$B$8,""))</f>
        <v/>
      </c>
      <c r="E11" s="18">
        <f>IF(AND(C11&lt;&gt;"",C11&gt;'02_Parametros'!$B$9),"Sí","No")</f>
        <v/>
      </c>
      <c r="F11" s="28">
        <f>IF(E11="No",1,IF(D11="","",1/(1+D11/100)^C11))</f>
        <v/>
      </c>
      <c r="G11" s="20">
        <f>IF(OR(B11="",F11=""),"",B11*F11)</f>
        <v/>
      </c>
      <c r="H11" s="20">
        <f>IF(G11="","",B11-G11)</f>
        <v/>
      </c>
    </row>
    <row r="12">
      <c r="A12" s="19" t="inlineStr">
        <is>
          <t>REE-01</t>
        </is>
      </c>
      <c r="B12" s="21">
        <f>IF('06_Mejor_estimacion'!L12="","",'06_Mejor_estimacion'!L12)</f>
        <v/>
      </c>
      <c r="C12" s="21">
        <f>IF('03_Provisiones'!V12="","",'03_Provisiones'!V12)</f>
        <v/>
      </c>
      <c r="D12" s="21">
        <f>IF('03_Provisiones'!W12&lt;&gt;"",'03_Provisiones'!W12,IF('02_Parametros'!$B$8&lt;&gt;"",'02_Parametros'!$B$8,""))</f>
        <v/>
      </c>
      <c r="E12" s="19">
        <f>IF(AND(C12&lt;&gt;"",C12&gt;'02_Parametros'!$B$9),"Sí","No")</f>
        <v/>
      </c>
      <c r="F12" s="27">
        <f>IF(E12="No",1,IF(D12="","",1/(1+D12/100)^C12))</f>
        <v/>
      </c>
      <c r="G12" s="21">
        <f>IF(OR(B12="",F12=""),"",B12*F12)</f>
        <v/>
      </c>
      <c r="H12" s="21">
        <f>IF(G12="","",B12-G12)</f>
        <v/>
      </c>
    </row>
    <row r="13">
      <c r="A13" s="18" t="inlineStr">
        <is>
          <t>AMB-01</t>
        </is>
      </c>
      <c r="B13" s="20">
        <f>IF('06_Mejor_estimacion'!L13="","",'06_Mejor_estimacion'!L13)</f>
        <v/>
      </c>
      <c r="C13" s="20">
        <f>IF('03_Provisiones'!V13="","",'03_Provisiones'!V13)</f>
        <v/>
      </c>
      <c r="D13" s="20">
        <f>IF('03_Provisiones'!W13&lt;&gt;"",'03_Provisiones'!W13,IF('02_Parametros'!$B$8&lt;&gt;"",'02_Parametros'!$B$8,""))</f>
        <v/>
      </c>
      <c r="E13" s="18">
        <f>IF(AND(C13&lt;&gt;"",C13&gt;'02_Parametros'!$B$9),"Sí","No")</f>
        <v/>
      </c>
      <c r="F13" s="28">
        <f>IF(E13="No",1,IF(D13="","",1/(1+D13/100)^C13))</f>
        <v/>
      </c>
      <c r="G13" s="20">
        <f>IF(OR(B13="",F13=""),"",B13*F13)</f>
        <v/>
      </c>
      <c r="H13" s="20">
        <f>IF(G13="","",B13-G13)</f>
        <v/>
      </c>
    </row>
    <row r="14">
      <c r="A14" s="19" t="inlineStr">
        <is>
          <t>LIT-05</t>
        </is>
      </c>
      <c r="B14" s="21">
        <f>IF('06_Mejor_estimacion'!L14="","",'06_Mejor_estimacion'!L14)</f>
        <v/>
      </c>
      <c r="C14" s="21">
        <f>IF('03_Provisiones'!V14="","",'03_Provisiones'!V14)</f>
        <v/>
      </c>
      <c r="D14" s="21">
        <f>IF('03_Provisiones'!W14&lt;&gt;"",'03_Provisiones'!W14,IF('02_Parametros'!$B$8&lt;&gt;"",'02_Parametros'!$B$8,""))</f>
        <v/>
      </c>
      <c r="E14" s="19">
        <f>IF(AND(C14&lt;&gt;"",C14&gt;'02_Parametros'!$B$9),"Sí","No")</f>
        <v/>
      </c>
      <c r="F14" s="27">
        <f>IF(E14="No",1,IF(D14="","",1/(1+D14/100)^C14))</f>
        <v/>
      </c>
      <c r="G14" s="21">
        <f>IF(OR(B14="",F14=""),"",B14*F14)</f>
        <v/>
      </c>
      <c r="H14" s="21">
        <f>IF(G14="","",B14-G14)</f>
        <v/>
      </c>
    </row>
    <row r="15">
      <c r="A15" s="18" t="inlineStr">
        <is>
          <t>LIT-06</t>
        </is>
      </c>
      <c r="B15" s="20">
        <f>IF('06_Mejor_estimacion'!L15="","",'06_Mejor_estimacion'!L15)</f>
        <v/>
      </c>
      <c r="C15" s="20">
        <f>IF('03_Provisiones'!V15="","",'03_Provisiones'!V15)</f>
        <v/>
      </c>
      <c r="D15" s="20">
        <f>IF('03_Provisiones'!W15&lt;&gt;"",'03_Provisiones'!W15,IF('02_Parametros'!$B$8&lt;&gt;"",'02_Parametros'!$B$8,""))</f>
        <v/>
      </c>
      <c r="E15" s="18">
        <f>IF(AND(C15&lt;&gt;"",C15&gt;'02_Parametros'!$B$9),"Sí","No")</f>
        <v/>
      </c>
      <c r="F15" s="28">
        <f>IF(E15="No",1,IF(D15="","",1/(1+D15/100)^C15))</f>
        <v/>
      </c>
      <c r="G15" s="20">
        <f>IF(OR(B15="",F15=""),"",B15*F15)</f>
        <v/>
      </c>
      <c r="H15" s="20">
        <f>IF(G15="","",B15-G15)</f>
        <v/>
      </c>
    </row>
    <row r="16">
      <c r="A16" s="19" t="inlineStr">
        <is>
          <t>OTR-01</t>
        </is>
      </c>
      <c r="B16" s="21">
        <f>IF('06_Mejor_estimacion'!L16="","",'06_Mejor_estimacion'!L16)</f>
        <v/>
      </c>
      <c r="C16" s="21">
        <f>IF('03_Provisiones'!V16="","",'03_Provisiones'!V16)</f>
        <v/>
      </c>
      <c r="D16" s="21">
        <f>IF('03_Provisiones'!W16&lt;&gt;"",'03_Provisiones'!W16,IF('02_Parametros'!$B$8&lt;&gt;"",'02_Parametros'!$B$8,""))</f>
        <v/>
      </c>
      <c r="E16" s="19">
        <f>IF(AND(C16&lt;&gt;"",C16&gt;'02_Parametros'!$B$9),"Sí","No")</f>
        <v/>
      </c>
      <c r="F16" s="27">
        <f>IF(E16="No",1,IF(D16="","",1/(1+D16/100)^C16))</f>
        <v/>
      </c>
      <c r="G16" s="21">
        <f>IF(OR(B16="",F16=""),"",B16*F16)</f>
        <v/>
      </c>
      <c r="H16" s="21">
        <f>IF(G16="","",B16-G16)</f>
        <v/>
      </c>
    </row>
    <row r="17">
      <c r="A17" s="18" t="inlineStr">
        <is>
          <t>ACT-01</t>
        </is>
      </c>
      <c r="B17" s="20">
        <f>IF('06_Mejor_estimacion'!L17="","",'06_Mejor_estimacion'!L17)</f>
        <v/>
      </c>
      <c r="C17" s="20">
        <f>IF('03_Provisiones'!V17="","",'03_Provisiones'!V17)</f>
        <v/>
      </c>
      <c r="D17" s="20">
        <f>IF('03_Provisiones'!W17&lt;&gt;"",'03_Provisiones'!W17,IF('02_Parametros'!$B$8&lt;&gt;"",'02_Parametros'!$B$8,""))</f>
        <v/>
      </c>
      <c r="E17" s="18">
        <f>IF(AND(C17&lt;&gt;"",C17&gt;'02_Parametros'!$B$9),"Sí","No")</f>
        <v/>
      </c>
      <c r="F17" s="28">
        <f>IF(E17="No",1,IF(D17="","",1/(1+D17/100)^C17))</f>
        <v/>
      </c>
      <c r="G17" s="20">
        <f>IF(OR(B17="",F17=""),"",B17*F17)</f>
        <v/>
      </c>
      <c r="H17" s="20">
        <f>IF(G17="","",B17-G17)</f>
        <v/>
      </c>
    </row>
    <row r="18">
      <c r="A18" s="33" t="inlineStr">
        <is>
          <t>TOTAL</t>
        </is>
      </c>
      <c r="B18" s="34" t="n"/>
      <c r="C18" s="34" t="n"/>
      <c r="D18" s="34" t="n"/>
      <c r="E18" s="33" t="inlineStr"/>
      <c r="F18" s="33" t="n"/>
      <c r="G18" s="34" t="n"/>
      <c r="H18" s="34">
        <f>SUM(H5:H17)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Mejor estimación</t>
        </is>
      </c>
      <c r="B22" s="25" t="inlineStr">
        <is>
          <t>'=IF('06_Mejor_estimacion'!L5="","",'06_Mejor_estimacion'!L5)</t>
        </is>
      </c>
      <c r="C22" s="24" t="inlineStr">
        <is>
          <t>Trae la mejor estimación de la hoja 06 (Mejor estimación), en la misma fila; vacío si no hay.</t>
        </is>
      </c>
      <c r="D22" s="24" t="inlineStr">
        <is>
          <t>Fila 1: IF(114.000,00=""; ""; 114.000,00) → 114.000,00</t>
        </is>
      </c>
      <c r="E22" s="24" t="inlineStr">
        <is>
          <t>hoja «Mejor estimación»</t>
        </is>
      </c>
      <c r="F22" s="24" t="inlineStr">
        <is>
          <t>—</t>
        </is>
      </c>
    </row>
    <row r="23">
      <c r="A23" s="24" t="inlineStr">
        <is>
          <t>Plazo (años)</t>
        </is>
      </c>
      <c r="B23" s="25" t="inlineStr">
        <is>
          <t>'=IF('03_Provisiones'!V5="","",'03_Provisiones'!V5)</t>
        </is>
      </c>
      <c r="C23" s="24" t="inlineStr">
        <is>
          <t>Copia de la hoja 03 (datos del cliente) el plazo esperado de salida de recursos, en años; vacío si no se informó.</t>
        </is>
      </c>
      <c r="D23" s="24" t="inlineStr">
        <is>
          <t>Fila 1: IF(1,00=""; ""; 1,00) → 1,00</t>
        </is>
      </c>
      <c r="E23" s="24" t="inlineStr">
        <is>
          <t>hoja «Provisiones y contingencias (datos del cliente)»</t>
        </is>
      </c>
      <c r="F23" s="24" t="inlineStr">
        <is>
          <t>—</t>
        </is>
      </c>
    </row>
    <row r="24">
      <c r="A24" s="24" t="inlineStr">
        <is>
          <t>Tasa antes de impuestos %</t>
        </is>
      </c>
      <c r="B24" s="25" t="inlineStr">
        <is>
          <t>'=IF('03_Provisiones'!W5&lt;&gt;"",'03_Provisiones'!W5,IF('02_Parametros'!$B$8&lt;&gt;"",'02_Parametros'!$B$8,""))</t>
        </is>
      </c>
      <c r="C24" s="24" t="inlineStr">
        <is>
          <t>Usa la tasa antes de impuestos informada para la partida en la hoja 03 y, si falta, la tasa por defecto de la hoja 02 (Parámetros); vacío si no hay ninguna.</t>
        </is>
      </c>
      <c r="D24" s="24" t="inlineStr">
        <is>
          <t>Fila 1: IF((vacío)&lt;&gt;""; (vacío); IF(8,00&lt;&gt;""; 8,00; "")) → 8,00</t>
        </is>
      </c>
      <c r="E24" s="24" t="inlineStr">
        <is>
          <t>hoja «Provisiones y contingencias (datos del cliente)», hoja «Parámetros»</t>
        </is>
      </c>
      <c r="F24" s="24" t="inlineStr">
        <is>
          <t>—</t>
        </is>
      </c>
    </row>
    <row r="25">
      <c r="A25" s="24" t="inlineStr">
        <is>
          <t>¿Descontar?</t>
        </is>
      </c>
      <c r="B25" s="25" t="inlineStr">
        <is>
          <t>'=IF(AND(C5&lt;&gt;"",C5&gt;'02_Parametros'!$B$9),"Sí","No")</t>
        </is>
      </c>
      <c r="C25" s="24" t="inlineStr">
        <is>
          <t>Marca «Sí» cuando el plazo de salida supera los años a partir de los cuales se descuenta, fijados en la hoja 02 (Parámetros).</t>
        </is>
      </c>
      <c r="D25" s="24" t="inlineStr">
        <is>
          <t>Fila 1: IF(AND(1,00&lt;&gt;""; 1,00&gt;1,00); "Sí"; "No") → No</t>
        </is>
      </c>
      <c r="E25" s="24" t="inlineStr">
        <is>
          <t>«Plazo (años)» (esta hoja), hoja «Parámetros»</t>
        </is>
      </c>
      <c r="F25" s="24" t="inlineStr">
        <is>
          <t>—</t>
        </is>
      </c>
    </row>
    <row r="26">
      <c r="A26" s="24" t="inlineStr">
        <is>
          <t>Factor de descuento</t>
        </is>
      </c>
      <c r="B26" s="25" t="inlineStr">
        <is>
          <t>'=IF(E5="No",1,IF(D5="","",1/(1+D5/100)^C5))</t>
        </is>
      </c>
      <c r="C26" s="24" t="inlineStr">
        <is>
          <t>Si no se descuenta, el factor es 1; si se descuenta, es 1 ÷ (1 + tasa)^plazo; queda en blanco si falta la tasa.</t>
        </is>
      </c>
      <c r="D26" s="24" t="inlineStr">
        <is>
          <t>Fila 1: IF(«No»="No"; 1; IF(8,00=""; ""; 1/(1+8,00/100)^1,00)) → 1,00</t>
        </is>
      </c>
      <c r="E26" s="24" t="inlineStr">
        <is>
          <t>«¿Descontar?» (esta hoja), «Tasa antes de impuestos %» (esta hoja), «Plazo (años)» (esta hoja)</t>
        </is>
      </c>
      <c r="F26" s="24" t="inlineStr">
        <is>
          <t>—</t>
        </is>
      </c>
    </row>
    <row r="27">
      <c r="A27" s="24" t="inlineStr">
        <is>
          <t>Valor presente</t>
        </is>
      </c>
      <c r="B27" s="25" t="inlineStr">
        <is>
          <t>'=IF(OR(B5="",F5=""),"",B5*F5)</t>
        </is>
      </c>
      <c r="C27" s="24" t="inlineStr">
        <is>
          <t>Multiplica la mejor estimación por el factor de descuento; en blanco si falta alguno de los dos.</t>
        </is>
      </c>
      <c r="D27" s="24" t="inlineStr">
        <is>
          <t>Fila 1: IF(OR(114.000,00=""; 1,00=""); ""; 114.000,00*1,00) → 114.000,00</t>
        </is>
      </c>
      <c r="E27" s="24" t="inlineStr">
        <is>
          <t>«Mejor estimación» (esta hoja), «Factor de descuento» (esta hoja)</t>
        </is>
      </c>
      <c r="F27" s="24" t="inlineStr">
        <is>
          <t>—</t>
        </is>
      </c>
    </row>
    <row r="28">
      <c r="A28" s="24" t="inlineStr">
        <is>
          <t>Efecto del descuento</t>
        </is>
      </c>
      <c r="B28" s="25" t="inlineStr">
        <is>
          <t>'=IF(G5="","",B5-G5)</t>
        </is>
      </c>
      <c r="C28" s="24" t="inlineStr">
        <is>
          <t>Resta el valor presente a la mejor estimación: es cuánto baja la provisión por descontarla.</t>
        </is>
      </c>
      <c r="D28" s="24" t="inlineStr">
        <is>
          <t>Fila 1: IF(114.000,00=""; ""; 114.000,00-114.000,00) → 0,00</t>
        </is>
      </c>
      <c r="E28" s="24" t="inlineStr">
        <is>
          <t>«Valor presente» (esta hoja), «Mejor estimación» (esta hoja)</t>
        </is>
      </c>
      <c r="F28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21" customWidth="1" min="5" max="5"/>
    <col width="22" customWidth="1" min="6" max="6"/>
    <col width="24" customWidth="1" min="7" max="7"/>
  </cols>
  <sheetData>
    <row r="1">
      <c r="A1" s="3" t="inlineStr">
        <is>
          <t>Actualización financiera (reversión del descuento)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Saldo inicial</t>
        </is>
      </c>
      <c r="C4" s="17" t="inlineStr">
        <is>
          <t>Tasa %</t>
        </is>
      </c>
      <c r="D4" s="17" t="inlineStr">
        <is>
          <t>¿Descontada?</t>
        </is>
      </c>
      <c r="E4" s="17" t="inlineStr">
        <is>
          <t>Reversión calculada</t>
        </is>
      </c>
      <c r="F4" s="17" t="inlineStr">
        <is>
          <t>Reversión registrada</t>
        </is>
      </c>
      <c r="G4" s="17" t="inlineStr">
        <is>
          <t>Calculada − registrada</t>
        </is>
      </c>
    </row>
    <row r="5">
      <c r="A5" s="18" t="inlineStr">
        <is>
          <t>LIT-01</t>
        </is>
      </c>
      <c r="B5" s="20">
        <f>IF('03_Provisiones'!Y5="","",'03_Provisiones'!Y5)</f>
        <v/>
      </c>
      <c r="C5" s="20">
        <f>'07_Valor_presente'!D5</f>
        <v/>
      </c>
      <c r="D5" s="18">
        <f>'07_Valor_presente'!E5</f>
        <v/>
      </c>
      <c r="E5" s="20">
        <f>IF(AND(B5&lt;&gt;"",C5&lt;&gt;"",D5="Sí"),B5*C5/100,"")</f>
        <v/>
      </c>
      <c r="F5" s="20">
        <f>IF('03_Provisiones'!Z5="","",'03_Provisiones'!Z5)</f>
        <v/>
      </c>
      <c r="G5" s="20">
        <f>IF(OR(E5="",F5=""),"",E5-F5)</f>
        <v/>
      </c>
    </row>
    <row r="6">
      <c r="A6" s="19" t="inlineStr">
        <is>
          <t>LIT-02</t>
        </is>
      </c>
      <c r="B6" s="21">
        <f>IF('03_Provisiones'!Y6="","",'03_Provisiones'!Y6)</f>
        <v/>
      </c>
      <c r="C6" s="21">
        <f>'07_Valor_presente'!D6</f>
        <v/>
      </c>
      <c r="D6" s="19">
        <f>'07_Valor_presente'!E6</f>
        <v/>
      </c>
      <c r="E6" s="21">
        <f>IF(AND(B6&lt;&gt;"",C6&lt;&gt;"",D6="Sí"),B6*C6/100,"")</f>
        <v/>
      </c>
      <c r="F6" s="21">
        <f>IF('03_Provisiones'!Z6="","",'03_Provisiones'!Z6)</f>
        <v/>
      </c>
      <c r="G6" s="21">
        <f>IF(OR(E6="",F6=""),"",E6-F6)</f>
        <v/>
      </c>
    </row>
    <row r="7">
      <c r="A7" s="18" t="inlineStr">
        <is>
          <t>LIT-03</t>
        </is>
      </c>
      <c r="B7" s="20">
        <f>IF('03_Provisiones'!Y7="","",'03_Provisiones'!Y7)</f>
        <v/>
      </c>
      <c r="C7" s="20">
        <f>'07_Valor_presente'!D7</f>
        <v/>
      </c>
      <c r="D7" s="18">
        <f>'07_Valor_presente'!E7</f>
        <v/>
      </c>
      <c r="E7" s="20">
        <f>IF(AND(B7&lt;&gt;"",C7&lt;&gt;"",D7="Sí"),B7*C7/100,"")</f>
        <v/>
      </c>
      <c r="F7" s="20">
        <f>IF('03_Provisiones'!Z7="","",'03_Provisiones'!Z7)</f>
        <v/>
      </c>
      <c r="G7" s="20">
        <f>IF(OR(E7="",F7=""),"",E7-F7)</f>
        <v/>
      </c>
    </row>
    <row r="8">
      <c r="A8" s="19" t="inlineStr">
        <is>
          <t>LIT-04</t>
        </is>
      </c>
      <c r="B8" s="21">
        <f>IF('03_Provisiones'!Y8="","",'03_Provisiones'!Y8)</f>
        <v/>
      </c>
      <c r="C8" s="21">
        <f>'07_Valor_presente'!D8</f>
        <v/>
      </c>
      <c r="D8" s="19">
        <f>'07_Valor_presente'!E8</f>
        <v/>
      </c>
      <c r="E8" s="21">
        <f>IF(AND(B8&lt;&gt;"",C8&lt;&gt;"",D8="Sí"),B8*C8/100,"")</f>
        <v/>
      </c>
      <c r="F8" s="21">
        <f>IF('03_Provisiones'!Z8="","",'03_Provisiones'!Z8)</f>
        <v/>
      </c>
      <c r="G8" s="21">
        <f>IF(OR(E8="",F8=""),"",E8-F8)</f>
        <v/>
      </c>
    </row>
    <row r="9">
      <c r="A9" s="18" t="inlineStr">
        <is>
          <t>GAR-01</t>
        </is>
      </c>
      <c r="B9" s="20">
        <f>IF('03_Provisiones'!Y9="","",'03_Provisiones'!Y9)</f>
        <v/>
      </c>
      <c r="C9" s="20">
        <f>'07_Valor_presente'!D9</f>
        <v/>
      </c>
      <c r="D9" s="18">
        <f>'07_Valor_presente'!E9</f>
        <v/>
      </c>
      <c r="E9" s="20">
        <f>IF(AND(B9&lt;&gt;"",C9&lt;&gt;"",D9="Sí"),B9*C9/100,"")</f>
        <v/>
      </c>
      <c r="F9" s="20">
        <f>IF('03_Provisiones'!Z9="","",'03_Provisiones'!Z9)</f>
        <v/>
      </c>
      <c r="G9" s="20">
        <f>IF(OR(E9="",F9=""),"",E9-F9)</f>
        <v/>
      </c>
    </row>
    <row r="10">
      <c r="A10" s="19" t="inlineStr">
        <is>
          <t>ONE-01</t>
        </is>
      </c>
      <c r="B10" s="21">
        <f>IF('03_Provisiones'!Y10="","",'03_Provisiones'!Y10)</f>
        <v/>
      </c>
      <c r="C10" s="21">
        <f>'07_Valor_presente'!D10</f>
        <v/>
      </c>
      <c r="D10" s="19">
        <f>'07_Valor_presente'!E10</f>
        <v/>
      </c>
      <c r="E10" s="21">
        <f>IF(AND(B10&lt;&gt;"",C10&lt;&gt;"",D10="Sí"),B10*C10/100,"")</f>
        <v/>
      </c>
      <c r="F10" s="21">
        <f>IF('03_Provisiones'!Z10="","",'03_Provisiones'!Z10)</f>
        <v/>
      </c>
      <c r="G10" s="21">
        <f>IF(OR(E10="",F10=""),"",E10-F10)</f>
        <v/>
      </c>
    </row>
    <row r="11">
      <c r="A11" s="18" t="inlineStr">
        <is>
          <t>DES-01</t>
        </is>
      </c>
      <c r="B11" s="20">
        <f>IF('03_Provisiones'!Y11="","",'03_Provisiones'!Y11)</f>
        <v/>
      </c>
      <c r="C11" s="20">
        <f>'07_Valor_presente'!D11</f>
        <v/>
      </c>
      <c r="D11" s="18">
        <f>'07_Valor_presente'!E11</f>
        <v/>
      </c>
      <c r="E11" s="20">
        <f>IF(AND(B11&lt;&gt;"",C11&lt;&gt;"",D11="Sí"),B11*C11/100,"")</f>
        <v/>
      </c>
      <c r="F11" s="20">
        <f>IF('03_Provisiones'!Z11="","",'03_Provisiones'!Z11)</f>
        <v/>
      </c>
      <c r="G11" s="20">
        <f>IF(OR(E11="",F11=""),"",E11-F11)</f>
        <v/>
      </c>
    </row>
    <row r="12">
      <c r="A12" s="19" t="inlineStr">
        <is>
          <t>REE-01</t>
        </is>
      </c>
      <c r="B12" s="21">
        <f>IF('03_Provisiones'!Y12="","",'03_Provisiones'!Y12)</f>
        <v/>
      </c>
      <c r="C12" s="21">
        <f>'07_Valor_presente'!D12</f>
        <v/>
      </c>
      <c r="D12" s="19">
        <f>'07_Valor_presente'!E12</f>
        <v/>
      </c>
      <c r="E12" s="21">
        <f>IF(AND(B12&lt;&gt;"",C12&lt;&gt;"",D12="Sí"),B12*C12/100,"")</f>
        <v/>
      </c>
      <c r="F12" s="21">
        <f>IF('03_Provisiones'!Z12="","",'03_Provisiones'!Z12)</f>
        <v/>
      </c>
      <c r="G12" s="21">
        <f>IF(OR(E12="",F12=""),"",E12-F12)</f>
        <v/>
      </c>
    </row>
    <row r="13">
      <c r="A13" s="18" t="inlineStr">
        <is>
          <t>AMB-01</t>
        </is>
      </c>
      <c r="B13" s="20">
        <f>IF('03_Provisiones'!Y13="","",'03_Provisiones'!Y13)</f>
        <v/>
      </c>
      <c r="C13" s="20">
        <f>'07_Valor_presente'!D13</f>
        <v/>
      </c>
      <c r="D13" s="18">
        <f>'07_Valor_presente'!E13</f>
        <v/>
      </c>
      <c r="E13" s="20">
        <f>IF(AND(B13&lt;&gt;"",C13&lt;&gt;"",D13="Sí"),B13*C13/100,"")</f>
        <v/>
      </c>
      <c r="F13" s="20">
        <f>IF('03_Provisiones'!Z13="","",'03_Provisiones'!Z13)</f>
        <v/>
      </c>
      <c r="G13" s="20">
        <f>IF(OR(E13="",F13=""),"",E13-F13)</f>
        <v/>
      </c>
    </row>
    <row r="14">
      <c r="A14" s="19" t="inlineStr">
        <is>
          <t>LIT-05</t>
        </is>
      </c>
      <c r="B14" s="21">
        <f>IF('03_Provisiones'!Y14="","",'03_Provisiones'!Y14)</f>
        <v/>
      </c>
      <c r="C14" s="21">
        <f>'07_Valor_presente'!D14</f>
        <v/>
      </c>
      <c r="D14" s="19">
        <f>'07_Valor_presente'!E14</f>
        <v/>
      </c>
      <c r="E14" s="21">
        <f>IF(AND(B14&lt;&gt;"",C14&lt;&gt;"",D14="Sí"),B14*C14/100,"")</f>
        <v/>
      </c>
      <c r="F14" s="21">
        <f>IF('03_Provisiones'!Z14="","",'03_Provisiones'!Z14)</f>
        <v/>
      </c>
      <c r="G14" s="21">
        <f>IF(OR(E14="",F14=""),"",E14-F14)</f>
        <v/>
      </c>
    </row>
    <row r="15">
      <c r="A15" s="18" t="inlineStr">
        <is>
          <t>LIT-06</t>
        </is>
      </c>
      <c r="B15" s="20">
        <f>IF('03_Provisiones'!Y15="","",'03_Provisiones'!Y15)</f>
        <v/>
      </c>
      <c r="C15" s="20">
        <f>'07_Valor_presente'!D15</f>
        <v/>
      </c>
      <c r="D15" s="18">
        <f>'07_Valor_presente'!E15</f>
        <v/>
      </c>
      <c r="E15" s="20">
        <f>IF(AND(B15&lt;&gt;"",C15&lt;&gt;"",D15="Sí"),B15*C15/100,"")</f>
        <v/>
      </c>
      <c r="F15" s="20">
        <f>IF('03_Provisiones'!Z15="","",'03_Provisiones'!Z15)</f>
        <v/>
      </c>
      <c r="G15" s="20">
        <f>IF(OR(E15="",F15=""),"",E15-F15)</f>
        <v/>
      </c>
    </row>
    <row r="16">
      <c r="A16" s="19" t="inlineStr">
        <is>
          <t>OTR-01</t>
        </is>
      </c>
      <c r="B16" s="21">
        <f>IF('03_Provisiones'!Y16="","",'03_Provisiones'!Y16)</f>
        <v/>
      </c>
      <c r="C16" s="21">
        <f>'07_Valor_presente'!D16</f>
        <v/>
      </c>
      <c r="D16" s="19">
        <f>'07_Valor_presente'!E16</f>
        <v/>
      </c>
      <c r="E16" s="21">
        <f>IF(AND(B16&lt;&gt;"",C16&lt;&gt;"",D16="Sí"),B16*C16/100,"")</f>
        <v/>
      </c>
      <c r="F16" s="21">
        <f>IF('03_Provisiones'!Z16="","",'03_Provisiones'!Z16)</f>
        <v/>
      </c>
      <c r="G16" s="21">
        <f>IF(OR(E16="",F16=""),"",E16-F16)</f>
        <v/>
      </c>
    </row>
    <row r="17">
      <c r="A17" s="18" t="inlineStr">
        <is>
          <t>ACT-01</t>
        </is>
      </c>
      <c r="B17" s="20">
        <f>IF('03_Provisiones'!Y17="","",'03_Provisiones'!Y17)</f>
        <v/>
      </c>
      <c r="C17" s="20">
        <f>'07_Valor_presente'!D17</f>
        <v/>
      </c>
      <c r="D17" s="18">
        <f>'07_Valor_presente'!E17</f>
        <v/>
      </c>
      <c r="E17" s="20">
        <f>IF(AND(B17&lt;&gt;"",C17&lt;&gt;"",D17="Sí"),B17*C17/100,"")</f>
        <v/>
      </c>
      <c r="F17" s="20">
        <f>IF('03_Provisiones'!Z17="","",'03_Provisiones'!Z17)</f>
        <v/>
      </c>
      <c r="G17" s="20">
        <f>IF(OR(E17="",F17=""),"",E17-F17)</f>
        <v/>
      </c>
    </row>
    <row r="18">
      <c r="A18" s="33" t="inlineStr">
        <is>
          <t>TOTAL</t>
        </is>
      </c>
      <c r="B18" s="34" t="n"/>
      <c r="C18" s="34" t="n"/>
      <c r="D18" s="33" t="inlineStr"/>
      <c r="E18" s="34">
        <f>SUM(E5:E17)</f>
        <v/>
      </c>
      <c r="F18" s="34">
        <f>SUM(F5:F17)</f>
        <v/>
      </c>
      <c r="G18" s="34">
        <f>SUM(G5:G17)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Saldo inicial</t>
        </is>
      </c>
      <c r="B22" s="25" t="inlineStr">
        <is>
          <t>'=IF('03_Provisiones'!Y5="","",'03_Provisiones'!Y5)</t>
        </is>
      </c>
      <c r="C22" s="24" t="inlineStr">
        <is>
          <t>Copia de la hoja 03 (datos del cliente) el saldo de la provisión al inicio del período; vacío si no se informó.</t>
        </is>
      </c>
      <c r="D22" s="24" t="inlineStr">
        <is>
          <t>Fila 1: IF((vacío)=""; ""; (vacío)) → (en blanco)</t>
        </is>
      </c>
      <c r="E22" s="24" t="inlineStr">
        <is>
          <t>hoja «Provisiones y contingencias (datos del cliente)»</t>
        </is>
      </c>
      <c r="F22" s="24" t="inlineStr">
        <is>
          <t>—</t>
        </is>
      </c>
    </row>
    <row r="23">
      <c r="A23" s="24" t="inlineStr">
        <is>
          <t>Tasa %</t>
        </is>
      </c>
      <c r="B23" s="25" t="inlineStr">
        <is>
          <t>'='07_Valor_presente'!D5</t>
        </is>
      </c>
      <c r="C23" s="24" t="inlineStr">
        <is>
          <t>Trae la tasa de descuento aplicada a la partida en la hoja 07 (Valor presente).</t>
        </is>
      </c>
      <c r="D23" s="24" t="inlineStr">
        <is>
          <t>Fila 1: 8,00 → 8,00</t>
        </is>
      </c>
      <c r="E23" s="24" t="inlineStr">
        <is>
          <t>hoja «Valor presente (descuento)»</t>
        </is>
      </c>
      <c r="F23" s="24" t="inlineStr">
        <is>
          <t>—</t>
        </is>
      </c>
    </row>
    <row r="24">
      <c r="A24" s="24" t="inlineStr">
        <is>
          <t>¿Descontada?</t>
        </is>
      </c>
      <c r="B24" s="25" t="inlineStr">
        <is>
          <t>'='07_Valor_presente'!E5</t>
        </is>
      </c>
      <c r="C24" s="24" t="inlineStr">
        <is>
          <t>Trae de la hoja 07 (Valor presente) si la partida se descuenta o no (Sí/No).</t>
        </is>
      </c>
      <c r="D24" s="24" t="inlineStr">
        <is>
          <t>Fila 1: «No» → No</t>
        </is>
      </c>
      <c r="E24" s="24" t="inlineStr">
        <is>
          <t>hoja «Valor presente (descuento)»</t>
        </is>
      </c>
      <c r="F24" s="24" t="inlineStr">
        <is>
          <t>—</t>
        </is>
      </c>
    </row>
    <row r="25">
      <c r="A25" s="24" t="inlineStr">
        <is>
          <t>Reversión calculada</t>
        </is>
      </c>
      <c r="B25" s="25" t="inlineStr">
        <is>
          <t>'=IF(AND(B5&lt;&gt;"",C5&lt;&gt;"",D5="Sí"),B5*C5/100,"")</t>
        </is>
      </c>
      <c r="C25" s="24" t="inlineStr">
        <is>
          <t>Si la partida se descuenta y hay saldo inicial y tasa, multiplica el saldo inicial por la tasa: es el aumento de la provisión por el paso del tiempo.</t>
        </is>
      </c>
      <c r="D25" s="24" t="inlineStr">
        <is>
          <t>Fila 1: IF(AND((vacío)&lt;&gt;""; 8,00&lt;&gt;""; «No»="Sí"); (vacío)*8,00/100; "") → (en blanco)</t>
        </is>
      </c>
      <c r="E25" s="24" t="inlineStr">
        <is>
          <t>«Saldo inicial» (esta hoja), «Tasa %» (esta hoja), «¿Descontada?» (esta hoja)</t>
        </is>
      </c>
      <c r="F25" s="24" t="inlineStr">
        <is>
          <t>—</t>
        </is>
      </c>
    </row>
    <row r="26">
      <c r="A26" s="24" t="inlineStr">
        <is>
          <t>Reversión registrada</t>
        </is>
      </c>
      <c r="B26" s="25" t="inlineStr">
        <is>
          <t>'=IF('03_Provisiones'!Z5="","",'03_Provisiones'!Z5)</t>
        </is>
      </c>
      <c r="C26" s="24" t="inlineStr">
        <is>
          <t>Copia de la hoja 03 (datos del cliente) la reversión del descuento que el cliente registró en el período; vacío si no la informó.</t>
        </is>
      </c>
      <c r="D26" s="24" t="inlineStr">
        <is>
          <t>Fila 1: IF((vacío)=""; ""; (vacío)) → (en blanco)</t>
        </is>
      </c>
      <c r="E26" s="24" t="inlineStr">
        <is>
          <t>hoja «Provisiones y contingencias (datos del cliente)»</t>
        </is>
      </c>
      <c r="F26" s="24" t="inlineStr">
        <is>
          <t>—</t>
        </is>
      </c>
    </row>
    <row r="27">
      <c r="A27" s="24" t="inlineStr">
        <is>
          <t>Calculada − registrada</t>
        </is>
      </c>
      <c r="B27" s="25" t="inlineStr">
        <is>
          <t>'=IF(OR(E5="",F5=""),"",E5-F5)</t>
        </is>
      </c>
      <c r="C27" s="24" t="inlineStr">
        <is>
          <t>Resta la reversión registrada a la calculada; en blanco si falta cualquiera de las dos.</t>
        </is>
      </c>
      <c r="D27" s="24" t="inlineStr">
        <is>
          <t>Fila 1: IF(OR((vacío)=""; (vacío)=""); ""; (vacío)-(vacío)) → (en blanco)</t>
        </is>
      </c>
      <c r="E27" s="24" t="inlineStr">
        <is>
          <t>«Reversión calculada» (esta hoja), «Reversión registrada» (esta hoja)</t>
        </is>
      </c>
      <c r="F27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3" customWidth="1" min="3" max="3"/>
    <col width="19" customWidth="1" min="4" max="4"/>
    <col width="21" customWidth="1" min="5" max="5"/>
    <col width="15" customWidth="1" min="6" max="6"/>
    <col width="16" customWidth="1" min="7" max="7"/>
    <col width="15" customWidth="1" min="8" max="8"/>
    <col width="12" customWidth="1" min="9" max="9"/>
    <col width="16" customWidth="1" min="10" max="10"/>
    <col width="37" customWidth="1" min="11" max="11"/>
  </cols>
  <sheetData>
    <row r="1">
      <c r="A1" s="3" t="inlineStr">
        <is>
          <t>Litigios y cartas de abogados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Respuesta del abogado</t>
        </is>
      </c>
      <c r="D4" s="17" t="inlineStr">
        <is>
          <t>Fecha de la carta</t>
        </is>
      </c>
      <c r="E4" s="17" t="inlineStr">
        <is>
          <t>Días desde el corte</t>
        </is>
      </c>
      <c r="F4" s="17" t="inlineStr">
        <is>
          <t>Prob. abogado</t>
        </is>
      </c>
      <c r="G4" s="17" t="inlineStr">
        <is>
          <t>Prob. gerencia</t>
        </is>
      </c>
      <c r="H4" s="17" t="inlineStr">
        <is>
          <t>Importe carta</t>
        </is>
      </c>
      <c r="I4" s="17" t="inlineStr">
        <is>
          <t>Libros</t>
        </is>
      </c>
      <c r="J4" s="17" t="inlineStr">
        <is>
          <t>Libros − carta</t>
        </is>
      </c>
      <c r="K4" s="17" t="inlineStr">
        <is>
          <t>Evaluación</t>
        </is>
      </c>
    </row>
    <row r="5">
      <c r="A5" s="18" t="inlineStr">
        <is>
          <t>LIT-01</t>
        </is>
      </c>
      <c r="B5" s="18" t="inlineStr">
        <is>
          <t>Demanda laboral ex gerente</t>
        </is>
      </c>
      <c r="C5" s="18">
        <f>IF('03_Provisiones'!AA5="","",'03_Provisiones'!AA5)</f>
        <v/>
      </c>
      <c r="D5" s="29" t="n">
        <v>46063</v>
      </c>
      <c r="E5" s="35">
        <f>IF(D5="","",D5-'02_Parametros'!$B$5)</f>
        <v/>
      </c>
      <c r="F5" s="18">
        <f>'05_Obligacion_prob'!D5</f>
        <v/>
      </c>
      <c r="G5" s="18">
        <f>'05_Obligacion_prob'!E5</f>
        <v/>
      </c>
      <c r="H5" s="20">
        <f>IF('03_Provisiones'!G5="","",'03_Provisiones'!G5)</f>
        <v/>
      </c>
      <c r="I5" s="20">
        <f>'03_Provisiones'!X5</f>
        <v/>
      </c>
      <c r="J5" s="20">
        <f>IF(H5="","",I5-H5)</f>
        <v/>
      </c>
      <c r="K5" s="18">
        <f>IF(C5&lt;&gt;"Sí","Sin respuesta: limitación (NIA 501)",IF(AND(E5&lt;&gt;"",E5&lt;0),"Carta anterior al corte","Respuesta recibida"))</f>
        <v/>
      </c>
    </row>
    <row r="6">
      <c r="A6" s="19" t="inlineStr">
        <is>
          <t>LIT-02</t>
        </is>
      </c>
      <c r="B6" s="19" t="inlineStr">
        <is>
          <t>Juicio de impugnación tributaria</t>
        </is>
      </c>
      <c r="C6" s="19">
        <f>IF('03_Provisiones'!AA6="","",'03_Provisiones'!AA6)</f>
        <v/>
      </c>
      <c r="D6" s="30" t="n">
        <v>46006</v>
      </c>
      <c r="E6" s="36">
        <f>IF(D6="","",D6-'02_Parametros'!$B$5)</f>
        <v/>
      </c>
      <c r="F6" s="19">
        <f>'05_Obligacion_prob'!D6</f>
        <v/>
      </c>
      <c r="G6" s="19">
        <f>'05_Obligacion_prob'!E6</f>
        <v/>
      </c>
      <c r="H6" s="21">
        <f>IF('03_Provisiones'!G6="","",'03_Provisiones'!G6)</f>
        <v/>
      </c>
      <c r="I6" s="21">
        <f>'03_Provisiones'!X6</f>
        <v/>
      </c>
      <c r="J6" s="21">
        <f>IF(H6="","",I6-H6)</f>
        <v/>
      </c>
      <c r="K6" s="19">
        <f>IF(C6&lt;&gt;"Sí","Sin respuesta: limitación (NIA 501)",IF(AND(E6&lt;&gt;"",E6&lt;0),"Carta anterior al corte","Respuesta recibida"))</f>
        <v/>
      </c>
    </row>
    <row r="7">
      <c r="A7" s="18" t="inlineStr">
        <is>
          <t>LIT-03</t>
        </is>
      </c>
      <c r="B7" s="18" t="inlineStr">
        <is>
          <t>Demanda civil de proveedor</t>
        </is>
      </c>
      <c r="C7" s="18">
        <f>IF('03_Provisiones'!AA7="","",'03_Provisiones'!AA7)</f>
        <v/>
      </c>
      <c r="D7" s="29" t="n">
        <v>46065</v>
      </c>
      <c r="E7" s="35">
        <f>IF(D7="","",D7-'02_Parametros'!$B$5)</f>
        <v/>
      </c>
      <c r="F7" s="18">
        <f>'05_Obligacion_prob'!D7</f>
        <v/>
      </c>
      <c r="G7" s="18">
        <f>'05_Obligacion_prob'!E7</f>
        <v/>
      </c>
      <c r="H7" s="20">
        <f>IF('03_Provisiones'!G7="","",'03_Provisiones'!G7)</f>
        <v/>
      </c>
      <c r="I7" s="20">
        <f>'03_Provisiones'!X7</f>
        <v/>
      </c>
      <c r="J7" s="20">
        <f>IF(H7="","",I7-H7)</f>
        <v/>
      </c>
      <c r="K7" s="18">
        <f>IF(C7&lt;&gt;"Sí","Sin respuesta: limitación (NIA 501)",IF(AND(E7&lt;&gt;"",E7&lt;0),"Carta anterior al corte","Respuesta recibida"))</f>
        <v/>
      </c>
    </row>
    <row r="8">
      <c r="A8" s="19" t="inlineStr">
        <is>
          <t>LIT-04</t>
        </is>
      </c>
      <c r="B8" s="19" t="inlineStr">
        <is>
          <t>Reclamo de cliente por entrega tardía</t>
        </is>
      </c>
      <c r="C8" s="19">
        <f>IF('03_Provisiones'!AA8="","",'03_Provisiones'!AA8)</f>
        <v/>
      </c>
      <c r="D8" s="31" t="n"/>
      <c r="E8" s="36">
        <f>IF(D8="","",D8-'02_Parametros'!$B$5)</f>
        <v/>
      </c>
      <c r="F8" s="19">
        <f>'05_Obligacion_prob'!D8</f>
        <v/>
      </c>
      <c r="G8" s="19">
        <f>'05_Obligacion_prob'!E8</f>
        <v/>
      </c>
      <c r="H8" s="21">
        <f>IF('03_Provisiones'!G8="","",'03_Provisiones'!G8)</f>
        <v/>
      </c>
      <c r="I8" s="21">
        <f>'03_Provisiones'!X8</f>
        <v/>
      </c>
      <c r="J8" s="21">
        <f>IF(H8="","",I8-H8)</f>
        <v/>
      </c>
      <c r="K8" s="19">
        <f>IF(C8&lt;&gt;"Sí","Sin respuesta: limitación (NIA 501)",IF(AND(E8&lt;&gt;"",E8&lt;0),"Carta anterior al corte","Respuesta recibida"))</f>
        <v/>
      </c>
    </row>
    <row r="9">
      <c r="A9" s="18" t="inlineStr">
        <is>
          <t>LIT-05</t>
        </is>
      </c>
      <c r="B9" s="18" t="inlineStr">
        <is>
          <t>Juicio laboral de operario</t>
        </is>
      </c>
      <c r="C9" s="18">
        <f>IF('03_Provisiones'!AA14="","",'03_Provisiones'!AA14)</f>
        <v/>
      </c>
      <c r="D9" s="29" t="n">
        <v>46063</v>
      </c>
      <c r="E9" s="35">
        <f>IF(D9="","",D9-'02_Parametros'!$B$5)</f>
        <v/>
      </c>
      <c r="F9" s="18">
        <f>'05_Obligacion_prob'!D14</f>
        <v/>
      </c>
      <c r="G9" s="18">
        <f>'05_Obligacion_prob'!E14</f>
        <v/>
      </c>
      <c r="H9" s="20">
        <f>IF('03_Provisiones'!G14="","",'03_Provisiones'!G14)</f>
        <v/>
      </c>
      <c r="I9" s="20">
        <f>'03_Provisiones'!X14</f>
        <v/>
      </c>
      <c r="J9" s="20">
        <f>IF(H9="","",I9-H9)</f>
        <v/>
      </c>
      <c r="K9" s="18">
        <f>IF(C9&lt;&gt;"Sí","Sin respuesta: limitación (NIA 501)",IF(AND(E9&lt;&gt;"",E9&lt;0),"Carta anterior al corte","Respuesta recibida"))</f>
        <v/>
      </c>
    </row>
    <row r="10">
      <c r="A10" s="19" t="inlineStr">
        <is>
          <t>LIT-06</t>
        </is>
      </c>
      <c r="B10" s="19" t="inlineStr">
        <is>
          <t>Demanda por uso de marca</t>
        </is>
      </c>
      <c r="C10" s="19">
        <f>IF('03_Provisiones'!AA15="","",'03_Provisiones'!AA15)</f>
        <v/>
      </c>
      <c r="D10" s="30" t="n">
        <v>46063</v>
      </c>
      <c r="E10" s="36">
        <f>IF(D10="","",D10-'02_Parametros'!$B$5)</f>
        <v/>
      </c>
      <c r="F10" s="19">
        <f>'05_Obligacion_prob'!D15</f>
        <v/>
      </c>
      <c r="G10" s="19">
        <f>'05_Obligacion_prob'!E15</f>
        <v/>
      </c>
      <c r="H10" s="21">
        <f>IF('03_Provisiones'!G15="","",'03_Provisiones'!G15)</f>
        <v/>
      </c>
      <c r="I10" s="21">
        <f>'03_Provisiones'!X15</f>
        <v/>
      </c>
      <c r="J10" s="21">
        <f>IF(H10="","",I10-H10)</f>
        <v/>
      </c>
      <c r="K10" s="19">
        <f>IF(C10&lt;&gt;"Sí","Sin respuesta: limitación (NIA 501)",IF(AND(E10&lt;&gt;"",E10&lt;0),"Carta anterior al corte","Respuesta recibida"))</f>
        <v/>
      </c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Respuesta del abogado</t>
        </is>
      </c>
      <c r="B14" s="25" t="inlineStr">
        <is>
          <t>'=IF('03_Provisiones'!AA5="","",'03_Provisiones'!AA5)</t>
        </is>
      </c>
      <c r="C14" s="24" t="inlineStr">
        <is>
          <t>Copia de la hoja 03 (datos del cliente) si se recibió respuesta del abogado (Sí/No); vacío si no se informó.</t>
        </is>
      </c>
      <c r="D14" s="24" t="inlineStr">
        <is>
          <t>Fila 1: IF(«Sí»=""; ""; «Sí») → Sí</t>
        </is>
      </c>
      <c r="E14" s="24" t="inlineStr">
        <is>
          <t>hoja «Provisiones y contingencias (datos del cliente)»</t>
        </is>
      </c>
      <c r="F14" s="24" t="inlineStr">
        <is>
          <t>—</t>
        </is>
      </c>
    </row>
    <row r="15">
      <c r="A15" s="24" t="inlineStr">
        <is>
          <t>Días desde el corte</t>
        </is>
      </c>
      <c r="B15" s="25" t="inlineStr">
        <is>
          <t>'=IF(D5="","",D5-'02_Parametros'!$B$5)</t>
        </is>
      </c>
      <c r="C15" s="24" t="inlineStr">
        <is>
          <t>Resta la fecha de corte de la hoja 02 (Parámetros) a la fecha de la carta: un número negativo indica una carta anterior al corte.</t>
        </is>
      </c>
      <c r="D15" s="24" t="inlineStr">
        <is>
          <t>Fila 1: IF(«2026-02-10»=""; ""; «2026-02-10»-«2025-12-31») → 41</t>
        </is>
      </c>
      <c r="E15" s="24" t="inlineStr">
        <is>
          <t>«Fecha de la carta» (esta hoja), hoja «Parámetros»</t>
        </is>
      </c>
      <c r="F15" s="24" t="inlineStr">
        <is>
          <t>—</t>
        </is>
      </c>
    </row>
    <row r="16">
      <c r="A16" s="24" t="inlineStr">
        <is>
          <t>Prob. abogado</t>
        </is>
      </c>
      <c r="B16" s="25" t="inlineStr">
        <is>
          <t>'='05_Obligacion_prob'!D5</t>
        </is>
      </c>
      <c r="C16" s="24" t="inlineStr">
        <is>
          <t>Trae la probabilidad del abogado de la hoja 05 (Obligación presente y probabilidad) para este litigio.</t>
        </is>
      </c>
      <c r="D16" s="24" t="inlineStr">
        <is>
          <t>Fila 1: «Probable» → Probable</t>
        </is>
      </c>
      <c r="E16" s="24" t="inlineStr">
        <is>
          <t>hoja «Obligación presente y probabilidad»</t>
        </is>
      </c>
      <c r="F16" s="24" t="inlineStr">
        <is>
          <t>—</t>
        </is>
      </c>
    </row>
    <row r="17">
      <c r="A17" s="24" t="inlineStr">
        <is>
          <t>Prob. gerencia</t>
        </is>
      </c>
      <c r="B17" s="25" t="inlineStr">
        <is>
          <t>'='05_Obligacion_prob'!E5</t>
        </is>
      </c>
      <c r="C17" s="24" t="inlineStr">
        <is>
          <t>Trae la probabilidad de la gerencia de la hoja 05 (Obligación presente y probabilidad) para este litigio.</t>
        </is>
      </c>
      <c r="D17" s="24" t="inlineStr">
        <is>
          <t>Fila 1: «Probable» → Probable</t>
        </is>
      </c>
      <c r="E17" s="24" t="inlineStr">
        <is>
          <t>hoja «Obligación presente y probabilidad»</t>
        </is>
      </c>
      <c r="F17" s="24" t="inlineStr">
        <is>
          <t>—</t>
        </is>
      </c>
    </row>
    <row r="18">
      <c r="A18" s="24" t="inlineStr">
        <is>
          <t>Importe carta</t>
        </is>
      </c>
      <c r="B18" s="25" t="inlineStr">
        <is>
          <t>'=IF('03_Provisiones'!G5="","",'03_Provisiones'!G5)</t>
        </is>
      </c>
      <c r="C18" s="24" t="inlineStr">
        <is>
          <t>Copia el importe que el abogado indica en su carta, tomado de la hoja 03 (datos del cliente); vacío si no lo hay.</t>
        </is>
      </c>
      <c r="D18" s="24" t="inlineStr">
        <is>
          <t>Fila 1: IF(120.000,00=""; ""; 120.000,00) → 120.000,00</t>
        </is>
      </c>
      <c r="E18" s="24" t="inlineStr">
        <is>
          <t>hoja «Provisiones y contingencias (datos del cliente)»</t>
        </is>
      </c>
      <c r="F18" s="24" t="inlineStr">
        <is>
          <t>—</t>
        </is>
      </c>
    </row>
    <row r="19">
      <c r="A19" s="24" t="inlineStr">
        <is>
          <t>Libros</t>
        </is>
      </c>
      <c r="B19" s="25" t="inlineStr">
        <is>
          <t>'='03_Provisiones'!X5</t>
        </is>
      </c>
      <c r="C19" s="24" t="inlineStr">
        <is>
          <t>Copia el saldo registrado en libros al corte para este litigio desde la hoja 03 (datos del cliente).</t>
        </is>
      </c>
      <c r="D19" s="24" t="inlineStr">
        <is>
          <t>Fila 1: 100.000,00 → 100.000,00</t>
        </is>
      </c>
      <c r="E19" s="24" t="inlineStr">
        <is>
          <t>hoja «Provisiones y contingencias (datos del cliente)»</t>
        </is>
      </c>
      <c r="F19" s="24" t="inlineStr">
        <is>
          <t>—</t>
        </is>
      </c>
    </row>
    <row r="20">
      <c r="A20" s="24" t="inlineStr">
        <is>
          <t>Libros − carta</t>
        </is>
      </c>
      <c r="B20" s="25" t="inlineStr">
        <is>
          <t>'=IF(H5="","",I5-H5)</t>
        </is>
      </c>
      <c r="C20" s="24" t="inlineStr">
        <is>
          <t>Resta el importe de la carta del abogado al saldo en libros; en blanco si la carta no trae importe.</t>
        </is>
      </c>
      <c r="D20" s="24" t="inlineStr">
        <is>
          <t>Fila 1: IF(120.000,00=""; ""; 100.000,00-120.000,00) → -20.000,00</t>
        </is>
      </c>
      <c r="E20" s="24" t="inlineStr">
        <is>
          <t>«Importe carta» (esta hoja), «Libros» (esta hoja)</t>
        </is>
      </c>
      <c r="F20" s="24" t="inlineStr">
        <is>
          <t>—</t>
        </is>
      </c>
    </row>
    <row r="21">
      <c r="A21" s="24" t="inlineStr">
        <is>
          <t>Evaluación</t>
        </is>
      </c>
      <c r="B21" s="25" t="inlineStr">
        <is>
          <t>'=IF(C5&lt;&gt;"Sí","Sin respuesta: limitación (NIA 501)",IF(AND(E5&lt;&gt;"",E5&lt;0),"Carta anterior al corte","Respuesta recibida"))</t>
        </is>
      </c>
      <c r="C21" s="24" t="inlineStr">
        <is>
          <t>Sin respuesta del abogado marca una limitación; si la carta tiene fecha anterior al corte lo advierte; en otro caso, «Respuesta recibida».</t>
        </is>
      </c>
      <c r="D21" s="24" t="inlineStr">
        <is>
          <t>Fila 1: IF(«Sí»&lt;&gt;"Sí"; "Sin respuesta: limitación (NIA 501)"; IF(AND(41&lt;&gt;""; 41&lt;0); "Carta anterior al corte"; "Respuesta recibida")) → Respuesta recibida</t>
        </is>
      </c>
      <c r="E21" s="24" t="inlineStr">
        <is>
          <t>«Respuesta del abogado» (esta hoja), «Días desde el corte» (esta hoja)</t>
        </is>
      </c>
      <c r="F21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29" customWidth="1" min="7" max="7"/>
  </cols>
  <sheetData>
    <row r="1">
      <c r="A1" s="3" t="inlineStr">
        <is>
          <t>Garantías: cálculo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Línea</t>
        </is>
      </c>
      <c r="B4" s="17" t="inlineStr">
        <is>
          <t>Provisión</t>
        </is>
      </c>
      <c r="C4" s="17" t="inlineStr">
        <is>
          <t>Unidades</t>
        </is>
      </c>
      <c r="D4" s="17" t="inlineStr">
        <is>
          <t>% reclamos</t>
        </is>
      </c>
      <c r="E4" s="17" t="inlineStr">
        <is>
          <t>Costo medio</t>
        </is>
      </c>
      <c r="F4" s="17" t="inlineStr">
        <is>
          <t>Provisión calculada</t>
        </is>
      </c>
      <c r="G4" s="17" t="inlineStr">
        <is>
          <t>Vínculo</t>
        </is>
      </c>
    </row>
    <row r="5">
      <c r="A5" s="18" t="inlineStr">
        <is>
          <t>GA-A</t>
        </is>
      </c>
      <c r="B5" s="18">
        <f>'04_Garantias'!B5</f>
        <v/>
      </c>
      <c r="C5" s="20">
        <f>'04_Garantias'!D5</f>
        <v/>
      </c>
      <c r="D5" s="20">
        <f>'04_Garantias'!E5</f>
        <v/>
      </c>
      <c r="E5" s="20">
        <f>'04_Garantias'!F5</f>
        <v/>
      </c>
      <c r="F5" s="20">
        <f>C5*D5/100*E5</f>
        <v/>
      </c>
      <c r="G5" s="18">
        <f>IF(COUNTIF('03_Provisiones'!$A$5:$A$17,B5)=0,"Sin provisión en el detalle","Vinculada")</f>
        <v/>
      </c>
    </row>
    <row r="6">
      <c r="A6" s="19" t="inlineStr">
        <is>
          <t>GA-B</t>
        </is>
      </c>
      <c r="B6" s="19">
        <f>'04_Garantias'!B6</f>
        <v/>
      </c>
      <c r="C6" s="21">
        <f>'04_Garantias'!D6</f>
        <v/>
      </c>
      <c r="D6" s="21">
        <f>'04_Garantias'!E6</f>
        <v/>
      </c>
      <c r="E6" s="21">
        <f>'04_Garantias'!F6</f>
        <v/>
      </c>
      <c r="F6" s="21">
        <f>C6*D6/100*E6</f>
        <v/>
      </c>
      <c r="G6" s="19">
        <f>IF(COUNTIF('03_Provisiones'!$A$5:$A$17,B6)=0,"Sin provisión en el detalle","Vinculada")</f>
        <v/>
      </c>
    </row>
    <row r="7">
      <c r="A7" s="18" t="inlineStr">
        <is>
          <t>GA-C</t>
        </is>
      </c>
      <c r="B7" s="18">
        <f>'04_Garantias'!B7</f>
        <v/>
      </c>
      <c r="C7" s="20">
        <f>'04_Garantias'!D7</f>
        <v/>
      </c>
      <c r="D7" s="20">
        <f>'04_Garantias'!E7</f>
        <v/>
      </c>
      <c r="E7" s="20">
        <f>'04_Garantias'!F7</f>
        <v/>
      </c>
      <c r="F7" s="20">
        <f>C7*D7/100*E7</f>
        <v/>
      </c>
      <c r="G7" s="18">
        <f>IF(COUNTIF('03_Provisiones'!$A$5:$A$17,B7)=0,"Sin provisión en el detalle","Vinculada")</f>
        <v/>
      </c>
    </row>
    <row r="8">
      <c r="A8" s="33" t="inlineStr">
        <is>
          <t>TOTAL</t>
        </is>
      </c>
      <c r="B8" s="33" t="inlineStr"/>
      <c r="C8" s="34" t="n"/>
      <c r="D8" s="34" t="n"/>
      <c r="E8" s="34" t="n"/>
      <c r="F8" s="34">
        <f>SUM(F5:F7)</f>
        <v/>
      </c>
      <c r="G8" s="33" t="inlineStr"/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Provisión</t>
        </is>
      </c>
      <c r="B12" s="25" t="inlineStr">
        <is>
          <t>'='04_Garantias'!B5</t>
        </is>
      </c>
      <c r="C12" s="24" t="inlineStr">
        <is>
          <t>Trae de la hoja 04 (Garantías) el código de la provisión a la que pertenece esta línea de producto.</t>
        </is>
      </c>
      <c r="D12" s="24" t="inlineStr">
        <is>
          <t>Fila 1: «GAR-01» → GAR-01</t>
        </is>
      </c>
      <c r="E12" s="24" t="inlineStr">
        <is>
          <t>hoja «Garantías (datos del cliente)»</t>
        </is>
      </c>
      <c r="F12" s="24" t="inlineStr">
        <is>
          <t>—</t>
        </is>
      </c>
    </row>
    <row r="13">
      <c r="A13" s="24" t="inlineStr">
        <is>
          <t>Unidades</t>
        </is>
      </c>
      <c r="B13" s="25" t="inlineStr">
        <is>
          <t>'='04_Garantias'!D5</t>
        </is>
      </c>
      <c r="C13" s="24" t="inlineStr">
        <is>
          <t>Trae de la hoja 04 (Garantías) las unidades vendidas con garantía vigente al corte.</t>
        </is>
      </c>
      <c r="D13" s="24" t="inlineStr">
        <is>
          <t>Fila 1: 12.000,00 → 12.000,00</t>
        </is>
      </c>
      <c r="E13" s="24" t="inlineStr">
        <is>
          <t>hoja «Garantías (datos del cliente)»</t>
        </is>
      </c>
      <c r="F13" s="24" t="inlineStr">
        <is>
          <t>—</t>
        </is>
      </c>
    </row>
    <row r="14">
      <c r="A14" s="24" t="inlineStr">
        <is>
          <t>% reclamos</t>
        </is>
      </c>
      <c r="B14" s="25" t="inlineStr">
        <is>
          <t>'='04_Garantias'!E5</t>
        </is>
      </c>
      <c r="C14" s="24" t="inlineStr">
        <is>
          <t>Trae de la hoja 04 (Garantías) el porcentaje histórico de reclamos de esta línea.</t>
        </is>
      </c>
      <c r="D14" s="24" t="inlineStr">
        <is>
          <t>Fila 1: 3,00 → 3,00</t>
        </is>
      </c>
      <c r="E14" s="24" t="inlineStr">
        <is>
          <t>hoja «Garantías (datos del cliente)»</t>
        </is>
      </c>
      <c r="F14" s="24" t="inlineStr">
        <is>
          <t>—</t>
        </is>
      </c>
    </row>
    <row r="15">
      <c r="A15" s="24" t="inlineStr">
        <is>
          <t>Costo medio</t>
        </is>
      </c>
      <c r="B15" s="25" t="inlineStr">
        <is>
          <t>'='04_Garantias'!F5</t>
        </is>
      </c>
      <c r="C15" s="24" t="inlineStr">
        <is>
          <t>Trae de la hoja 04 (Garantías) lo que cuesta, en promedio, atender cada reclamo.</t>
        </is>
      </c>
      <c r="D15" s="24" t="inlineStr">
        <is>
          <t>Fila 1: 85,00 → 85,00</t>
        </is>
      </c>
      <c r="E15" s="24" t="inlineStr">
        <is>
          <t>hoja «Garantías (datos del cliente)»</t>
        </is>
      </c>
      <c r="F15" s="24" t="inlineStr">
        <is>
          <t>—</t>
        </is>
      </c>
    </row>
    <row r="16">
      <c r="A16" s="24" t="inlineStr">
        <is>
          <t>Provisión calculada</t>
        </is>
      </c>
      <c r="B16" s="25" t="inlineStr">
        <is>
          <t>'=C5*D5/100*E5</t>
        </is>
      </c>
      <c r="C16" s="24" t="inlineStr">
        <is>
          <t>Multiplica las unidades por el % de reclamos y por el costo medio por reclamo: es el costo esperado de las garantías.</t>
        </is>
      </c>
      <c r="D16" s="24" t="inlineStr">
        <is>
          <t>Fila 1: 12.000,00*3,00/100*85,00 → 30.600,00</t>
        </is>
      </c>
      <c r="E16" s="24" t="inlineStr">
        <is>
          <t>«Unidades» (esta hoja), «% reclamos» (esta hoja), «Costo medio» (esta hoja)</t>
        </is>
      </c>
      <c r="F16" s="24" t="inlineStr">
        <is>
          <t>—</t>
        </is>
      </c>
    </row>
    <row r="17">
      <c r="A17" s="24" t="inlineStr">
        <is>
          <t>Vínculo</t>
        </is>
      </c>
      <c r="B17" s="25" t="inlineStr">
        <is>
          <t>'=IF(COUNTIF('03_Provisiones'!$A$5:$A$17,B5)=0,"Sin provisión en el detalle","Vinculada")</t>
        </is>
      </c>
      <c r="C17" s="24" t="inlineStr">
        <is>
          <t>Revisa si el código de la provisión existe en la hoja 03 (datos del cliente): «Vinculada» si existe; si no, «Sin provisión en el detalle».</t>
        </is>
      </c>
      <c r="D17" s="24" t="inlineStr">
        <is>
          <t>Fila 1: IF(COUNTIF([«Código de la provisión o contingencia» de «Provisiones y contingencias (datos del cliente)», 13 filas]; «GAR-01»)=0; "Sin provisión en el detalle"; "Vinculada") → Vinculada</t>
        </is>
      </c>
      <c r="E17" s="24" t="inlineStr">
        <is>
          <t>«Provisión» (esta hoja), hoja «Provisiones y contingencias (datos del cliente)»</t>
        </is>
      </c>
      <c r="F17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30" customWidth="1" min="4" max="4"/>
    <col width="23" customWidth="1" min="5" max="5"/>
    <col width="14" customWidth="1" min="6" max="6"/>
    <col width="28" customWidth="1" min="7" max="7"/>
    <col width="16" customWidth="1" min="8" max="8"/>
    <col width="12" customWidth="1" min="9" max="9"/>
    <col width="12" customWidth="1" min="10" max="10"/>
  </cols>
  <sheetData>
    <row r="1">
      <c r="A1" s="3" t="inlineStr">
        <is>
          <t>Contratos onerosos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Costo de cumplir</t>
        </is>
      </c>
      <c r="D4" s="17" t="inlineStr">
        <is>
          <t>Beneficios esperados (37.10)</t>
        </is>
      </c>
      <c r="E4" s="17" t="inlineStr">
        <is>
          <t>Costo neto de cumplir</t>
        </is>
      </c>
      <c r="F4" s="17" t="inlineStr">
        <is>
          <t>Penalización</t>
        </is>
      </c>
      <c r="G4" s="17" t="inlineStr">
        <is>
          <t>Costos inevitables (37.68)</t>
        </is>
      </c>
      <c r="H4" s="17" t="inlineStr">
        <is>
          <t>Valor presente</t>
        </is>
      </c>
      <c r="I4" s="17" t="inlineStr">
        <is>
          <t>Libros</t>
        </is>
      </c>
      <c r="J4" s="17" t="inlineStr">
        <is>
          <t>Ajuste</t>
        </is>
      </c>
    </row>
    <row r="5">
      <c r="A5" s="18" t="inlineStr">
        <is>
          <t>ONE-01</t>
        </is>
      </c>
      <c r="B5" s="18" t="inlineStr">
        <is>
          <t>Contrato de suministro con pérdida</t>
        </is>
      </c>
      <c r="C5" s="20">
        <f>IF('03_Provisiones'!R10="","",'03_Provisiones'!R10)</f>
        <v/>
      </c>
      <c r="D5" s="20">
        <f>IF('03_Provisiones'!T10="","",'03_Provisiones'!T10)</f>
        <v/>
      </c>
      <c r="E5" s="20">
        <f>IF(C5="","",MAX(C5-N(D5),0))</f>
        <v/>
      </c>
      <c r="F5" s="20">
        <f>IF('03_Provisiones'!S10="","",'03_Provisiones'!S10)</f>
        <v/>
      </c>
      <c r="G5" s="20">
        <f>IF(AND(E5="",F5=""),"",IF(E5="",F5,IF(F5="",E5,MIN(E5,F5))))</f>
        <v/>
      </c>
      <c r="H5" s="20">
        <f>'07_Valor_presente'!G10</f>
        <v/>
      </c>
      <c r="I5" s="20">
        <f>'03_Provisiones'!X10</f>
        <v/>
      </c>
      <c r="J5" s="20">
        <f>'13_Reconocimiento'!G10</f>
        <v/>
      </c>
    </row>
    <row r="7">
      <c r="A7" s="22" t="inlineStr">
        <is>
          <t>ⓘ  Cómo se calcula esta hoja</t>
        </is>
      </c>
    </row>
    <row r="8">
      <c r="A8" s="23" t="inlineStr">
        <is>
          <t>Columna</t>
        </is>
      </c>
      <c r="B8" s="23" t="inlineStr">
        <is>
          <t>Fórmula (Excel)</t>
        </is>
      </c>
      <c r="C8" s="23" t="inlineStr">
        <is>
          <t>Cómo se calcula (sencillo)</t>
        </is>
      </c>
      <c r="D8" s="23" t="inlineStr">
        <is>
          <t>Ejemplo con números reales</t>
        </is>
      </c>
      <c r="E8" s="23" t="inlineStr">
        <is>
          <t>De dónde viene</t>
        </is>
      </c>
      <c r="F8" s="23" t="inlineStr">
        <is>
          <t>Norma</t>
        </is>
      </c>
    </row>
    <row r="9">
      <c r="A9" s="24" t="inlineStr">
        <is>
          <t>Costo de cumplir</t>
        </is>
      </c>
      <c r="B9" s="25" t="inlineStr">
        <is>
          <t>'=IF('03_Provisiones'!R10="","",'03_Provisiones'!R10)</t>
        </is>
      </c>
      <c r="C9" s="24" t="inlineStr">
        <is>
          <t>Copia de la hoja 03 (datos del cliente) el costo de cumplir el contrato; vacío si no se informó.</t>
        </is>
      </c>
      <c r="D9" s="24" t="inlineStr">
        <is>
          <t>Fila 1: IF(75.000,00=""; ""; 75.000,00) → 75.000,00</t>
        </is>
      </c>
      <c r="E9" s="24" t="inlineStr">
        <is>
          <t>hoja «Provisiones y contingencias (datos del cliente)»</t>
        </is>
      </c>
      <c r="F9" s="24" t="inlineStr">
        <is>
          <t>—</t>
        </is>
      </c>
    </row>
    <row r="10">
      <c r="A10" s="24" t="inlineStr">
        <is>
          <t>Beneficios esperados (37.10)</t>
        </is>
      </c>
      <c r="B10" s="25" t="inlineStr">
        <is>
          <t>'=IF('03_Provisiones'!T10="","",'03_Provisiones'!T10)</t>
        </is>
      </c>
      <c r="C10" s="24" t="inlineStr">
        <is>
          <t>Copia de la hoja 03 (datos del cliente) los beneficios económicos que se esperan del contrato; vacío si no se informaron.</t>
        </is>
      </c>
      <c r="D10" s="24" t="inlineStr">
        <is>
          <t>Fila 1: IF(40.000,00=""; ""; 40.000,00) → 40.000,00</t>
        </is>
      </c>
      <c r="E10" s="24" t="inlineStr">
        <is>
          <t>hoja «Provisiones y contingencias (datos del cliente)»</t>
        </is>
      </c>
      <c r="F10" s="24" t="inlineStr">
        <is>
          <t>—</t>
        </is>
      </c>
    </row>
    <row r="11">
      <c r="A11" s="24" t="inlineStr">
        <is>
          <t>Costo neto de cumplir</t>
        </is>
      </c>
      <c r="B11" s="25" t="inlineStr">
        <is>
          <t>'=IF(C5="","",MAX(C5-N(D5),0))</t>
        </is>
      </c>
      <c r="C11" s="24" t="inlineStr">
        <is>
          <t>Resta los beneficios esperados al costo de cumplir, sin bajar de cero; en blanco si no hay costo de cumplir.</t>
        </is>
      </c>
      <c r="D11" s="24" t="inlineStr">
        <is>
          <t>Fila 1: IF(75.000,00=""; ""; MAX(75.000,00-N(40.000,00); 0)) → 35.000,00</t>
        </is>
      </c>
      <c r="E11" s="24" t="inlineStr">
        <is>
          <t>«Costo de cumplir» (esta hoja), «Beneficios esperados (37.10)» (esta hoja)</t>
        </is>
      </c>
      <c r="F11" s="24" t="inlineStr">
        <is>
          <t>—</t>
        </is>
      </c>
    </row>
    <row r="12">
      <c r="A12" s="24" t="inlineStr">
        <is>
          <t>Penalización</t>
        </is>
      </c>
      <c r="B12" s="25" t="inlineStr">
        <is>
          <t>'=IF('03_Provisiones'!S10="","",'03_Provisiones'!S10)</t>
        </is>
      </c>
      <c r="C12" s="24" t="inlineStr">
        <is>
          <t>Copia de la hoja 03 (datos del cliente) la penalización por incumplir el contrato; vacío si no se informó.</t>
        </is>
      </c>
      <c r="D12" s="24" t="inlineStr">
        <is>
          <t>Fila 1: IF(45.000,00=""; ""; 45.000,00) → 45.000,00</t>
        </is>
      </c>
      <c r="E12" s="24" t="inlineStr">
        <is>
          <t>hoja «Provisiones y contingencias (datos del cliente)»</t>
        </is>
      </c>
      <c r="F12" s="24" t="inlineStr">
        <is>
          <t>—</t>
        </is>
      </c>
    </row>
    <row r="13">
      <c r="A13" s="24" t="inlineStr">
        <is>
          <t>Costos inevitables (37.68)</t>
        </is>
      </c>
      <c r="B13" s="25" t="inlineStr">
        <is>
          <t>'=IF(AND(E5="",F5=""),"",IF(E5="",F5,IF(F5="",E5,MIN(E5,F5))))</t>
        </is>
      </c>
      <c r="C13" s="24" t="inlineStr">
        <is>
          <t>Toma el menor entre el costo neto de cumplir y la penalización; si solo hay uno de los dos, usa ese; vacío si faltan ambos.</t>
        </is>
      </c>
      <c r="D13" s="24" t="inlineStr">
        <is>
          <t>Fila 1: IF(AND(35.000,00=""; 45.000,00=""); ""; IF(35.000,00=""; 45.000,00; IF(45.000,00=""; 35.000,00; MIN(35.000,00; 45.000,00)))) → 35.000,00</t>
        </is>
      </c>
      <c r="E13" s="24" t="inlineStr">
        <is>
          <t>«Costo neto de cumplir» (esta hoja), «Penalización» (esta hoja)</t>
        </is>
      </c>
      <c r="F13" s="24" t="inlineStr">
        <is>
          <t>—</t>
        </is>
      </c>
    </row>
    <row r="14">
      <c r="A14" s="24" t="inlineStr">
        <is>
          <t>Valor presente</t>
        </is>
      </c>
      <c r="B14" s="25" t="inlineStr">
        <is>
          <t>'='07_Valor_presente'!G10</t>
        </is>
      </c>
      <c r="C14" s="24" t="inlineStr">
        <is>
          <t>Trae el valor presente de esta partida desde la hoja 07 (Valor presente).</t>
        </is>
      </c>
      <c r="D14" s="24" t="inlineStr">
        <is>
          <t>Fila 1: 35.000,00 → 35.000,00</t>
        </is>
      </c>
      <c r="E14" s="24" t="inlineStr">
        <is>
          <t>hoja «Valor presente (descuento)»</t>
        </is>
      </c>
      <c r="F14" s="24" t="inlineStr">
        <is>
          <t>—</t>
        </is>
      </c>
    </row>
    <row r="15">
      <c r="A15" s="24" t="inlineStr">
        <is>
          <t>Libros</t>
        </is>
      </c>
      <c r="B15" s="25" t="inlineStr">
        <is>
          <t>'='03_Provisiones'!X10</t>
        </is>
      </c>
      <c r="C15" s="24" t="inlineStr">
        <is>
          <t>Copia el saldo registrado en libros al corte para este contrato desde la hoja 03 (datos del cliente).</t>
        </is>
      </c>
      <c r="D15" s="24" t="inlineStr">
        <is>
          <t>Fila 1: 0,00 → 0,00</t>
        </is>
      </c>
      <c r="E15" s="24" t="inlineStr">
        <is>
          <t>hoja «Provisiones y contingencias (datos del cliente)»</t>
        </is>
      </c>
      <c r="F15" s="24" t="inlineStr">
        <is>
          <t>—</t>
        </is>
      </c>
    </row>
    <row r="16">
      <c r="A16" s="24" t="inlineStr">
        <is>
          <t>Ajuste</t>
        </is>
      </c>
      <c r="B16" s="25" t="inlineStr">
        <is>
          <t>'='13_Reconocimiento'!G10</t>
        </is>
      </c>
      <c r="C16" s="24" t="inlineStr">
        <is>
          <t>Trae el ajuste (provisión requerida − libros) calculado para este contrato en la hoja 13 (Provisión requerida vs libros).</t>
        </is>
      </c>
      <c r="D16" s="24" t="inlineStr">
        <is>
          <t>Fila 1: 35.000,00 → 35.000,00</t>
        </is>
      </c>
      <c r="E16" s="24" t="inlineStr">
        <is>
          <t>hoja «Provisión requerida vs libros»</t>
        </is>
      </c>
      <c r="F16" s="24" t="inlineStr">
        <is>
          <t>—</t>
        </is>
      </c>
    </row>
  </sheetData>
  <mergeCells count="3">
    <mergeCell ref="A2:F2"/>
    <mergeCell ref="A1:F1"/>
    <mergeCell ref="A7:F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6" customWidth="1" min="3" max="3"/>
    <col width="14" customWidth="1" min="4" max="4"/>
    <col width="12" customWidth="1" min="5" max="5"/>
    <col width="19" customWidth="1" min="6" max="6"/>
    <col width="12" customWidth="1" min="7" max="7"/>
    <col width="35" customWidth="1" min="8" max="8"/>
    <col width="21" customWidth="1" min="9" max="9"/>
    <col width="22" customWidth="1" min="10" max="10"/>
  </cols>
  <sheetData>
    <row r="1">
      <c r="A1" s="3" t="inlineStr">
        <is>
          <t>Desmantelamiento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Costo estimado</t>
        </is>
      </c>
      <c r="D4" s="17" t="inlineStr">
        <is>
          <t>Plazo (años)</t>
        </is>
      </c>
      <c r="E4" s="17" t="inlineStr">
        <is>
          <t>Tasa %</t>
        </is>
      </c>
      <c r="F4" s="17" t="inlineStr">
        <is>
          <t>Valor presente</t>
        </is>
      </c>
      <c r="G4" s="17" t="inlineStr">
        <is>
          <t>Libros</t>
        </is>
      </c>
      <c r="H4" s="17" t="inlineStr">
        <is>
          <t>Ajuste contra el costo (CINIIF 1)</t>
        </is>
      </c>
      <c r="I4" s="17" t="inlineStr">
        <is>
          <t>Reversión calculada</t>
        </is>
      </c>
      <c r="J4" s="17" t="inlineStr">
        <is>
          <t>Reversión registrada</t>
        </is>
      </c>
    </row>
    <row r="5">
      <c r="A5" s="18" t="inlineStr">
        <is>
          <t>DES-01</t>
        </is>
      </c>
      <c r="B5" s="18" t="inlineStr">
        <is>
          <t>Desmantelamiento de planta en terreno arrendado</t>
        </is>
      </c>
      <c r="C5" s="20">
        <f>'07_Valor_presente'!B11</f>
        <v/>
      </c>
      <c r="D5" s="20">
        <f>'07_Valor_presente'!C11</f>
        <v/>
      </c>
      <c r="E5" s="20">
        <f>'07_Valor_presente'!D11</f>
        <v/>
      </c>
      <c r="F5" s="20">
        <f>'07_Valor_presente'!G11</f>
        <v/>
      </c>
      <c r="G5" s="20">
        <f>'03_Provisiones'!X11</f>
        <v/>
      </c>
      <c r="H5" s="20">
        <f>'13_Reconocimiento'!G11</f>
        <v/>
      </c>
      <c r="I5" s="20">
        <f>'08_Reversion_descuento'!E11</f>
        <v/>
      </c>
      <c r="J5" s="20">
        <f>'08_Reversion_descuento'!F11</f>
        <v/>
      </c>
    </row>
    <row r="7">
      <c r="A7" s="22" t="inlineStr">
        <is>
          <t>ⓘ  Cómo se calcula esta hoja</t>
        </is>
      </c>
    </row>
    <row r="8">
      <c r="A8" s="23" t="inlineStr">
        <is>
          <t>Columna</t>
        </is>
      </c>
      <c r="B8" s="23" t="inlineStr">
        <is>
          <t>Fórmula (Excel)</t>
        </is>
      </c>
      <c r="C8" s="23" t="inlineStr">
        <is>
          <t>Cómo se calcula (sencillo)</t>
        </is>
      </c>
      <c r="D8" s="23" t="inlineStr">
        <is>
          <t>Ejemplo con números reales</t>
        </is>
      </c>
      <c r="E8" s="23" t="inlineStr">
        <is>
          <t>De dónde viene</t>
        </is>
      </c>
      <c r="F8" s="23" t="inlineStr">
        <is>
          <t>Norma</t>
        </is>
      </c>
    </row>
    <row r="9">
      <c r="A9" s="24" t="inlineStr">
        <is>
          <t>Costo estimado</t>
        </is>
      </c>
      <c r="B9" s="25" t="inlineStr">
        <is>
          <t>'='07_Valor_presente'!B11</t>
        </is>
      </c>
      <c r="C9" s="24" t="inlineStr">
        <is>
          <t>Trae de la hoja 07 (Valor presente) la mejor estimación del costo de desmantelar, antes de descontarla.</t>
        </is>
      </c>
      <c r="D9" s="24" t="inlineStr">
        <is>
          <t>Fila 1: 500.000,00 → 500.000,00</t>
        </is>
      </c>
      <c r="E9" s="24" t="inlineStr">
        <is>
          <t>hoja «Valor presente (descuento)»</t>
        </is>
      </c>
      <c r="F9" s="24" t="inlineStr">
        <is>
          <t>—</t>
        </is>
      </c>
    </row>
    <row r="10">
      <c r="A10" s="24" t="inlineStr">
        <is>
          <t>Plazo (años)</t>
        </is>
      </c>
      <c r="B10" s="25" t="inlineStr">
        <is>
          <t>'='07_Valor_presente'!C11</t>
        </is>
      </c>
      <c r="C10" s="24" t="inlineStr">
        <is>
          <t>Trae de la hoja 07 (Valor presente) el plazo en años hasta el desmantelamiento.</t>
        </is>
      </c>
      <c r="D10" s="24" t="inlineStr">
        <is>
          <t>Fila 1: 10,00 → 10,00</t>
        </is>
      </c>
      <c r="E10" s="24" t="inlineStr">
        <is>
          <t>hoja «Valor presente (descuento)»</t>
        </is>
      </c>
      <c r="F10" s="24" t="inlineStr">
        <is>
          <t>—</t>
        </is>
      </c>
    </row>
    <row r="11">
      <c r="A11" s="24" t="inlineStr">
        <is>
          <t>Tasa %</t>
        </is>
      </c>
      <c r="B11" s="25" t="inlineStr">
        <is>
          <t>'='07_Valor_presente'!D11</t>
        </is>
      </c>
      <c r="C11" s="24" t="inlineStr">
        <is>
          <t>Trae de la hoja 07 (Valor presente) la tasa de descuento aplicada a esta partida.</t>
        </is>
      </c>
      <c r="D11" s="24" t="inlineStr">
        <is>
          <t>Fila 1: 7,00 → 7,00</t>
        </is>
      </c>
      <c r="E11" s="24" t="inlineStr">
        <is>
          <t>hoja «Valor presente (descuento)»</t>
        </is>
      </c>
      <c r="F11" s="24" t="inlineStr">
        <is>
          <t>—</t>
        </is>
      </c>
    </row>
    <row r="12">
      <c r="A12" s="24" t="inlineStr">
        <is>
          <t>Valor presente</t>
        </is>
      </c>
      <c r="B12" s="25" t="inlineStr">
        <is>
          <t>'='07_Valor_presente'!G11</t>
        </is>
      </c>
      <c r="C12" s="24" t="inlineStr">
        <is>
          <t>Trae de la hoja 07 (Valor presente) el costo estimado ya descontado a la fecha de corte.</t>
        </is>
      </c>
      <c r="D12" s="24" t="inlineStr">
        <is>
          <t>Fila 1: 254.174,65 → 254.174,65</t>
        </is>
      </c>
      <c r="E12" s="24" t="inlineStr">
        <is>
          <t>hoja «Valor presente (descuento)»</t>
        </is>
      </c>
      <c r="F12" s="24" t="inlineStr">
        <is>
          <t>—</t>
        </is>
      </c>
    </row>
    <row r="13">
      <c r="A13" s="24" t="inlineStr">
        <is>
          <t>Libros</t>
        </is>
      </c>
      <c r="B13" s="25" t="inlineStr">
        <is>
          <t>'='03_Provisiones'!X11</t>
        </is>
      </c>
      <c r="C13" s="24" t="inlineStr">
        <is>
          <t>Copia el saldo registrado en libros al corte para esta obligación desde la hoja 03 (datos del cliente).</t>
        </is>
      </c>
      <c r="D13" s="24" t="inlineStr">
        <is>
          <t>Fila 1: 240.000,00 → 240.000,00</t>
        </is>
      </c>
      <c r="E13" s="24" t="inlineStr">
        <is>
          <t>hoja «Provisiones y contingencias (datos del cliente)»</t>
        </is>
      </c>
      <c r="F13" s="24" t="inlineStr">
        <is>
          <t>—</t>
        </is>
      </c>
    </row>
    <row r="14">
      <c r="A14" s="24" t="inlineStr">
        <is>
          <t>Ajuste contra el costo (CINIIF 1)</t>
        </is>
      </c>
      <c r="B14" s="25" t="inlineStr">
        <is>
          <t>'='13_Reconocimiento'!G11</t>
        </is>
      </c>
      <c r="C14" s="24" t="inlineStr">
        <is>
          <t>Trae el ajuste (provisión requerida − libros) de la hoja 13 (Provisión requerida vs libros); en desmantelamiento se registra contra el costo del activo.</t>
        </is>
      </c>
      <c r="D14" s="24" t="inlineStr">
        <is>
          <t>Fila 1: 14.174,65 → 14.174,65</t>
        </is>
      </c>
      <c r="E14" s="24" t="inlineStr">
        <is>
          <t>hoja «Provisión requerida vs libros»</t>
        </is>
      </c>
      <c r="F14" s="24" t="inlineStr">
        <is>
          <t>—</t>
        </is>
      </c>
    </row>
    <row r="15">
      <c r="A15" s="24" t="inlineStr">
        <is>
          <t>Reversión calculada</t>
        </is>
      </c>
      <c r="B15" s="25" t="inlineStr">
        <is>
          <t>'='08_Reversion_descuento'!E11</t>
        </is>
      </c>
      <c r="C15" s="24" t="inlineStr">
        <is>
          <t>Trae de la hoja 08 (Reversión del descuento) el aumento de la provisión por el paso del tiempo que calcula el auditor.</t>
        </is>
      </c>
      <c r="D15" s="24" t="inlineStr">
        <is>
          <t>Fila 1: 15.750,00 → 15.750,00</t>
        </is>
      </c>
      <c r="E15" s="24" t="inlineStr">
        <is>
          <t>hoja «Actualización financiera (reversión del descuento)»</t>
        </is>
      </c>
      <c r="F15" s="24" t="inlineStr">
        <is>
          <t>—</t>
        </is>
      </c>
    </row>
    <row r="16">
      <c r="A16" s="24" t="inlineStr">
        <is>
          <t>Reversión registrada</t>
        </is>
      </c>
      <c r="B16" s="25" t="inlineStr">
        <is>
          <t>'='08_Reversion_descuento'!F11</t>
        </is>
      </c>
      <c r="C16" s="24" t="inlineStr">
        <is>
          <t>Trae de la hoja 08 (Reversión del descuento) la reversión que el cliente registró en el período.</t>
        </is>
      </c>
      <c r="D16" s="24" t="inlineStr">
        <is>
          <t>Fila 1: (vacío) → (en blanco)</t>
        </is>
      </c>
      <c r="E16" s="24" t="inlineStr">
        <is>
          <t>hoja «Actualización financiera (reversión del descuento)»</t>
        </is>
      </c>
      <c r="F16" s="24" t="inlineStr">
        <is>
          <t>—</t>
        </is>
      </c>
    </row>
  </sheetData>
  <mergeCells count="3">
    <mergeCell ref="A2:F2"/>
    <mergeCell ref="A1:F1"/>
    <mergeCell ref="A7:F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20" customWidth="1" min="4" max="4"/>
    <col width="21" customWidth="1" min="5" max="5"/>
    <col width="12" customWidth="1" min="6" max="6"/>
    <col width="29" customWidth="1" min="7" max="7"/>
    <col width="49" customWidth="1" min="8" max="8"/>
  </cols>
  <sheetData>
    <row r="1">
      <c r="A1" s="3" t="inlineStr">
        <is>
          <t>Provisión requerida vs libros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Tipo</t>
        </is>
      </c>
      <c r="C4" s="17" t="inlineStr">
        <is>
          <t>Clasificación</t>
        </is>
      </c>
      <c r="D4" s="17" t="inlineStr">
        <is>
          <t>Valor presente</t>
        </is>
      </c>
      <c r="E4" s="17" t="inlineStr">
        <is>
          <t>Provisión requerida</t>
        </is>
      </c>
      <c r="F4" s="17" t="inlineStr">
        <is>
          <t>Libros</t>
        </is>
      </c>
      <c r="G4" s="17" t="inlineStr">
        <is>
          <t>Ajuste (requerida − libros)</t>
        </is>
      </c>
      <c r="H4" s="17" t="inlineStr">
        <is>
          <t>Contrapartida</t>
        </is>
      </c>
    </row>
    <row r="5">
      <c r="A5" s="18" t="inlineStr">
        <is>
          <t>LIT-01</t>
        </is>
      </c>
      <c r="B5" s="18">
        <f>'05_Obligacion_prob'!B5</f>
        <v/>
      </c>
      <c r="C5" s="18">
        <f>'05_Obligacion_prob'!G5</f>
        <v/>
      </c>
      <c r="D5" s="20">
        <f>'07_Valor_presente'!G5</f>
        <v/>
      </c>
      <c r="E5" s="20">
        <f>IF(C5="Sin evaluación","",IF(OR(C5="Reconocer provisión",C5="Activo reconocible"),D5,0))</f>
        <v/>
      </c>
      <c r="F5" s="20">
        <f>'03_Provisiones'!X5</f>
        <v/>
      </c>
      <c r="G5" s="20">
        <f>IF(E5="","",E5-F5)</f>
        <v/>
      </c>
      <c r="H5" s="18" t="inlineStr">
        <is>
          <t>Gasto del período (provisión)</t>
        </is>
      </c>
    </row>
    <row r="6">
      <c r="A6" s="19" t="inlineStr">
        <is>
          <t>LIT-02</t>
        </is>
      </c>
      <c r="B6" s="19">
        <f>'05_Obligacion_prob'!B6</f>
        <v/>
      </c>
      <c r="C6" s="19">
        <f>'05_Obligacion_prob'!G6</f>
        <v/>
      </c>
      <c r="D6" s="21">
        <f>'07_Valor_presente'!G6</f>
        <v/>
      </c>
      <c r="E6" s="21">
        <f>IF(C6="Sin evaluación","",IF(OR(C6="Reconocer provisión",C6="Activo reconocible"),D6,0))</f>
        <v/>
      </c>
      <c r="F6" s="21">
        <f>'03_Provisiones'!X6</f>
        <v/>
      </c>
      <c r="G6" s="21">
        <f>IF(E6="","",E6-F6)</f>
        <v/>
      </c>
      <c r="H6" s="19" t="inlineStr">
        <is>
          <t>Gasto del período (provisión)</t>
        </is>
      </c>
    </row>
    <row r="7">
      <c r="A7" s="18" t="inlineStr">
        <is>
          <t>LIT-03</t>
        </is>
      </c>
      <c r="B7" s="18">
        <f>'05_Obligacion_prob'!B7</f>
        <v/>
      </c>
      <c r="C7" s="18">
        <f>'05_Obligacion_prob'!G7</f>
        <v/>
      </c>
      <c r="D7" s="20">
        <f>'07_Valor_presente'!G7</f>
        <v/>
      </c>
      <c r="E7" s="20">
        <f>IF(C7="Sin evaluación","",IF(OR(C7="Reconocer provisión",C7="Activo reconocible"),D7,0))</f>
        <v/>
      </c>
      <c r="F7" s="20">
        <f>'03_Provisiones'!X7</f>
        <v/>
      </c>
      <c r="G7" s="20">
        <f>IF(E7="","",E7-F7)</f>
        <v/>
      </c>
      <c r="H7" s="18" t="inlineStr">
        <is>
          <t>Reversión contra resultados (NIC 37.59)</t>
        </is>
      </c>
    </row>
    <row r="8">
      <c r="A8" s="19" t="inlineStr">
        <is>
          <t>LIT-04</t>
        </is>
      </c>
      <c r="B8" s="19">
        <f>'05_Obligacion_prob'!B8</f>
        <v/>
      </c>
      <c r="C8" s="19">
        <f>'05_Obligacion_prob'!G8</f>
        <v/>
      </c>
      <c r="D8" s="21">
        <f>'07_Valor_presente'!G8</f>
        <v/>
      </c>
      <c r="E8" s="21">
        <f>IF(C8="Sin evaluación","",IF(OR(C8="Reconocer provisión",C8="Activo reconocible"),D8,0))</f>
        <v/>
      </c>
      <c r="F8" s="21">
        <f>'03_Provisiones'!X8</f>
        <v/>
      </c>
      <c r="G8" s="21">
        <f>IF(E8="","",E8-F8)</f>
        <v/>
      </c>
      <c r="H8" s="19" t="inlineStr">
        <is>
          <t>Reversión contra resultados (NIC 37.59)</t>
        </is>
      </c>
    </row>
    <row r="9">
      <c r="A9" s="18" t="inlineStr">
        <is>
          <t>GAR-01</t>
        </is>
      </c>
      <c r="B9" s="18">
        <f>'05_Obligacion_prob'!B9</f>
        <v/>
      </c>
      <c r="C9" s="18">
        <f>'05_Obligacion_prob'!G9</f>
        <v/>
      </c>
      <c r="D9" s="20">
        <f>'07_Valor_presente'!G9</f>
        <v/>
      </c>
      <c r="E9" s="20">
        <f>IF(C9="Sin evaluación","",IF(OR(C9="Reconocer provisión",C9="Activo reconocible"),D9,0))</f>
        <v/>
      </c>
      <c r="F9" s="20">
        <f>'03_Provisiones'!X9</f>
        <v/>
      </c>
      <c r="G9" s="20">
        <f>IF(E9="","",E9-F9)</f>
        <v/>
      </c>
      <c r="H9" s="18" t="inlineStr">
        <is>
          <t>Gasto del período (provisión)</t>
        </is>
      </c>
    </row>
    <row r="10">
      <c r="A10" s="19" t="inlineStr">
        <is>
          <t>ONE-01</t>
        </is>
      </c>
      <c r="B10" s="19">
        <f>'05_Obligacion_prob'!B10</f>
        <v/>
      </c>
      <c r="C10" s="19">
        <f>'05_Obligacion_prob'!G10</f>
        <v/>
      </c>
      <c r="D10" s="21">
        <f>'07_Valor_presente'!G10</f>
        <v/>
      </c>
      <c r="E10" s="21">
        <f>IF(C10="Sin evaluación","",IF(OR(C10="Reconocer provisión",C10="Activo reconocible"),D10,0))</f>
        <v/>
      </c>
      <c r="F10" s="21">
        <f>'03_Provisiones'!X10</f>
        <v/>
      </c>
      <c r="G10" s="21">
        <f>IF(E10="","",E10-F10)</f>
        <v/>
      </c>
      <c r="H10" s="19" t="inlineStr">
        <is>
          <t>Gasto del período (provisión)</t>
        </is>
      </c>
    </row>
    <row r="11">
      <c r="A11" s="18" t="inlineStr">
        <is>
          <t>DES-01</t>
        </is>
      </c>
      <c r="B11" s="18">
        <f>'05_Obligacion_prob'!B11</f>
        <v/>
      </c>
      <c r="C11" s="18">
        <f>'05_Obligacion_prob'!G11</f>
        <v/>
      </c>
      <c r="D11" s="20">
        <f>'07_Valor_presente'!G11</f>
        <v/>
      </c>
      <c r="E11" s="20">
        <f>IF(C11="Sin evaluación","",IF(OR(C11="Reconocer provisión",C11="Activo reconocible"),D11,0))</f>
        <v/>
      </c>
      <c r="F11" s="20">
        <f>'03_Provisiones'!X11</f>
        <v/>
      </c>
      <c r="G11" s="20">
        <f>IF(E11="","",E11-F11)</f>
        <v/>
      </c>
      <c r="H11" s="18" t="inlineStr">
        <is>
          <t>Costo del activo (NIC 16.16 c, 16.18; CINIIF 1)</t>
        </is>
      </c>
    </row>
    <row r="12">
      <c r="A12" s="19" t="inlineStr">
        <is>
          <t>REE-01</t>
        </is>
      </c>
      <c r="B12" s="19">
        <f>'05_Obligacion_prob'!B12</f>
        <v/>
      </c>
      <c r="C12" s="19">
        <f>'05_Obligacion_prob'!G12</f>
        <v/>
      </c>
      <c r="D12" s="21">
        <f>'07_Valor_presente'!G12</f>
        <v/>
      </c>
      <c r="E12" s="21">
        <f>IF(C12="Sin evaluación","",IF(OR(C12="Reconocer provisión",C12="Activo reconocible"),D12,0))</f>
        <v/>
      </c>
      <c r="F12" s="21">
        <f>'03_Provisiones'!X12</f>
        <v/>
      </c>
      <c r="G12" s="21">
        <f>IF(E12="","",E12-F12)</f>
        <v/>
      </c>
      <c r="H12" s="19" t="inlineStr">
        <is>
          <t>Gasto del período (provisión)</t>
        </is>
      </c>
    </row>
    <row r="13">
      <c r="A13" s="18" t="inlineStr">
        <is>
          <t>AMB-01</t>
        </is>
      </c>
      <c r="B13" s="18">
        <f>'05_Obligacion_prob'!B13</f>
        <v/>
      </c>
      <c r="C13" s="18">
        <f>'05_Obligacion_prob'!G13</f>
        <v/>
      </c>
      <c r="D13" s="20">
        <f>'07_Valor_presente'!G13</f>
        <v/>
      </c>
      <c r="E13" s="20">
        <f>IF(C13="Sin evaluación","",IF(OR(C13="Reconocer provisión",C13="Activo reconocible"),D13,0))</f>
        <v/>
      </c>
      <c r="F13" s="20">
        <f>'03_Provisiones'!X13</f>
        <v/>
      </c>
      <c r="G13" s="20">
        <f>IF(E13="","",E13-F13)</f>
        <v/>
      </c>
      <c r="H13" s="18" t="inlineStr">
        <is>
          <t>Gasto del período (provisión)</t>
        </is>
      </c>
    </row>
    <row r="14">
      <c r="A14" s="19" t="inlineStr">
        <is>
          <t>LIT-05</t>
        </is>
      </c>
      <c r="B14" s="19">
        <f>'05_Obligacion_prob'!B14</f>
        <v/>
      </c>
      <c r="C14" s="19">
        <f>'05_Obligacion_prob'!G14</f>
        <v/>
      </c>
      <c r="D14" s="21">
        <f>'07_Valor_presente'!G14</f>
        <v/>
      </c>
      <c r="E14" s="21">
        <f>IF(C14="Sin evaluación","",IF(OR(C14="Reconocer provisión",C14="Activo reconocible"),D14,0))</f>
        <v/>
      </c>
      <c r="F14" s="21">
        <f>'03_Provisiones'!X14</f>
        <v/>
      </c>
      <c r="G14" s="21">
        <f>IF(E14="","",E14-F14)</f>
        <v/>
      </c>
      <c r="H14" s="19" t="inlineStr">
        <is>
          <t>Gasto del período (provisión)</t>
        </is>
      </c>
    </row>
    <row r="15">
      <c r="A15" s="18" t="inlineStr">
        <is>
          <t>LIT-06</t>
        </is>
      </c>
      <c r="B15" s="18">
        <f>'05_Obligacion_prob'!B15</f>
        <v/>
      </c>
      <c r="C15" s="18">
        <f>'05_Obligacion_prob'!G15</f>
        <v/>
      </c>
      <c r="D15" s="20">
        <f>'07_Valor_presente'!G15</f>
        <v/>
      </c>
      <c r="E15" s="20">
        <f>IF(C15="Sin evaluación","",IF(OR(C15="Reconocer provisión",C15="Activo reconocible"),D15,0))</f>
        <v/>
      </c>
      <c r="F15" s="20">
        <f>'03_Provisiones'!X15</f>
        <v/>
      </c>
      <c r="G15" s="20">
        <f>IF(E15="","",E15-F15)</f>
        <v/>
      </c>
      <c r="H15" s="18" t="inlineStr">
        <is>
          <t>Reversión contra resultados (NIC 37.59)</t>
        </is>
      </c>
    </row>
    <row r="16">
      <c r="A16" s="19" t="inlineStr">
        <is>
          <t>OTR-01</t>
        </is>
      </c>
      <c r="B16" s="19">
        <f>'05_Obligacion_prob'!B16</f>
        <v/>
      </c>
      <c r="C16" s="19">
        <f>'05_Obligacion_prob'!G16</f>
        <v/>
      </c>
      <c r="D16" s="21">
        <f>'07_Valor_presente'!G16</f>
        <v/>
      </c>
      <c r="E16" s="21">
        <f>IF(C16="Sin evaluación","",IF(OR(C16="Reconocer provisión",C16="Activo reconocible"),D16,0))</f>
        <v/>
      </c>
      <c r="F16" s="21">
        <f>'03_Provisiones'!X16</f>
        <v/>
      </c>
      <c r="G16" s="21">
        <f>IF(E16="","",E16-F16)</f>
        <v/>
      </c>
      <c r="H16" s="19" t="inlineStr">
        <is>
          <t>Gasto del período (provisión)</t>
        </is>
      </c>
    </row>
    <row r="17">
      <c r="A17" s="18" t="inlineStr">
        <is>
          <t>ACT-01</t>
        </is>
      </c>
      <c r="B17" s="18">
        <f>'05_Obligacion_prob'!B17</f>
        <v/>
      </c>
      <c r="C17" s="18">
        <f>'05_Obligacion_prob'!G17</f>
        <v/>
      </c>
      <c r="D17" s="20">
        <f>'07_Valor_presente'!G17</f>
        <v/>
      </c>
      <c r="E17" s="20">
        <f>IF(C17="Sin evaluación","",IF(OR(C17="Reconocer provisión",C17="Activo reconocible"),D17,0))</f>
        <v/>
      </c>
      <c r="F17" s="20">
        <f>'03_Provisiones'!X17</f>
        <v/>
      </c>
      <c r="G17" s="20">
        <f>IF(E17="","",E17-F17)</f>
        <v/>
      </c>
      <c r="H17" s="18" t="inlineStr">
        <is>
          <t>Otros ingresos / cuenta por cobrar (NIC 37.33)</t>
        </is>
      </c>
    </row>
    <row r="18">
      <c r="A18" s="33" t="inlineStr">
        <is>
          <t>TOTAL</t>
        </is>
      </c>
      <c r="B18" s="33" t="inlineStr"/>
      <c r="C18" s="33" t="inlineStr"/>
      <c r="D18" s="34" t="n"/>
      <c r="E18" s="34">
        <f>SUM(E5:E17)</f>
        <v/>
      </c>
      <c r="F18" s="34">
        <f>SUM(F5:F17)</f>
        <v/>
      </c>
      <c r="G18" s="34">
        <f>SUM(G5:G17)</f>
        <v/>
      </c>
      <c r="H18" s="33" t="inlineStr"/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Tipo</t>
        </is>
      </c>
      <c r="B22" s="25" t="inlineStr">
        <is>
          <t>'='05_Obligacion_prob'!B5</t>
        </is>
      </c>
      <c r="C22" s="24" t="inlineStr">
        <is>
          <t>Trae el tipo de la partida desde la hoja 05 (Obligación presente y probabilidad).</t>
        </is>
      </c>
      <c r="D22" s="24" t="inlineStr">
        <is>
          <t>Fila 1: «Litigio» → Litigio</t>
        </is>
      </c>
      <c r="E22" s="24" t="inlineStr">
        <is>
          <t>hoja «Obligación presente y probabilidad»</t>
        </is>
      </c>
      <c r="F22" s="24" t="inlineStr">
        <is>
          <t>—</t>
        </is>
      </c>
    </row>
    <row r="23">
      <c r="A23" s="24" t="inlineStr">
        <is>
          <t>Clasificación</t>
        </is>
      </c>
      <c r="B23" s="25" t="inlineStr">
        <is>
          <t>'='05_Obligacion_prob'!G5</t>
        </is>
      </c>
      <c r="C23" s="24" t="inlineStr">
        <is>
          <t>Trae la clasificación (reconocer, revelar o no revelar) de la hoja 05 (Obligación presente y probabilidad).</t>
        </is>
      </c>
      <c r="D23" s="24" t="inlineStr">
        <is>
          <t>Fila 1: «Reconocer provisión» → Reconocer provisión</t>
        </is>
      </c>
      <c r="E23" s="24" t="inlineStr">
        <is>
          <t>hoja «Obligación presente y probabilidad»</t>
        </is>
      </c>
      <c r="F23" s="24" t="inlineStr">
        <is>
          <t>—</t>
        </is>
      </c>
    </row>
    <row r="24">
      <c r="A24" s="24" t="inlineStr">
        <is>
          <t>Valor presente</t>
        </is>
      </c>
      <c r="B24" s="25" t="inlineStr">
        <is>
          <t>'='07_Valor_presente'!G5</t>
        </is>
      </c>
      <c r="C24" s="24" t="inlineStr">
        <is>
          <t>Trae el valor presente de la mejor estimación desde la hoja 07 (Valor presente).</t>
        </is>
      </c>
      <c r="D24" s="24" t="inlineStr">
        <is>
          <t>Fila 1: 114.000,00 → 114.000,00</t>
        </is>
      </c>
      <c r="E24" s="24" t="inlineStr">
        <is>
          <t>hoja «Valor presente (descuento)»</t>
        </is>
      </c>
      <c r="F24" s="24" t="inlineStr">
        <is>
          <t>—</t>
        </is>
      </c>
    </row>
    <row r="25">
      <c r="A25" s="24" t="inlineStr">
        <is>
          <t>Provisión requerida</t>
        </is>
      </c>
      <c r="B25" s="25" t="inlineStr">
        <is>
          <t>'=IF(C5="Sin evaluación","",IF(OR(C5="Reconocer provisión",C5="Activo reconocible"),D5,0))</t>
        </is>
      </c>
      <c r="C25" s="24" t="inlineStr">
        <is>
          <t>Si la partida se clasificó como «Reconocer provisión» o «Activo reconocible», toma su valor presente; si solo se revela o es remota, cero; en blanco si está sin evaluación.</t>
        </is>
      </c>
      <c r="D25" s="24" t="inlineStr">
        <is>
          <t>Fila 1: IF(«Reconocer provisión»="Sin evaluación"; ""; IF(OR(«Reconocer provisión»="Reconocer provisión"; «Reconocer provisión»="Activo reconocible"); 114.000,00; 0)) → 114.000,00</t>
        </is>
      </c>
      <c r="E25" s="24" t="inlineStr">
        <is>
          <t>«Clasificación» (esta hoja), «Valor presente» (esta hoja)</t>
        </is>
      </c>
      <c r="F25" s="24" t="inlineStr">
        <is>
          <t>—</t>
        </is>
      </c>
    </row>
    <row r="26">
      <c r="A26" s="24" t="inlineStr">
        <is>
          <t>Libros</t>
        </is>
      </c>
      <c r="B26" s="25" t="inlineStr">
        <is>
          <t>'='03_Provisiones'!X5</t>
        </is>
      </c>
      <c r="C26" s="24" t="inlineStr">
        <is>
          <t>Copia el saldo registrado en libros al corte desde la hoja 03 (datos del cliente).</t>
        </is>
      </c>
      <c r="D26" s="24" t="inlineStr">
        <is>
          <t>Fila 1: 100.000,00 → 100.000,00</t>
        </is>
      </c>
      <c r="E26" s="24" t="inlineStr">
        <is>
          <t>hoja «Provisiones y contingencias (datos del cliente)»</t>
        </is>
      </c>
      <c r="F26" s="24" t="inlineStr">
        <is>
          <t>—</t>
        </is>
      </c>
    </row>
    <row r="27">
      <c r="A27" s="24" t="inlineStr">
        <is>
          <t>Ajuste (requerida − libros)</t>
        </is>
      </c>
      <c r="B27" s="25" t="inlineStr">
        <is>
          <t>'=IF(E5="","",E5-F5)</t>
        </is>
      </c>
      <c r="C27" s="24" t="inlineStr">
        <is>
          <t>Resta el saldo en libros a la provisión requerida: positivo significa que falta provisión y negativo que sobra; en blanco si está sin evaluación.</t>
        </is>
      </c>
      <c r="D27" s="24" t="inlineStr">
        <is>
          <t>Fila 1: IF(114.000,00=""; ""; 114.000,00-100.000,00) → 14.000,00</t>
        </is>
      </c>
      <c r="E27" s="24" t="inlineStr">
        <is>
          <t>«Provisión requerida» (esta hoja), «Libros» (esta hoja)</t>
        </is>
      </c>
      <c r="F27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14" customWidth="1" min="4" max="4"/>
    <col width="17" customWidth="1" min="5" max="5"/>
    <col width="12" customWidth="1" min="6" max="6"/>
    <col width="34" customWidth="1" min="7" max="7"/>
    <col width="22" customWidth="1" min="8" max="8"/>
  </cols>
  <sheetData>
    <row r="1">
      <c r="A1" s="3" t="inlineStr">
        <is>
          <t>Contingencias a revelar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Clasificación</t>
        </is>
      </c>
      <c r="D4" s="17" t="inlineStr">
        <is>
          <t>Probabilidad</t>
        </is>
      </c>
      <c r="E4" s="17" t="inlineStr">
        <is>
          <t>Efecto estimado</t>
        </is>
      </c>
      <c r="F4" s="17" t="inlineStr">
        <is>
          <t>Revelado</t>
        </is>
      </c>
      <c r="G4" s="17" t="inlineStr">
        <is>
          <t>Evaluación</t>
        </is>
      </c>
      <c r="H4" s="17" t="inlineStr">
        <is>
          <t>Registrado en libros</t>
        </is>
      </c>
    </row>
    <row r="5">
      <c r="A5" s="18" t="inlineStr">
        <is>
          <t>LIT-03</t>
        </is>
      </c>
      <c r="B5" s="18" t="inlineStr">
        <is>
          <t>Demanda civil de proveedor</t>
        </is>
      </c>
      <c r="C5" s="18">
        <f>'05_Obligacion_prob'!G7</f>
        <v/>
      </c>
      <c r="D5" s="18">
        <f>'05_Obligacion_prob'!F7</f>
        <v/>
      </c>
      <c r="E5" s="20">
        <f>'07_Valor_presente'!G7</f>
        <v/>
      </c>
      <c r="F5" s="18">
        <f>IF('03_Provisiones'!AC7="","",'03_Provisiones'!AC7)</f>
        <v/>
      </c>
      <c r="G5" s="18">
        <f>IF(C5="Activo contingente: no revelar","No revelar (no probable); no reconocer (37.31)",IF(F5="Sí",IF(LEFT(C5,6)="Pasivo","Revelado (NIC 37.86)","Revelado (NIC 37.89)"),IF(LEFT(C5,6)="Pasivo","Revelar: NIC 37.86 · PYMES 21.15","Revelar: NIC 37.89 · PYMES 21.16")))</f>
        <v/>
      </c>
      <c r="H5" s="20">
        <f>'03_Provisiones'!X7</f>
        <v/>
      </c>
    </row>
    <row r="6">
      <c r="A6" s="19" t="inlineStr">
        <is>
          <t>LIT-04</t>
        </is>
      </c>
      <c r="B6" s="19" t="inlineStr">
        <is>
          <t>Reclamo de cliente por entrega tardía</t>
        </is>
      </c>
      <c r="C6" s="19">
        <f>'05_Obligacion_prob'!G8</f>
        <v/>
      </c>
      <c r="D6" s="19">
        <f>'05_Obligacion_prob'!F8</f>
        <v/>
      </c>
      <c r="E6" s="21">
        <f>'07_Valor_presente'!G8</f>
        <v/>
      </c>
      <c r="F6" s="19">
        <f>IF('03_Provisiones'!AC8="","",'03_Provisiones'!AC8)</f>
        <v/>
      </c>
      <c r="G6" s="19">
        <f>IF(C6="Activo contingente: no revelar","No revelar (no probable); no reconocer (37.31)",IF(F6="Sí",IF(LEFT(C6,6)="Pasivo","Revelado (NIC 37.86)","Revelado (NIC 37.89)"),IF(LEFT(C6,6)="Pasivo","Revelar: NIC 37.86 · PYMES 21.15","Revelar: NIC 37.89 · PYMES 21.16")))</f>
        <v/>
      </c>
      <c r="H6" s="21">
        <f>'03_Provisiones'!X8</f>
        <v/>
      </c>
    </row>
    <row r="7">
      <c r="A7" s="18" t="inlineStr">
        <is>
          <t>ACT-01</t>
        </is>
      </c>
      <c r="B7" s="18" t="inlineStr">
        <is>
          <t>Demanda a la aseguradora por siniestro</t>
        </is>
      </c>
      <c r="C7" s="18">
        <f>'05_Obligacion_prob'!G17</f>
        <v/>
      </c>
      <c r="D7" s="18">
        <f>'05_Obligacion_prob'!F17</f>
        <v/>
      </c>
      <c r="E7" s="20">
        <f>'07_Valor_presente'!G17</f>
        <v/>
      </c>
      <c r="F7" s="18">
        <f>IF('03_Provisiones'!AC17="","",'03_Provisiones'!AC17)</f>
        <v/>
      </c>
      <c r="G7" s="18">
        <f>IF(C7="Activo contingente: no revelar","No revelar (no probable); no reconocer (37.31)",IF(F7="Sí",IF(LEFT(C7,6)="Pasivo","Revelado (NIC 37.86)","Revelado (NIC 37.89)"),IF(LEFT(C7,6)="Pasivo","Revelar: NIC 37.86 · PYMES 21.15","Revelar: NIC 37.89 · PYMES 21.16")))</f>
        <v/>
      </c>
      <c r="H7" s="20">
        <f>'03_Provisiones'!X17</f>
        <v/>
      </c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Clasificación</t>
        </is>
      </c>
      <c r="B11" s="25" t="inlineStr">
        <is>
          <t>'='05_Obligacion_prob'!G7</t>
        </is>
      </c>
      <c r="C11" s="24" t="inlineStr">
        <is>
          <t>Trae la clasificación de la partida desde la hoja 05 (Obligación presente y probabilidad); aquí solo aparecen pasivos y activos contingentes.</t>
        </is>
      </c>
      <c r="D11" s="24" t="inlineStr">
        <is>
          <t>Fila 1: «Pasivo contingente: revelar» → Pasivo contingente: revelar</t>
        </is>
      </c>
      <c r="E11" s="24" t="inlineStr">
        <is>
          <t>hoja «Obligación presente y probabilidad»</t>
        </is>
      </c>
      <c r="F11" s="24" t="inlineStr">
        <is>
          <t>—</t>
        </is>
      </c>
    </row>
    <row r="12">
      <c r="A12" s="24" t="inlineStr">
        <is>
          <t>Probabilidad</t>
        </is>
      </c>
      <c r="B12" s="25" t="inlineStr">
        <is>
          <t>'='05_Obligacion_prob'!F7</t>
        </is>
      </c>
      <c r="C12" s="24" t="inlineStr">
        <is>
          <t>Trae la probabilidad usada (la del abogado o, si falta, la de la gerencia) de la hoja 05 (Obligación presente y probabilidad).</t>
        </is>
      </c>
      <c r="D12" s="24" t="inlineStr">
        <is>
          <t>Fila 1: «Posible» → Posible</t>
        </is>
      </c>
      <c r="E12" s="24" t="inlineStr">
        <is>
          <t>hoja «Obligación presente y probabilidad»</t>
        </is>
      </c>
      <c r="F12" s="24" t="inlineStr">
        <is>
          <t>—</t>
        </is>
      </c>
    </row>
    <row r="13">
      <c r="A13" s="24" t="inlineStr">
        <is>
          <t>Efecto estimado</t>
        </is>
      </c>
      <c r="B13" s="25" t="inlineStr">
        <is>
          <t>'='07_Valor_presente'!G7</t>
        </is>
      </c>
      <c r="C13" s="24" t="inlineStr">
        <is>
          <t>Trae el valor presente de la mejor estimación de la hoja 07 (Valor presente): es el efecto financiero que se revela.</t>
        </is>
      </c>
      <c r="D13" s="24" t="inlineStr">
        <is>
          <t>Fila 1: 40.000,00 → 40.000,00</t>
        </is>
      </c>
      <c r="E13" s="24" t="inlineStr">
        <is>
          <t>hoja «Valor presente (descuento)»</t>
        </is>
      </c>
      <c r="F13" s="24" t="inlineStr">
        <is>
          <t>—</t>
        </is>
      </c>
    </row>
    <row r="14">
      <c r="A14" s="24" t="inlineStr">
        <is>
          <t>Revelado</t>
        </is>
      </c>
      <c r="B14" s="25" t="inlineStr">
        <is>
          <t>'=IF('03_Provisiones'!AC7="","",'03_Provisiones'!AC7)</t>
        </is>
      </c>
      <c r="C14" s="24" t="inlineStr">
        <is>
          <t>Copia de la hoja 03 (datos del cliente) si la contingencia está revelada en notas (Sí/No); vacío si no se informó.</t>
        </is>
      </c>
      <c r="D14" s="24" t="inlineStr">
        <is>
          <t>Fila 1: IF(«Sí»=""; ""; «Sí») → Sí</t>
        </is>
      </c>
      <c r="E14" s="24" t="inlineStr">
        <is>
          <t>hoja «Provisiones y contingencias (datos del cliente)»</t>
        </is>
      </c>
      <c r="F14" s="24" t="inlineStr">
        <is>
          <t>—</t>
        </is>
      </c>
    </row>
    <row r="15">
      <c r="A15" s="24" t="inlineStr">
        <is>
          <t>Evaluación</t>
        </is>
      </c>
      <c r="B15" s="25" t="inlineStr">
        <is>
          <t>'=IF(C5="Activo contingente: no revelar","No revelar (no probable); no reconocer (37.31)",IF(F5="Sí",IF(LEFT(C5,6)="Pasivo","Revelado (NIC 37.86)","Revelado (NIC 37.89)"),IF(LEFT(C5,6)="Pasivo","Revelar: NIC 37.86 · PYMES 21.15","Revelar: NIC 37.89 · PYMES 21.16")))</t>
        </is>
      </c>
      <c r="C15" s="24" t="inlineStr">
        <is>
          <t>Si es un activo contingente que no se revela, lo indica; si no, dice «Revelado» cuando la nota ya lo incluye o «Revelar» cuando falta, distinguiendo pasivo de activo contingente.</t>
        </is>
      </c>
      <c r="D15" s="24" t="inlineStr">
        <is>
          <t>Fila 1: IF(«Pasivo contingente: revelar»="Activo contingente: no revelar"; "No revelar (no probable); no reconocer (37.31)"; IF(«Sí»="Sí"; IF(LEFT(«Pasivo contingente: revelar»; 6)="Pasivo"; "Revelado (NIC 37.86)"; "Revelado (NIC 37.89)"); IF(LEFT(«Pasivo contingente: revelar»; 6)="Pasivo"; "Revelar: NIC 37.86 · PYMES 21.15"; "Revelar: NIC 37.89 · PYMES 21.16"))) → Revelado (NIC 37.86)</t>
        </is>
      </c>
      <c r="E15" s="24" t="inlineStr">
        <is>
          <t>«Clasificación» (esta hoja), «Revelado» (esta hoja)</t>
        </is>
      </c>
      <c r="F15" s="24" t="inlineStr">
        <is>
          <t>—</t>
        </is>
      </c>
    </row>
    <row r="16">
      <c r="A16" s="24" t="inlineStr">
        <is>
          <t>Registrado en libros</t>
        </is>
      </c>
      <c r="B16" s="25" t="inlineStr">
        <is>
          <t>'='03_Provisiones'!X7</t>
        </is>
      </c>
      <c r="C16" s="24" t="inlineStr">
        <is>
          <t>Copia el saldo que el cliente tiene en libros para esta contingencia, desde la hoja 03 (datos del cliente).</t>
        </is>
      </c>
      <c r="D16" s="24" t="inlineStr">
        <is>
          <t>Fila 1: 40.000,00 → 40.000,00</t>
        </is>
      </c>
      <c r="E16" s="24" t="inlineStr">
        <is>
          <t>hoja «Provisiones y contingencias (datos del cliente)»</t>
        </is>
      </c>
      <c r="F16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6" customWidth="1" min="3" max="3"/>
    <col width="29" customWidth="1" min="4" max="4"/>
    <col width="60" customWidth="1" min="5" max="5"/>
  </cols>
  <sheetData>
    <row r="1">
      <c r="A1" s="3" t="inlineStr">
        <is>
          <t>Ajustes propuestos y conciliación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Débito (si positivo)</t>
        </is>
      </c>
      <c r="D4" s="17" t="inlineStr">
        <is>
          <t>Crédito (si positivo)</t>
        </is>
      </c>
      <c r="E4" s="17" t="inlineStr">
        <is>
          <t>Base</t>
        </is>
      </c>
    </row>
    <row r="5">
      <c r="A5" s="18" t="inlineStr">
        <is>
          <t>Provisiones registradas en libros (pasivos)</t>
        </is>
      </c>
      <c r="B5" s="20">
        <f>SUMIFS('13_Reconocimiento'!$F$5:$F$17,'13_Reconocimiento'!$B$5:$B$17,"&lt;&gt;Activo contingente")</f>
        <v/>
      </c>
      <c r="C5" s="18" t="inlineStr"/>
      <c r="D5" s="18" t="inlineStr"/>
      <c r="E5" s="18" t="inlineStr">
        <is>
          <t>Detalle del cliente</t>
        </is>
      </c>
    </row>
    <row r="6">
      <c r="A6" s="19" t="inlineStr">
        <is>
          <t>Provisión requerida (NIC 37.36–47; PYMES 21.7)</t>
        </is>
      </c>
      <c r="B6" s="21">
        <f>SUMIFS('13_Reconocimiento'!$E$5:$E$17,'13_Reconocimiento'!$B$5:$B$17,"&lt;&gt;Activo contingente")</f>
        <v/>
      </c>
      <c r="C6" s="19" t="inlineStr"/>
      <c r="D6" s="19" t="inlineStr"/>
      <c r="E6" s="19" t="inlineStr">
        <is>
          <t>13_Reconocimiento</t>
        </is>
      </c>
    </row>
    <row r="7">
      <c r="A7" s="18" t="inlineStr">
        <is>
          <t>Ajuste propuesto = requerida − libros</t>
        </is>
      </c>
      <c r="B7" s="20">
        <f>SUMIFS('13_Reconocimiento'!$G$5:$G$17,'13_Reconocimiento'!$B$5:$B$17,"&lt;&gt;Activo contingente")</f>
        <v/>
      </c>
      <c r="C7" s="18" t="inlineStr">
        <is>
          <t>Gasto / costo del activo</t>
        </is>
      </c>
      <c r="D7" s="18" t="inlineStr">
        <is>
          <t>Provisión</t>
        </is>
      </c>
      <c r="E7" s="18" t="inlineStr">
        <is>
          <t>Si es negativo: débito a la provisión y crédito a resultados (NIC 37.59)</t>
        </is>
      </c>
    </row>
    <row r="8">
      <c r="A8" s="19" t="inlineStr">
        <is>
          <t>Efecto del descuento a valor presente</t>
        </is>
      </c>
      <c r="B8" s="21">
        <f>SUM('07_Valor_presente'!$H$5:$H$17)</f>
        <v/>
      </c>
      <c r="C8" s="19" t="inlineStr"/>
      <c r="D8" s="19" t="inlineStr"/>
      <c r="E8" s="19" t="inlineStr">
        <is>
          <t>NIC 37.45–47; PYMES 21.7</t>
        </is>
      </c>
    </row>
    <row r="9">
      <c r="A9" s="18" t="inlineStr">
        <is>
          <t>Reversión del descuento calculada (saldo inicial × tasa)</t>
        </is>
      </c>
      <c r="B9" s="20">
        <f>SUM('08_Reversion_descuento'!$E$5:$E$17)</f>
        <v/>
      </c>
      <c r="C9" s="18" t="inlineStr"/>
      <c r="D9" s="18" t="inlineStr"/>
      <c r="E9" s="18" t="inlineStr">
        <is>
          <t>NIC 37.60; PYMES 21.11</t>
        </is>
      </c>
    </row>
    <row r="10">
      <c r="A10" s="19" t="inlineStr">
        <is>
          <t>Reversión del descuento registrada</t>
        </is>
      </c>
      <c r="B10" s="21">
        <f>SUM('08_Reversion_descuento'!$F$5:$F$17)</f>
        <v/>
      </c>
      <c r="C10" s="19" t="inlineStr"/>
      <c r="D10" s="19" t="inlineStr"/>
      <c r="E10" s="19" t="inlineStr">
        <is>
          <t>Mayor de gastos financieros</t>
        </is>
      </c>
    </row>
    <row r="11">
      <c r="A11" s="18" t="inlineStr">
        <is>
          <t>Reversión: calculada − registrada (reclasificación)</t>
        </is>
      </c>
      <c r="B11" s="20">
        <f>SUM('08_Reversion_descuento'!$G$5:$G$17)</f>
        <v/>
      </c>
      <c r="C11" s="18" t="inlineStr">
        <is>
          <t>Costo financiero</t>
        </is>
      </c>
      <c r="D11" s="18" t="inlineStr">
        <is>
          <t>Gasto operativo / provisión</t>
        </is>
      </c>
      <c r="E11" s="18" t="inlineStr">
        <is>
          <t>Reclasificación dentro de resultados</t>
        </is>
      </c>
    </row>
    <row r="12">
      <c r="A12" s="19" t="inlineStr">
        <is>
          <t>Garantías calculadas (unidades × % reclamos × costo)</t>
        </is>
      </c>
      <c r="B12" s="21">
        <f>SUM('10_Garantias_calculo'!$F$5:$F$7)</f>
        <v/>
      </c>
      <c r="C12" s="19" t="inlineStr"/>
      <c r="D12" s="19" t="inlineStr"/>
      <c r="E12" s="19" t="inlineStr">
        <is>
          <t>NIC 37.24, 39; PYMES 21A.4</t>
        </is>
      </c>
    </row>
    <row r="13">
      <c r="A13" s="18" t="inlineStr">
        <is>
          <t>Pasivos contingentes a revelar (efecto estimado)</t>
        </is>
      </c>
      <c r="B13" s="20">
        <f>SUMIF('13_Reconocimiento'!$C$5:$C$17,"Pasivo contingente: revelar",'13_Reconocimiento'!$D$5:$D$17)</f>
        <v/>
      </c>
      <c r="C13" s="18" t="inlineStr"/>
      <c r="D13" s="18" t="inlineStr"/>
      <c r="E13" s="18" t="inlineStr">
        <is>
          <t>NIC 37.86; PYMES 21.15</t>
        </is>
      </c>
    </row>
    <row r="14">
      <c r="A14" s="19" t="inlineStr">
        <is>
          <t>Pasivos contingentes sin revelar</t>
        </is>
      </c>
      <c r="B14" s="21">
        <f>SUMIFS('14_Contingencias'!$E$5:$E$7,'14_Contingencias'!$C$5:$C$7,"Pasivo contingente: revelar",'14_Contingencias'!$G$5:$G$7,"Revelar*")</f>
        <v/>
      </c>
      <c r="C14" s="19" t="inlineStr"/>
      <c r="D14" s="19" t="inlineStr"/>
      <c r="E14" s="19" t="inlineStr">
        <is>
          <t>Revelación en notas</t>
        </is>
      </c>
    </row>
    <row r="15">
      <c r="A15" s="18" t="inlineStr">
        <is>
          <t>Activo contingente reconocido indebidamente</t>
        </is>
      </c>
      <c r="B15" s="20">
        <f>SUMIFS('13_Reconocimiento'!$F$5:$F$17,'13_Reconocimiento'!$B$5:$B$17,"Activo contingente",'13_Reconocimiento'!$C$5:$C$17,"&lt;&gt;Activo reconocible")</f>
        <v/>
      </c>
      <c r="C15" s="18" t="inlineStr"/>
      <c r="D15" s="18" t="inlineStr"/>
      <c r="E15" s="18" t="inlineStr">
        <is>
          <t>NIC 37.31, 33; PYMES 21.13</t>
        </is>
      </c>
    </row>
    <row r="16">
      <c r="A16" s="19" t="inlineStr">
        <is>
          <t>Ajuste del activo contingente = −(reconocido indebidamente)</t>
        </is>
      </c>
      <c r="B16" s="21">
        <f>-B15</f>
        <v/>
      </c>
      <c r="C16" s="19" t="inlineStr">
        <is>
          <t>Resultados</t>
        </is>
      </c>
      <c r="D16" s="19" t="inlineStr">
        <is>
          <t>Activo contingente</t>
        </is>
      </c>
      <c r="E16" s="19" t="inlineStr">
        <is>
          <t>Revertir el activo</t>
        </is>
      </c>
    </row>
    <row r="17">
      <c r="A17" s="18" t="inlineStr">
        <is>
          <t>Provisiones según el mayor</t>
        </is>
      </c>
      <c r="B17" s="20">
        <f>IF('02_Parametros'!$B$12="","",'02_Parametros'!$B$12)</f>
        <v/>
      </c>
      <c r="C17" s="18" t="inlineStr"/>
      <c r="D17" s="18" t="inlineStr"/>
      <c r="E17" s="18" t="inlineStr">
        <is>
          <t>Mayor contable</t>
        </is>
      </c>
    </row>
    <row r="18">
      <c r="A18" s="19" t="inlineStr">
        <is>
          <t>Diferencia detalle − mayor</t>
        </is>
      </c>
      <c r="B18" s="21">
        <f>IF(B17="","",B5-B17)</f>
        <v/>
      </c>
      <c r="C18" s="19" t="inlineStr"/>
      <c r="D18" s="19" t="inlineStr"/>
      <c r="E18" s="19" t="inlineStr"/>
    </row>
    <row r="19">
      <c r="A19" s="18" t="inlineStr">
        <is>
          <t>Materialidad</t>
        </is>
      </c>
      <c r="B19" s="20">
        <f>IF('02_Parametros'!$B$10="","",'02_Parametros'!$B$10)</f>
        <v/>
      </c>
      <c r="C19" s="18" t="inlineStr"/>
      <c r="D19" s="18" t="inlineStr"/>
      <c r="E19" s="18" t="inlineStr">
        <is>
          <t>NIA 320</t>
        </is>
      </c>
    </row>
    <row r="20">
      <c r="A20" s="19" t="inlineStr">
        <is>
          <t>¿El ajuste propuesto supera la materialidad?</t>
        </is>
      </c>
      <c r="B20" s="21" t="n"/>
      <c r="C20" s="19" t="inlineStr"/>
      <c r="D20" s="19" t="inlineStr"/>
      <c r="E20" s="19">
        <f>IF(B19="","",IF(ABS(B7)&gt;B19,"Sí","No"))</f>
        <v/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Importe</t>
        </is>
      </c>
      <c r="B24" s="25" t="inlineStr">
        <is>
          <t>'=SUMIFS('13_Reconocimiento'!$F$5:$F$17,'13_Reconocimiento'!$B$5:$B$17,"&lt;&gt;Activo contingente")</t>
        </is>
      </c>
      <c r="C24" s="24" t="inlineStr">
        <is>
          <t>Libros, requerida y ajuste suman la hoja 13 (Provisión requerida vs libros) sin los activos contingentes; descuento, reversiones y garantías traen los totales de las hojas 07, 08 y 10; los contingentes salen de las hojas 13 y 14; mayor y materialidad vienen de la hoja 02 y la diferencia es detalle − mayor.</t>
        </is>
      </c>
      <c r="D24" s="24" t="inlineStr">
        <is>
          <t>Fila 1: SUMIFS([«Libros» de «Provisión requerida vs libros», 13 filas]; [«Tipo» de «Provisión requerida vs libros», 13 filas]; "&lt;&gt;Activo contingente") → 725.000,00</t>
        </is>
      </c>
      <c r="E24" s="24" t="inlineStr">
        <is>
          <t>hoja «Provisión requerida vs libros»</t>
        </is>
      </c>
      <c r="F24" s="24" t="inlineStr">
        <is>
          <t>—</t>
        </is>
      </c>
    </row>
    <row r="25">
      <c r="A25" s="24" t="inlineStr">
        <is>
          <t>Base</t>
        </is>
      </c>
      <c r="B25" s="25" t="inlineStr">
        <is>
          <t>'=IF(B19="","",IF(ABS(B7)&gt;B19,"Sí","No"))</t>
        </is>
      </c>
      <c r="C25" s="24" t="inlineStr">
        <is>
          <t>Solo en la última fila: indica «Sí» si el ajuste propuesto, en valor absoluto, supera la materialidad; vacío si no hay materialidad.</t>
        </is>
      </c>
      <c r="D25" s="24" t="inlineStr">
        <is>
          <t>Fila 16: IF(50.000,00=""; ""; IF(ABS(38.758,90)&gt;50.000,00; "Sí"; "No")) → No</t>
        </is>
      </c>
      <c r="E25" s="24" t="inlineStr">
        <is>
          <t>«Importe» (esta hoja)</t>
        </is>
      </c>
      <c r="F25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DIFERENCIA_PROVISION</t>
        </is>
      </c>
      <c r="B5" s="18" t="inlineStr">
        <is>
          <t>LIT-01: provisión requerida 114.000,00 (Valor esperado (37.39)) ≠ libros 100.000,00; ajuste contra gasto del período (provisión).</t>
        </is>
      </c>
      <c r="C5" s="20" t="n">
        <v>14000</v>
      </c>
    </row>
    <row r="6">
      <c r="A6" s="19" t="inlineStr">
        <is>
          <t>DIFERENCIA_CARTA_ABOGADO</t>
        </is>
      </c>
      <c r="B6" s="19" t="inlineStr">
        <is>
          <t>LIT-01: libros 100.000,00 ≠ importe de la carta del abogado 120.000,00 (NIA 501).</t>
        </is>
      </c>
      <c r="C6" s="21" t="n">
        <v>-20000</v>
      </c>
    </row>
    <row r="7">
      <c r="A7" s="18" t="inlineStr">
        <is>
          <t>DISCREPANCIA_PROBABILIDAD</t>
        </is>
      </c>
      <c r="B7" s="18" t="inlineStr">
        <is>
          <t>LIT-02: el abogado evalúa «Probable» y la gerencia «Posible»; se usó la del abogado. Discuta la diferencia con la gerencia (NIA 501, NIA 540).</t>
        </is>
      </c>
      <c r="C7" s="20" t="n">
        <v>0</v>
      </c>
    </row>
    <row r="8">
      <c r="A8" s="19" t="inlineStr">
        <is>
          <t>CARTA_ANTERIOR_AL_CORTE</t>
        </is>
      </c>
      <c r="B8" s="19" t="inlineStr">
        <is>
          <t>LIT-02: la carta del abogado es del 2025-12-15, anterior al corte; pida una actualización cercana a la fecha del informe (NIA 501, NIA 560).</t>
        </is>
      </c>
      <c r="C8" s="21" t="n">
        <v>0</v>
      </c>
    </row>
    <row r="9">
      <c r="A9" s="18" t="inlineStr">
        <is>
          <t>PROVISION_NO_REGISTRADA</t>
        </is>
      </c>
      <c r="B9" s="18" t="inlineStr">
        <is>
          <t>LIT-02 (Juicio de impugnación tributaria): obligación probable no registrada; provisión requerida 65.997,97 (Punto medio del rango (37.39)).</t>
        </is>
      </c>
      <c r="C9" s="20" t="n">
        <v>65997.97</v>
      </c>
    </row>
    <row r="10">
      <c r="A10" s="19" t="inlineStr">
        <is>
          <t>DIFERENCIA_CARTA_ABOGADO</t>
        </is>
      </c>
      <c r="B10" s="19" t="inlineStr">
        <is>
          <t>LIT-02: libros 0,00 ≠ importe de la carta del abogado 85.000,00 (NIA 501).</t>
        </is>
      </c>
      <c r="C10" s="21" t="n">
        <v>-85000</v>
      </c>
    </row>
    <row r="11">
      <c r="A11" s="18" t="inlineStr">
        <is>
          <t>PROVISION_POSIBLE_O_REMOTA</t>
        </is>
      </c>
      <c r="B11" s="18" t="inlineStr">
        <is>
          <t>LIT-03: provisión registrada por 40.000,00 con salida «Posible» (no probable); revertir (NIC 37.14, 23, 59; PYMES 21.4).</t>
        </is>
      </c>
      <c r="C11" s="20" t="n">
        <v>40000</v>
      </c>
    </row>
    <row r="12">
      <c r="A12" s="19" t="inlineStr">
        <is>
          <t>SIN_RESPUESTA_ABOGADO</t>
        </is>
      </c>
      <c r="B12" s="19" t="inlineStr">
        <is>
          <t>LIT-04: no hay respuesta del abogado a la carta de confirmación; posible limitación al alcance (NIA 501 párr. 10–11; NIA 705).</t>
        </is>
      </c>
      <c r="C12" s="21" t="n">
        <v>20000</v>
      </c>
    </row>
    <row r="13">
      <c r="A13" s="18" t="inlineStr">
        <is>
          <t>CONTINGENCIA_SIN_REVELAR</t>
        </is>
      </c>
      <c r="B13" s="18" t="inlineStr">
        <is>
          <t>LIT-04 (Reclamo de cliente por entrega tardía): pasivo contingente «Posible» sin revelación en notas (NIC 37.28, 86; PYMES 21.15).</t>
        </is>
      </c>
      <c r="C13" s="20" t="n">
        <v>20000</v>
      </c>
    </row>
    <row r="14">
      <c r="A14" s="19" t="inlineStr">
        <is>
          <t>DIFERENCIA_PROVISION</t>
        </is>
      </c>
      <c r="B14" s="19" t="inlineStr">
        <is>
          <t>GAR-01: provisión requerida 42.600,00 (Garantías: valor esperado (37.39)) ≠ libros 30.000,00; ajuste contra gasto del período (provisión).</t>
        </is>
      </c>
      <c r="C14" s="21" t="n">
        <v>12600</v>
      </c>
    </row>
    <row r="15">
      <c r="A15" s="18" t="inlineStr">
        <is>
          <t>ONEROSO_NO_PROVISIONADO</t>
        </is>
      </c>
      <c r="B15" s="18" t="inlineStr">
        <is>
          <t>ONE-01 (Contrato de suministro con pérdida): obligación probable no registrada; provisión requerida 35.000,00 (Oneroso: menor costo (37.68)). Costos inevitables = menor entre el costo neto de cumplir (costo − beneficios esperados) y la penalización (NIC 37.10, 66–68; PYMES 21A.2).</t>
        </is>
      </c>
      <c r="C15" s="20" t="n">
        <v>35000</v>
      </c>
    </row>
    <row r="16">
      <c r="A16" s="19" t="inlineStr">
        <is>
          <t>DIFERENCIA_PROVISION</t>
        </is>
      </c>
      <c r="B16" s="19" t="inlineStr">
        <is>
          <t>DES-01: provisión requerida 254.174,65 (Estimación de la gerencia) ≠ libros 240.000,00; ajuste contra costo del activo (nic 16.16 c, 16.18; ciniif 1).</t>
        </is>
      </c>
      <c r="C16" s="21" t="n">
        <v>14174.65</v>
      </c>
    </row>
    <row r="17">
      <c r="A17" s="18" t="inlineStr">
        <is>
          <t>REVERSION_NO_REGISTRADA</t>
        </is>
      </c>
      <c r="B17" s="18" t="inlineStr">
        <is>
          <t>DES-01: reversión del descuento del período 15.750,00 no registrada como costo financiero (NIC 37.60; CINIIF 1.8 en desmantelamiento; PYMES 21.11).</t>
        </is>
      </c>
      <c r="C17" s="20" t="n">
        <v>15750</v>
      </c>
    </row>
    <row r="18">
      <c r="A18" s="19" t="inlineStr">
        <is>
          <t>DIFERENCIA_PROVISION</t>
        </is>
      </c>
      <c r="B18" s="19" t="inlineStr">
        <is>
          <t>AMB-01: provisión requerida 129.986,28 (Estimación de la gerencia) ≠ libros 200.000,00; ajuste contra gasto del período (provisión).</t>
        </is>
      </c>
      <c r="C18" s="21" t="n">
        <v>-70013.72</v>
      </c>
    </row>
    <row r="19">
      <c r="A19" s="18" t="inlineStr">
        <is>
          <t>DESCUENTO_NO_APLICADO</t>
        </is>
      </c>
      <c r="B19" s="18" t="inlineStr">
        <is>
          <t>AMB-01: libros 200.000,00 = importe sin descontar a 5 años; valor presente 129.986,28 a 9 % (NIC 37.45–47; PYMES 21.7).</t>
        </is>
      </c>
      <c r="C19" s="20" t="n">
        <v>70013.72</v>
      </c>
    </row>
    <row r="20">
      <c r="A20" s="19" t="inlineStr">
        <is>
          <t>REVERSION_DIFERENCIA</t>
        </is>
      </c>
      <c r="B20" s="19" t="inlineStr">
        <is>
          <t>AMB-01: reversión del descuento calculada 17.100,00 ≠ registrada 5.000,00: reclasificar a costo financiero (NIC 37.60; CINIIF 1.8 en desmantelamiento; PYMES 21.11).</t>
        </is>
      </c>
      <c r="C20" s="21" t="n">
        <v>12100</v>
      </c>
    </row>
    <row r="21">
      <c r="A21" s="18" t="inlineStr">
        <is>
          <t>DIFERENCIA_PROVISION</t>
        </is>
      </c>
      <c r="B21" s="18" t="inlineStr">
        <is>
          <t>LIT-05: provisión requerida 32.000,00 (Hecho posterior (NIC 10.9 a)) ≠ libros 25.000,00; ajuste contra gasto del período (provisión).</t>
        </is>
      </c>
      <c r="C21" s="20" t="n">
        <v>7000</v>
      </c>
    </row>
    <row r="22">
      <c r="A22" s="19" t="inlineStr">
        <is>
          <t>ACTIVO_CONTINGENTE_RECONOCIDO</t>
        </is>
      </c>
      <c r="B22" s="19" t="inlineStr">
        <is>
          <t>ACT-01 (Demanda a la aseguradora por siniestro): activo contingente registrado por 50.000,00 sin que su realización sea prácticamente cierta; revertir (NIC 37.31, 33; PYMES 21.13).</t>
        </is>
      </c>
      <c r="C22" s="21" t="n">
        <v>50000</v>
      </c>
    </row>
    <row r="23">
      <c r="A23" s="18" t="inlineStr">
        <is>
          <t>ACTIVO_CONTINGENTE_SIN_REVELAR</t>
        </is>
      </c>
      <c r="B23" s="18" t="inlineStr">
        <is>
          <t>ACT-01: entrada probable sin revelación en notas (NIC 37.89; PYMES 21.16).</t>
        </is>
      </c>
      <c r="C23" s="20" t="n">
        <v>50000</v>
      </c>
    </row>
    <row r="24">
      <c r="A24" s="19" t="inlineStr">
        <is>
          <t>GARANTIA_SIN_PROVISION</t>
        </is>
      </c>
      <c r="B24" s="19" t="inlineStr">
        <is>
          <t>Garantía GA-C (Microondas): 5.000,00 estimados sin provisión «GAR-09» en el detalle (NIC 37.24; PYMES 21A.4).</t>
        </is>
      </c>
      <c r="C24" s="21" t="n">
        <v>5000</v>
      </c>
    </row>
    <row r="25">
      <c r="A25" s="18" t="inlineStr">
        <is>
          <t>CONCILIACION_MAYOR</t>
        </is>
      </c>
      <c r="B25" s="18" t="inlineStr">
        <is>
          <t>Provisiones del detalle 725.000,00 ≠ mayor 730.000,00.</t>
        </is>
      </c>
      <c r="C25" s="20" t="n">
        <v>-5000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Provisiones y contingencias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2026-09-24T04:20:28Z</dcterms:created>
  <dcterms:modified xmlns:dcterms="http://purl.org/dc/terms/" xmlns:xsi="http://www.w3.org/2001/XMLSchema-instance" xsi:type="dcterms:W3CDTF">2026-09-24T04:20:28Z</dcterms:modified>
</cp:coreProperties>
</file>