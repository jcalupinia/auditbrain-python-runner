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icio" sheetId="1" state="visible" r:id="rId1"/>
    <sheet xmlns:r="http://schemas.openxmlformats.org/officeDocument/2006/relationships" name="00_Caratula" sheetId="2" state="visible" r:id="rId2"/>
    <sheet xmlns:r="http://schemas.openxmlformats.org/officeDocument/2006/relationships" name="00_Programa" sheetId="3" state="visible" r:id="rId3"/>
    <sheet xmlns:r="http://schemas.openxmlformats.org/officeDocument/2006/relationships" name="00_Fuentes" sheetId="4" state="visible" r:id="rId4"/>
    <sheet xmlns:r="http://schemas.openxmlformats.org/officeDocument/2006/relationships" name="01_Resumen" sheetId="5" state="visible" r:id="rId5"/>
    <sheet xmlns:r="http://schemas.openxmlformats.org/officeDocument/2006/relationships" name="02_Parametros" sheetId="6" state="visible" r:id="rId6"/>
    <sheet xmlns:r="http://schemas.openxmlformats.org/officeDocument/2006/relationships" name="03_Detalle" sheetId="7" state="visible" r:id="rId7"/>
    <sheet xmlns:r="http://schemas.openxmlformats.org/officeDocument/2006/relationships" name="04_Aging" sheetId="8" state="visible" r:id="rId8"/>
    <sheet xmlns:r="http://schemas.openxmlformats.org/officeDocument/2006/relationships" name="05_Pagos_posteriores" sheetId="9" state="visible" r:id="rId9"/>
    <sheet xmlns:r="http://schemas.openxmlformats.org/officeDocument/2006/relationships" name="06_Pasivos_no_registrados" sheetId="10" state="visible" r:id="rId10"/>
    <sheet xmlns:r="http://schemas.openxmlformats.org/officeDocument/2006/relationships" name="07_Confirmaciones" sheetId="11" state="visible" r:id="rId11"/>
    <sheet xmlns:r="http://schemas.openxmlformats.org/officeDocument/2006/relationships" name="08_Corte_compras" sheetId="12" state="visible" r:id="rId12"/>
    <sheet xmlns:r="http://schemas.openxmlformats.org/officeDocument/2006/relationships" name="09_Costo_amortizado" sheetId="13" state="visible" r:id="rId13"/>
    <sheet xmlns:r="http://schemas.openxmlformats.org/officeDocument/2006/relationships" name="10_Clasificacion" sheetId="14" state="visible" r:id="rId14"/>
    <sheet xmlns:r="http://schemas.openxmlformats.org/officeDocument/2006/relationships" name="11_Ajuste" sheetId="15" state="visible" r:id="rId15"/>
    <sheet xmlns:r="http://schemas.openxmlformats.org/officeDocument/2006/relationships" name="12_Asientos" sheetId="16" state="visible" r:id="rId16"/>
    <sheet xmlns:r="http://schemas.openxmlformats.org/officeDocument/2006/relationships" name="13_Problemas" sheetId="17" state="visible" r:id="rId17"/>
    <sheet xmlns:r="http://schemas.openxmlformats.org/officeDocument/2006/relationships" name="13_Conclusion" sheetId="18" state="visible" r:id="rId18"/>
    <sheet xmlns:r="http://schemas.openxmlformats.org/officeDocument/2006/relationships" name="14_Control_Revision" sheetId="19" state="visible" r:id="rId19"/>
  </sheets>
  <definedNames>
    <definedName name="_xlnm.Print_Area" localSheetId="0">'00_Inicio'!$A$1:$L$74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4">
    <font>
      <name val="Calibri"/>
      <family val="2"/>
      <color theme="1"/>
      <sz val="11"/>
      <scheme val="minor"/>
    </font>
    <font>
      <name val="Montserrat"/>
      <b val="1"/>
      <color rgb="00FFFFFF"/>
      <sz val="16"/>
    </font>
    <font>
      <name val="Montserrat"/>
      <b val="1"/>
      <color rgb="000A2342"/>
      <sz val="15"/>
    </font>
    <font>
      <name val="Montserrat"/>
      <b val="1"/>
      <color rgb="000D7377"/>
      <sz val="9"/>
    </font>
    <font>
      <name val="Calibri"/>
      <color rgb="001A1A1A"/>
      <sz val="9"/>
    </font>
    <font>
      <name val="Montserrat"/>
      <b val="1"/>
      <color rgb="00C7A83C"/>
      <sz val="10"/>
    </font>
    <font>
      <name val="Consolas"/>
      <b val="1"/>
      <color rgb="000A2342"/>
      <sz val="18"/>
    </font>
    <font>
      <name val="Consolas"/>
      <b val="1"/>
      <color rgb="00C0392B"/>
      <sz val="18"/>
    </font>
    <font>
      <name val="Montserrat"/>
      <b val="1"/>
      <color rgb="00FFFFFF"/>
      <sz val="10"/>
    </font>
    <font>
      <name val="Calibri"/>
      <i val="1"/>
      <color rgb="006B7280"/>
      <sz val="8"/>
    </font>
    <font>
      <name val="Calibri"/>
      <color rgb="008A94A6"/>
      <sz val="8"/>
    </font>
    <font>
      <name val="Montserrat"/>
      <b val="1"/>
      <color rgb="000A2342"/>
      <sz val="9"/>
    </font>
    <font>
      <name val="Consolas"/>
      <color rgb="001A1A1A"/>
      <sz val="9"/>
    </font>
    <font>
      <name val="Consolas"/>
      <b val="1"/>
      <color rgb="000A2342"/>
      <sz val="10"/>
    </font>
  </fonts>
  <fills count="8">
    <fill>
      <patternFill/>
    </fill>
    <fill>
      <patternFill patternType="gray125"/>
    </fill>
    <fill>
      <patternFill patternType="solid">
        <fgColor rgb="000A2342"/>
      </patternFill>
    </fill>
    <fill>
      <patternFill patternType="solid">
        <fgColor rgb="00F4F6F9"/>
      </patternFill>
    </fill>
    <fill>
      <patternFill patternType="solid">
        <fgColor rgb="000D7377"/>
      </patternFill>
    </fill>
    <fill>
      <patternFill patternType="solid">
        <fgColor rgb="00DCE6F1"/>
      </patternFill>
    </fill>
    <fill>
      <patternFill patternType="solid">
        <fgColor rgb="00F7F9FC"/>
      </patternFill>
    </fill>
    <fill>
      <patternFill patternType="solid">
        <fgColor rgb="00C7A83C"/>
      </patternFill>
    </fill>
  </fills>
  <borders count="5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bottom style="medium">
        <color rgb="00C7A83C"/>
      </bottom>
    </border>
    <border>
      <bottom style="thin">
        <color rgb="00E3E8EF"/>
      </bottom>
    </border>
    <border>
      <left style="thin">
        <color rgb="00B7C0CC"/>
      </left>
      <right style="thin">
        <color rgb="00B7C0CC"/>
      </right>
      <top style="double">
        <color rgb="000A2342"/>
      </top>
      <bottom style="double">
        <color rgb="000A2342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vertical="bottom" wrapText="1"/>
    </xf>
    <xf numFmtId="4" fontId="6" fillId="3" borderId="1" pivotButton="0" quotePrefix="0" xfId="0"/>
    <xf numFmtId="3" fontId="7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4" fontId="10" fillId="0" borderId="0" pivotButton="0" quotePrefix="0" xfId="0"/>
    <xf numFmtId="0" fontId="11" fillId="5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0" fillId="0" borderId="2" pivotButton="0" quotePrefix="0" xfId="0"/>
    <xf numFmtId="0" fontId="8" fillId="2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top" wrapText="1"/>
    </xf>
    <xf numFmtId="0" fontId="4" fillId="6" borderId="3" applyAlignment="1" pivotButton="0" quotePrefix="0" xfId="0">
      <alignment horizontal="left" vertical="top" wrapText="1"/>
    </xf>
    <xf numFmtId="4" fontId="12" fillId="0" borderId="3" applyAlignment="1" pivotButton="0" quotePrefix="0" xfId="0">
      <alignment horizontal="right" vertical="center"/>
    </xf>
    <xf numFmtId="4" fontId="12" fillId="6" borderId="3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165" fontId="4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right" vertical="center"/>
    </xf>
    <xf numFmtId="0" fontId="12" fillId="6" borderId="3" applyAlignment="1" pivotButton="0" quotePrefix="0" xfId="0">
      <alignment horizontal="right" vertical="center"/>
    </xf>
    <xf numFmtId="165" fontId="12" fillId="0" borderId="3" applyAlignment="1" pivotButton="0" quotePrefix="0" xfId="0">
      <alignment horizontal="center" vertical="center" wrapText="1"/>
    </xf>
    <xf numFmtId="3" fontId="12" fillId="0" borderId="3" applyAlignment="1" pivotButton="0" quotePrefix="0" xfId="0">
      <alignment horizontal="right" vertical="center"/>
    </xf>
    <xf numFmtId="165" fontId="12" fillId="6" borderId="3" applyAlignment="1" pivotButton="0" quotePrefix="0" xfId="0">
      <alignment horizontal="center" vertical="center" wrapText="1"/>
    </xf>
    <xf numFmtId="3" fontId="12" fillId="6" borderId="3" applyAlignment="1" pivotButton="0" quotePrefix="0" xfId="0">
      <alignment horizontal="right" vertical="center"/>
    </xf>
    <xf numFmtId="165" fontId="12" fillId="6" borderId="3" applyAlignment="1" pivotButton="0" quotePrefix="0" xfId="0">
      <alignment horizontal="right" vertical="center"/>
    </xf>
    <xf numFmtId="165" fontId="12" fillId="0" borderId="3" applyAlignment="1" pivotButton="0" quotePrefix="0" xfId="0">
      <alignment horizontal="right" vertical="center"/>
    </xf>
    <xf numFmtId="0" fontId="13" fillId="5" borderId="4" applyAlignment="1" pivotButton="0" quotePrefix="0" xfId="0">
      <alignment horizontal="left" vertical="top" wrapText="1"/>
    </xf>
    <xf numFmtId="165" fontId="13" fillId="5" borderId="4" applyAlignment="1" pivotButton="0" quotePrefix="0" xfId="0">
      <alignment horizontal="right" vertical="center"/>
    </xf>
    <xf numFmtId="4" fontId="13" fillId="5" borderId="4" applyAlignment="1" pivotButton="0" quotePrefix="0" xfId="0">
      <alignment horizontal="right" vertical="center"/>
    </xf>
    <xf numFmtId="3" fontId="13" fillId="5" borderId="4" applyAlignment="1" pivotButton="0" quotePrefix="0" xfId="0">
      <alignment horizontal="right" vertical="center"/>
    </xf>
    <xf numFmtId="10" fontId="12" fillId="0" borderId="3" applyAlignment="1" pivotButton="0" quotePrefix="0" xfId="0">
      <alignment horizontal="right" vertical="center"/>
    </xf>
    <xf numFmtId="10" fontId="12" fillId="6" borderId="3" applyAlignment="1" pivotButton="0" quotePrefix="0" xfId="0">
      <alignment horizontal="right" vertical="center"/>
    </xf>
    <xf numFmtId="10" fontId="13" fillId="5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Cifras del resumen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'00_Inicio'!O23</f>
            </strRef>
          </tx>
          <spPr>
            <a:solidFill xmlns:a="http://schemas.openxmlformats.org/drawingml/2006/main">
              <a:srgbClr val="0093A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'00_Inicio'!$N$24:$N$40</f>
            </numRef>
          </cat>
          <val>
            <numRef>
              <f>'00_Inicio'!$O$24:$O$40</f>
            </numRef>
          </val>
        </ser>
        <dLbls>
          <numFmt formatCode="#,##0.0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Hallazgos de mayor impacto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'00_Inicio'!O42</f>
            </strRef>
          </tx>
          <spPr>
            <a:solidFill xmlns:a="http://schemas.openxmlformats.org/drawingml/2006/main">
              <a:srgbClr val="0093A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'00_Inicio'!$N$43:$N$50</f>
            </numRef>
          </cat>
          <val>
            <numRef>
              <f>'00_Inicio'!$O$43:$O$50</f>
            </numRef>
          </val>
        </ser>
        <dLbls>
          <numFmt formatCode="#,##0.0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7740000" cy="54864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54</row>
      <rowOff>0</rowOff>
    </from>
    <ext cx="7740000" cy="31536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0_Caratula'!A1" TargetMode="External" Id="rId1"/><Relationship Type="http://schemas.openxmlformats.org/officeDocument/2006/relationships/hyperlink" Target="#'00_Programa'!A1" TargetMode="External" Id="rId2"/><Relationship Type="http://schemas.openxmlformats.org/officeDocument/2006/relationships/hyperlink" Target="#'00_Fuentes'!A1" TargetMode="External" Id="rId3"/><Relationship Type="http://schemas.openxmlformats.org/officeDocument/2006/relationships/hyperlink" Target="#'01_Resumen'!A1" TargetMode="External" Id="rId4"/><Relationship Type="http://schemas.openxmlformats.org/officeDocument/2006/relationships/hyperlink" Target="#'02_Parametros'!A1" TargetMode="External" Id="rId5"/><Relationship Type="http://schemas.openxmlformats.org/officeDocument/2006/relationships/hyperlink" Target="#'03_Detalle'!A1" TargetMode="External" Id="rId6"/><Relationship Type="http://schemas.openxmlformats.org/officeDocument/2006/relationships/hyperlink" Target="#'04_Aging'!A1" TargetMode="External" Id="rId7"/><Relationship Type="http://schemas.openxmlformats.org/officeDocument/2006/relationships/hyperlink" Target="#'05_Pagos_posteriores'!A1" TargetMode="External" Id="rId8"/><Relationship Type="http://schemas.openxmlformats.org/officeDocument/2006/relationships/hyperlink" Target="#'06_Pasivos_no_registrados'!A1" TargetMode="External" Id="rId9"/><Relationship Type="http://schemas.openxmlformats.org/officeDocument/2006/relationships/hyperlink" Target="#'07_Confirmaciones'!A1" TargetMode="External" Id="rId10"/><Relationship Type="http://schemas.openxmlformats.org/officeDocument/2006/relationships/hyperlink" Target="#'08_Corte_compras'!A1" TargetMode="External" Id="rId11"/><Relationship Type="http://schemas.openxmlformats.org/officeDocument/2006/relationships/hyperlink" Target="#'09_Costo_amortizado'!A1" TargetMode="External" Id="rId12"/><Relationship Type="http://schemas.openxmlformats.org/officeDocument/2006/relationships/hyperlink" Target="#'10_Clasificacion'!A1" TargetMode="External" Id="rId13"/><Relationship Type="http://schemas.openxmlformats.org/officeDocument/2006/relationships/hyperlink" Target="#'11_Ajuste'!A1" TargetMode="External" Id="rId14"/><Relationship Type="http://schemas.openxmlformats.org/officeDocument/2006/relationships/hyperlink" Target="#'12_Asientos'!A1" TargetMode="External" Id="rId15"/><Relationship Type="http://schemas.openxmlformats.org/officeDocument/2006/relationships/hyperlink" Target="#'13_Problemas'!A1" TargetMode="External" Id="rId16"/><Relationship Type="http://schemas.openxmlformats.org/officeDocument/2006/relationships/hyperlink" Target="#'13_Conclusion'!A1" TargetMode="External" Id="rId17"/><Relationship Type="http://schemas.openxmlformats.org/officeDocument/2006/relationships/hyperlink" Target="#'14_Control_Revision'!A1" TargetMode="External" Id="rId18"/><Relationship Type="http://schemas.openxmlformats.org/officeDocument/2006/relationships/drawing" Target="/xl/drawings/drawing1.xml" Id="rId19"/></Relationships>
</file>

<file path=xl/worksheets/_rels/sheet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Programa'!A1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Caratula'!A1" TargetMode="External" Id="rId2"/><Relationship Type="http://schemas.openxmlformats.org/officeDocument/2006/relationships/hyperlink" Target="#'00_Fuentes'!A1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Programa'!A1" TargetMode="External" Id="rId2"/><Relationship Type="http://schemas.openxmlformats.org/officeDocument/2006/relationships/hyperlink" Target="#'01_Resumen'!A1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Fuentes'!A1" TargetMode="External" Id="rId2"/><Relationship Type="http://schemas.openxmlformats.org/officeDocument/2006/relationships/hyperlink" Target="#'02_Parametros'!A1" TargetMode="External" Id="rId3"/></Relationships>
</file>

<file path=xl/worksheets/_rels/sheet6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1_Resumen'!A1" TargetMode="External" Id="rId2"/><Relationship Type="http://schemas.openxmlformats.org/officeDocument/2006/relationships/hyperlink" Target="#'03_Detalle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2_Parametros'!A1" TargetMode="External" Id="rId2"/><Relationship Type="http://schemas.openxmlformats.org/officeDocument/2006/relationships/hyperlink" Target="#'04_Aging'!A1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3_Detalle'!A1" TargetMode="External" Id="rId2"/><Relationship Type="http://schemas.openxmlformats.org/officeDocument/2006/relationships/hyperlink" Target="#'05_Pagos_posteriores'!A1" TargetMode="External" Id="rId3"/></Relationships>
</file>

<file path=xl/worksheets/_rels/sheet9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4_Aging'!A1" TargetMode="External" Id="rId2"/><Relationship Type="http://schemas.openxmlformats.org/officeDocument/2006/relationships/hyperlink" Target="#'06_Pasivos_no_registrados'!A1" TargetMode="External" Id="rId3"/></Relationships>
</file>

<file path=xl/worksheets/_rels/sheet10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5_Pagos_posteriores'!A1" TargetMode="External" Id="rId2"/><Relationship Type="http://schemas.openxmlformats.org/officeDocument/2006/relationships/hyperlink" Target="#'07_Confirmaciones'!A1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6_Pasivos_no_registrados'!A1" TargetMode="External" Id="rId2"/><Relationship Type="http://schemas.openxmlformats.org/officeDocument/2006/relationships/hyperlink" Target="#'08_Corte_compras'!A1" TargetMode="External" Id="rId3"/></Relationships>
</file>

<file path=xl/worksheets/_rels/sheet1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7_Confirmaciones'!A1" TargetMode="External" Id="rId2"/><Relationship Type="http://schemas.openxmlformats.org/officeDocument/2006/relationships/hyperlink" Target="#'09_Costo_amortizado'!A1" TargetMode="External" Id="rId3"/></Relationships>
</file>

<file path=xl/worksheets/_rels/sheet13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8_Corte_compras'!A1" TargetMode="External" Id="rId2"/><Relationship Type="http://schemas.openxmlformats.org/officeDocument/2006/relationships/hyperlink" Target="#'10_Clasificacion'!A1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9_Costo_amortizado'!A1" TargetMode="External" Id="rId2"/><Relationship Type="http://schemas.openxmlformats.org/officeDocument/2006/relationships/hyperlink" Target="#'11_Ajuste'!A1" TargetMode="External" Id="rId3"/></Relationships>
</file>

<file path=xl/worksheets/_rels/sheet15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0_Clasificacion'!A1" TargetMode="External" Id="rId2"/><Relationship Type="http://schemas.openxmlformats.org/officeDocument/2006/relationships/hyperlink" Target="#'12_Asientos'!A1" TargetMode="External" Id="rId3"/></Relationships>
</file>

<file path=xl/worksheets/_rels/sheet16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1_Ajuste'!A1" TargetMode="External" Id="rId2"/><Relationship Type="http://schemas.openxmlformats.org/officeDocument/2006/relationships/hyperlink" Target="#'13_Problemas'!A1" TargetMode="External" Id="rId3"/></Relationships>
</file>

<file path=xl/worksheets/_rels/sheet17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2_Asientos'!A1" TargetMode="External" Id="rId2"/><Relationship Type="http://schemas.openxmlformats.org/officeDocument/2006/relationships/hyperlink" Target="#'13_Conclusion'!A1" TargetMode="External" Id="rId3"/></Relationships>
</file>

<file path=xl/worksheets/_rels/sheet18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3_Problemas'!A1" TargetMode="External" Id="rId2"/><Relationship Type="http://schemas.openxmlformats.org/officeDocument/2006/relationships/hyperlink" Target="#'14_Control_Revision'!A1" TargetMode="External" Id="rId3"/></Relationships>
</file>

<file path=xl/worksheets/_rels/sheet19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3_Conclusion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34" customWidth="1" min="14" max="14"/>
    <col width="16" customWidth="1" min="15" max="15"/>
  </cols>
  <sheetData>
    <row r="2">
      <c r="B2" s="1" t="inlineStr">
        <is>
          <t>AuditConsulting Auditores Cía. Ltda.  ·  AUDIT-IA</t>
        </is>
      </c>
      <c r="C2" s="2" t="n"/>
      <c r="D2" s="2" t="n"/>
      <c r="E2" s="2" t="n"/>
      <c r="F2" s="2" t="n"/>
    </row>
    <row r="3">
      <c r="B3" s="2" t="n"/>
      <c r="C3" s="2" t="n"/>
      <c r="D3" s="2" t="n"/>
      <c r="E3" s="2" t="n"/>
      <c r="F3" s="2" t="n"/>
    </row>
    <row r="4">
      <c r="B4" s="3" t="inlineStr">
        <is>
          <t>Proveedores y cuentas por pagar</t>
        </is>
      </c>
    </row>
    <row r="6">
      <c r="B6" s="4" t="inlineStr">
        <is>
          <t>Cliente</t>
        </is>
      </c>
      <c r="C6" s="5" t="inlineStr">
        <is>
          <t>Cliente de muestra S.A.</t>
        </is>
      </c>
      <c r="D6" s="4" t="inlineStr">
        <is>
          <t>RUC</t>
        </is>
      </c>
      <c r="E6" s="5" t="inlineStr">
        <is>
          <t>1790000000001</t>
        </is>
      </c>
    </row>
    <row r="7">
      <c r="B7" s="4" t="inlineStr">
        <is>
          <t>Marco contable</t>
        </is>
      </c>
      <c r="C7" s="5" t="inlineStr">
        <is>
          <t>NIIF completas</t>
        </is>
      </c>
      <c r="D7" s="4" t="inlineStr">
        <is>
          <t>Fecha de corte</t>
        </is>
      </c>
      <c r="E7" s="5" t="inlineStr">
        <is>
          <t>2025-12-31</t>
        </is>
      </c>
    </row>
    <row r="8">
      <c r="B8" s="4" t="inlineStr">
        <is>
          <t>Preparó</t>
        </is>
      </c>
      <c r="C8" s="5" t="inlineStr">
        <is>
          <t>Ejercicio modelo</t>
        </is>
      </c>
      <c r="D8" s="4" t="inlineStr">
        <is>
          <t>Revisó</t>
        </is>
      </c>
      <c r="E8" s="5" t="inlineStr">
        <is>
          <t>Pendiente</t>
        </is>
      </c>
    </row>
    <row r="10">
      <c r="B10" s="6" t="inlineStr">
        <is>
          <t>INDICADORES CLAVE</t>
        </is>
      </c>
    </row>
    <row r="11" ht="30" customHeight="1">
      <c r="B11" s="7" t="inlineStr">
        <is>
          <t>Ajuste neto propuesto a proveedores</t>
        </is>
      </c>
      <c r="C11" s="7" t="inlineStr">
        <is>
          <t>Problemas encontrados</t>
        </is>
      </c>
    </row>
    <row r="12">
      <c r="B12" s="8" t="n">
        <v>578.92</v>
      </c>
      <c r="C12" s="9" t="n">
        <v>11</v>
      </c>
    </row>
    <row r="15">
      <c r="B15" s="6" t="inlineStr">
        <is>
          <t>IR A LA CÉDULA</t>
        </is>
      </c>
    </row>
    <row r="16" ht="32" customHeight="1">
      <c r="B16" s="10" t="inlineStr">
        <is>
          <t>Carátula</t>
        </is>
      </c>
      <c r="C16" s="10" t="inlineStr">
        <is>
          <t>Programa</t>
        </is>
      </c>
      <c r="D16" s="10" t="inlineStr">
        <is>
          <t>Base técnica</t>
        </is>
      </c>
      <c r="E16" s="10" t="inlineStr">
        <is>
          <t>Resumen</t>
        </is>
      </c>
    </row>
    <row r="17" ht="32" customHeight="1">
      <c r="B17" s="10" t="inlineStr">
        <is>
          <t>Parámetros</t>
        </is>
      </c>
      <c r="C17" s="10" t="inlineStr">
        <is>
          <t>Detalle por documento</t>
        </is>
      </c>
      <c r="D17" s="10" t="inlineStr">
        <is>
          <t>Antigüedad de proveedores</t>
        </is>
      </c>
      <c r="E17" s="10" t="inlineStr">
        <is>
          <t>Pagos posteriores al cierre</t>
        </is>
      </c>
    </row>
    <row r="18" ht="32" customHeight="1">
      <c r="B18" s="10" t="inlineStr">
        <is>
          <t>Búsqueda de pasivos no registrados</t>
        </is>
      </c>
      <c r="C18" s="10" t="inlineStr">
        <is>
          <t>Confirmación de proveedores</t>
        </is>
      </c>
      <c r="D18" s="10" t="inlineStr">
        <is>
          <t>Corte de compras</t>
        </is>
      </c>
      <c r="E18" s="10" t="inlineStr">
        <is>
          <t>Costo amortizado e intereses implícitos</t>
        </is>
      </c>
    </row>
    <row r="19" ht="32" customHeight="1">
      <c r="B19" s="10" t="inlineStr">
        <is>
          <t>Clasificación corriente / no corriente</t>
        </is>
      </c>
      <c r="C19" s="10" t="inlineStr">
        <is>
          <t>Saldo auditado y ajustes</t>
        </is>
      </c>
      <c r="D19" s="10" t="inlineStr">
        <is>
          <t>Asientos propuestos</t>
        </is>
      </c>
      <c r="E19" s="10" t="inlineStr">
        <is>
          <t>Problemas encontrados</t>
        </is>
      </c>
    </row>
    <row r="20" ht="32" customHeight="1">
      <c r="B20" s="10" t="inlineStr">
        <is>
          <t>Conclusión</t>
        </is>
      </c>
      <c r="C20" s="10" t="inlineStr">
        <is>
          <t>Control de revisión</t>
        </is>
      </c>
    </row>
    <row r="22">
      <c r="B22" s="6" t="inlineStr">
        <is>
          <t>PANORAMA</t>
        </is>
      </c>
      <c r="N22" s="11" t="inlineStr">
        <is>
          <t>Datos de los gráficos (fórmulas a las cédulas)</t>
        </is>
      </c>
    </row>
    <row r="23">
      <c r="N23" s="12" t="inlineStr">
        <is>
          <t>Cifras del resumen</t>
        </is>
      </c>
      <c r="O23" s="12" t="inlineStr">
        <is>
          <t>Importe (USD)</t>
        </is>
      </c>
    </row>
    <row r="24">
      <c r="N24" s="12">
        <f>'01_Resumen'!A5</f>
        <v/>
      </c>
      <c r="O24" s="13">
        <f>'01_Resumen'!B5</f>
        <v/>
      </c>
    </row>
    <row r="25">
      <c r="N25" s="12">
        <f>'01_Resumen'!A6</f>
        <v/>
      </c>
      <c r="O25" s="13">
        <f>'01_Resumen'!B6</f>
        <v/>
      </c>
    </row>
    <row r="26">
      <c r="N26" s="12">
        <f>'01_Resumen'!A7</f>
        <v/>
      </c>
      <c r="O26" s="13">
        <f>'01_Resumen'!B7</f>
        <v/>
      </c>
    </row>
    <row r="27">
      <c r="N27" s="12">
        <f>'01_Resumen'!A8</f>
        <v/>
      </c>
      <c r="O27" s="13">
        <f>'01_Resumen'!B8</f>
        <v/>
      </c>
    </row>
    <row r="28">
      <c r="N28" s="12">
        <f>'01_Resumen'!A9</f>
        <v/>
      </c>
      <c r="O28" s="13">
        <f>'01_Resumen'!B9</f>
        <v/>
      </c>
    </row>
    <row r="29">
      <c r="N29" s="12">
        <f>'01_Resumen'!A10</f>
        <v/>
      </c>
      <c r="O29" s="13">
        <f>'01_Resumen'!B10</f>
        <v/>
      </c>
    </row>
    <row r="30">
      <c r="N30" s="12">
        <f>'01_Resumen'!A11</f>
        <v/>
      </c>
      <c r="O30" s="13">
        <f>'01_Resumen'!B11</f>
        <v/>
      </c>
    </row>
    <row r="31">
      <c r="N31" s="12">
        <f>'01_Resumen'!A12</f>
        <v/>
      </c>
      <c r="O31" s="13">
        <f>'01_Resumen'!B12</f>
        <v/>
      </c>
    </row>
    <row r="32">
      <c r="N32" s="12">
        <f>'01_Resumen'!A13</f>
        <v/>
      </c>
      <c r="O32" s="13">
        <f>'01_Resumen'!B13</f>
        <v/>
      </c>
    </row>
    <row r="33">
      <c r="N33" s="12">
        <f>'01_Resumen'!A14</f>
        <v/>
      </c>
      <c r="O33" s="13">
        <f>'01_Resumen'!B14</f>
        <v/>
      </c>
    </row>
    <row r="34">
      <c r="N34" s="12">
        <f>'01_Resumen'!A15</f>
        <v/>
      </c>
      <c r="O34" s="13">
        <f>'01_Resumen'!B15</f>
        <v/>
      </c>
    </row>
    <row r="35">
      <c r="N35" s="12">
        <f>'01_Resumen'!A16</f>
        <v/>
      </c>
      <c r="O35" s="13">
        <f>'01_Resumen'!B16</f>
        <v/>
      </c>
    </row>
    <row r="36">
      <c r="N36" s="12">
        <f>'01_Resumen'!A17</f>
        <v/>
      </c>
      <c r="O36" s="13">
        <f>'01_Resumen'!B17</f>
        <v/>
      </c>
    </row>
    <row r="37">
      <c r="N37" s="12">
        <f>'01_Resumen'!A18</f>
        <v/>
      </c>
      <c r="O37" s="13">
        <f>'01_Resumen'!B18</f>
        <v/>
      </c>
    </row>
    <row r="38">
      <c r="N38" s="12">
        <f>'01_Resumen'!A19</f>
        <v/>
      </c>
      <c r="O38" s="13">
        <f>'01_Resumen'!B19</f>
        <v/>
      </c>
    </row>
    <row r="39">
      <c r="N39" s="12">
        <f>'01_Resumen'!A20</f>
        <v/>
      </c>
      <c r="O39" s="13">
        <f>'01_Resumen'!B20</f>
        <v/>
      </c>
    </row>
    <row r="40">
      <c r="N40" s="12">
        <f>'01_Resumen'!A21</f>
        <v/>
      </c>
      <c r="O40" s="13">
        <f>'01_Resumen'!B21</f>
        <v/>
      </c>
    </row>
    <row r="42">
      <c r="N42" s="12" t="inlineStr">
        <is>
          <t>Hallazgos de mayor impacto</t>
        </is>
      </c>
      <c r="O42" s="12" t="inlineStr">
        <is>
          <t>Importe (USD)</t>
        </is>
      </c>
    </row>
    <row r="43">
      <c r="N43" s="12" t="inlineStr">
        <is>
          <t>No corriente como corriente</t>
        </is>
      </c>
      <c r="O43" s="13">
        <f>SUMIFS('13_Problemas'!$C$5:$C$15,'13_Problemas'!$A$5:$A$15,"NO_CORRIENTE_COMO_CORRIENTE",'13_Problemas'!$C$5:$C$15,"&gt;0")-SUMIFS('13_Problemas'!$C$5:$C$15,'13_Problemas'!$A$5:$A$15,"NO_CORRIENTE_COMO_CORRIENTE",'13_Problemas'!$C$5:$C$15,"&lt;0")</f>
        <v/>
      </c>
    </row>
    <row r="44">
      <c r="N44" s="12" t="inlineStr">
        <is>
          <t>Pasivo no registrado</t>
        </is>
      </c>
      <c r="O44" s="13">
        <f>SUMIFS('13_Problemas'!$C$5:$C$15,'13_Problemas'!$A$5:$A$15,"PASIVO_NO_REGISTRADO",'13_Problemas'!$C$5:$C$15,"&gt;0")-SUMIFS('13_Problemas'!$C$5:$C$15,'13_Problemas'!$A$5:$A$15,"PASIVO_NO_REGISTRADO",'13_Problemas'!$C$5:$C$15,"&lt;0")</f>
        <v/>
      </c>
    </row>
    <row r="45">
      <c r="N45" s="12" t="inlineStr">
        <is>
          <t>Pago no posterior</t>
        </is>
      </c>
      <c r="O45" s="13">
        <f>SUMIFS('13_Problemas'!$C$5:$C$15,'13_Problemas'!$A$5:$A$15,"PAGO_NO_POSTERIOR",'13_Problemas'!$C$5:$C$15,"&gt;0")-SUMIFS('13_Problemas'!$C$5:$C$15,'13_Problemas'!$A$5:$A$15,"PAGO_NO_POSTERIOR",'13_Problemas'!$C$5:$C$15,"&lt;0")</f>
        <v/>
      </c>
    </row>
    <row r="46">
      <c r="N46" s="12" t="inlineStr">
        <is>
          <t>Moneda extranjera</t>
        </is>
      </c>
      <c r="O46" s="13">
        <f>SUMIFS('13_Problemas'!$C$5:$C$15,'13_Problemas'!$A$5:$A$15,"MONEDA_EXTRANJERA",'13_Problemas'!$C$5:$C$15,"&gt;0")-SUMIFS('13_Problemas'!$C$5:$C$15,'13_Problemas'!$A$5:$A$15,"MONEDA_EXTRANJERA",'13_Problemas'!$C$5:$C$15,"&lt;0")</f>
        <v/>
      </c>
    </row>
    <row r="47">
      <c r="N47" s="12" t="inlineStr">
        <is>
          <t>Error corte compras</t>
        </is>
      </c>
      <c r="O47" s="13">
        <f>SUMIFS('13_Problemas'!$C$5:$C$15,'13_Problemas'!$A$5:$A$15,"ERROR_CORTE_COMPRAS",'13_Problemas'!$C$5:$C$15,"&gt;0")-SUMIFS('13_Problemas'!$C$5:$C$15,'13_Problemas'!$A$5:$A$15,"ERROR_CORTE_COMPRAS",'13_Problemas'!$C$5:$C$15,"&lt;0")</f>
        <v/>
      </c>
    </row>
    <row r="48">
      <c r="N48" s="12" t="inlineStr">
        <is>
          <t>Financiacion no reconocida</t>
        </is>
      </c>
      <c r="O48" s="13">
        <f>SUMIFS('13_Problemas'!$C$5:$C$15,'13_Problemas'!$A$5:$A$15,"FINANCIACION_NO_RECONOCIDA",'13_Problemas'!$C$5:$C$15,"&gt;0")-SUMIFS('13_Problemas'!$C$5:$C$15,'13_Problemas'!$A$5:$A$15,"FINANCIACION_NO_RECONOCIDA",'13_Problemas'!$C$5:$C$15,"&lt;0")</f>
        <v/>
      </c>
    </row>
    <row r="49">
      <c r="N49" s="12" t="inlineStr">
        <is>
          <t>Saldos deudores</t>
        </is>
      </c>
      <c r="O49" s="13">
        <f>SUMIFS('13_Problemas'!$C$5:$C$15,'13_Problemas'!$A$5:$A$15,"SALDOS_DEUDORES",'13_Problemas'!$C$5:$C$15,"&gt;0")-SUMIFS('13_Problemas'!$C$5:$C$15,'13_Problemas'!$A$5:$A$15,"SALDOS_DEUDORES",'13_Problemas'!$C$5:$C$15,"&lt;0")</f>
        <v/>
      </c>
    </row>
    <row r="50">
      <c r="N50" s="12" t="inlineStr">
        <is>
          <t>Otros (4 tipos)</t>
        </is>
      </c>
      <c r="O50" s="13">
        <f>SUMIF('13_Problemas'!$C$5:$C$15,"&gt;0")-SUMIF('13_Problemas'!$C$5:$C$15,"&lt;0")-((SUMIFS('13_Problemas'!$C$5:$C$15,'13_Problemas'!$A$5:$A$15,"NO_CORRIENTE_COMO_CORRIENTE",'13_Problemas'!$C$5:$C$15,"&gt;0")-SUMIFS('13_Problemas'!$C$5:$C$15,'13_Problemas'!$A$5:$A$15,"NO_CORRIENTE_COMO_CORRIENTE",'13_Problemas'!$C$5:$C$15,"&lt;0"))+(SUMIFS('13_Problemas'!$C$5:$C$15,'13_Problemas'!$A$5:$A$15,"PASIVO_NO_REGISTRADO",'13_Problemas'!$C$5:$C$15,"&gt;0")-SUMIFS('13_Problemas'!$C$5:$C$15,'13_Problemas'!$A$5:$A$15,"PASIVO_NO_REGISTRADO",'13_Problemas'!$C$5:$C$15,"&lt;0"))+(SUMIFS('13_Problemas'!$C$5:$C$15,'13_Problemas'!$A$5:$A$15,"PAGO_NO_POSTERIOR",'13_Problemas'!$C$5:$C$15,"&gt;0")-SUMIFS('13_Problemas'!$C$5:$C$15,'13_Problemas'!$A$5:$A$15,"PAGO_NO_POSTERIOR",'13_Problemas'!$C$5:$C$15,"&lt;0"))+(SUMIFS('13_Problemas'!$C$5:$C$15,'13_Problemas'!$A$5:$A$15,"MONEDA_EXTRANJERA",'13_Problemas'!$C$5:$C$15,"&gt;0")-SUMIFS('13_Problemas'!$C$5:$C$15,'13_Problemas'!$A$5:$A$15,"MONEDA_EXTRANJERA",'13_Problemas'!$C$5:$C$15,"&lt;0"))+(SUMIFS('13_Problemas'!$C$5:$C$15,'13_Problemas'!$A$5:$A$15,"ERROR_CORTE_COMPRAS",'13_Problemas'!$C$5:$C$15,"&gt;0")-SUMIFS('13_Problemas'!$C$5:$C$15,'13_Problemas'!$A$5:$A$15,"ERROR_CORTE_COMPRAS",'13_Problemas'!$C$5:$C$15,"&lt;0"))+(SUMIFS('13_Problemas'!$C$5:$C$15,'13_Problemas'!$A$5:$A$15,"FINANCIACION_NO_RECONOCIDA",'13_Problemas'!$C$5:$C$15,"&gt;0")-SUMIFS('13_Problemas'!$C$5:$C$15,'13_Problemas'!$A$5:$A$15,"FINANCIACION_NO_RECONOCIDA",'13_Problemas'!$C$5:$C$15,"&lt;0"))+(SUMIFS('13_Problemas'!$C$5:$C$15,'13_Problemas'!$A$5:$A$15,"SALDOS_DEUDORES",'13_Problemas'!$C$5:$C$15,"&gt;0")-SUMIFS('13_Problemas'!$C$5:$C$15,'13_Problemas'!$A$5:$A$15,"SALDOS_DEUDORES",'13_Problemas'!$C$5:$C$15,"&lt;0")))</f>
        <v/>
      </c>
    </row>
  </sheetData>
  <mergeCells count="2">
    <mergeCell ref="B4:F4"/>
    <mergeCell ref="B2:F3"/>
  </mergeCells>
  <hyperlinks>
    <hyperlink xmlns:r="http://schemas.openxmlformats.org/officeDocument/2006/relationships" ref="B16" r:id="rId1"/>
    <hyperlink xmlns:r="http://schemas.openxmlformats.org/officeDocument/2006/relationships" ref="C16" r:id="rId2"/>
    <hyperlink xmlns:r="http://schemas.openxmlformats.org/officeDocument/2006/relationships" ref="D16" r:id="rId3"/>
    <hyperlink xmlns:r="http://schemas.openxmlformats.org/officeDocument/2006/relationships" ref="E16" r:id="rId4"/>
    <hyperlink xmlns:r="http://schemas.openxmlformats.org/officeDocument/2006/relationships" ref="B17" r:id="rId5"/>
    <hyperlink xmlns:r="http://schemas.openxmlformats.org/officeDocument/2006/relationships" ref="C17" r:id="rId6"/>
    <hyperlink xmlns:r="http://schemas.openxmlformats.org/officeDocument/2006/relationships" ref="D17" r:id="rId7"/>
    <hyperlink xmlns:r="http://schemas.openxmlformats.org/officeDocument/2006/relationships" ref="E17" r:id="rId8"/>
    <hyperlink xmlns:r="http://schemas.openxmlformats.org/officeDocument/2006/relationships" ref="B18" r:id="rId9"/>
    <hyperlink xmlns:r="http://schemas.openxmlformats.org/officeDocument/2006/relationships" ref="C18" r:id="rId10"/>
    <hyperlink xmlns:r="http://schemas.openxmlformats.org/officeDocument/2006/relationships" ref="D18" r:id="rId11"/>
    <hyperlink xmlns:r="http://schemas.openxmlformats.org/officeDocument/2006/relationships" ref="E18" r:id="rId12"/>
    <hyperlink xmlns:r="http://schemas.openxmlformats.org/officeDocument/2006/relationships" ref="B19" r:id="rId13"/>
    <hyperlink xmlns:r="http://schemas.openxmlformats.org/officeDocument/2006/relationships" ref="C19" r:id="rId14"/>
    <hyperlink xmlns:r="http://schemas.openxmlformats.org/officeDocument/2006/relationships" ref="D19" r:id="rId15"/>
    <hyperlink xmlns:r="http://schemas.openxmlformats.org/officeDocument/2006/relationships" ref="E19" r:id="rId16"/>
    <hyperlink xmlns:r="http://schemas.openxmlformats.org/officeDocument/2006/relationships" ref="B20" r:id="rId17"/>
    <hyperlink xmlns:r="http://schemas.openxmlformats.org/officeDocument/2006/relationships" ref="C20" r:id="rId18"/>
  </hyperlinks>
  <printOptions horizontalCentered="1"/>
  <pageMargins left="0.75" right="0.75" top="1" bottom="1" header="0.5" footer="0.5"/>
  <pageSetup orientation="landscape" fitToHeight="0" fitToWidth="1"/>
  <headerFooter>
    <oddHeader/>
    <oddFooter>&amp;LAuditConsulting Auditores Cía. Ltda.&amp;CCliente de muestra S.A.&amp;RPágina &amp;P de &amp;N</oddFooter>
    <evenHeader/>
    <evenFooter/>
    <firstHeader/>
    <firstFooter/>
  </headerFooter>
  <drawing xmlns:r="http://schemas.openxmlformats.org/officeDocument/2006/relationships" r:id="rId1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</cols>
  <sheetData>
    <row r="1">
      <c r="A1" s="3" t="inlineStr">
        <is>
          <t>Carátula</t>
        </is>
      </c>
      <c r="H1" s="14" t="inlineStr">
        <is>
          <t>⟵ Inicio</t>
        </is>
      </c>
      <c r="J1" s="14" t="inlineStr">
        <is>
          <t>Siguiente ▶</t>
        </is>
      </c>
    </row>
    <row r="2">
      <c r="A2" s="15" t="inlineStr">
        <is>
          <t>Proveedores y cuentas por pagar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Detalle</t>
        </is>
      </c>
    </row>
    <row r="5">
      <c r="A5" s="18" t="inlineStr">
        <is>
          <t>Firma</t>
        </is>
      </c>
      <c r="B5" s="18" t="inlineStr">
        <is>
          <t>AuditConsulting Auditores Cía. Ltda.</t>
        </is>
      </c>
    </row>
    <row r="6">
      <c r="A6" s="19" t="inlineStr">
        <is>
          <t>Cliente</t>
        </is>
      </c>
      <c r="B6" s="19" t="inlineStr">
        <is>
          <t>Cliente de muestra S.A.</t>
        </is>
      </c>
    </row>
    <row r="7">
      <c r="A7" s="18" t="inlineStr">
        <is>
          <t>RUC</t>
        </is>
      </c>
      <c r="B7" s="18" t="inlineStr">
        <is>
          <t>1790000000001</t>
        </is>
      </c>
    </row>
    <row r="8">
      <c r="A8" s="19" t="inlineStr">
        <is>
          <t>Ejercicio</t>
        </is>
      </c>
      <c r="B8" s="19" t="inlineStr">
        <is>
          <t>2025</t>
        </is>
      </c>
    </row>
    <row r="9">
      <c r="A9" s="18" t="inlineStr">
        <is>
          <t>Fecha de corte</t>
        </is>
      </c>
      <c r="B9" s="18" t="inlineStr">
        <is>
          <t>2025-12-31</t>
        </is>
      </c>
    </row>
    <row r="10">
      <c r="A10" s="19" t="inlineStr">
        <is>
          <t>Marco contable</t>
        </is>
      </c>
      <c r="B10" s="19" t="inlineStr">
        <is>
          <t>NIIF completas</t>
        </is>
      </c>
    </row>
    <row r="11">
      <c r="A11" s="18" t="inlineStr">
        <is>
          <t>Herramienta</t>
        </is>
      </c>
      <c r="B11" s="18" t="inlineStr">
        <is>
          <t>Proveedores y cuentas por pagar</t>
        </is>
      </c>
    </row>
    <row r="12">
      <c r="A12" s="19" t="inlineStr">
        <is>
          <t>Rubro</t>
        </is>
      </c>
      <c r="B12" s="19" t="inlineStr">
        <is>
          <t>Proveedores y cuentas por pagar</t>
        </is>
      </c>
    </row>
    <row r="13">
      <c r="A13" s="18" t="inlineStr">
        <is>
          <t>Motor</t>
        </is>
      </c>
      <c r="B13" s="18" t="inlineStr">
        <is>
          <t>proveedores_cxp 1.0</t>
        </is>
      </c>
    </row>
    <row r="14">
      <c r="A14" s="19" t="inlineStr">
        <is>
          <t>Versión del papel</t>
        </is>
      </c>
      <c r="B14" s="19" t="inlineStr">
        <is>
          <t>v1</t>
        </is>
      </c>
    </row>
    <row r="15">
      <c r="A15" s="18" t="inlineStr">
        <is>
          <t>Estado</t>
        </is>
      </c>
      <c r="B15" s="18" t="inlineStr">
        <is>
          <t>MUESTRA</t>
        </is>
      </c>
    </row>
    <row r="16">
      <c r="A16" s="19" t="inlineStr">
        <is>
          <t>Preparó</t>
        </is>
      </c>
      <c r="B16" s="19" t="inlineStr">
        <is>
          <t>Ejercicio modelo</t>
        </is>
      </c>
    </row>
    <row r="17">
      <c r="A17" s="18" t="inlineStr">
        <is>
          <t>Revisó</t>
        </is>
      </c>
      <c r="B17" s="18" t="inlineStr">
        <is>
          <t>Pendiente</t>
        </is>
      </c>
    </row>
    <row r="18">
      <c r="A18" s="19" t="inlineStr">
        <is>
          <t>Aprobó</t>
        </is>
      </c>
      <c r="B18" s="19" t="inlineStr"/>
    </row>
    <row r="19">
      <c r="A19" s="18" t="inlineStr">
        <is>
          <t>Fecha de aprobación</t>
        </is>
      </c>
      <c r="B19" s="18" t="inlineStr"/>
    </row>
    <row r="20">
      <c r="A20" s="19" t="inlineStr">
        <is>
          <t>Huella de la ejecución (SHA-256)</t>
        </is>
      </c>
      <c r="B20" s="19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J1" r:id="rId2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25" customWidth="1" min="3" max="3"/>
    <col width="60" customWidth="1" min="4" max="4"/>
    <col width="60" customWidth="1" min="5" max="5"/>
    <col width="60" customWidth="1" min="6" max="6"/>
    <col width="53" customWidth="1" min="7" max="7"/>
  </cols>
  <sheetData>
    <row r="1">
      <c r="A1" s="3" t="inlineStr">
        <is>
          <t>Programa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Proveedores y cuentas por pagar · Cliente de muestra S.A. · corte 2025-12-31</t>
        </is>
      </c>
      <c r="B2" s="16" t="n"/>
      <c r="C2" s="16" t="n"/>
      <c r="D2" s="16" t="n"/>
      <c r="E2" s="16" t="n"/>
      <c r="F2" s="16" t="n"/>
      <c r="G2" s="16" t="n"/>
    </row>
    <row r="4" ht="30" customHeight="1">
      <c r="A4" s="17" t="inlineStr">
        <is>
          <t>Código</t>
        </is>
      </c>
      <c r="B4" s="17" t="inlineStr">
        <is>
          <t>Objetivo</t>
        </is>
      </c>
      <c r="C4" s="17" t="inlineStr">
        <is>
          <t>Afirmación</t>
        </is>
      </c>
      <c r="D4" s="17" t="inlineStr">
        <is>
          <t>Procedimiento</t>
        </is>
      </c>
      <c r="E4" s="17" t="inlineStr">
        <is>
          <t>Evidencia</t>
        </is>
      </c>
      <c r="F4" s="17" t="inlineStr">
        <is>
          <t>Criterio</t>
        </is>
      </c>
      <c r="G4" s="17" t="inlineStr">
        <is>
          <t>Referencia</t>
        </is>
      </c>
    </row>
    <row r="5">
      <c r="A5" s="18" t="inlineStr">
        <is>
          <t>CXP-01</t>
        </is>
      </c>
      <c r="B5" s="18" t="inlineStr">
        <is>
          <t>Integridad y antigüedad del auxiliar</t>
        </is>
      </c>
      <c r="C5" s="18" t="inlineStr">
        <is>
          <t>Integridad</t>
        </is>
      </c>
      <c r="D5" s="18" t="inlineStr">
        <is>
          <t>Conciliar el auxiliar por documento con el mayor y recalcular la antigüedad</t>
        </is>
      </c>
      <c r="E5" s="18" t="inlineStr">
        <is>
          <t>Auxiliar y mayor</t>
        </is>
      </c>
      <c r="F5" s="18" t="inlineStr">
        <is>
          <t>Diferencia cero o explicada</t>
        </is>
      </c>
      <c r="G5" s="18" t="inlineStr">
        <is>
          <t>NIA 500 párr. 9</t>
        </is>
      </c>
    </row>
    <row r="6">
      <c r="A6" s="19" t="inlineStr">
        <is>
          <t>CXP-02</t>
        </is>
      </c>
      <c r="B6" s="19" t="inlineStr">
        <is>
          <t>Búsqueda de pasivos no registrados</t>
        </is>
      </c>
      <c r="C6" s="19" t="inlineStr">
        <is>
          <t>Integridad</t>
        </is>
      </c>
      <c r="D6" s="19" t="inlineStr">
        <is>
          <t>Revisar pagos y facturas posteriores al corte y comparar la fecha de recepción con el corte</t>
        </is>
      </c>
      <c r="E6" s="19" t="inlineStr">
        <is>
          <t>Egresos y facturas posteriores, actas de recepción</t>
        </is>
      </c>
      <c r="F6" s="19" t="inlineStr">
        <is>
          <t>Pasivos con causa hasta el corte registrados</t>
        </is>
      </c>
      <c r="G6" s="19" t="inlineStr">
        <is>
          <t>NIA 330 · NIIF 9 3.1.1 y B3.1.2 b) · PYMES 11.12</t>
        </is>
      </c>
    </row>
    <row r="7">
      <c r="A7" s="18" t="inlineStr">
        <is>
          <t>CXP-03</t>
        </is>
      </c>
      <c r="B7" s="18" t="inlineStr">
        <is>
          <t>Pagos posteriores</t>
        </is>
      </c>
      <c r="C7" s="18" t="inlineStr">
        <is>
          <t>Existencia / Exactitud</t>
        </is>
      </c>
      <c r="D7" s="18" t="inlineStr">
        <is>
          <t>Cotejar los pagos posteriores con el saldo de cada documento</t>
        </is>
      </c>
      <c r="E7" s="18" t="inlineStr">
        <is>
          <t>Estados de cuenta bancarios y comprobantes de egreso</t>
        </is>
      </c>
      <c r="F7" s="18" t="inlineStr">
        <is>
          <t>Pago igual al saldo o diferencia explicada</t>
        </is>
      </c>
      <c r="G7" s="18" t="inlineStr">
        <is>
          <t>NIA 500</t>
        </is>
      </c>
    </row>
    <row r="8">
      <c r="A8" s="19" t="inlineStr">
        <is>
          <t>CXP-04</t>
        </is>
      </c>
      <c r="B8" s="19" t="inlineStr">
        <is>
          <t>Confirmación de proveedores</t>
        </is>
      </c>
      <c r="C8" s="19" t="inlineStr">
        <is>
          <t>Existencia / Integridad</t>
        </is>
      </c>
      <c r="D8" s="19" t="inlineStr">
        <is>
          <t>Enviar confirmaciones y conciliar las diferencias</t>
        </is>
      </c>
      <c r="E8" s="19" t="inlineStr">
        <is>
          <t>Respuestas de proveedores</t>
        </is>
      </c>
      <c r="F8" s="19" t="inlineStr">
        <is>
          <t>Diferencias conciliadas o ajustadas</t>
        </is>
      </c>
      <c r="G8" s="19" t="inlineStr">
        <is>
          <t>NIA 505</t>
        </is>
      </c>
    </row>
    <row r="9">
      <c r="A9" s="18" t="inlineStr">
        <is>
          <t>CXP-05</t>
        </is>
      </c>
      <c r="B9" s="18" t="inlineStr">
        <is>
          <t>Corte de compras</t>
        </is>
      </c>
      <c r="C9" s="18" t="inlineStr">
        <is>
          <t>Corte</t>
        </is>
      </c>
      <c r="D9" s="18" t="inlineStr">
        <is>
          <t>Comparar la fecha de recepción del bien o servicio con el corte</t>
        </is>
      </c>
      <c r="E9" s="18" t="inlineStr">
        <is>
          <t>Ingresos a bodega, actas de servicio</t>
        </is>
      </c>
      <c r="F9" s="18" t="inlineStr">
        <is>
          <t>Pasivo reconocido desde la recepción</t>
        </is>
      </c>
      <c r="G9" s="18" t="inlineStr">
        <is>
          <t>NIA 330</t>
        </is>
      </c>
    </row>
    <row r="10">
      <c r="A10" s="19" t="inlineStr">
        <is>
          <t>CXP-06</t>
        </is>
      </c>
      <c r="B10" s="19" t="inlineStr">
        <is>
          <t>Costo amortizado e intereses implícitos</t>
        </is>
      </c>
      <c r="C10" s="19" t="inlineStr">
        <is>
          <t>Valoración</t>
        </is>
      </c>
      <c r="D10" s="19" t="inlineStr">
        <is>
          <t>Identificar documentos con plazo mayor al umbral y medir su valor presente, TIE e interés devengado</t>
        </is>
      </c>
      <c r="E10" s="19" t="inlineStr">
        <is>
          <t>Contratos, términos de pago, tasa de mercado</t>
        </is>
      </c>
      <c r="F10" s="19" t="inlineStr">
        <is>
          <t>Financiación implícita reconocida</t>
        </is>
      </c>
      <c r="G10" s="19" t="inlineStr">
        <is>
          <t>NIIF 9 5.1.1, B5.1.1, 4.2.1 · PYMES 11.13</t>
        </is>
      </c>
    </row>
    <row r="11">
      <c r="A11" s="18" t="inlineStr">
        <is>
          <t>CXP-07</t>
        </is>
      </c>
      <c r="B11" s="18" t="inlineStr">
        <is>
          <t>Clasificación y presentación</t>
        </is>
      </c>
      <c r="C11" s="18" t="inlineStr">
        <is>
          <t>Presentación</t>
        </is>
      </c>
      <c r="D11" s="18" t="inlineStr">
        <is>
          <t>Clasificar por vencimiento: ciclo de operación solo en las partidas de explotación, 12 meses en las demás; reclasificar los saldos deudores al activo</t>
        </is>
      </c>
      <c r="E11" s="18" t="inlineStr">
        <is>
          <t>Auxiliar con la marca de partida de explotación, estado de situación financiera</t>
        </is>
      </c>
      <c r="F11" s="18" t="inlineStr">
        <is>
          <t>NIC 1.70 (el plazo del ciclo solo alcanza a las partidas de explotación) y NIC 1.32 / PYMES 2.52 (no compensación de anticipos)</t>
        </is>
      </c>
      <c r="G11" s="18" t="inlineStr">
        <is>
          <t>NIC 1 69–70 y 32 · PYMES 4.7–4.8 y 2.52 · NIIF 7 39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45" customWidth="1" min="3" max="3"/>
    <col width="12" customWidth="1" min="4" max="4"/>
    <col width="12" customWidth="1" min="5" max="5"/>
  </cols>
  <sheetData>
    <row r="1">
      <c r="A1" s="3" t="inlineStr">
        <is>
          <t>Base técnica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Proveedores y cuentas por pagar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Categoría</t>
        </is>
      </c>
      <c r="B4" s="17" t="inlineStr">
        <is>
          <t>Documento</t>
        </is>
      </c>
      <c r="C4" s="17" t="inlineStr">
        <is>
          <t>Párrafos</t>
        </is>
      </c>
      <c r="D4" s="17" t="inlineStr">
        <is>
          <t>URL</t>
        </is>
      </c>
      <c r="E4" s="17" t="inlineStr">
        <is>
          <t>Verificada</t>
        </is>
      </c>
    </row>
    <row r="5">
      <c r="A5" s="18" t="inlineStr">
        <is>
          <t>NIA · NIA 505</t>
        </is>
      </c>
      <c r="B5" s="18" t="inlineStr">
        <is>
          <t>Confirmaciones externas a proveedores; investigar las diferencias.</t>
        </is>
      </c>
      <c r="C5" s="18" t="inlineStr">
        <is>
          <t>párr. 7 y 14</t>
        </is>
      </c>
      <c r="D5" s="18" t="inlineStr"/>
      <c r="E5" s="18" t="inlineStr"/>
    </row>
    <row r="6">
      <c r="A6" s="19" t="inlineStr">
        <is>
          <t>NIA · NIA 500</t>
        </is>
      </c>
      <c r="B6" s="19" t="inlineStr">
        <is>
          <t>Exactitud e integridad del auxiliar contra el mayor.</t>
        </is>
      </c>
      <c r="C6" s="19" t="inlineStr">
        <is>
          <t>párr. 9</t>
        </is>
      </c>
      <c r="D6" s="19" t="inlineStr"/>
      <c r="E6" s="19" t="inlineStr"/>
    </row>
    <row r="7">
      <c r="A7" s="18" t="inlineStr">
        <is>
          <t>NIA · NIA 330</t>
        </is>
      </c>
      <c r="B7" s="18" t="inlineStr">
        <is>
          <t>Procedimientos sustantivos de corte y conciliación de registros con los estados.</t>
        </is>
      </c>
      <c r="C7" s="18" t="inlineStr">
        <is>
          <t>párr. 18 y 20</t>
        </is>
      </c>
      <c r="D7" s="18" t="inlineStr"/>
      <c r="E7" s="18" t="inlineStr"/>
    </row>
    <row r="8">
      <c r="A8" s="19" t="inlineStr">
        <is>
          <t>NIA · NIA 540 (Revisada)</t>
        </is>
      </c>
      <c r="B8" s="19" t="inlineStr">
        <is>
          <t>La tasa de mercado del valor presente es un supuesto de una estimación.</t>
        </is>
      </c>
      <c r="C8" s="19" t="inlineStr">
        <is>
          <t>párr. 13 y 24 a) (supuestos significativos)</t>
        </is>
      </c>
      <c r="D8" s="19" t="inlineStr"/>
      <c r="E8" s="19" t="inlineStr"/>
    </row>
    <row r="9">
      <c r="A9" s="18" t="inlineStr">
        <is>
          <t>NIA · NIA 550</t>
        </is>
      </c>
      <c r="B9" s="18" t="inlineStr">
        <is>
          <t>Identificar y revelar saldos con partes relacionadas.</t>
        </is>
      </c>
      <c r="C9" s="18" t="inlineStr">
        <is>
          <t>párr. 13 y 25 a)</t>
        </is>
      </c>
      <c r="D9" s="18" t="inlineStr"/>
      <c r="E9" s="18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</cols>
  <sheetData>
    <row r="1">
      <c r="A1" s="3" t="inlineStr">
        <is>
          <t>Resumen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Proveedores y cuentas por pagar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</row>
    <row r="5">
      <c r="A5" s="18" t="inlineStr">
        <is>
          <t>Proveedores según auxiliar (nominal)</t>
        </is>
      </c>
      <c r="B5" s="20">
        <f>'11_Ajuste'!B5</f>
        <v/>
      </c>
    </row>
    <row r="6">
      <c r="A6" s="19" t="inlineStr">
        <is>
          <t>Saldo según el mayor</t>
        </is>
      </c>
      <c r="B6" s="21">
        <f>'11_Ajuste'!B18</f>
        <v/>
      </c>
    </row>
    <row r="7">
      <c r="A7" s="18" t="inlineStr">
        <is>
          <t>Diferencia auxiliar − mayor</t>
        </is>
      </c>
      <c r="B7" s="20">
        <f>'11_Ajuste'!B19</f>
        <v/>
      </c>
    </row>
    <row r="8">
      <c r="A8" s="19" t="inlineStr">
        <is>
          <t>Pasivos no registrados</t>
        </is>
      </c>
      <c r="B8" s="21">
        <f>'11_Ajuste'!B8</f>
        <v/>
      </c>
    </row>
    <row r="9">
      <c r="A9" s="18" t="inlineStr">
        <is>
          <t>Compras registradas antes de la recepción</t>
        </is>
      </c>
      <c r="B9" s="20">
        <f>'11_Ajuste'!B9</f>
        <v/>
      </c>
    </row>
    <row r="10">
      <c r="A10" s="19" t="inlineStr">
        <is>
          <t>Diferencias de confirmación (absolutas)</t>
        </is>
      </c>
      <c r="B10" s="21">
        <f>'11_Ajuste'!B20</f>
        <v/>
      </c>
    </row>
    <row r="11">
      <c r="A11" s="18" t="inlineStr">
        <is>
          <t>Pagos posteriores mayores al saldo</t>
        </is>
      </c>
      <c r="B11" s="20">
        <f>'11_Ajuste'!B21</f>
        <v/>
      </c>
    </row>
    <row r="12">
      <c r="A12" s="19" t="inlineStr">
        <is>
          <t>Intereses implícitos por devengar</t>
        </is>
      </c>
      <c r="B12" s="21">
        <f>'11_Ajuste'!B10</f>
        <v/>
      </c>
    </row>
    <row r="13">
      <c r="A13" s="18" t="inlineStr">
        <is>
          <t>Intereses por devengar registrados</t>
        </is>
      </c>
      <c r="B13" s="20">
        <f>'11_Ajuste'!B6</f>
        <v/>
      </c>
    </row>
    <row r="14">
      <c r="A14" s="19" t="inlineStr">
        <is>
          <t>Ajuste por financiación implícita</t>
        </is>
      </c>
      <c r="B14" s="21">
        <f>'11_Ajuste'!B11</f>
        <v/>
      </c>
    </row>
    <row r="15">
      <c r="A15" s="18" t="inlineStr">
        <is>
          <t>Saldos deudores a reclasificar al activo</t>
        </is>
      </c>
      <c r="B15" s="20">
        <f>'11_Ajuste'!B12</f>
        <v/>
      </c>
    </row>
    <row r="16">
      <c r="A16" s="19" t="inlineStr">
        <is>
          <t>Saldo de proveedores auditado</t>
        </is>
      </c>
      <c r="B16" s="21">
        <f>'11_Ajuste'!B13</f>
        <v/>
      </c>
    </row>
    <row r="17">
      <c r="A17" s="18" t="inlineStr">
        <is>
          <t>Ajuste neto propuesto a proveedores</t>
        </is>
      </c>
      <c r="B17" s="20">
        <f>'11_Ajuste'!B14</f>
        <v/>
      </c>
    </row>
    <row r="18">
      <c r="A18" s="19" t="inlineStr">
        <is>
          <t>Porción no corriente requerida</t>
        </is>
      </c>
      <c r="B18" s="21">
        <f>'11_Ajuste'!B15</f>
        <v/>
      </c>
    </row>
    <row r="19">
      <c r="A19" s="18" t="inlineStr">
        <is>
          <t>Porción no corriente presentada</t>
        </is>
      </c>
      <c r="B19" s="20">
        <f>'11_Ajuste'!B16</f>
        <v/>
      </c>
    </row>
    <row r="20">
      <c r="A20" s="19" t="inlineStr">
        <is>
          <t>Reclasificación a no corriente</t>
        </is>
      </c>
      <c r="B20" s="21">
        <f>'11_Ajuste'!B17</f>
        <v/>
      </c>
    </row>
    <row r="21">
      <c r="A21" s="18" t="inlineStr">
        <is>
          <t>Saldos con partes relacionadas</t>
        </is>
      </c>
      <c r="B21" s="20">
        <f>'11_Ajuste'!B22</f>
        <v/>
      </c>
    </row>
    <row r="23">
      <c r="A23" s="22" t="inlineStr">
        <is>
          <t>ⓘ  Cómo se calcula esta hoja</t>
        </is>
      </c>
    </row>
    <row r="24">
      <c r="A24" s="23" t="inlineStr">
        <is>
          <t>Columna</t>
        </is>
      </c>
      <c r="B24" s="23" t="inlineStr">
        <is>
          <t>Fórmula (Excel)</t>
        </is>
      </c>
      <c r="C24" s="23" t="inlineStr">
        <is>
          <t>Cómo se calcula (sencillo)</t>
        </is>
      </c>
      <c r="D24" s="23" t="inlineStr">
        <is>
          <t>Ejemplo con números reales</t>
        </is>
      </c>
      <c r="E24" s="23" t="inlineStr">
        <is>
          <t>De dónde viene</t>
        </is>
      </c>
      <c r="F24" s="23" t="inlineStr">
        <is>
          <t>Norma</t>
        </is>
      </c>
    </row>
    <row r="25">
      <c r="A25" s="24" t="inlineStr">
        <is>
          <t>Importe</t>
        </is>
      </c>
      <c r="B25" s="25" t="inlineStr">
        <is>
          <t>'='11_Ajuste'!B5</t>
        </is>
      </c>
      <c r="C25" s="24" t="inlineStr">
        <is>
          <t>Trae cada importe de la hoja 11 (Saldo auditado y ajustes), concepto por concepto: el saldo del auxiliar, los pasivos no registrados, el corte, la financiación implícita, los saldos deudores, el saldo auditado, el ajuste neto, la clasificación y los datos de control (mayor, confirmaciones, pagos posteriores y relacionadas).</t>
        </is>
      </c>
      <c r="D25" s="24" t="inlineStr">
        <is>
          <t>Fila 1: 80.300,00 → 80.300,00</t>
        </is>
      </c>
      <c r="E25" s="24" t="inlineStr">
        <is>
          <t>hoja «Saldo auditado y ajustes»</t>
        </is>
      </c>
      <c r="F25" s="24" t="inlineStr">
        <is>
          <t>—</t>
        </is>
      </c>
    </row>
  </sheetData>
  <mergeCells count="3">
    <mergeCell ref="A2:F2"/>
    <mergeCell ref="A1:F1"/>
    <mergeCell ref="A23:F23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60" customWidth="1" min="3" max="3"/>
  </cols>
  <sheetData>
    <row r="1">
      <c r="A1" s="3" t="inlineStr">
        <is>
          <t>Parámetros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Proveedores y cuentas por pagar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Parámetro</t>
        </is>
      </c>
      <c r="B4" s="17" t="inlineStr">
        <is>
          <t>Valor</t>
        </is>
      </c>
      <c r="C4" s="17" t="inlineStr">
        <is>
          <t>Sustento</t>
        </is>
      </c>
    </row>
    <row r="5">
      <c r="A5" s="18" t="inlineStr">
        <is>
          <t>Corte del ejercicio</t>
        </is>
      </c>
      <c r="B5" s="26" t="n">
        <v>46022</v>
      </c>
      <c r="C5" s="18" t="inlineStr">
        <is>
          <t>Ficha del encargo</t>
        </is>
      </c>
    </row>
    <row r="6">
      <c r="A6" s="19" t="inlineStr">
        <is>
          <t>Marco contable</t>
        </is>
      </c>
      <c r="B6" s="19" t="inlineStr">
        <is>
          <t>NIIF completas</t>
        </is>
      </c>
      <c r="C6" s="19" t="inlineStr">
        <is>
          <t>Mismo modelo en ambos marcos; cambian las citas</t>
        </is>
      </c>
    </row>
    <row r="7">
      <c r="A7" s="18" t="inlineStr">
        <is>
          <t>Tasa de mercado anual para el valor presente (%)</t>
        </is>
      </c>
      <c r="B7" s="27" t="n">
        <v>10</v>
      </c>
      <c r="C7" s="18" t="inlineStr">
        <is>
          <t>NIIF 9 5.1.1, B5.1.1 — tasa de un instrumento de deuda similar</t>
        </is>
      </c>
    </row>
    <row r="8">
      <c r="A8" s="19" t="inlineStr">
        <is>
          <t>Plazo que se considera financiación (meses)</t>
        </is>
      </c>
      <c r="B8" s="28" t="n">
        <v>12</v>
      </c>
      <c r="C8" s="19" t="inlineStr">
        <is>
          <t>NIIF 9 5.1.1, B5.1.1; NIC 2.18 / NIC 16.23 — juicio: plazo mayor a las condiciones normales de crédito</t>
        </is>
      </c>
    </row>
    <row r="9">
      <c r="A9" s="18" t="inlineStr">
        <is>
          <t>Ciclo normal de operación (meses)</t>
        </is>
      </c>
      <c r="B9" s="27" t="n">
        <v>12</v>
      </c>
      <c r="C9" s="18" t="inlineStr">
        <is>
          <t>NIC 1 69–70 (NIIF 18 párr. 101 y B96 desde 2027) — si no es identificable, 12 meses; el ciclo solo alcanza a las partidas de explotación</t>
        </is>
      </c>
    </row>
    <row r="10">
      <c r="A10" s="19" t="inlineStr">
        <is>
          <t>Intereses implícitos por devengar registrados (mayor)</t>
        </is>
      </c>
      <c r="B10" s="19" t="n"/>
      <c r="C10" s="19" t="inlineStr">
        <is>
          <t>Mayor contable</t>
        </is>
      </c>
    </row>
    <row r="11">
      <c r="A11" s="18" t="inlineStr">
        <is>
          <t>Proveedores presentados como no corrientes</t>
        </is>
      </c>
      <c r="B11" s="27" t="n">
        <v>0</v>
      </c>
      <c r="C11" s="18" t="inlineStr">
        <is>
          <t>Estado de situación financiera</t>
        </is>
      </c>
    </row>
    <row r="12">
      <c r="A12" s="19" t="inlineStr">
        <is>
          <t>Saldo de proveedores según el mayor</t>
        </is>
      </c>
      <c r="B12" s="28" t="n">
        <v>80000</v>
      </c>
      <c r="C12" s="19" t="inlineStr">
        <is>
          <t>Mayor / balance de comprobación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S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5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24" customWidth="1" min="9" max="9"/>
    <col width="24" customWidth="1" min="10" max="10"/>
    <col width="22" customWidth="1" min="11" max="11"/>
    <col width="24" customWidth="1" min="12" max="12"/>
    <col width="19" customWidth="1" min="13" max="13"/>
    <col width="32" customWidth="1" min="14" max="14"/>
    <col width="17" customWidth="1" min="15" max="15"/>
    <col width="14" customWidth="1" min="16" max="16"/>
    <col width="22" customWidth="1" min="17" max="17"/>
    <col width="14" customWidth="1" min="18" max="18"/>
    <col width="24" customWidth="1" min="19" max="19"/>
  </cols>
  <sheetData>
    <row r="1">
      <c r="A1" s="3" t="inlineStr">
        <is>
          <t>Detalle por documento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Proveedores y cuentas por pagar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</row>
    <row r="4" ht="30" customHeight="1">
      <c r="A4" s="17" t="inlineStr">
        <is>
          <t>Documento</t>
        </is>
      </c>
      <c r="B4" s="17" t="inlineStr">
        <is>
          <t>Proveedor</t>
        </is>
      </c>
      <c r="C4" s="17" t="inlineStr">
        <is>
          <t>Fecha factura</t>
        </is>
      </c>
      <c r="D4" s="17" t="inlineStr">
        <is>
          <t>Recepción</t>
        </is>
      </c>
      <c r="E4" s="17" t="inlineStr">
        <is>
          <t>Vencimiento</t>
        </is>
      </c>
      <c r="F4" s="17" t="inlineStr">
        <is>
          <t>Saldo</t>
        </is>
      </c>
      <c r="G4" s="17" t="inlineStr">
        <is>
          <t>Relacionado</t>
        </is>
      </c>
      <c r="H4" s="17" t="inlineStr">
        <is>
          <t>Moneda</t>
        </is>
      </c>
      <c r="I4" s="17" t="inlineStr">
        <is>
          <t>Días desde vencimiento</t>
        </is>
      </c>
      <c r="J4" s="17" t="inlineStr">
        <is>
          <t>Tramo</t>
        </is>
      </c>
      <c r="K4" s="17" t="inlineStr">
        <is>
          <t>Plazo de pago (días)</t>
        </is>
      </c>
      <c r="L4" s="17" t="inlineStr">
        <is>
          <t>Financiación implícita</t>
        </is>
      </c>
      <c r="M4" s="17" t="inlineStr">
        <is>
          <t>Costo amortizado</t>
        </is>
      </c>
      <c r="N4" s="17" t="inlineStr">
        <is>
          <t>Interés implícito por devengar</t>
        </is>
      </c>
      <c r="O4" s="17" t="inlineStr">
        <is>
          <t>Días por vencer</t>
        </is>
      </c>
      <c r="P4" s="17" t="inlineStr">
        <is>
          <t>No corriente</t>
        </is>
      </c>
      <c r="Q4" s="17" t="inlineStr">
        <is>
          <t>Importe no corriente</t>
        </is>
      </c>
      <c r="R4" s="17" t="inlineStr">
        <is>
          <t>Saldo deudor</t>
        </is>
      </c>
      <c r="S4" s="17" t="inlineStr">
        <is>
          <t>Partida de explotación</t>
        </is>
      </c>
    </row>
    <row r="5">
      <c r="A5" s="18" t="inlineStr">
        <is>
          <t>P-001</t>
        </is>
      </c>
      <c r="B5" s="18" t="inlineStr">
        <is>
          <t>Aceros del Pacífico S.A.</t>
        </is>
      </c>
      <c r="C5" s="29" t="n">
        <v>45996</v>
      </c>
      <c r="D5" s="29" t="n">
        <v>45996</v>
      </c>
      <c r="E5" s="29" t="n">
        <v>46026</v>
      </c>
      <c r="F5" s="20" t="n">
        <v>15000</v>
      </c>
      <c r="G5" s="18" t="inlineStr">
        <is>
          <t>No</t>
        </is>
      </c>
      <c r="H5" s="18" t="inlineStr">
        <is>
          <t>USD</t>
        </is>
      </c>
      <c r="I5" s="30">
        <f>'02_Parametros'!$B$5-E5</f>
        <v/>
      </c>
      <c r="J5" s="18">
        <f>IF(I5&lt;=0,"Corriente / por vencer",IF(I5&lt;=30,"1 a 30 días",IF(I5&lt;=60,"31 a 60 días",IF(I5&lt;=90,"61 a 90 días",IF(I5&lt;=180,"91 a 180 días",IF(I5&lt;=360,"181 a 360 días","Más de 360 días"))))))</f>
        <v/>
      </c>
      <c r="K5" s="30">
        <f>E5-C5</f>
        <v/>
      </c>
      <c r="L5" s="18">
        <f>IF(AND(F5&gt;0,K5&gt;'02_Parametros'!$B$8*365/12),"Sí","No")</f>
        <v/>
      </c>
      <c r="M5" s="20">
        <f>IF(AND(L5="Sí",'02_Parametros'!$B$7&lt;&gt;""),F5/(1+'02_Parametros'!$B$7/100)^(K5/365)*(1+'02_Parametros'!$B$7/100)^(MIN(MAX('02_Parametros'!$B$5-C5,0),K5)/365),F5)</f>
        <v/>
      </c>
      <c r="N5" s="20">
        <f>IF(AND(L5="Sí",'02_Parametros'!$B$7=""),"",F5-M5)</f>
        <v/>
      </c>
      <c r="O5" s="30">
        <f>MAX(E5-'02_Parametros'!$B$5,0)</f>
        <v/>
      </c>
      <c r="P5" s="18">
        <f>IF(AND(F5&gt;0,O5&gt;IF(S5="No",12*365/12,MAX(12,'02_Parametros'!$B$9)*365/12)),"Sí","No")</f>
        <v/>
      </c>
      <c r="Q5" s="20">
        <f>IF(P5="Sí",M5,0)</f>
        <v/>
      </c>
      <c r="R5" s="20">
        <f>IF(F5&lt;0,-F5,0)</f>
        <v/>
      </c>
      <c r="S5" s="18" t="inlineStr">
        <is>
          <t>Sí</t>
        </is>
      </c>
    </row>
    <row r="6">
      <c r="A6" s="19" t="inlineStr">
        <is>
          <t>P-002</t>
        </is>
      </c>
      <c r="B6" s="19" t="inlineStr">
        <is>
          <t>Plásticos Andinos Cía. Ltda.</t>
        </is>
      </c>
      <c r="C6" s="31" t="n">
        <v>46020</v>
      </c>
      <c r="D6" s="31" t="n">
        <v>46028</v>
      </c>
      <c r="E6" s="31" t="n">
        <v>46050</v>
      </c>
      <c r="F6" s="21" t="n">
        <v>7000</v>
      </c>
      <c r="G6" s="19" t="inlineStr">
        <is>
          <t>No</t>
        </is>
      </c>
      <c r="H6" s="19" t="inlineStr">
        <is>
          <t>USD</t>
        </is>
      </c>
      <c r="I6" s="32">
        <f>'02_Parametros'!$B$5-E6</f>
        <v/>
      </c>
      <c r="J6" s="19">
        <f>IF(I6&lt;=0,"Corriente / por vencer",IF(I6&lt;=30,"1 a 30 días",IF(I6&lt;=60,"31 a 60 días",IF(I6&lt;=90,"61 a 90 días",IF(I6&lt;=180,"91 a 180 días",IF(I6&lt;=360,"181 a 360 días","Más de 360 días"))))))</f>
        <v/>
      </c>
      <c r="K6" s="32">
        <f>E6-C6</f>
        <v/>
      </c>
      <c r="L6" s="19">
        <f>IF(AND(F6&gt;0,K6&gt;'02_Parametros'!$B$8*365/12),"Sí","No")</f>
        <v/>
      </c>
      <c r="M6" s="21">
        <f>IF(AND(L6="Sí",'02_Parametros'!$B$7&lt;&gt;""),F6/(1+'02_Parametros'!$B$7/100)^(K6/365)*(1+'02_Parametros'!$B$7/100)^(MIN(MAX('02_Parametros'!$B$5-C6,0),K6)/365),F6)</f>
        <v/>
      </c>
      <c r="N6" s="21">
        <f>IF(AND(L6="Sí",'02_Parametros'!$B$7=""),"",F6-M6)</f>
        <v/>
      </c>
      <c r="O6" s="32">
        <f>MAX(E6-'02_Parametros'!$B$5,0)</f>
        <v/>
      </c>
      <c r="P6" s="19">
        <f>IF(AND(F6&gt;0,O6&gt;IF(S6="No",12*365/12,MAX(12,'02_Parametros'!$B$9)*365/12)),"Sí","No")</f>
        <v/>
      </c>
      <c r="Q6" s="21">
        <f>IF(P6="Sí",M6,0)</f>
        <v/>
      </c>
      <c r="R6" s="21">
        <f>IF(F6&lt;0,-F6,0)</f>
        <v/>
      </c>
      <c r="S6" s="19" t="inlineStr">
        <is>
          <t>Sí</t>
        </is>
      </c>
    </row>
    <row r="7">
      <c r="A7" s="18" t="inlineStr">
        <is>
          <t>P-003</t>
        </is>
      </c>
      <c r="B7" s="18" t="inlineStr">
        <is>
          <t>Servicios Logísticos del Sur</t>
        </is>
      </c>
      <c r="C7" s="29" t="n">
        <v>45971</v>
      </c>
      <c r="D7" s="29" t="n">
        <v>45971</v>
      </c>
      <c r="E7" s="29" t="n">
        <v>46001</v>
      </c>
      <c r="F7" s="20" t="n">
        <v>4000</v>
      </c>
      <c r="G7" s="18" t="inlineStr">
        <is>
          <t>No</t>
        </is>
      </c>
      <c r="H7" s="18" t="inlineStr">
        <is>
          <t>USD</t>
        </is>
      </c>
      <c r="I7" s="30">
        <f>'02_Parametros'!$B$5-E7</f>
        <v/>
      </c>
      <c r="J7" s="18">
        <f>IF(I7&lt;=0,"Corriente / por vencer",IF(I7&lt;=30,"1 a 30 días",IF(I7&lt;=60,"31 a 60 días",IF(I7&lt;=90,"61 a 90 días",IF(I7&lt;=180,"91 a 180 días",IF(I7&lt;=360,"181 a 360 días","Más de 360 días"))))))</f>
        <v/>
      </c>
      <c r="K7" s="30">
        <f>E7-C7</f>
        <v/>
      </c>
      <c r="L7" s="18">
        <f>IF(AND(F7&gt;0,K7&gt;'02_Parametros'!$B$8*365/12),"Sí","No")</f>
        <v/>
      </c>
      <c r="M7" s="20">
        <f>IF(AND(L7="Sí",'02_Parametros'!$B$7&lt;&gt;""),F7/(1+'02_Parametros'!$B$7/100)^(K7/365)*(1+'02_Parametros'!$B$7/100)^(MIN(MAX('02_Parametros'!$B$5-C7,0),K7)/365),F7)</f>
        <v/>
      </c>
      <c r="N7" s="20">
        <f>IF(AND(L7="Sí",'02_Parametros'!$B$7=""),"",F7-M7)</f>
        <v/>
      </c>
      <c r="O7" s="30">
        <f>MAX(E7-'02_Parametros'!$B$5,0)</f>
        <v/>
      </c>
      <c r="P7" s="18">
        <f>IF(AND(F7&gt;0,O7&gt;IF(S7="No",12*365/12,MAX(12,'02_Parametros'!$B$9)*365/12)),"Sí","No")</f>
        <v/>
      </c>
      <c r="Q7" s="20">
        <f>IF(P7="Sí",M7,0)</f>
        <v/>
      </c>
      <c r="R7" s="20">
        <f>IF(F7&lt;0,-F7,0)</f>
        <v/>
      </c>
      <c r="S7" s="18" t="inlineStr">
        <is>
          <t>Sí</t>
        </is>
      </c>
    </row>
    <row r="8">
      <c r="A8" s="19" t="inlineStr">
        <is>
          <t>P-004</t>
        </is>
      </c>
      <c r="B8" s="19" t="inlineStr">
        <is>
          <t>Químicos Unidos S.A.</t>
        </is>
      </c>
      <c r="C8" s="31" t="n">
        <v>45915</v>
      </c>
      <c r="D8" s="33" t="n"/>
      <c r="E8" s="31" t="n">
        <v>45945</v>
      </c>
      <c r="F8" s="21" t="n">
        <v>3000</v>
      </c>
      <c r="G8" s="19" t="inlineStr">
        <is>
          <t>No</t>
        </is>
      </c>
      <c r="H8" s="19" t="inlineStr">
        <is>
          <t>USD</t>
        </is>
      </c>
      <c r="I8" s="32">
        <f>'02_Parametros'!$B$5-E8</f>
        <v/>
      </c>
      <c r="J8" s="19">
        <f>IF(I8&lt;=0,"Corriente / por vencer",IF(I8&lt;=30,"1 a 30 días",IF(I8&lt;=60,"31 a 60 días",IF(I8&lt;=90,"61 a 90 días",IF(I8&lt;=180,"91 a 180 días",IF(I8&lt;=360,"181 a 360 días","Más de 360 días"))))))</f>
        <v/>
      </c>
      <c r="K8" s="32">
        <f>E8-C8</f>
        <v/>
      </c>
      <c r="L8" s="19">
        <f>IF(AND(F8&gt;0,K8&gt;'02_Parametros'!$B$8*365/12),"Sí","No")</f>
        <v/>
      </c>
      <c r="M8" s="21">
        <f>IF(AND(L8="Sí",'02_Parametros'!$B$7&lt;&gt;""),F8/(1+'02_Parametros'!$B$7/100)^(K8/365)*(1+'02_Parametros'!$B$7/100)^(MIN(MAX('02_Parametros'!$B$5-C8,0),K8)/365),F8)</f>
        <v/>
      </c>
      <c r="N8" s="21">
        <f>IF(AND(L8="Sí",'02_Parametros'!$B$7=""),"",F8-M8)</f>
        <v/>
      </c>
      <c r="O8" s="32">
        <f>MAX(E8-'02_Parametros'!$B$5,0)</f>
        <v/>
      </c>
      <c r="P8" s="19">
        <f>IF(AND(F8&gt;0,O8&gt;IF(S8="No",12*365/12,MAX(12,'02_Parametros'!$B$9)*365/12)),"Sí","No")</f>
        <v/>
      </c>
      <c r="Q8" s="21">
        <f>IF(P8="Sí",M8,0)</f>
        <v/>
      </c>
      <c r="R8" s="21">
        <f>IF(F8&lt;0,-F8,0)</f>
        <v/>
      </c>
      <c r="S8" s="19" t="inlineStr">
        <is>
          <t>Sí</t>
        </is>
      </c>
    </row>
    <row r="9">
      <c r="A9" s="18" t="inlineStr">
        <is>
          <t>P-005</t>
        </is>
      </c>
      <c r="B9" s="18" t="inlineStr">
        <is>
          <t>Maquinarias Industriales S.A.</t>
        </is>
      </c>
      <c r="C9" s="29" t="n">
        <v>45839</v>
      </c>
      <c r="D9" s="29" t="n">
        <v>45839</v>
      </c>
      <c r="E9" s="29" t="n">
        <v>46569</v>
      </c>
      <c r="F9" s="20" t="n">
        <v>24200</v>
      </c>
      <c r="G9" s="18" t="inlineStr">
        <is>
          <t>No</t>
        </is>
      </c>
      <c r="H9" s="18" t="inlineStr">
        <is>
          <t>USD</t>
        </is>
      </c>
      <c r="I9" s="30">
        <f>'02_Parametros'!$B$5-E9</f>
        <v/>
      </c>
      <c r="J9" s="18">
        <f>IF(I9&lt;=0,"Corriente / por vencer",IF(I9&lt;=30,"1 a 30 días",IF(I9&lt;=60,"31 a 60 días",IF(I9&lt;=90,"61 a 90 días",IF(I9&lt;=180,"91 a 180 días",IF(I9&lt;=360,"181 a 360 días","Más de 360 días"))))))</f>
        <v/>
      </c>
      <c r="K9" s="30">
        <f>E9-C9</f>
        <v/>
      </c>
      <c r="L9" s="18">
        <f>IF(AND(F9&gt;0,K9&gt;'02_Parametros'!$B$8*365/12),"Sí","No")</f>
        <v/>
      </c>
      <c r="M9" s="20">
        <f>IF(AND(L9="Sí",'02_Parametros'!$B$7&lt;&gt;""),F9/(1+'02_Parametros'!$B$7/100)^(K9/365)*(1+'02_Parametros'!$B$7/100)^(MIN(MAX('02_Parametros'!$B$5-C9,0),K9)/365),F9)</f>
        <v/>
      </c>
      <c r="N9" s="20">
        <f>IF(AND(L9="Sí",'02_Parametros'!$B$7=""),"",F9-M9)</f>
        <v/>
      </c>
      <c r="O9" s="30">
        <f>MAX(E9-'02_Parametros'!$B$5,0)</f>
        <v/>
      </c>
      <c r="P9" s="18">
        <f>IF(AND(F9&gt;0,O9&gt;IF(S9="No",12*365/12,MAX(12,'02_Parametros'!$B$9)*365/12)),"Sí","No")</f>
        <v/>
      </c>
      <c r="Q9" s="20">
        <f>IF(P9="Sí",M9,0)</f>
        <v/>
      </c>
      <c r="R9" s="20">
        <f>IF(F9&lt;0,-F9,0)</f>
        <v/>
      </c>
      <c r="S9" s="18" t="inlineStr">
        <is>
          <t>No</t>
        </is>
      </c>
    </row>
    <row r="10">
      <c r="A10" s="19" t="inlineStr">
        <is>
          <t>P-006</t>
        </is>
      </c>
      <c r="B10" s="19" t="inlineStr">
        <is>
          <t>Holding Andes S.A.</t>
        </is>
      </c>
      <c r="C10" s="31" t="n">
        <v>45838</v>
      </c>
      <c r="D10" s="33" t="n"/>
      <c r="E10" s="31" t="n">
        <v>46203</v>
      </c>
      <c r="F10" s="21" t="n">
        <v>10000</v>
      </c>
      <c r="G10" s="19" t="inlineStr">
        <is>
          <t>Sí</t>
        </is>
      </c>
      <c r="H10" s="19" t="inlineStr">
        <is>
          <t>USD</t>
        </is>
      </c>
      <c r="I10" s="32">
        <f>'02_Parametros'!$B$5-E10</f>
        <v/>
      </c>
      <c r="J10" s="19">
        <f>IF(I10&lt;=0,"Corriente / por vencer",IF(I10&lt;=30,"1 a 30 días",IF(I10&lt;=60,"31 a 60 días",IF(I10&lt;=90,"61 a 90 días",IF(I10&lt;=180,"91 a 180 días",IF(I10&lt;=360,"181 a 360 días","Más de 360 días"))))))</f>
        <v/>
      </c>
      <c r="K10" s="32">
        <f>E10-C10</f>
        <v/>
      </c>
      <c r="L10" s="19">
        <f>IF(AND(F10&gt;0,K10&gt;'02_Parametros'!$B$8*365/12),"Sí","No")</f>
        <v/>
      </c>
      <c r="M10" s="21">
        <f>IF(AND(L10="Sí",'02_Parametros'!$B$7&lt;&gt;""),F10/(1+'02_Parametros'!$B$7/100)^(K10/365)*(1+'02_Parametros'!$B$7/100)^(MIN(MAX('02_Parametros'!$B$5-C10,0),K10)/365),F10)</f>
        <v/>
      </c>
      <c r="N10" s="21">
        <f>IF(AND(L10="Sí",'02_Parametros'!$B$7=""),"",F10-M10)</f>
        <v/>
      </c>
      <c r="O10" s="32">
        <f>MAX(E10-'02_Parametros'!$B$5,0)</f>
        <v/>
      </c>
      <c r="P10" s="19">
        <f>IF(AND(F10&gt;0,O10&gt;IF(S10="No",12*365/12,MAX(12,'02_Parametros'!$B$9)*365/12)),"Sí","No")</f>
        <v/>
      </c>
      <c r="Q10" s="21">
        <f>IF(P10="Sí",M10,0)</f>
        <v/>
      </c>
      <c r="R10" s="21">
        <f>IF(F10&lt;0,-F10,0)</f>
        <v/>
      </c>
      <c r="S10" s="19" t="n"/>
    </row>
    <row r="11">
      <c r="A11" s="18" t="inlineStr">
        <is>
          <t>P-007</t>
        </is>
      </c>
      <c r="B11" s="18" t="inlineStr">
        <is>
          <t>Transportes Rápidos</t>
        </is>
      </c>
      <c r="C11" s="29" t="n">
        <v>46011</v>
      </c>
      <c r="D11" s="34" t="n"/>
      <c r="E11" s="29" t="n">
        <v>46041</v>
      </c>
      <c r="F11" s="20" t="n">
        <v>-1800</v>
      </c>
      <c r="G11" s="18" t="inlineStr">
        <is>
          <t>No</t>
        </is>
      </c>
      <c r="H11" s="18" t="inlineStr">
        <is>
          <t>USD</t>
        </is>
      </c>
      <c r="I11" s="30">
        <f>'02_Parametros'!$B$5-E11</f>
        <v/>
      </c>
      <c r="J11" s="18">
        <f>IF(I11&lt;=0,"Corriente / por vencer",IF(I11&lt;=30,"1 a 30 días",IF(I11&lt;=60,"31 a 60 días",IF(I11&lt;=90,"61 a 90 días",IF(I11&lt;=180,"91 a 180 días",IF(I11&lt;=360,"181 a 360 días","Más de 360 días"))))))</f>
        <v/>
      </c>
      <c r="K11" s="30">
        <f>E11-C11</f>
        <v/>
      </c>
      <c r="L11" s="18">
        <f>IF(AND(F11&gt;0,K11&gt;'02_Parametros'!$B$8*365/12),"Sí","No")</f>
        <v/>
      </c>
      <c r="M11" s="20">
        <f>IF(AND(L11="Sí",'02_Parametros'!$B$7&lt;&gt;""),F11/(1+'02_Parametros'!$B$7/100)^(K11/365)*(1+'02_Parametros'!$B$7/100)^(MIN(MAX('02_Parametros'!$B$5-C11,0),K11)/365),F11)</f>
        <v/>
      </c>
      <c r="N11" s="20">
        <f>IF(AND(L11="Sí",'02_Parametros'!$B$7=""),"",F11-M11)</f>
        <v/>
      </c>
      <c r="O11" s="30">
        <f>MAX(E11-'02_Parametros'!$B$5,0)</f>
        <v/>
      </c>
      <c r="P11" s="18">
        <f>IF(AND(F11&gt;0,O11&gt;IF(S11="No",12*365/12,MAX(12,'02_Parametros'!$B$9)*365/12)),"Sí","No")</f>
        <v/>
      </c>
      <c r="Q11" s="20">
        <f>IF(P11="Sí",M11,0)</f>
        <v/>
      </c>
      <c r="R11" s="20">
        <f>IF(F11&lt;0,-F11,0)</f>
        <v/>
      </c>
      <c r="S11" s="18" t="n"/>
    </row>
    <row r="12">
      <c r="A12" s="19" t="inlineStr">
        <is>
          <t>P-008</t>
        </is>
      </c>
      <c r="B12" s="19" t="inlineStr">
        <is>
          <t>Empaques Sierra</t>
        </is>
      </c>
      <c r="C12" s="31" t="n">
        <v>45779</v>
      </c>
      <c r="D12" s="33" t="n"/>
      <c r="E12" s="31" t="n">
        <v>45809</v>
      </c>
      <c r="F12" s="21" t="n">
        <v>2500</v>
      </c>
      <c r="G12" s="19" t="inlineStr">
        <is>
          <t>No</t>
        </is>
      </c>
      <c r="H12" s="19" t="inlineStr">
        <is>
          <t>USD</t>
        </is>
      </c>
      <c r="I12" s="32">
        <f>'02_Parametros'!$B$5-E12</f>
        <v/>
      </c>
      <c r="J12" s="19">
        <f>IF(I12&lt;=0,"Corriente / por vencer",IF(I12&lt;=30,"1 a 30 días",IF(I12&lt;=60,"31 a 60 días",IF(I12&lt;=90,"61 a 90 días",IF(I12&lt;=180,"91 a 180 días",IF(I12&lt;=360,"181 a 360 días","Más de 360 días"))))))</f>
        <v/>
      </c>
      <c r="K12" s="32">
        <f>E12-C12</f>
        <v/>
      </c>
      <c r="L12" s="19">
        <f>IF(AND(F12&gt;0,K12&gt;'02_Parametros'!$B$8*365/12),"Sí","No")</f>
        <v/>
      </c>
      <c r="M12" s="21">
        <f>IF(AND(L12="Sí",'02_Parametros'!$B$7&lt;&gt;""),F12/(1+'02_Parametros'!$B$7/100)^(K12/365)*(1+'02_Parametros'!$B$7/100)^(MIN(MAX('02_Parametros'!$B$5-C12,0),K12)/365),F12)</f>
        <v/>
      </c>
      <c r="N12" s="21">
        <f>IF(AND(L12="Sí",'02_Parametros'!$B$7=""),"",F12-M12)</f>
        <v/>
      </c>
      <c r="O12" s="32">
        <f>MAX(E12-'02_Parametros'!$B$5,0)</f>
        <v/>
      </c>
      <c r="P12" s="19">
        <f>IF(AND(F12&gt;0,O12&gt;IF(S12="No",12*365/12,MAX(12,'02_Parametros'!$B$9)*365/12)),"Sí","No")</f>
        <v/>
      </c>
      <c r="Q12" s="21">
        <f>IF(P12="Sí",M12,0)</f>
        <v/>
      </c>
      <c r="R12" s="21">
        <f>IF(F12&lt;0,-F12,0)</f>
        <v/>
      </c>
      <c r="S12" s="19" t="n"/>
    </row>
    <row r="13">
      <c r="A13" s="18" t="inlineStr">
        <is>
          <t>P-009</t>
        </is>
      </c>
      <c r="B13" s="18" t="inlineStr">
        <is>
          <t>Importadora Global GmbH</t>
        </is>
      </c>
      <c r="C13" s="29" t="n">
        <v>45992</v>
      </c>
      <c r="D13" s="34" t="n"/>
      <c r="E13" s="29" t="n">
        <v>46052</v>
      </c>
      <c r="F13" s="20" t="n">
        <v>9000</v>
      </c>
      <c r="G13" s="18" t="inlineStr">
        <is>
          <t>No</t>
        </is>
      </c>
      <c r="H13" s="18" t="inlineStr">
        <is>
          <t>EUR</t>
        </is>
      </c>
      <c r="I13" s="30">
        <f>'02_Parametros'!$B$5-E13</f>
        <v/>
      </c>
      <c r="J13" s="18">
        <f>IF(I13&lt;=0,"Corriente / por vencer",IF(I13&lt;=30,"1 a 30 días",IF(I13&lt;=60,"31 a 60 días",IF(I13&lt;=90,"61 a 90 días",IF(I13&lt;=180,"91 a 180 días",IF(I13&lt;=360,"181 a 360 días","Más de 360 días"))))))</f>
        <v/>
      </c>
      <c r="K13" s="30">
        <f>E13-C13</f>
        <v/>
      </c>
      <c r="L13" s="18">
        <f>IF(AND(F13&gt;0,K13&gt;'02_Parametros'!$B$8*365/12),"Sí","No")</f>
        <v/>
      </c>
      <c r="M13" s="20">
        <f>IF(AND(L13="Sí",'02_Parametros'!$B$7&lt;&gt;""),F13/(1+'02_Parametros'!$B$7/100)^(K13/365)*(1+'02_Parametros'!$B$7/100)^(MIN(MAX('02_Parametros'!$B$5-C13,0),K13)/365),F13)</f>
        <v/>
      </c>
      <c r="N13" s="20">
        <f>IF(AND(L13="Sí",'02_Parametros'!$B$7=""),"",F13-M13)</f>
        <v/>
      </c>
      <c r="O13" s="30">
        <f>MAX(E13-'02_Parametros'!$B$5,0)</f>
        <v/>
      </c>
      <c r="P13" s="18">
        <f>IF(AND(F13&gt;0,O13&gt;IF(S13="No",12*365/12,MAX(12,'02_Parametros'!$B$9)*365/12)),"Sí","No")</f>
        <v/>
      </c>
      <c r="Q13" s="20">
        <f>IF(P13="Sí",M13,0)</f>
        <v/>
      </c>
      <c r="R13" s="20">
        <f>IF(F13&lt;0,-F13,0)</f>
        <v/>
      </c>
      <c r="S13" s="18" t="n"/>
    </row>
    <row r="14">
      <c r="A14" s="19" t="inlineStr">
        <is>
          <t>P-010</t>
        </is>
      </c>
      <c r="B14" s="19" t="inlineStr">
        <is>
          <t>Empresa Eléctrica</t>
        </is>
      </c>
      <c r="C14" s="31" t="n">
        <v>46006</v>
      </c>
      <c r="D14" s="31" t="n">
        <v>45991</v>
      </c>
      <c r="E14" s="31" t="n">
        <v>46036</v>
      </c>
      <c r="F14" s="21" t="n">
        <v>1300</v>
      </c>
      <c r="G14" s="19" t="inlineStr">
        <is>
          <t>No</t>
        </is>
      </c>
      <c r="H14" s="19" t="inlineStr">
        <is>
          <t>USD</t>
        </is>
      </c>
      <c r="I14" s="32">
        <f>'02_Parametros'!$B$5-E14</f>
        <v/>
      </c>
      <c r="J14" s="19">
        <f>IF(I14&lt;=0,"Corriente / por vencer",IF(I14&lt;=30,"1 a 30 días",IF(I14&lt;=60,"31 a 60 días",IF(I14&lt;=90,"61 a 90 días",IF(I14&lt;=180,"91 a 180 días",IF(I14&lt;=360,"181 a 360 días","Más de 360 días"))))))</f>
        <v/>
      </c>
      <c r="K14" s="32">
        <f>E14-C14</f>
        <v/>
      </c>
      <c r="L14" s="19">
        <f>IF(AND(F14&gt;0,K14&gt;'02_Parametros'!$B$8*365/12),"Sí","No")</f>
        <v/>
      </c>
      <c r="M14" s="21">
        <f>IF(AND(L14="Sí",'02_Parametros'!$B$7&lt;&gt;""),F14/(1+'02_Parametros'!$B$7/100)^(K14/365)*(1+'02_Parametros'!$B$7/100)^(MIN(MAX('02_Parametros'!$B$5-C14,0),K14)/365),F14)</f>
        <v/>
      </c>
      <c r="N14" s="21">
        <f>IF(AND(L14="Sí",'02_Parametros'!$B$7=""),"",F14-M14)</f>
        <v/>
      </c>
      <c r="O14" s="32">
        <f>MAX(E14-'02_Parametros'!$B$5,0)</f>
        <v/>
      </c>
      <c r="P14" s="19">
        <f>IF(AND(F14&gt;0,O14&gt;IF(S14="No",12*365/12,MAX(12,'02_Parametros'!$B$9)*365/12)),"Sí","No")</f>
        <v/>
      </c>
      <c r="Q14" s="21">
        <f>IF(P14="Sí",M14,0)</f>
        <v/>
      </c>
      <c r="R14" s="21">
        <f>IF(F14&lt;0,-F14,0)</f>
        <v/>
      </c>
      <c r="S14" s="19" t="n"/>
    </row>
    <row r="15">
      <c r="A15" s="18" t="inlineStr">
        <is>
          <t>P-011</t>
        </is>
      </c>
      <c r="B15" s="18" t="inlineStr">
        <is>
          <t>Asesores Legales Asociados</t>
        </is>
      </c>
      <c r="C15" s="29" t="n">
        <v>45566</v>
      </c>
      <c r="D15" s="34" t="n"/>
      <c r="E15" s="29" t="n">
        <v>45596</v>
      </c>
      <c r="F15" s="20" t="n">
        <v>600</v>
      </c>
      <c r="G15" s="18" t="inlineStr">
        <is>
          <t>No</t>
        </is>
      </c>
      <c r="H15" s="18" t="inlineStr">
        <is>
          <t>USD</t>
        </is>
      </c>
      <c r="I15" s="30">
        <f>'02_Parametros'!$B$5-E15</f>
        <v/>
      </c>
      <c r="J15" s="18">
        <f>IF(I15&lt;=0,"Corriente / por vencer",IF(I15&lt;=30,"1 a 30 días",IF(I15&lt;=60,"31 a 60 días",IF(I15&lt;=90,"61 a 90 días",IF(I15&lt;=180,"91 a 180 días",IF(I15&lt;=360,"181 a 360 días","Más de 360 días"))))))</f>
        <v/>
      </c>
      <c r="K15" s="30">
        <f>E15-C15</f>
        <v/>
      </c>
      <c r="L15" s="18">
        <f>IF(AND(F15&gt;0,K15&gt;'02_Parametros'!$B$8*365/12),"Sí","No")</f>
        <v/>
      </c>
      <c r="M15" s="20">
        <f>IF(AND(L15="Sí",'02_Parametros'!$B$7&lt;&gt;""),F15/(1+'02_Parametros'!$B$7/100)^(K15/365)*(1+'02_Parametros'!$B$7/100)^(MIN(MAX('02_Parametros'!$B$5-C15,0),K15)/365),F15)</f>
        <v/>
      </c>
      <c r="N15" s="20">
        <f>IF(AND(L15="Sí",'02_Parametros'!$B$7=""),"",F15-M15)</f>
        <v/>
      </c>
      <c r="O15" s="30">
        <f>MAX(E15-'02_Parametros'!$B$5,0)</f>
        <v/>
      </c>
      <c r="P15" s="18">
        <f>IF(AND(F15&gt;0,O15&gt;IF(S15="No",12*365/12,MAX(12,'02_Parametros'!$B$9)*365/12)),"Sí","No")</f>
        <v/>
      </c>
      <c r="Q15" s="20">
        <f>IF(P15="Sí",M15,0)</f>
        <v/>
      </c>
      <c r="R15" s="20">
        <f>IF(F15&lt;0,-F15,0)</f>
        <v/>
      </c>
      <c r="S15" s="18" t="n"/>
    </row>
    <row r="16">
      <c r="A16" s="19" t="inlineStr">
        <is>
          <t>P-012</t>
        </is>
      </c>
      <c r="B16" s="19" t="inlineStr">
        <is>
          <t>Mantenimiento Técnico</t>
        </is>
      </c>
      <c r="C16" s="31" t="n">
        <v>46022</v>
      </c>
      <c r="D16" s="31" t="n">
        <v>46022</v>
      </c>
      <c r="E16" s="31" t="n">
        <v>46067</v>
      </c>
      <c r="F16" s="21" t="n">
        <v>5500</v>
      </c>
      <c r="G16" s="19" t="inlineStr">
        <is>
          <t>No</t>
        </is>
      </c>
      <c r="H16" s="19" t="inlineStr">
        <is>
          <t>USD</t>
        </is>
      </c>
      <c r="I16" s="32">
        <f>'02_Parametros'!$B$5-E16</f>
        <v/>
      </c>
      <c r="J16" s="19">
        <f>IF(I16&lt;=0,"Corriente / por vencer",IF(I16&lt;=30,"1 a 30 días",IF(I16&lt;=60,"31 a 60 días",IF(I16&lt;=90,"61 a 90 días",IF(I16&lt;=180,"91 a 180 días",IF(I16&lt;=360,"181 a 360 días","Más de 360 días"))))))</f>
        <v/>
      </c>
      <c r="K16" s="32">
        <f>E16-C16</f>
        <v/>
      </c>
      <c r="L16" s="19">
        <f>IF(AND(F16&gt;0,K16&gt;'02_Parametros'!$B$8*365/12),"Sí","No")</f>
        <v/>
      </c>
      <c r="M16" s="21">
        <f>IF(AND(L16="Sí",'02_Parametros'!$B$7&lt;&gt;""),F16/(1+'02_Parametros'!$B$7/100)^(K16/365)*(1+'02_Parametros'!$B$7/100)^(MIN(MAX('02_Parametros'!$B$5-C16,0),K16)/365),F16)</f>
        <v/>
      </c>
      <c r="N16" s="21">
        <f>IF(AND(L16="Sí",'02_Parametros'!$B$7=""),"",F16-M16)</f>
        <v/>
      </c>
      <c r="O16" s="32">
        <f>MAX(E16-'02_Parametros'!$B$5,0)</f>
        <v/>
      </c>
      <c r="P16" s="19">
        <f>IF(AND(F16&gt;0,O16&gt;IF(S16="No",12*365/12,MAX(12,'02_Parametros'!$B$9)*365/12)),"Sí","No")</f>
        <v/>
      </c>
      <c r="Q16" s="21">
        <f>IF(P16="Sí",M16,0)</f>
        <v/>
      </c>
      <c r="R16" s="21">
        <f>IF(F16&lt;0,-F16,0)</f>
        <v/>
      </c>
      <c r="S16" s="19" t="n"/>
    </row>
    <row r="17">
      <c r="A17" s="35" t="inlineStr">
        <is>
          <t>TOTAL</t>
        </is>
      </c>
      <c r="B17" s="35" t="inlineStr"/>
      <c r="C17" s="36" t="inlineStr"/>
      <c r="D17" s="36" t="inlineStr"/>
      <c r="E17" s="36" t="inlineStr"/>
      <c r="F17" s="37">
        <f>SUM(F5:F16)</f>
        <v/>
      </c>
      <c r="G17" s="35" t="inlineStr"/>
      <c r="H17" s="35" t="inlineStr"/>
      <c r="I17" s="38" t="n"/>
      <c r="J17" s="35" t="inlineStr"/>
      <c r="K17" s="38" t="n"/>
      <c r="L17" s="35" t="inlineStr"/>
      <c r="M17" s="37">
        <f>SUM(M5:M16)</f>
        <v/>
      </c>
      <c r="N17" s="37">
        <f>SUM(N5:N16)</f>
        <v/>
      </c>
      <c r="O17" s="38" t="n"/>
      <c r="P17" s="35" t="inlineStr"/>
      <c r="Q17" s="37">
        <f>SUM(Q5:Q16)</f>
        <v/>
      </c>
      <c r="R17" s="37">
        <f>SUM(R5:R16)</f>
        <v/>
      </c>
      <c r="S17" s="35" t="inlineStr"/>
    </row>
    <row r="19">
      <c r="A19" s="22" t="inlineStr">
        <is>
          <t>ⓘ  Cómo se calcula esta hoja</t>
        </is>
      </c>
    </row>
    <row r="20">
      <c r="A20" s="23" t="inlineStr">
        <is>
          <t>Columna</t>
        </is>
      </c>
      <c r="B20" s="23" t="inlineStr">
        <is>
          <t>Fórmula (Excel)</t>
        </is>
      </c>
      <c r="C20" s="23" t="inlineStr">
        <is>
          <t>Cómo se calcula (sencillo)</t>
        </is>
      </c>
      <c r="D20" s="23" t="inlineStr">
        <is>
          <t>Ejemplo con números reales</t>
        </is>
      </c>
      <c r="E20" s="23" t="inlineStr">
        <is>
          <t>De dónde viene</t>
        </is>
      </c>
      <c r="F20" s="23" t="inlineStr">
        <is>
          <t>Norma</t>
        </is>
      </c>
    </row>
    <row r="21">
      <c r="A21" s="24" t="inlineStr">
        <is>
          <t>Días desde vencimiento</t>
        </is>
      </c>
      <c r="B21" s="25" t="inlineStr">
        <is>
          <t>'='02_Parametros'!$B$5-E5</t>
        </is>
      </c>
      <c r="C21" s="24" t="inlineStr">
        <is>
          <t>Resta la fecha de vencimiento de la fecha de corte (hoja 02): días que el documento lleva vencido. Si es negativo, todavía no vence.</t>
        </is>
      </c>
      <c r="D21" s="24" t="inlineStr">
        <is>
          <t>Fila 1: «2025-12-31»-«2026-01-04» → -4</t>
        </is>
      </c>
      <c r="E21" s="24" t="inlineStr">
        <is>
          <t>«Vencimiento» (esta hoja), hoja «Parámetros»</t>
        </is>
      </c>
      <c r="F21" s="24" t="inlineStr">
        <is>
          <t>—</t>
        </is>
      </c>
    </row>
    <row r="22">
      <c r="A22" s="24" t="inlineStr">
        <is>
          <t>Tramo</t>
        </is>
      </c>
      <c r="B22" s="25" t="inlineStr">
        <is>
          <t>'=IF(I5&lt;=0,"Corriente / por vencer",IF(I5&lt;=30,"1 a 30 días",IF(I5&lt;=60,"31 a 60 días",IF(I5&lt;=90,"61 a 90 días",IF(I5&lt;=180,"91 a 180 días",IF(I5&lt;=360,"181 a 360 días","Más de 360 días"))))))</t>
        </is>
      </c>
      <c r="C22" s="24" t="inlineStr">
        <is>
          <t>Ubica los días desde el vencimiento en su tramo de antigüedad: cero o menos es «Corriente / por vencer»; luego 1 a 30, 31 a 60, 61 a 90, 91 a 180, 181 a 360 y más de 360 días.</t>
        </is>
      </c>
      <c r="D22" s="24" t="inlineStr">
        <is>
          <t>Fila 1: IF(-4&lt;=0; "Corriente / por vencer"; IF(-4&lt;=30; "1 a 30 días"; IF(-4&lt;=60; "31 a 60 días"; IF(-4&lt;=90; "61 a 90 días"; IF(-4&lt;=180; "91 a 180 días"; IF(-4&lt;=360; "181 a 360 días"; "Más de 360 días")))))) → Corriente / por vencer</t>
        </is>
      </c>
      <c r="E22" s="24" t="inlineStr">
        <is>
          <t>«Días desde vencimiento» (esta hoja)</t>
        </is>
      </c>
      <c r="F22" s="24" t="inlineStr">
        <is>
          <t>—</t>
        </is>
      </c>
    </row>
    <row r="23">
      <c r="A23" s="24" t="inlineStr">
        <is>
          <t>Plazo de pago (días)</t>
        </is>
      </c>
      <c r="B23" s="25" t="inlineStr">
        <is>
          <t>'=E5-C5</t>
        </is>
      </c>
      <c r="C23" s="24" t="inlineStr">
        <is>
          <t>Resta la fecha de la factura de la fecha de vencimiento: es el plazo de crédito que dio el proveedor, en días.</t>
        </is>
      </c>
      <c r="D23" s="24" t="inlineStr">
        <is>
          <t>Fila 1: «2026-01-04»-«2025-12-05» → 30</t>
        </is>
      </c>
      <c r="E23" s="24" t="inlineStr">
        <is>
          <t>«Vencimiento» (esta hoja), «Fecha factura» (esta hoja)</t>
        </is>
      </c>
      <c r="F23" s="24" t="inlineStr">
        <is>
          <t>—</t>
        </is>
      </c>
    </row>
    <row r="24">
      <c r="A24" s="24" t="inlineStr">
        <is>
          <t>Financiación implícita</t>
        </is>
      </c>
      <c r="B24" s="25" t="inlineStr">
        <is>
          <t>'=IF(AND(F5&gt;0,K5&gt;'02_Parametros'!$B$8*365/12),"Sí","No")</t>
        </is>
      </c>
      <c r="C24" s="24" t="inlineStr">
        <is>
          <t>«Sí» cuando el saldo es positivo y el plazo de pago supera el plazo que se considera financiación (meses de la hoja 02 convertidos a días); en otro caso, «No».</t>
        </is>
      </c>
      <c r="D24" s="24" t="inlineStr">
        <is>
          <t>Fila 1: IF(AND(15.000,00&gt;0; 30&gt;12,00*365/12); "Sí"; "No") → No</t>
        </is>
      </c>
      <c r="E24" s="24" t="inlineStr">
        <is>
          <t>«Saldo» (esta hoja), «Plazo de pago (días)» (esta hoja), hoja «Parámetros»</t>
        </is>
      </c>
      <c r="F24" s="24" t="inlineStr">
        <is>
          <t>—</t>
        </is>
      </c>
    </row>
    <row r="25">
      <c r="A25" s="24" t="inlineStr">
        <is>
          <t>Costo amortizado</t>
        </is>
      </c>
      <c r="B25" s="25" t="inlineStr">
        <is>
          <t>'=IF(AND(L5="Sí",'02_Parametros'!$B$7&lt;&gt;""),F5/(1+'02_Parametros'!$B$7/100)^(K5/365)*(1+'02_Parametros'!$B$7/100)^(MIN(MAX('02_Parametros'!$B$5-C5,0),K5)/365),F5)</t>
        </is>
      </c>
      <c r="C25" s="24" t="inlineStr">
        <is>
          <t>Si hay financiación implícita y tasa de mercado (hoja 02), descuenta el saldo a esa tasa por todo el plazo y lo hace crecer por los días ya transcurridos hasta el corte; si no, deja el saldo nominal.</t>
        </is>
      </c>
      <c r="D25" s="24" t="inlineStr">
        <is>
          <t>Fila 1: IF(AND(«No»="Sí"; 10,00&lt;&gt;""); 15.000,00/(1+10,00/100)^(30/365)*(1+10,00/100)^(MIN(MAX(«2025-12-31»-«2025-12-05»; 0); 30)/365); 15.000,00) → 15.000,00</t>
        </is>
      </c>
      <c r="E25" s="24" t="inlineStr">
        <is>
          <t>«Financiación implícita» (esta hoja), «Saldo» (esta hoja), «Plazo de pago (días)» (esta hoja), «Fecha factura» (esta hoja), hoja «Parámetros»</t>
        </is>
      </c>
      <c r="F25" s="24" t="inlineStr">
        <is>
          <t>—</t>
        </is>
      </c>
    </row>
    <row r="26">
      <c r="A26" s="24" t="inlineStr">
        <is>
          <t>Interés implícito por devengar</t>
        </is>
      </c>
      <c r="B26" s="25" t="inlineStr">
        <is>
          <t>'=IF(AND(L5="Sí",'02_Parametros'!$B$7=""),"",F5-M5)</t>
        </is>
      </c>
      <c r="C26" s="24" t="inlineStr">
        <is>
          <t>Resta el costo amortizado del saldo nominal: interés implícito que aún no se devenga. En blanco si hay financiación pero falta la tasa de mercado; cero si no hay financiación.</t>
        </is>
      </c>
      <c r="D26" s="24" t="inlineStr">
        <is>
          <t>Fila 1: IF(AND(«No»="Sí"; 10,00=""); ""; 15.000,00-15.000,00) → 0,00</t>
        </is>
      </c>
      <c r="E26" s="24" t="inlineStr">
        <is>
          <t>«Financiación implícita» (esta hoja), «Saldo» (esta hoja), «Costo amortizado» (esta hoja), hoja «Parámetros»</t>
        </is>
      </c>
      <c r="F26" s="24" t="inlineStr">
        <is>
          <t>—</t>
        </is>
      </c>
    </row>
    <row r="27">
      <c r="A27" s="24" t="inlineStr">
        <is>
          <t>Días por vencer</t>
        </is>
      </c>
      <c r="B27" s="25" t="inlineStr">
        <is>
          <t>'=MAX(E5-'02_Parametros'!$B$5,0)</t>
        </is>
      </c>
      <c r="C27" s="24" t="inlineStr">
        <is>
          <t>Resta la fecha de corte (hoja 02) de la fecha de vencimiento; si el documento ya venció, cuenta cero.</t>
        </is>
      </c>
      <c r="D27" s="24" t="inlineStr">
        <is>
          <t>Fila 1: MAX(«2026-01-04»-«2025-12-31»; 0) → 4</t>
        </is>
      </c>
      <c r="E27" s="24" t="inlineStr">
        <is>
          <t>«Vencimiento» (esta hoja), hoja «Parámetros»</t>
        </is>
      </c>
      <c r="F27" s="24" t="inlineStr">
        <is>
          <t>—</t>
        </is>
      </c>
    </row>
    <row r="28">
      <c r="A28" s="24" t="inlineStr">
        <is>
          <t>No corriente</t>
        </is>
      </c>
      <c r="B28" s="25" t="inlineStr">
        <is>
          <t>'=IF(AND(F5&gt;0,O5&gt;IF(S5="No",12*365/12,MAX(12,'02_Parametros'!$B$9)*365/12)),"Sí","No")</t>
        </is>
      </c>
      <c r="C28" s="24" t="inlineStr">
        <is>
          <t>«Sí» cuando el saldo es positivo y los días por vencer superan el límite: 12 meses si la partida no es de explotación; si lo es o no se informó, el mayor entre 12 meses y el ciclo de operación (hoja 02).</t>
        </is>
      </c>
      <c r="D28" s="24" t="inlineStr">
        <is>
          <t>Fila 1: IF(AND(15.000,00&gt;0; 4&gt;IF(«Sí»="No"; 12*365/12; MAX(12; 12,00)*365/12)); "Sí"; "No") → No</t>
        </is>
      </c>
      <c r="E28" s="24" t="inlineStr">
        <is>
          <t>«Saldo» (esta hoja), «Días por vencer» (esta hoja), «Partida de explotación» (esta hoja), hoja «Parámetros»</t>
        </is>
      </c>
      <c r="F28" s="24" t="inlineStr">
        <is>
          <t>—</t>
        </is>
      </c>
    </row>
    <row r="29">
      <c r="A29" s="24" t="inlineStr">
        <is>
          <t>Importe no corriente</t>
        </is>
      </c>
      <c r="B29" s="25" t="inlineStr">
        <is>
          <t>'=IF(P5="Sí",M5,0)</t>
        </is>
      </c>
      <c r="C29" s="24" t="inlineStr">
        <is>
          <t>Si el documento es no corriente, toma su costo amortizado; si es corriente, cero.</t>
        </is>
      </c>
      <c r="D29" s="24" t="inlineStr">
        <is>
          <t>Fila 1: IF(«No»="Sí"; 15.000,00; 0) → 0,00</t>
        </is>
      </c>
      <c r="E29" s="24" t="inlineStr">
        <is>
          <t>«No corriente» (esta hoja), «Costo amortizado» (esta hoja)</t>
        </is>
      </c>
      <c r="F29" s="24" t="inlineStr">
        <is>
          <t>—</t>
        </is>
      </c>
    </row>
    <row r="30">
      <c r="A30" s="24" t="inlineStr">
        <is>
          <t>Saldo deudor</t>
        </is>
      </c>
      <c r="B30" s="25" t="inlineStr">
        <is>
          <t>'=IF(F5&lt;0,-F5,0)</t>
        </is>
      </c>
      <c r="C30" s="24" t="inlineStr">
        <is>
          <t>Si el saldo es negativo (un anticipo o saldo a favor), lo pasa a positivo para reclasificarlo al activo; si no, cero.</t>
        </is>
      </c>
      <c r="D30" s="24" t="inlineStr">
        <is>
          <t>Fila 1: IF(15.000,00&lt;0; -15.000,00; 0) → 0,00</t>
        </is>
      </c>
      <c r="E30" s="24" t="inlineStr">
        <is>
          <t>«Saldo» (esta hoja)</t>
        </is>
      </c>
      <c r="F30" s="24" t="inlineStr">
        <is>
          <t>—</t>
        </is>
      </c>
    </row>
  </sheetData>
  <mergeCells count="3">
    <mergeCell ref="A19:F19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22" customWidth="1" min="4" max="4"/>
    <col width="12" customWidth="1" min="5" max="5"/>
  </cols>
  <sheetData>
    <row r="1">
      <c r="A1" s="3" t="inlineStr">
        <is>
          <t>Antigüedad de proveedores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Proveedores y cuentas por pagar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Tramo</t>
        </is>
      </c>
      <c r="B4" s="17" t="inlineStr">
        <is>
          <t>Documentos</t>
        </is>
      </c>
      <c r="C4" s="17" t="inlineStr">
        <is>
          <t>Saldo</t>
        </is>
      </c>
      <c r="D4" s="17" t="inlineStr">
        <is>
          <t>% del saldo</t>
        </is>
      </c>
      <c r="E4" s="17" t="inlineStr">
        <is>
          <t>Vencido</t>
        </is>
      </c>
    </row>
    <row r="5">
      <c r="A5" s="18" t="inlineStr">
        <is>
          <t>Corriente / por vencer</t>
        </is>
      </c>
      <c r="B5" s="30">
        <f>COUNTIF('03_Detalle'!$J$5:$J$16,A5)</f>
        <v/>
      </c>
      <c r="C5" s="20">
        <f>SUMIF('03_Detalle'!$J$5:$J$16,A5,'03_Detalle'!$F$5:$F$16)</f>
        <v/>
      </c>
      <c r="D5" s="39">
        <f>IF(SUM('03_Detalle'!$F$5:$F$16)=0,"",C5/SUM('03_Detalle'!$F$5:$F$16))</f>
        <v/>
      </c>
      <c r="E5" s="18" t="inlineStr">
        <is>
          <t>No</t>
        </is>
      </c>
    </row>
    <row r="6">
      <c r="A6" s="19" t="inlineStr">
        <is>
          <t>1 a 30 días</t>
        </is>
      </c>
      <c r="B6" s="32">
        <f>COUNTIF('03_Detalle'!$J$5:$J$16,A6)</f>
        <v/>
      </c>
      <c r="C6" s="21">
        <f>SUMIF('03_Detalle'!$J$5:$J$16,A6,'03_Detalle'!$F$5:$F$16)</f>
        <v/>
      </c>
      <c r="D6" s="40">
        <f>IF(SUM('03_Detalle'!$F$5:$F$16)=0,"",C6/SUM('03_Detalle'!$F$5:$F$16))</f>
        <v/>
      </c>
      <c r="E6" s="19" t="inlineStr">
        <is>
          <t>Sí</t>
        </is>
      </c>
    </row>
    <row r="7">
      <c r="A7" s="18" t="inlineStr">
        <is>
          <t>31 a 60 días</t>
        </is>
      </c>
      <c r="B7" s="30">
        <f>COUNTIF('03_Detalle'!$J$5:$J$16,A7)</f>
        <v/>
      </c>
      <c r="C7" s="20">
        <f>SUMIF('03_Detalle'!$J$5:$J$16,A7,'03_Detalle'!$F$5:$F$16)</f>
        <v/>
      </c>
      <c r="D7" s="39">
        <f>IF(SUM('03_Detalle'!$F$5:$F$16)=0,"",C7/SUM('03_Detalle'!$F$5:$F$16))</f>
        <v/>
      </c>
      <c r="E7" s="18" t="inlineStr">
        <is>
          <t>Sí</t>
        </is>
      </c>
    </row>
    <row r="8">
      <c r="A8" s="19" t="inlineStr">
        <is>
          <t>61 a 90 días</t>
        </is>
      </c>
      <c r="B8" s="32">
        <f>COUNTIF('03_Detalle'!$J$5:$J$16,A8)</f>
        <v/>
      </c>
      <c r="C8" s="21">
        <f>SUMIF('03_Detalle'!$J$5:$J$16,A8,'03_Detalle'!$F$5:$F$16)</f>
        <v/>
      </c>
      <c r="D8" s="40">
        <f>IF(SUM('03_Detalle'!$F$5:$F$16)=0,"",C8/SUM('03_Detalle'!$F$5:$F$16))</f>
        <v/>
      </c>
      <c r="E8" s="19" t="inlineStr">
        <is>
          <t>Sí</t>
        </is>
      </c>
    </row>
    <row r="9">
      <c r="A9" s="18" t="inlineStr">
        <is>
          <t>91 a 180 días</t>
        </is>
      </c>
      <c r="B9" s="30">
        <f>COUNTIF('03_Detalle'!$J$5:$J$16,A9)</f>
        <v/>
      </c>
      <c r="C9" s="20">
        <f>SUMIF('03_Detalle'!$J$5:$J$16,A9,'03_Detalle'!$F$5:$F$16)</f>
        <v/>
      </c>
      <c r="D9" s="39">
        <f>IF(SUM('03_Detalle'!$F$5:$F$16)=0,"",C9/SUM('03_Detalle'!$F$5:$F$16))</f>
        <v/>
      </c>
      <c r="E9" s="18" t="inlineStr">
        <is>
          <t>Sí</t>
        </is>
      </c>
    </row>
    <row r="10">
      <c r="A10" s="19" t="inlineStr">
        <is>
          <t>181 a 360 días</t>
        </is>
      </c>
      <c r="B10" s="32">
        <f>COUNTIF('03_Detalle'!$J$5:$J$16,A10)</f>
        <v/>
      </c>
      <c r="C10" s="21">
        <f>SUMIF('03_Detalle'!$J$5:$J$16,A10,'03_Detalle'!$F$5:$F$16)</f>
        <v/>
      </c>
      <c r="D10" s="40">
        <f>IF(SUM('03_Detalle'!$F$5:$F$16)=0,"",C10/SUM('03_Detalle'!$F$5:$F$16))</f>
        <v/>
      </c>
      <c r="E10" s="19" t="inlineStr">
        <is>
          <t>Sí</t>
        </is>
      </c>
    </row>
    <row r="11">
      <c r="A11" s="18" t="inlineStr">
        <is>
          <t>Más de 360 días</t>
        </is>
      </c>
      <c r="B11" s="30">
        <f>COUNTIF('03_Detalle'!$J$5:$J$16,A11)</f>
        <v/>
      </c>
      <c r="C11" s="20">
        <f>SUMIF('03_Detalle'!$J$5:$J$16,A11,'03_Detalle'!$F$5:$F$16)</f>
        <v/>
      </c>
      <c r="D11" s="39">
        <f>IF(SUM('03_Detalle'!$F$5:$F$16)=0,"",C11/SUM('03_Detalle'!$F$5:$F$16))</f>
        <v/>
      </c>
      <c r="E11" s="18" t="inlineStr">
        <is>
          <t>Sí</t>
        </is>
      </c>
    </row>
    <row r="12">
      <c r="A12" s="35" t="inlineStr">
        <is>
          <t>TOTAL</t>
        </is>
      </c>
      <c r="B12" s="38">
        <f>SUM(B5:B11)</f>
        <v/>
      </c>
      <c r="C12" s="37">
        <f>SUM(C5:C11)</f>
        <v/>
      </c>
      <c r="D12" s="41" t="n"/>
      <c r="E12" s="35" t="inlineStr"/>
    </row>
    <row r="14">
      <c r="A14" s="22" t="inlineStr">
        <is>
          <t>ⓘ  Cómo se calcula esta hoja</t>
        </is>
      </c>
    </row>
    <row r="15">
      <c r="A15" s="23" t="inlineStr">
        <is>
          <t>Columna</t>
        </is>
      </c>
      <c r="B15" s="23" t="inlineStr">
        <is>
          <t>Fórmula (Excel)</t>
        </is>
      </c>
      <c r="C15" s="23" t="inlineStr">
        <is>
          <t>Cómo se calcula (sencillo)</t>
        </is>
      </c>
      <c r="D15" s="23" t="inlineStr">
        <is>
          <t>Ejemplo con números reales</t>
        </is>
      </c>
      <c r="E15" s="23" t="inlineStr">
        <is>
          <t>De dónde viene</t>
        </is>
      </c>
      <c r="F15" s="23" t="inlineStr">
        <is>
          <t>Norma</t>
        </is>
      </c>
    </row>
    <row r="16">
      <c r="A16" s="24" t="inlineStr">
        <is>
          <t>Documentos</t>
        </is>
      </c>
      <c r="B16" s="25" t="inlineStr">
        <is>
          <t>'=COUNTIF('03_Detalle'!$J$5:$J$16,A5)</t>
        </is>
      </c>
      <c r="C16" s="24" t="inlineStr">
        <is>
          <t>Cuenta cuántos documentos del detalle (hoja 03) caen en este tramo de antigüedad.</t>
        </is>
      </c>
      <c r="D16" s="24" t="inlineStr">
        <is>
          <t>Fila 1: COUNTIF([«Tramo» de «Detalle por documento», 12 filas]; «Corriente / por vencer») → 8</t>
        </is>
      </c>
      <c r="E16" s="24" t="inlineStr">
        <is>
          <t>«Tramo» (esta hoja), hoja «Detalle por documento»</t>
        </is>
      </c>
      <c r="F16" s="24" t="inlineStr">
        <is>
          <t>—</t>
        </is>
      </c>
    </row>
    <row r="17">
      <c r="A17" s="24" t="inlineStr">
        <is>
          <t>Saldo</t>
        </is>
      </c>
      <c r="B17" s="25" t="inlineStr">
        <is>
          <t>'=SUMIF('03_Detalle'!$J$5:$J$16,A5,'03_Detalle'!$F$5:$F$16)</t>
        </is>
      </c>
      <c r="C17" s="24" t="inlineStr">
        <is>
          <t>Suma el saldo por pagar de los documentos del detalle (hoja 03) que caen en este tramo de antigüedad.</t>
        </is>
      </c>
      <c r="D17" s="24" t="inlineStr">
        <is>
          <t>Fila 1: SUMIF([«Tramo» de «Detalle por documento», 12 filas]; «Corriente / por vencer»; [«Saldo» de «Detalle por documento», 12 filas]) → 70.200,00</t>
        </is>
      </c>
      <c r="E17" s="24" t="inlineStr">
        <is>
          <t>«Tramo» (esta hoja), hoja «Detalle por documento»</t>
        </is>
      </c>
      <c r="F17" s="24" t="inlineStr">
        <is>
          <t>—</t>
        </is>
      </c>
    </row>
    <row r="18">
      <c r="A18" s="24" t="inlineStr">
        <is>
          <t>% del saldo</t>
        </is>
      </c>
      <c r="B18" s="25" t="inlineStr">
        <is>
          <t>'=IF(SUM('03_Detalle'!$F$5:$F$16)=0,"",C5/SUM('03_Detalle'!$F$5:$F$16))</t>
        </is>
      </c>
      <c r="C18" s="24" t="inlineStr">
        <is>
          <t>Divide el saldo del tramo para el saldo total del detalle (hoja 03): qué parte de la deuda con proveedores está en este tramo. En blanco si el total es cero.</t>
        </is>
      </c>
      <c r="D18" s="24" t="inlineStr">
        <is>
          <t>Fila 1: IF(SUM([«Saldo» de «Detalle por documento», 12 filas])=0; ""; 70.200,00/SUM([«Saldo» de «Detalle por documento», 12 filas])) → 87,42 %</t>
        </is>
      </c>
      <c r="E18" s="24" t="inlineStr">
        <is>
          <t>«Saldo» (esta hoja), hoja «Detalle por documento»</t>
        </is>
      </c>
      <c r="F18" s="24" t="inlineStr">
        <is>
          <t>—</t>
        </is>
      </c>
    </row>
  </sheetData>
  <mergeCells count="3">
    <mergeCell ref="A2:F2"/>
    <mergeCell ref="A14:F14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4" customWidth="1" min="3" max="3"/>
    <col width="16" customWidth="1" min="4" max="4"/>
    <col width="16" customWidth="1" min="5" max="5"/>
    <col width="16" customWidth="1" min="6" max="6"/>
    <col width="26" customWidth="1" min="7" max="7"/>
    <col width="26" customWidth="1" min="8" max="8"/>
    <col width="21" customWidth="1" min="9" max="9"/>
  </cols>
  <sheetData>
    <row r="1">
      <c r="A1" s="3" t="inlineStr">
        <is>
          <t>Pagos posteriores al cierre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Proveedores y cuentas por pagar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</row>
    <row r="4" ht="30" customHeight="1">
      <c r="A4" s="17" t="inlineStr">
        <is>
          <t>Documento</t>
        </is>
      </c>
      <c r="B4" s="17" t="inlineStr">
        <is>
          <t>Proveedor</t>
        </is>
      </c>
      <c r="C4" s="17" t="inlineStr">
        <is>
          <t>Días desde vencimiento</t>
        </is>
      </c>
      <c r="D4" s="17" t="inlineStr">
        <is>
          <t>Saldo al corte</t>
        </is>
      </c>
      <c r="E4" s="17" t="inlineStr">
        <is>
          <t>Pago informado</t>
        </is>
      </c>
      <c r="F4" s="17" t="inlineStr">
        <is>
          <t>Fecha del pago</t>
        </is>
      </c>
      <c r="G4" s="17" t="inlineStr">
        <is>
          <t>Pago posterior aplicable</t>
        </is>
      </c>
      <c r="H4" s="17" t="inlineStr">
        <is>
          <t>Saldo sin pago posterior</t>
        </is>
      </c>
      <c r="I4" s="17" t="inlineStr">
        <is>
          <t>Pago mayor al saldo</t>
        </is>
      </c>
    </row>
    <row r="5">
      <c r="A5" s="18" t="inlineStr">
        <is>
          <t>P-001</t>
        </is>
      </c>
      <c r="B5" s="18" t="inlineStr">
        <is>
          <t>Aceros del Pacífico S.A.</t>
        </is>
      </c>
      <c r="C5" s="30">
        <f>'03_Detalle'!I5</f>
        <v/>
      </c>
      <c r="D5" s="20">
        <f>'03_Detalle'!F5</f>
        <v/>
      </c>
      <c r="E5" s="20" t="n">
        <v>15000</v>
      </c>
      <c r="F5" s="29" t="n">
        <v>46026</v>
      </c>
      <c r="G5" s="20">
        <f>IF(OR(E5="",F5=""),0,IF(F5&gt;'02_Parametros'!$B$5,MIN(E5,D5),0))</f>
        <v/>
      </c>
      <c r="H5" s="20">
        <f>D5-G5</f>
        <v/>
      </c>
      <c r="I5" s="20">
        <f>IF(OR(E5="",F5=""),0,IF(F5&gt;'02_Parametros'!$B$5,MAX(E5-D5,0),0))</f>
        <v/>
      </c>
    </row>
    <row r="6">
      <c r="A6" s="19" t="inlineStr">
        <is>
          <t>P-002</t>
        </is>
      </c>
      <c r="B6" s="19" t="inlineStr">
        <is>
          <t>Plásticos Andinos Cía. Ltda.</t>
        </is>
      </c>
      <c r="C6" s="32">
        <f>'03_Detalle'!I6</f>
        <v/>
      </c>
      <c r="D6" s="21">
        <f>'03_Detalle'!F6</f>
        <v/>
      </c>
      <c r="E6" s="21" t="n"/>
      <c r="F6" s="33" t="n"/>
      <c r="G6" s="21">
        <f>IF(OR(E6="",F6=""),0,IF(F6&gt;'02_Parametros'!$B$5,MIN(E6,D6),0))</f>
        <v/>
      </c>
      <c r="H6" s="21">
        <f>D6-G6</f>
        <v/>
      </c>
      <c r="I6" s="21">
        <f>IF(OR(E6="",F6=""),0,IF(F6&gt;'02_Parametros'!$B$5,MAX(E6-D6,0),0))</f>
        <v/>
      </c>
    </row>
    <row r="7">
      <c r="A7" s="18" t="inlineStr">
        <is>
          <t>P-003</t>
        </is>
      </c>
      <c r="B7" s="18" t="inlineStr">
        <is>
          <t>Servicios Logísticos del Sur</t>
        </is>
      </c>
      <c r="C7" s="30">
        <f>'03_Detalle'!I7</f>
        <v/>
      </c>
      <c r="D7" s="20">
        <f>'03_Detalle'!F7</f>
        <v/>
      </c>
      <c r="E7" s="20" t="n"/>
      <c r="F7" s="34" t="n"/>
      <c r="G7" s="20">
        <f>IF(OR(E7="",F7=""),0,IF(F7&gt;'02_Parametros'!$B$5,MIN(E7,D7),0))</f>
        <v/>
      </c>
      <c r="H7" s="20">
        <f>D7-G7</f>
        <v/>
      </c>
      <c r="I7" s="20">
        <f>IF(OR(E7="",F7=""),0,IF(F7&gt;'02_Parametros'!$B$5,MAX(E7-D7,0),0))</f>
        <v/>
      </c>
    </row>
    <row r="8">
      <c r="A8" s="19" t="inlineStr">
        <is>
          <t>P-004</t>
        </is>
      </c>
      <c r="B8" s="19" t="inlineStr">
        <is>
          <t>Químicos Unidos S.A.</t>
        </is>
      </c>
      <c r="C8" s="32">
        <f>'03_Detalle'!I8</f>
        <v/>
      </c>
      <c r="D8" s="21">
        <f>'03_Detalle'!F8</f>
        <v/>
      </c>
      <c r="E8" s="21" t="n">
        <v>3500</v>
      </c>
      <c r="F8" s="31" t="n">
        <v>46042</v>
      </c>
      <c r="G8" s="21">
        <f>IF(OR(E8="",F8=""),0,IF(F8&gt;'02_Parametros'!$B$5,MIN(E8,D8),0))</f>
        <v/>
      </c>
      <c r="H8" s="21">
        <f>D8-G8</f>
        <v/>
      </c>
      <c r="I8" s="21">
        <f>IF(OR(E8="",F8=""),0,IF(F8&gt;'02_Parametros'!$B$5,MAX(E8-D8,0),0))</f>
        <v/>
      </c>
    </row>
    <row r="9">
      <c r="A9" s="18" t="inlineStr">
        <is>
          <t>P-005</t>
        </is>
      </c>
      <c r="B9" s="18" t="inlineStr">
        <is>
          <t>Maquinarias Industriales S.A.</t>
        </is>
      </c>
      <c r="C9" s="30">
        <f>'03_Detalle'!I9</f>
        <v/>
      </c>
      <c r="D9" s="20">
        <f>'03_Detalle'!F9</f>
        <v/>
      </c>
      <c r="E9" s="20" t="n"/>
      <c r="F9" s="34" t="n"/>
      <c r="G9" s="20">
        <f>IF(OR(E9="",F9=""),0,IF(F9&gt;'02_Parametros'!$B$5,MIN(E9,D9),0))</f>
        <v/>
      </c>
      <c r="H9" s="20">
        <f>D9-G9</f>
        <v/>
      </c>
      <c r="I9" s="20">
        <f>IF(OR(E9="",F9=""),0,IF(F9&gt;'02_Parametros'!$B$5,MAX(E9-D9,0),0))</f>
        <v/>
      </c>
    </row>
    <row r="10">
      <c r="A10" s="19" t="inlineStr">
        <is>
          <t>P-006</t>
        </is>
      </c>
      <c r="B10" s="19" t="inlineStr">
        <is>
          <t>Holding Andes S.A.</t>
        </is>
      </c>
      <c r="C10" s="32">
        <f>'03_Detalle'!I10</f>
        <v/>
      </c>
      <c r="D10" s="21">
        <f>'03_Detalle'!F10</f>
        <v/>
      </c>
      <c r="E10" s="21" t="n"/>
      <c r="F10" s="33" t="n"/>
      <c r="G10" s="21">
        <f>IF(OR(E10="",F10=""),0,IF(F10&gt;'02_Parametros'!$B$5,MIN(E10,D10),0))</f>
        <v/>
      </c>
      <c r="H10" s="21">
        <f>D10-G10</f>
        <v/>
      </c>
      <c r="I10" s="21">
        <f>IF(OR(E10="",F10=""),0,IF(F10&gt;'02_Parametros'!$B$5,MAX(E10-D10,0),0))</f>
        <v/>
      </c>
    </row>
    <row r="11">
      <c r="A11" s="18" t="inlineStr">
        <is>
          <t>P-007</t>
        </is>
      </c>
      <c r="B11" s="18" t="inlineStr">
        <is>
          <t>Transportes Rápidos</t>
        </is>
      </c>
      <c r="C11" s="30">
        <f>'03_Detalle'!I11</f>
        <v/>
      </c>
      <c r="D11" s="20">
        <f>'03_Detalle'!F11</f>
        <v/>
      </c>
      <c r="E11" s="20" t="n"/>
      <c r="F11" s="34" t="n"/>
      <c r="G11" s="20">
        <f>IF(OR(E11="",F11=""),0,IF(F11&gt;'02_Parametros'!$B$5,MIN(E11,D11),0))</f>
        <v/>
      </c>
      <c r="H11" s="20">
        <f>D11-G11</f>
        <v/>
      </c>
      <c r="I11" s="20">
        <f>IF(OR(E11="",F11=""),0,IF(F11&gt;'02_Parametros'!$B$5,MAX(E11-D11,0),0))</f>
        <v/>
      </c>
    </row>
    <row r="12">
      <c r="A12" s="19" t="inlineStr">
        <is>
          <t>P-008</t>
        </is>
      </c>
      <c r="B12" s="19" t="inlineStr">
        <is>
          <t>Empaques Sierra</t>
        </is>
      </c>
      <c r="C12" s="32">
        <f>'03_Detalle'!I12</f>
        <v/>
      </c>
      <c r="D12" s="21">
        <f>'03_Detalle'!F12</f>
        <v/>
      </c>
      <c r="E12" s="21" t="n"/>
      <c r="F12" s="33" t="n"/>
      <c r="G12" s="21">
        <f>IF(OR(E12="",F12=""),0,IF(F12&gt;'02_Parametros'!$B$5,MIN(E12,D12),0))</f>
        <v/>
      </c>
      <c r="H12" s="21">
        <f>D12-G12</f>
        <v/>
      </c>
      <c r="I12" s="21">
        <f>IF(OR(E12="",F12=""),0,IF(F12&gt;'02_Parametros'!$B$5,MAX(E12-D12,0),0))</f>
        <v/>
      </c>
    </row>
    <row r="13">
      <c r="A13" s="18" t="inlineStr">
        <is>
          <t>P-009</t>
        </is>
      </c>
      <c r="B13" s="18" t="inlineStr">
        <is>
          <t>Importadora Global GmbH</t>
        </is>
      </c>
      <c r="C13" s="30">
        <f>'03_Detalle'!I13</f>
        <v/>
      </c>
      <c r="D13" s="20">
        <f>'03_Detalle'!F13</f>
        <v/>
      </c>
      <c r="E13" s="20" t="n">
        <v>9000</v>
      </c>
      <c r="F13" s="29" t="n">
        <v>46019</v>
      </c>
      <c r="G13" s="20">
        <f>IF(OR(E13="",F13=""),0,IF(F13&gt;'02_Parametros'!$B$5,MIN(E13,D13),0))</f>
        <v/>
      </c>
      <c r="H13" s="20">
        <f>D13-G13</f>
        <v/>
      </c>
      <c r="I13" s="20">
        <f>IF(OR(E13="",F13=""),0,IF(F13&gt;'02_Parametros'!$B$5,MAX(E13-D13,0),0))</f>
        <v/>
      </c>
    </row>
    <row r="14">
      <c r="A14" s="19" t="inlineStr">
        <is>
          <t>P-010</t>
        </is>
      </c>
      <c r="B14" s="19" t="inlineStr">
        <is>
          <t>Empresa Eléctrica</t>
        </is>
      </c>
      <c r="C14" s="32">
        <f>'03_Detalle'!I14</f>
        <v/>
      </c>
      <c r="D14" s="21">
        <f>'03_Detalle'!F14</f>
        <v/>
      </c>
      <c r="E14" s="21" t="n">
        <v>1300</v>
      </c>
      <c r="F14" s="31" t="n">
        <v>46036</v>
      </c>
      <c r="G14" s="21">
        <f>IF(OR(E14="",F14=""),0,IF(F14&gt;'02_Parametros'!$B$5,MIN(E14,D14),0))</f>
        <v/>
      </c>
      <c r="H14" s="21">
        <f>D14-G14</f>
        <v/>
      </c>
      <c r="I14" s="21">
        <f>IF(OR(E14="",F14=""),0,IF(F14&gt;'02_Parametros'!$B$5,MAX(E14-D14,0),0))</f>
        <v/>
      </c>
    </row>
    <row r="15">
      <c r="A15" s="18" t="inlineStr">
        <is>
          <t>P-011</t>
        </is>
      </c>
      <c r="B15" s="18" t="inlineStr">
        <is>
          <t>Asesores Legales Asociados</t>
        </is>
      </c>
      <c r="C15" s="30">
        <f>'03_Detalle'!I15</f>
        <v/>
      </c>
      <c r="D15" s="20">
        <f>'03_Detalle'!F15</f>
        <v/>
      </c>
      <c r="E15" s="20" t="n"/>
      <c r="F15" s="34" t="n"/>
      <c r="G15" s="20">
        <f>IF(OR(E15="",F15=""),0,IF(F15&gt;'02_Parametros'!$B$5,MIN(E15,D15),0))</f>
        <v/>
      </c>
      <c r="H15" s="20">
        <f>D15-G15</f>
        <v/>
      </c>
      <c r="I15" s="20">
        <f>IF(OR(E15="",F15=""),0,IF(F15&gt;'02_Parametros'!$B$5,MAX(E15-D15,0),0))</f>
        <v/>
      </c>
    </row>
    <row r="16">
      <c r="A16" s="19" t="inlineStr">
        <is>
          <t>P-012</t>
        </is>
      </c>
      <c r="B16" s="19" t="inlineStr">
        <is>
          <t>Mantenimiento Técnico</t>
        </is>
      </c>
      <c r="C16" s="32">
        <f>'03_Detalle'!I16</f>
        <v/>
      </c>
      <c r="D16" s="21">
        <f>'03_Detalle'!F16</f>
        <v/>
      </c>
      <c r="E16" s="21" t="n">
        <v>5500</v>
      </c>
      <c r="F16" s="31" t="n">
        <v>46067</v>
      </c>
      <c r="G16" s="21">
        <f>IF(OR(E16="",F16=""),0,IF(F16&gt;'02_Parametros'!$B$5,MIN(E16,D16),0))</f>
        <v/>
      </c>
      <c r="H16" s="21">
        <f>D16-G16</f>
        <v/>
      </c>
      <c r="I16" s="21">
        <f>IF(OR(E16="",F16=""),0,IF(F16&gt;'02_Parametros'!$B$5,MAX(E16-D16,0),0))</f>
        <v/>
      </c>
    </row>
    <row r="17">
      <c r="A17" s="35" t="inlineStr">
        <is>
          <t>TOTAL</t>
        </is>
      </c>
      <c r="B17" s="35" t="inlineStr"/>
      <c r="C17" s="38" t="n"/>
      <c r="D17" s="37">
        <f>SUM(D5:D16)</f>
        <v/>
      </c>
      <c r="E17" s="37" t="n"/>
      <c r="F17" s="36" t="n"/>
      <c r="G17" s="37">
        <f>SUM(G5:G16)</f>
        <v/>
      </c>
      <c r="H17" s="37">
        <f>SUM(H5:H16)</f>
        <v/>
      </c>
      <c r="I17" s="37">
        <f>SUM(I5:I16)</f>
        <v/>
      </c>
    </row>
    <row r="19">
      <c r="A19" s="22" t="inlineStr">
        <is>
          <t>ⓘ  Cómo se calcula esta hoja</t>
        </is>
      </c>
    </row>
    <row r="20">
      <c r="A20" s="23" t="inlineStr">
        <is>
          <t>Columna</t>
        </is>
      </c>
      <c r="B20" s="23" t="inlineStr">
        <is>
          <t>Fórmula (Excel)</t>
        </is>
      </c>
      <c r="C20" s="23" t="inlineStr">
        <is>
          <t>Cómo se calcula (sencillo)</t>
        </is>
      </c>
      <c r="D20" s="23" t="inlineStr">
        <is>
          <t>Ejemplo con números reales</t>
        </is>
      </c>
      <c r="E20" s="23" t="inlineStr">
        <is>
          <t>De dónde viene</t>
        </is>
      </c>
      <c r="F20" s="23" t="inlineStr">
        <is>
          <t>Norma</t>
        </is>
      </c>
    </row>
    <row r="21">
      <c r="A21" s="24" t="inlineStr">
        <is>
          <t>Días desde vencimiento</t>
        </is>
      </c>
      <c r="B21" s="25" t="inlineStr">
        <is>
          <t>'='03_Detalle'!I5</t>
        </is>
      </c>
      <c r="C21" s="24" t="inlineStr">
        <is>
          <t>Trae de la hoja 03 (Detalle por documento) los días que el documento lleva vencido a la fecha de corte.</t>
        </is>
      </c>
      <c r="D21" s="24" t="inlineStr">
        <is>
          <t>Fila 1: -4 → -4</t>
        </is>
      </c>
      <c r="E21" s="24" t="inlineStr">
        <is>
          <t>hoja «Detalle por documento»</t>
        </is>
      </c>
      <c r="F21" s="24" t="inlineStr">
        <is>
          <t>—</t>
        </is>
      </c>
    </row>
    <row r="22">
      <c r="A22" s="24" t="inlineStr">
        <is>
          <t>Saldo al corte</t>
        </is>
      </c>
      <c r="B22" s="25" t="inlineStr">
        <is>
          <t>'='03_Detalle'!F5</t>
        </is>
      </c>
      <c r="C22" s="24" t="inlineStr">
        <is>
          <t>Trae de la hoja 03 (Detalle por documento) el saldo por pagar del documento a la fecha de corte.</t>
        </is>
      </c>
      <c r="D22" s="24" t="inlineStr">
        <is>
          <t>Fila 1: 15.000,00 → 15.000,00</t>
        </is>
      </c>
      <c r="E22" s="24" t="inlineStr">
        <is>
          <t>hoja «Detalle por documento»</t>
        </is>
      </c>
      <c r="F22" s="24" t="inlineStr">
        <is>
          <t>—</t>
        </is>
      </c>
    </row>
    <row r="23">
      <c r="A23" s="24" t="inlineStr">
        <is>
          <t>Pago posterior aplicable</t>
        </is>
      </c>
      <c r="B23" s="25" t="inlineStr">
        <is>
          <t>'=IF(OR(E5="",F5=""),0,IF(F5&gt;'02_Parametros'!$B$5,MIN(E5,D5),0))</t>
        </is>
      </c>
      <c r="C23" s="24" t="inlineStr">
        <is>
          <t>Si hay pago y fecha de pago, y la fecha es posterior al corte, toma el menor entre el pago y el saldo al corte; si falta el pago o su fecha, o se pagó antes del corte, cero.</t>
        </is>
      </c>
      <c r="D23" s="24" t="inlineStr">
        <is>
          <t>Fila 1: IF(OR(15.000,00=""; «2026-01-04»=""); 0; IF(«2026-01-04»&gt;«2025-12-31»; MIN(15.000,00; 15.000,00); 0)) → 15.000,00</t>
        </is>
      </c>
      <c r="E23" s="24" t="inlineStr">
        <is>
          <t>«Pago informado» (esta hoja), «Fecha del pago» (esta hoja), «Saldo al corte» (esta hoja), hoja «Parámetros»</t>
        </is>
      </c>
      <c r="F23" s="24" t="inlineStr">
        <is>
          <t>—</t>
        </is>
      </c>
    </row>
    <row r="24">
      <c r="A24" s="24" t="inlineStr">
        <is>
          <t>Saldo sin pago posterior</t>
        </is>
      </c>
      <c r="B24" s="25" t="inlineStr">
        <is>
          <t>'=D5-G5</t>
        </is>
      </c>
      <c r="C24" s="24" t="inlineStr">
        <is>
          <t>Resta el pago posterior aplicable del saldo al corte: es la parte del saldo que no quedó respaldada por un pago después del cierre.</t>
        </is>
      </c>
      <c r="D24" s="24" t="inlineStr">
        <is>
          <t>Fila 1: 15.000,00-15.000,00 → 0,00</t>
        </is>
      </c>
      <c r="E24" s="24" t="inlineStr">
        <is>
          <t>«Saldo al corte» (esta hoja), «Pago posterior aplicable» (esta hoja)</t>
        </is>
      </c>
      <c r="F24" s="24" t="inlineStr">
        <is>
          <t>—</t>
        </is>
      </c>
    </row>
    <row r="25">
      <c r="A25" s="24" t="inlineStr">
        <is>
          <t>Pago mayor al saldo</t>
        </is>
      </c>
      <c r="B25" s="25" t="inlineStr">
        <is>
          <t>'=IF(OR(E5="",F5=""),0,IF(F5&gt;'02_Parametros'!$B$5,MAX(E5-D5,0),0))</t>
        </is>
      </c>
      <c r="C25" s="24" t="inlineStr">
        <is>
          <t>Si el pago es posterior al corte, toma lo que el pago excede al saldo registrado (cero si no lo excede): indica un posible pasivo subestimado.</t>
        </is>
      </c>
      <c r="D25" s="24" t="inlineStr">
        <is>
          <t>Fila 1: IF(OR(15.000,00=""; «2026-01-04»=""); 0; IF(«2026-01-04»&gt;«2025-12-31»; MAX(15.000,00-15.000,00; 0); 0)) → 0,00</t>
        </is>
      </c>
      <c r="E25" s="24" t="inlineStr">
        <is>
          <t>«Pago informado» (esta hoja), «Fecha del pago» (esta hoja), «Saldo al corte» (esta hoja), hoja «Parámetros»</t>
        </is>
      </c>
      <c r="F25" s="24" t="inlineStr">
        <is>
          <t>—</t>
        </is>
      </c>
    </row>
  </sheetData>
  <mergeCells count="3">
    <mergeCell ref="A19:F19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12" customWidth="1" min="4" max="4"/>
    <col width="12" customWidth="1" min="5" max="5"/>
    <col width="23" customWidth="1" min="6" max="6"/>
    <col width="20" customWidth="1" min="7" max="7"/>
    <col width="22" customWidth="1" min="8" max="8"/>
    <col width="22" customWidth="1" min="9" max="9"/>
  </cols>
  <sheetData>
    <row r="1">
      <c r="A1" s="3" t="inlineStr">
        <is>
          <t>Búsqueda de pasivos no registrados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Proveedores y cuentas por pagar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</row>
    <row r="4" ht="30" customHeight="1">
      <c r="A4" s="17" t="inlineStr">
        <is>
          <t>Documento</t>
        </is>
      </c>
      <c r="B4" s="17" t="inlineStr">
        <is>
          <t>Proveedor</t>
        </is>
      </c>
      <c r="C4" s="17" t="inlineStr">
        <is>
          <t>Fecha pago / factura</t>
        </is>
      </c>
      <c r="D4" s="17" t="inlineStr">
        <is>
          <t>Recepción</t>
        </is>
      </c>
      <c r="E4" s="17" t="inlineStr">
        <is>
          <t>Importe</t>
        </is>
      </c>
      <c r="F4" s="17" t="inlineStr">
        <is>
          <t>¿Registrado al corte?</t>
        </is>
      </c>
      <c r="G4" s="17" t="inlineStr">
        <is>
          <t>Posterior al corte</t>
        </is>
      </c>
      <c r="H4" s="17" t="inlineStr">
        <is>
          <t>Causa hasta el corte</t>
        </is>
      </c>
      <c r="I4" s="17" t="inlineStr">
        <is>
          <t>Pasivo no registrado</t>
        </is>
      </c>
    </row>
    <row r="5">
      <c r="A5" s="18" t="inlineStr">
        <is>
          <t>CE-001</t>
        </is>
      </c>
      <c r="B5" s="18" t="inlineStr">
        <is>
          <t>Aceros del Pacífico S.A.</t>
        </is>
      </c>
      <c r="C5" s="29" t="n">
        <v>46032</v>
      </c>
      <c r="D5" s="29" t="n">
        <v>46013</v>
      </c>
      <c r="E5" s="20" t="n">
        <v>6200</v>
      </c>
      <c r="F5" s="18" t="inlineStr">
        <is>
          <t>No</t>
        </is>
      </c>
      <c r="G5" s="18">
        <f>IF(C5&gt;'02_Parametros'!$B$5,"Sí","No")</f>
        <v/>
      </c>
      <c r="H5" s="18">
        <f>IF(D5&lt;='02_Parametros'!$B$5,"Sí","No")</f>
        <v/>
      </c>
      <c r="I5" s="20">
        <f>IF(AND(G5="Sí",H5="Sí",F5="No"),E5,0)</f>
        <v/>
      </c>
    </row>
    <row r="6">
      <c r="A6" s="19" t="inlineStr">
        <is>
          <t>CE-002</t>
        </is>
      </c>
      <c r="B6" s="19" t="inlineStr">
        <is>
          <t>Servicios Contables</t>
        </is>
      </c>
      <c r="C6" s="31" t="n">
        <v>46037</v>
      </c>
      <c r="D6" s="31" t="n">
        <v>46022</v>
      </c>
      <c r="E6" s="21" t="n">
        <v>1850</v>
      </c>
      <c r="F6" s="19" t="inlineStr">
        <is>
          <t>No</t>
        </is>
      </c>
      <c r="G6" s="19">
        <f>IF(C6&gt;'02_Parametros'!$B$5,"Sí","No")</f>
        <v/>
      </c>
      <c r="H6" s="19">
        <f>IF(D6&lt;='02_Parametros'!$B$5,"Sí","No")</f>
        <v/>
      </c>
      <c r="I6" s="21">
        <f>IF(AND(G6="Sí",H6="Sí",F6="No"),E6,0)</f>
        <v/>
      </c>
    </row>
    <row r="7">
      <c r="A7" s="18" t="inlineStr">
        <is>
          <t>CE-003</t>
        </is>
      </c>
      <c r="B7" s="18" t="inlineStr">
        <is>
          <t>Plásticos Andinos Cía. Ltda.</t>
        </is>
      </c>
      <c r="C7" s="29" t="n">
        <v>46042</v>
      </c>
      <c r="D7" s="29" t="n">
        <v>46034</v>
      </c>
      <c r="E7" s="20" t="n">
        <v>3100</v>
      </c>
      <c r="F7" s="18" t="inlineStr">
        <is>
          <t>No</t>
        </is>
      </c>
      <c r="G7" s="18">
        <f>IF(C7&gt;'02_Parametros'!$B$5,"Sí","No")</f>
        <v/>
      </c>
      <c r="H7" s="18">
        <f>IF(D7&lt;='02_Parametros'!$B$5,"Sí","No")</f>
        <v/>
      </c>
      <c r="I7" s="20">
        <f>IF(AND(G7="Sí",H7="Sí",F7="No"),E7,0)</f>
        <v/>
      </c>
    </row>
    <row r="8">
      <c r="A8" s="19" t="inlineStr">
        <is>
          <t>CE-004</t>
        </is>
      </c>
      <c r="B8" s="19" t="inlineStr">
        <is>
          <t>Empresa Eléctrica</t>
        </is>
      </c>
      <c r="C8" s="31" t="n">
        <v>46036</v>
      </c>
      <c r="D8" s="31" t="n">
        <v>45991</v>
      </c>
      <c r="E8" s="21" t="n">
        <v>1300</v>
      </c>
      <c r="F8" s="19" t="inlineStr">
        <is>
          <t>Sí</t>
        </is>
      </c>
      <c r="G8" s="19">
        <f>IF(C8&gt;'02_Parametros'!$B$5,"Sí","No")</f>
        <v/>
      </c>
      <c r="H8" s="19">
        <f>IF(D8&lt;='02_Parametros'!$B$5,"Sí","No")</f>
        <v/>
      </c>
      <c r="I8" s="21">
        <f>IF(AND(G8="Sí",H8="Sí",F8="No"),E8,0)</f>
        <v/>
      </c>
    </row>
    <row r="9">
      <c r="A9" s="18" t="inlineStr">
        <is>
          <t>CE-005</t>
        </is>
      </c>
      <c r="B9" s="18" t="inlineStr">
        <is>
          <t>Químicos Unidos S.A.</t>
        </is>
      </c>
      <c r="C9" s="29" t="n">
        <v>46058</v>
      </c>
      <c r="D9" s="29" t="n">
        <v>46009</v>
      </c>
      <c r="E9" s="20" t="n">
        <v>2750</v>
      </c>
      <c r="F9" s="18" t="inlineStr">
        <is>
          <t>Sí</t>
        </is>
      </c>
      <c r="G9" s="18">
        <f>IF(C9&gt;'02_Parametros'!$B$5,"Sí","No")</f>
        <v/>
      </c>
      <c r="H9" s="18">
        <f>IF(D9&lt;='02_Parametros'!$B$5,"Sí","No")</f>
        <v/>
      </c>
      <c r="I9" s="20">
        <f>IF(AND(G9="Sí",H9="Sí",F9="No"),E9,0)</f>
        <v/>
      </c>
    </row>
    <row r="10">
      <c r="A10" s="19" t="inlineStr">
        <is>
          <t>CE-006</t>
        </is>
      </c>
      <c r="B10" s="19" t="inlineStr">
        <is>
          <t>Seguridad Privada</t>
        </is>
      </c>
      <c r="C10" s="31" t="n">
        <v>46053</v>
      </c>
      <c r="D10" s="31" t="n">
        <v>46022</v>
      </c>
      <c r="E10" s="21" t="n">
        <v>950</v>
      </c>
      <c r="F10" s="19" t="inlineStr">
        <is>
          <t>No</t>
        </is>
      </c>
      <c r="G10" s="19">
        <f>IF(C10&gt;'02_Parametros'!$B$5,"Sí","No")</f>
        <v/>
      </c>
      <c r="H10" s="19">
        <f>IF(D10&lt;='02_Parametros'!$B$5,"Sí","No")</f>
        <v/>
      </c>
      <c r="I10" s="21">
        <f>IF(AND(G10="Sí",H10="Sí",F10="No"),E10,0)</f>
        <v/>
      </c>
    </row>
    <row r="11">
      <c r="A11" s="18" t="inlineStr">
        <is>
          <t>CE-007</t>
        </is>
      </c>
      <c r="B11" s="18" t="inlineStr">
        <is>
          <t>Papelería Central</t>
        </is>
      </c>
      <c r="C11" s="29" t="n">
        <v>46011</v>
      </c>
      <c r="D11" s="29" t="n">
        <v>46006</v>
      </c>
      <c r="E11" s="20" t="n">
        <v>300</v>
      </c>
      <c r="F11" s="18" t="inlineStr">
        <is>
          <t>No</t>
        </is>
      </c>
      <c r="G11" s="18">
        <f>IF(C11&gt;'02_Parametros'!$B$5,"Sí","No")</f>
        <v/>
      </c>
      <c r="H11" s="18">
        <f>IF(D11&lt;='02_Parametros'!$B$5,"Sí","No")</f>
        <v/>
      </c>
      <c r="I11" s="20">
        <f>IF(AND(G11="Sí",H11="Sí",F11="No"),E11,0)</f>
        <v/>
      </c>
    </row>
    <row r="12">
      <c r="A12" s="19" t="inlineStr">
        <is>
          <t>CE-008</t>
        </is>
      </c>
      <c r="B12" s="19" t="inlineStr">
        <is>
          <t>Consultora Beta</t>
        </is>
      </c>
      <c r="C12" s="31" t="n">
        <v>46073</v>
      </c>
      <c r="D12" s="31" t="n">
        <v>46054</v>
      </c>
      <c r="E12" s="21" t="n">
        <v>4000</v>
      </c>
      <c r="F12" s="19" t="inlineStr">
        <is>
          <t>No</t>
        </is>
      </c>
      <c r="G12" s="19">
        <f>IF(C12&gt;'02_Parametros'!$B$5,"Sí","No")</f>
        <v/>
      </c>
      <c r="H12" s="19">
        <f>IF(D12&lt;='02_Parametros'!$B$5,"Sí","No")</f>
        <v/>
      </c>
      <c r="I12" s="21">
        <f>IF(AND(G12="Sí",H12="Sí",F12="No"),E12,0)</f>
        <v/>
      </c>
    </row>
    <row r="13">
      <c r="A13" s="35" t="inlineStr">
        <is>
          <t>TOTAL</t>
        </is>
      </c>
      <c r="B13" s="35" t="inlineStr"/>
      <c r="C13" s="36" t="inlineStr"/>
      <c r="D13" s="36" t="inlineStr"/>
      <c r="E13" s="37">
        <f>SUM(E5:E12)</f>
        <v/>
      </c>
      <c r="F13" s="35" t="inlineStr"/>
      <c r="G13" s="35" t="inlineStr"/>
      <c r="H13" s="35" t="inlineStr"/>
      <c r="I13" s="37">
        <f>SUM(I5:I12)</f>
        <v/>
      </c>
    </row>
    <row r="15">
      <c r="A15" s="22" t="inlineStr">
        <is>
          <t>ⓘ  Cómo se calcula esta hoja</t>
        </is>
      </c>
    </row>
    <row r="16">
      <c r="A16" s="23" t="inlineStr">
        <is>
          <t>Columna</t>
        </is>
      </c>
      <c r="B16" s="23" t="inlineStr">
        <is>
          <t>Fórmula (Excel)</t>
        </is>
      </c>
      <c r="C16" s="23" t="inlineStr">
        <is>
          <t>Cómo se calcula (sencillo)</t>
        </is>
      </c>
      <c r="D16" s="23" t="inlineStr">
        <is>
          <t>Ejemplo con números reales</t>
        </is>
      </c>
      <c r="E16" s="23" t="inlineStr">
        <is>
          <t>De dónde viene</t>
        </is>
      </c>
      <c r="F16" s="23" t="inlineStr">
        <is>
          <t>Norma</t>
        </is>
      </c>
    </row>
    <row r="17">
      <c r="A17" s="24" t="inlineStr">
        <is>
          <t>Posterior al corte</t>
        </is>
      </c>
      <c r="B17" s="25" t="inlineStr">
        <is>
          <t>'=IF(C5&gt;'02_Parametros'!$B$5,"Sí","No")</t>
        </is>
      </c>
      <c r="C17" s="24" t="inlineStr">
        <is>
          <t>«Sí» si la fecha del pago o de la factura es posterior a la fecha de corte de la hoja 02 (Parámetros).</t>
        </is>
      </c>
      <c r="D17" s="24" t="inlineStr">
        <is>
          <t>Fila 1: IF(«2026-01-10»&gt;«2025-12-31»; "Sí"; "No") → Sí</t>
        </is>
      </c>
      <c r="E17" s="24" t="inlineStr">
        <is>
          <t>«Fecha pago / factura» (esta hoja), hoja «Parámetros»</t>
        </is>
      </c>
      <c r="F17" s="24" t="inlineStr">
        <is>
          <t>—</t>
        </is>
      </c>
    </row>
    <row r="18">
      <c r="A18" s="24" t="inlineStr">
        <is>
          <t>Causa hasta el corte</t>
        </is>
      </c>
      <c r="B18" s="25" t="inlineStr">
        <is>
          <t>'=IF(D5&lt;='02_Parametros'!$B$5,"Sí","No")</t>
        </is>
      </c>
      <c r="C18" s="24" t="inlineStr">
        <is>
          <t>«Sí» si el bien o servicio se recibió hasta la fecha de corte (hoja 02): la obligación ya existía al cierre.</t>
        </is>
      </c>
      <c r="D18" s="24" t="inlineStr">
        <is>
          <t>Fila 1: IF(«2025-12-22»&lt;=«2025-12-31»; "Sí"; "No") → Sí</t>
        </is>
      </c>
      <c r="E18" s="24" t="inlineStr">
        <is>
          <t>«Recepción» (esta hoja), hoja «Parámetros»</t>
        </is>
      </c>
      <c r="F18" s="24" t="inlineStr">
        <is>
          <t>—</t>
        </is>
      </c>
    </row>
    <row r="19">
      <c r="A19" s="24" t="inlineStr">
        <is>
          <t>Pasivo no registrado</t>
        </is>
      </c>
      <c r="B19" s="25" t="inlineStr">
        <is>
          <t>'=IF(AND(G5="Sí",H5="Sí",F5="No"),E5,0)</t>
        </is>
      </c>
      <c r="C19" s="24" t="inlineStr">
        <is>
          <t>Si el documento es posterior al corte, la recepción fue hasta el corte y el pasivo no estaba registrado, toma su importe: es un pasivo omitido. En otro caso, cero.</t>
        </is>
      </c>
      <c r="D19" s="24" t="inlineStr">
        <is>
          <t>Fila 1: IF(AND(«Sí»="Sí"; «Sí»="Sí"; «No»="No"); 6.200,00; 0) → 6.200,00</t>
        </is>
      </c>
      <c r="E19" s="24" t="inlineStr">
        <is>
          <t>«Posterior al corte» (esta hoja), «Causa hasta el corte» (esta hoja), «¿Registrado al corte?» (esta hoja), «Importe» (esta hoja)</t>
        </is>
      </c>
      <c r="F19" s="24" t="inlineStr">
        <is>
          <t>—</t>
        </is>
      </c>
    </row>
  </sheetData>
  <mergeCells count="3">
    <mergeCell ref="A2:F2"/>
    <mergeCell ref="A1:F1"/>
    <mergeCell ref="A15:F15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7" customWidth="1" min="3" max="3"/>
    <col width="18" customWidth="1" min="4" max="4"/>
    <col width="12" customWidth="1" min="5" max="5"/>
    <col width="21" customWidth="1" min="6" max="6"/>
    <col width="23" customWidth="1" min="7" max="7"/>
  </cols>
  <sheetData>
    <row r="1">
      <c r="A1" s="3" t="inlineStr">
        <is>
          <t>Confirmación de proveedores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Proveedores y cuentas por pagar · Cliente de muestra S.A. · corte 2025-12-31</t>
        </is>
      </c>
      <c r="B2" s="16" t="n"/>
      <c r="C2" s="16" t="n"/>
      <c r="D2" s="16" t="n"/>
      <c r="E2" s="16" t="n"/>
      <c r="F2" s="16" t="n"/>
      <c r="G2" s="16" t="n"/>
    </row>
    <row r="4" ht="30" customHeight="1">
      <c r="A4" s="17" t="inlineStr">
        <is>
          <t>Documento</t>
        </is>
      </c>
      <c r="B4" s="17" t="inlineStr">
        <is>
          <t>Proveedor</t>
        </is>
      </c>
      <c r="C4" s="17" t="inlineStr">
        <is>
          <t>Saldo en libros</t>
        </is>
      </c>
      <c r="D4" s="17" t="inlineStr">
        <is>
          <t>Saldo confirmado</t>
        </is>
      </c>
      <c r="E4" s="17" t="inlineStr">
        <is>
          <t>Diferencia</t>
        </is>
      </c>
      <c r="F4" s="17" t="inlineStr">
        <is>
          <t>Diferencia absoluta</t>
        </is>
      </c>
      <c r="G4" s="17" t="inlineStr">
        <is>
          <t>Estado</t>
        </is>
      </c>
    </row>
    <row r="5">
      <c r="A5" s="18" t="inlineStr">
        <is>
          <t>P-001</t>
        </is>
      </c>
      <c r="B5" s="18" t="inlineStr">
        <is>
          <t>Aceros del Pacífico S.A.</t>
        </is>
      </c>
      <c r="C5" s="20">
        <f>'03_Detalle'!F5</f>
        <v/>
      </c>
      <c r="D5" s="20" t="n">
        <v>15000</v>
      </c>
      <c r="E5" s="20">
        <f>D5-C5</f>
        <v/>
      </c>
      <c r="F5" s="20">
        <f>ABS(E5)</f>
        <v/>
      </c>
      <c r="G5" s="18">
        <f>IF(ABS(E5)&lt;=0.005,"Conforme",IF(E5&gt;0,"Proveedor reporta más","Proveedor reporta menos"))</f>
        <v/>
      </c>
    </row>
    <row r="6">
      <c r="A6" s="19" t="inlineStr">
        <is>
          <t>P-003</t>
        </is>
      </c>
      <c r="B6" s="19" t="inlineStr">
        <is>
          <t>Servicios Logísticos del Sur</t>
        </is>
      </c>
      <c r="C6" s="21">
        <f>'03_Detalle'!F7</f>
        <v/>
      </c>
      <c r="D6" s="21" t="n">
        <v>5200</v>
      </c>
      <c r="E6" s="21">
        <f>D6-C6</f>
        <v/>
      </c>
      <c r="F6" s="21">
        <f>ABS(E6)</f>
        <v/>
      </c>
      <c r="G6" s="19">
        <f>IF(ABS(E6)&lt;=0.005,"Conforme",IF(E6&gt;0,"Proveedor reporta más","Proveedor reporta menos"))</f>
        <v/>
      </c>
    </row>
    <row r="7">
      <c r="A7" s="18" t="inlineStr">
        <is>
          <t>P-005</t>
        </is>
      </c>
      <c r="B7" s="18" t="inlineStr">
        <is>
          <t>Maquinarias Industriales S.A.</t>
        </is>
      </c>
      <c r="C7" s="20">
        <f>'03_Detalle'!F9</f>
        <v/>
      </c>
      <c r="D7" s="20" t="n">
        <v>24200</v>
      </c>
      <c r="E7" s="20">
        <f>D7-C7</f>
        <v/>
      </c>
      <c r="F7" s="20">
        <f>ABS(E7)</f>
        <v/>
      </c>
      <c r="G7" s="18">
        <f>IF(ABS(E7)&lt;=0.005,"Conforme",IF(E7&gt;0,"Proveedor reporta más","Proveedor reporta menos"))</f>
        <v/>
      </c>
    </row>
    <row r="8">
      <c r="A8" s="35" t="inlineStr">
        <is>
          <t>TOTAL</t>
        </is>
      </c>
      <c r="B8" s="35" t="inlineStr"/>
      <c r="C8" s="37">
        <f>SUM(C5:C7)</f>
        <v/>
      </c>
      <c r="D8" s="37">
        <f>SUM(D5:D7)</f>
        <v/>
      </c>
      <c r="E8" s="37">
        <f>SUM(E5:E7)</f>
        <v/>
      </c>
      <c r="F8" s="37">
        <f>SUM(F5:F7)</f>
        <v/>
      </c>
      <c r="G8" s="35" t="inlineStr"/>
    </row>
    <row r="10">
      <c r="A10" s="22" t="inlineStr">
        <is>
          <t>ⓘ  Cómo se calcula esta hoja</t>
        </is>
      </c>
    </row>
    <row r="11">
      <c r="A11" s="23" t="inlineStr">
        <is>
          <t>Columna</t>
        </is>
      </c>
      <c r="B11" s="23" t="inlineStr">
        <is>
          <t>Fórmula (Excel)</t>
        </is>
      </c>
      <c r="C11" s="23" t="inlineStr">
        <is>
          <t>Cómo se calcula (sencillo)</t>
        </is>
      </c>
      <c r="D11" s="23" t="inlineStr">
        <is>
          <t>Ejemplo con números reales</t>
        </is>
      </c>
      <c r="E11" s="23" t="inlineStr">
        <is>
          <t>De dónde viene</t>
        </is>
      </c>
      <c r="F11" s="23" t="inlineStr">
        <is>
          <t>Norma</t>
        </is>
      </c>
    </row>
    <row r="12">
      <c r="A12" s="24" t="inlineStr">
        <is>
          <t>Saldo en libros</t>
        </is>
      </c>
      <c r="B12" s="25" t="inlineStr">
        <is>
          <t>'='03_Detalle'!F5</t>
        </is>
      </c>
      <c r="C12" s="24" t="inlineStr">
        <is>
          <t>Trae de la hoja 03 (Detalle por documento) el saldo por pagar registrado para el documento confirmado.</t>
        </is>
      </c>
      <c r="D12" s="24" t="inlineStr">
        <is>
          <t>Fila 1: 15.000,00 → 15.000,00</t>
        </is>
      </c>
      <c r="E12" s="24" t="inlineStr">
        <is>
          <t>hoja «Detalle por documento»</t>
        </is>
      </c>
      <c r="F12" s="24" t="inlineStr">
        <is>
          <t>—</t>
        </is>
      </c>
    </row>
    <row r="13">
      <c r="A13" s="24" t="inlineStr">
        <is>
          <t>Diferencia</t>
        </is>
      </c>
      <c r="B13" s="25" t="inlineStr">
        <is>
          <t>'=D5-C5</t>
        </is>
      </c>
      <c r="C13" s="24" t="inlineStr">
        <is>
          <t>Resta el saldo en libros del saldo confirmado por el proveedor. Positivo: el proveedor reporta más de lo registrado.</t>
        </is>
      </c>
      <c r="D13" s="24" t="inlineStr">
        <is>
          <t>Fila 1: 15.000,00-15.000,00 → 0,00</t>
        </is>
      </c>
      <c r="E13" s="24" t="inlineStr">
        <is>
          <t>«Saldo confirmado» (esta hoja), «Saldo en libros» (esta hoja)</t>
        </is>
      </c>
      <c r="F13" s="24" t="inlineStr">
        <is>
          <t>—</t>
        </is>
      </c>
    </row>
    <row r="14">
      <c r="A14" s="24" t="inlineStr">
        <is>
          <t>Diferencia absoluta</t>
        </is>
      </c>
      <c r="B14" s="25" t="inlineStr">
        <is>
          <t>'=ABS(E5)</t>
        </is>
      </c>
      <c r="C14" s="24" t="inlineStr">
        <is>
          <t>Toma la diferencia sin signo, para sumar las diferencias sin que se compensen unas con otras.</t>
        </is>
      </c>
      <c r="D14" s="24" t="inlineStr">
        <is>
          <t>Fila 1: ABS(0,00) → 0,00</t>
        </is>
      </c>
      <c r="E14" s="24" t="inlineStr">
        <is>
          <t>«Diferencia» (esta hoja)</t>
        </is>
      </c>
      <c r="F14" s="24" t="inlineStr">
        <is>
          <t>—</t>
        </is>
      </c>
    </row>
    <row r="15">
      <c r="A15" s="24" t="inlineStr">
        <is>
          <t>Estado</t>
        </is>
      </c>
      <c r="B15" s="25" t="inlineStr">
        <is>
          <t>'=IF(ABS(E5)&lt;=0.005,"Conforme",IF(E5&gt;0,"Proveedor reporta más","Proveedor reporta menos"))</t>
        </is>
      </c>
      <c r="C15" s="24" t="inlineStr">
        <is>
          <t>Califica la respuesta: «Conforme» si la diferencia no pasa de medio centavo; si no, «Proveedor reporta más» o «Proveedor reporta menos», según el signo.</t>
        </is>
      </c>
      <c r="D15" s="24" t="inlineStr">
        <is>
          <t>Fila 1: IF(ABS(0,00)&lt;=0.005; "Conforme"; IF(0,00&gt;0; "Proveedor reporta más"; "Proveedor reporta menos")) → Conforme</t>
        </is>
      </c>
      <c r="E15" s="24" t="inlineStr">
        <is>
          <t>«Diferencia» (esta hoja)</t>
        </is>
      </c>
      <c r="F15" s="24" t="inlineStr">
        <is>
          <t>—</t>
        </is>
      </c>
    </row>
  </sheetData>
  <mergeCells count="3">
    <mergeCell ref="A2:F2"/>
    <mergeCell ref="A1:F1"/>
    <mergeCell ref="A10:F10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5" customWidth="1" min="3" max="3"/>
    <col width="12" customWidth="1" min="4" max="4"/>
    <col width="12" customWidth="1" min="5" max="5"/>
    <col width="26" customWidth="1" min="6" max="6"/>
    <col width="34" customWidth="1" min="7" max="7"/>
  </cols>
  <sheetData>
    <row r="1">
      <c r="A1" s="3" t="inlineStr">
        <is>
          <t>Corte de compras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Proveedores y cuentas por pagar · Cliente de muestra S.A. · corte 2025-12-31</t>
        </is>
      </c>
      <c r="B2" s="16" t="n"/>
      <c r="C2" s="16" t="n"/>
      <c r="D2" s="16" t="n"/>
      <c r="E2" s="16" t="n"/>
      <c r="F2" s="16" t="n"/>
      <c r="G2" s="16" t="n"/>
    </row>
    <row r="4" ht="30" customHeight="1">
      <c r="A4" s="17" t="inlineStr">
        <is>
          <t>Documento</t>
        </is>
      </c>
      <c r="B4" s="17" t="inlineStr">
        <is>
          <t>Proveedor</t>
        </is>
      </c>
      <c r="C4" s="17" t="inlineStr">
        <is>
          <t>Fecha factura</t>
        </is>
      </c>
      <c r="D4" s="17" t="inlineStr">
        <is>
          <t>Recepción</t>
        </is>
      </c>
      <c r="E4" s="17" t="inlineStr">
        <is>
          <t>Saldo</t>
        </is>
      </c>
      <c r="F4" s="17" t="inlineStr">
        <is>
          <t>Recibida en el ejercicio</t>
        </is>
      </c>
      <c r="G4" s="17" t="inlineStr">
        <is>
          <t>Registrada antes de la recepción</t>
        </is>
      </c>
    </row>
    <row r="5">
      <c r="A5" s="18" t="inlineStr">
        <is>
          <t>P-001</t>
        </is>
      </c>
      <c r="B5" s="18" t="inlineStr">
        <is>
          <t>Aceros del Pacífico S.A.</t>
        </is>
      </c>
      <c r="C5" s="29" t="n">
        <v>45996</v>
      </c>
      <c r="D5" s="29" t="n">
        <v>45996</v>
      </c>
      <c r="E5" s="20">
        <f>'03_Detalle'!F5</f>
        <v/>
      </c>
      <c r="F5" s="18">
        <f>IF(D5&lt;='02_Parametros'!$B$5,"Sí","No")</f>
        <v/>
      </c>
      <c r="G5" s="20">
        <f>IF(F5="No",E5,0)</f>
        <v/>
      </c>
    </row>
    <row r="6">
      <c r="A6" s="19" t="inlineStr">
        <is>
          <t>P-002</t>
        </is>
      </c>
      <c r="B6" s="19" t="inlineStr">
        <is>
          <t>Plásticos Andinos Cía. Ltda.</t>
        </is>
      </c>
      <c r="C6" s="31" t="n">
        <v>46020</v>
      </c>
      <c r="D6" s="31" t="n">
        <v>46028</v>
      </c>
      <c r="E6" s="21">
        <f>'03_Detalle'!F6</f>
        <v/>
      </c>
      <c r="F6" s="19">
        <f>IF(D6&lt;='02_Parametros'!$B$5,"Sí","No")</f>
        <v/>
      </c>
      <c r="G6" s="21">
        <f>IF(F6="No",E6,0)</f>
        <v/>
      </c>
    </row>
    <row r="7">
      <c r="A7" s="18" t="inlineStr">
        <is>
          <t>P-003</t>
        </is>
      </c>
      <c r="B7" s="18" t="inlineStr">
        <is>
          <t>Servicios Logísticos del Sur</t>
        </is>
      </c>
      <c r="C7" s="29" t="n">
        <v>45971</v>
      </c>
      <c r="D7" s="29" t="n">
        <v>45971</v>
      </c>
      <c r="E7" s="20">
        <f>'03_Detalle'!F7</f>
        <v/>
      </c>
      <c r="F7" s="18">
        <f>IF(D7&lt;='02_Parametros'!$B$5,"Sí","No")</f>
        <v/>
      </c>
      <c r="G7" s="20">
        <f>IF(F7="No",E7,0)</f>
        <v/>
      </c>
    </row>
    <row r="8">
      <c r="A8" s="19" t="inlineStr">
        <is>
          <t>P-005</t>
        </is>
      </c>
      <c r="B8" s="19" t="inlineStr">
        <is>
          <t>Maquinarias Industriales S.A.</t>
        </is>
      </c>
      <c r="C8" s="31" t="n">
        <v>45839</v>
      </c>
      <c r="D8" s="31" t="n">
        <v>45839</v>
      </c>
      <c r="E8" s="21">
        <f>'03_Detalle'!F9</f>
        <v/>
      </c>
      <c r="F8" s="19">
        <f>IF(D8&lt;='02_Parametros'!$B$5,"Sí","No")</f>
        <v/>
      </c>
      <c r="G8" s="21">
        <f>IF(F8="No",E8,0)</f>
        <v/>
      </c>
    </row>
    <row r="9">
      <c r="A9" s="18" t="inlineStr">
        <is>
          <t>P-010</t>
        </is>
      </c>
      <c r="B9" s="18" t="inlineStr">
        <is>
          <t>Empresa Eléctrica</t>
        </is>
      </c>
      <c r="C9" s="29" t="n">
        <v>46006</v>
      </c>
      <c r="D9" s="29" t="n">
        <v>45991</v>
      </c>
      <c r="E9" s="20">
        <f>'03_Detalle'!F14</f>
        <v/>
      </c>
      <c r="F9" s="18">
        <f>IF(D9&lt;='02_Parametros'!$B$5,"Sí","No")</f>
        <v/>
      </c>
      <c r="G9" s="20">
        <f>IF(F9="No",E9,0)</f>
        <v/>
      </c>
    </row>
    <row r="10">
      <c r="A10" s="19" t="inlineStr">
        <is>
          <t>P-012</t>
        </is>
      </c>
      <c r="B10" s="19" t="inlineStr">
        <is>
          <t>Mantenimiento Técnico</t>
        </is>
      </c>
      <c r="C10" s="31" t="n">
        <v>46022</v>
      </c>
      <c r="D10" s="31" t="n">
        <v>46022</v>
      </c>
      <c r="E10" s="21">
        <f>'03_Detalle'!F16</f>
        <v/>
      </c>
      <c r="F10" s="19">
        <f>IF(D10&lt;='02_Parametros'!$B$5,"Sí","No")</f>
        <v/>
      </c>
      <c r="G10" s="21">
        <f>IF(F10="No",E10,0)</f>
        <v/>
      </c>
    </row>
    <row r="11">
      <c r="A11" s="35" t="inlineStr">
        <is>
          <t>TOTAL</t>
        </is>
      </c>
      <c r="B11" s="35" t="inlineStr"/>
      <c r="C11" s="36" t="inlineStr"/>
      <c r="D11" s="36" t="inlineStr"/>
      <c r="E11" s="37">
        <f>SUM(E5:E10)</f>
        <v/>
      </c>
      <c r="F11" s="35" t="inlineStr"/>
      <c r="G11" s="37">
        <f>SUM(G5:G10)</f>
        <v/>
      </c>
    </row>
    <row r="13">
      <c r="A13" s="22" t="inlineStr">
        <is>
          <t>ⓘ  Cómo se calcula esta hoja</t>
        </is>
      </c>
    </row>
    <row r="14">
      <c r="A14" s="23" t="inlineStr">
        <is>
          <t>Columna</t>
        </is>
      </c>
      <c r="B14" s="23" t="inlineStr">
        <is>
          <t>Fórmula (Excel)</t>
        </is>
      </c>
      <c r="C14" s="23" t="inlineStr">
        <is>
          <t>Cómo se calcula (sencillo)</t>
        </is>
      </c>
      <c r="D14" s="23" t="inlineStr">
        <is>
          <t>Ejemplo con números reales</t>
        </is>
      </c>
      <c r="E14" s="23" t="inlineStr">
        <is>
          <t>De dónde viene</t>
        </is>
      </c>
      <c r="F14" s="23" t="inlineStr">
        <is>
          <t>Norma</t>
        </is>
      </c>
    </row>
    <row r="15">
      <c r="A15" s="24" t="inlineStr">
        <is>
          <t>Saldo</t>
        </is>
      </c>
      <c r="B15" s="25" t="inlineStr">
        <is>
          <t>'='03_Detalle'!F5</t>
        </is>
      </c>
      <c r="C15" s="24" t="inlineStr">
        <is>
          <t>Trae de la hoja 03 (Detalle por documento) el saldo por pagar del documento con fecha de recepción informada.</t>
        </is>
      </c>
      <c r="D15" s="24" t="inlineStr">
        <is>
          <t>Fila 1: 15.000,00 → 15.000,00</t>
        </is>
      </c>
      <c r="E15" s="24" t="inlineStr">
        <is>
          <t>hoja «Detalle por documento»</t>
        </is>
      </c>
      <c r="F15" s="24" t="inlineStr">
        <is>
          <t>—</t>
        </is>
      </c>
    </row>
    <row r="16">
      <c r="A16" s="24" t="inlineStr">
        <is>
          <t>Recibida en el ejercicio</t>
        </is>
      </c>
      <c r="B16" s="25" t="inlineStr">
        <is>
          <t>'=IF(D5&lt;='02_Parametros'!$B$5,"Sí","No")</t>
        </is>
      </c>
      <c r="C16" s="24" t="inlineStr">
        <is>
          <t>«Sí» si la fecha de recepción del bien o servicio es anterior o igual a la fecha de corte (hoja 02).</t>
        </is>
      </c>
      <c r="D16" s="24" t="inlineStr">
        <is>
          <t>Fila 1: IF(«2025-12-05»&lt;=«2025-12-31»; "Sí"; "No") → Sí</t>
        </is>
      </c>
      <c r="E16" s="24" t="inlineStr">
        <is>
          <t>«Recepción» (esta hoja), hoja «Parámetros»</t>
        </is>
      </c>
      <c r="F16" s="24" t="inlineStr">
        <is>
          <t>—</t>
        </is>
      </c>
    </row>
    <row r="17">
      <c r="A17" s="24" t="inlineStr">
        <is>
          <t>Registrada antes de la recepción</t>
        </is>
      </c>
      <c r="B17" s="25" t="inlineStr">
        <is>
          <t>'=IF(F5="No",E5,0)</t>
        </is>
      </c>
      <c r="C17" s="24" t="inlineStr">
        <is>
          <t>Si el bien o servicio no se recibió hasta el corte, toma el saldo del documento: es una compra registrada antes de tiempo. Si se recibió, cero.</t>
        </is>
      </c>
      <c r="D17" s="24" t="inlineStr">
        <is>
          <t>Fila 1: IF(«Sí»="No"; 15.000,00; 0) → 0,00</t>
        </is>
      </c>
      <c r="E17" s="24" t="inlineStr">
        <is>
          <t>«Recibida en el ejercicio» (esta hoja), «Saldo» (esta hoja)</t>
        </is>
      </c>
      <c r="F17" s="24" t="inlineStr">
        <is>
          <t>—</t>
        </is>
      </c>
    </row>
  </sheetData>
  <mergeCells count="3">
    <mergeCell ref="A13:F13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N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5" customWidth="1" min="3" max="3"/>
    <col width="13" customWidth="1" min="4" max="4"/>
    <col width="12" customWidth="1" min="5" max="5"/>
    <col width="14" customWidth="1" min="6" max="6"/>
    <col width="20" customWidth="1" min="7" max="7"/>
    <col width="23" customWidth="1" min="8" max="8"/>
    <col width="33" customWidth="1" min="9" max="9"/>
    <col width="24" customWidth="1" min="10" max="10"/>
    <col width="17" customWidth="1" min="11" max="11"/>
    <col width="28" customWidth="1" min="12" max="12"/>
    <col width="27" customWidth="1" min="13" max="13"/>
    <col width="22" customWidth="1" min="14" max="14"/>
  </cols>
  <sheetData>
    <row r="1">
      <c r="A1" s="3" t="inlineStr">
        <is>
          <t>Costo amortizado e intereses implícitos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Proveedores y cuentas por pagar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</row>
    <row r="4" ht="30" customHeight="1">
      <c r="A4" s="17" t="inlineStr">
        <is>
          <t>Documento</t>
        </is>
      </c>
      <c r="B4" s="17" t="inlineStr">
        <is>
          <t>Proveedor</t>
        </is>
      </c>
      <c r="C4" s="17" t="inlineStr">
        <is>
          <t>Fecha factura</t>
        </is>
      </c>
      <c r="D4" s="17" t="inlineStr">
        <is>
          <t>Vencimiento</t>
        </is>
      </c>
      <c r="E4" s="17" t="inlineStr">
        <is>
          <t>Nominal</t>
        </is>
      </c>
      <c r="F4" s="17" t="inlineStr">
        <is>
          <t>Plazo (días)</t>
        </is>
      </c>
      <c r="G4" s="17" t="inlineStr">
        <is>
          <t>Días transcurridos</t>
        </is>
      </c>
      <c r="H4" s="17" t="inlineStr">
        <is>
          <t>TIE = tasa de mercado</t>
        </is>
      </c>
      <c r="I4" s="17" t="inlineStr">
        <is>
          <t>Pasivo inicial (valor presente)</t>
        </is>
      </c>
      <c r="J4" s="17" t="inlineStr">
        <is>
          <t>Financiación implícita</t>
        </is>
      </c>
      <c r="K4" s="17" t="inlineStr">
        <is>
          <t>TIE recalculada</t>
        </is>
      </c>
      <c r="L4" s="17" t="inlineStr">
        <is>
          <t>Interés devengado al corte</t>
        </is>
      </c>
      <c r="M4" s="17" t="inlineStr">
        <is>
          <t>Costo amortizado al corte</t>
        </is>
      </c>
      <c r="N4" s="17" t="inlineStr">
        <is>
          <t>Interés por devengar</t>
        </is>
      </c>
    </row>
    <row r="5">
      <c r="A5" s="18" t="inlineStr">
        <is>
          <t>P-005</t>
        </is>
      </c>
      <c r="B5" s="18" t="inlineStr">
        <is>
          <t>Maquinarias Industriales S.A.</t>
        </is>
      </c>
      <c r="C5" s="29" t="n">
        <v>45839</v>
      </c>
      <c r="D5" s="29" t="n">
        <v>46569</v>
      </c>
      <c r="E5" s="20">
        <f>'03_Detalle'!F9</f>
        <v/>
      </c>
      <c r="F5" s="30">
        <f>D5-C5</f>
        <v/>
      </c>
      <c r="G5" s="30">
        <f>MIN(MAX('02_Parametros'!$B$5-C5,0),F5)</f>
        <v/>
      </c>
      <c r="H5" s="39">
        <f>IF('02_Parametros'!$B$7="","",'02_Parametros'!$B$7/100)</f>
        <v/>
      </c>
      <c r="I5" s="20">
        <f>IF(H5="","",E5/(1+H5)^(F5/365))</f>
        <v/>
      </c>
      <c r="J5" s="20">
        <f>IF(H5="","",E5-I5)</f>
        <v/>
      </c>
      <c r="K5" s="39">
        <f>IF(H5="","",(E5/I5)^(365/F5)-1)</f>
        <v/>
      </c>
      <c r="L5" s="20">
        <f>IF(H5="","",I5*((1+H5)^(G5/365)-1))</f>
        <v/>
      </c>
      <c r="M5" s="20">
        <f>IF(H5="","",I5+L5)</f>
        <v/>
      </c>
      <c r="N5" s="20">
        <f>IF(H5="","",E5-M5)</f>
        <v/>
      </c>
    </row>
    <row r="6">
      <c r="A6" s="35" t="inlineStr">
        <is>
          <t>TOTAL</t>
        </is>
      </c>
      <c r="B6" s="35" t="inlineStr"/>
      <c r="C6" s="36" t="inlineStr"/>
      <c r="D6" s="36" t="inlineStr"/>
      <c r="E6" s="37">
        <f>SUM(E5:E5)</f>
        <v/>
      </c>
      <c r="F6" s="38" t="n"/>
      <c r="G6" s="38" t="n"/>
      <c r="H6" s="41" t="n"/>
      <c r="I6" s="37">
        <f>SUM(I5:I5)</f>
        <v/>
      </c>
      <c r="J6" s="37">
        <f>SUM(J5:J5)</f>
        <v/>
      </c>
      <c r="K6" s="41" t="n"/>
      <c r="L6" s="37">
        <f>SUM(L5:L5)</f>
        <v/>
      </c>
      <c r="M6" s="37">
        <f>SUM(M5:M5)</f>
        <v/>
      </c>
      <c r="N6" s="37">
        <f>SUM(N5:N5)</f>
        <v/>
      </c>
    </row>
    <row r="8">
      <c r="A8" s="22" t="inlineStr">
        <is>
          <t>ⓘ  Cómo se calcula esta hoja</t>
        </is>
      </c>
    </row>
    <row r="9">
      <c r="A9" s="23" t="inlineStr">
        <is>
          <t>Columna</t>
        </is>
      </c>
      <c r="B9" s="23" t="inlineStr">
        <is>
          <t>Fórmula (Excel)</t>
        </is>
      </c>
      <c r="C9" s="23" t="inlineStr">
        <is>
          <t>Cómo se calcula (sencillo)</t>
        </is>
      </c>
      <c r="D9" s="23" t="inlineStr">
        <is>
          <t>Ejemplo con números reales</t>
        </is>
      </c>
      <c r="E9" s="23" t="inlineStr">
        <is>
          <t>De dónde viene</t>
        </is>
      </c>
      <c r="F9" s="23" t="inlineStr">
        <is>
          <t>Norma</t>
        </is>
      </c>
    </row>
    <row r="10">
      <c r="A10" s="24" t="inlineStr">
        <is>
          <t>Nominal</t>
        </is>
      </c>
      <c r="B10" s="25" t="inlineStr">
        <is>
          <t>'='03_Detalle'!F9</t>
        </is>
      </c>
      <c r="C10" s="24" t="inlineStr">
        <is>
          <t>Trae de la hoja 03 (Detalle por documento) el saldo por pagar del documento con financiación implícita.</t>
        </is>
      </c>
      <c r="D10" s="24" t="inlineStr">
        <is>
          <t>Fila 1: 24.200,00 → 24.200,00</t>
        </is>
      </c>
      <c r="E10" s="24" t="inlineStr">
        <is>
          <t>hoja «Detalle por documento»</t>
        </is>
      </c>
      <c r="F10" s="24" t="inlineStr">
        <is>
          <t>—</t>
        </is>
      </c>
    </row>
    <row r="11">
      <c r="A11" s="24" t="inlineStr">
        <is>
          <t>Plazo (días)</t>
        </is>
      </c>
      <c r="B11" s="25" t="inlineStr">
        <is>
          <t>'=D5-C5</t>
        </is>
      </c>
      <c r="C11" s="24" t="inlineStr">
        <is>
          <t>Resta la fecha de la factura de la fecha de vencimiento: días de crédito que dio el proveedor.</t>
        </is>
      </c>
      <c r="D11" s="24" t="inlineStr">
        <is>
          <t>Fila 1: «2027-07-01»-«2025-07-01» → 730</t>
        </is>
      </c>
      <c r="E11" s="24" t="inlineStr">
        <is>
          <t>«Vencimiento» (esta hoja), «Fecha factura» (esta hoja)</t>
        </is>
      </c>
      <c r="F11" s="24" t="inlineStr">
        <is>
          <t>—</t>
        </is>
      </c>
    </row>
    <row r="12">
      <c r="A12" s="24" t="inlineStr">
        <is>
          <t>Días transcurridos</t>
        </is>
      </c>
      <c r="B12" s="25" t="inlineStr">
        <is>
          <t>'=MIN(MAX('02_Parametros'!$B$5-C5,0),F5)</t>
        </is>
      </c>
      <c r="C12" s="24" t="inlineStr">
        <is>
          <t>Días desde la fecha de la factura hasta el corte (hoja 02), sin bajar de cero ni pasar del plazo del documento.</t>
        </is>
      </c>
      <c r="D12" s="24" t="inlineStr">
        <is>
          <t>Fila 1: MIN(MAX(«2025-12-31»-«2025-07-01»; 0); 730) → 183</t>
        </is>
      </c>
      <c r="E12" s="24" t="inlineStr">
        <is>
          <t>«Fecha factura» (esta hoja), «Plazo (días)» (esta hoja), hoja «Parámetros»</t>
        </is>
      </c>
      <c r="F12" s="24" t="inlineStr">
        <is>
          <t>—</t>
        </is>
      </c>
    </row>
    <row r="13">
      <c r="A13" s="24" t="inlineStr">
        <is>
          <t>TIE = tasa de mercado</t>
        </is>
      </c>
      <c r="B13" s="25" t="inlineStr">
        <is>
          <t>'=IF('02_Parametros'!$B$7="","",'02_Parametros'!$B$7/100)</t>
        </is>
      </c>
      <c r="C13" s="24" t="inlineStr">
        <is>
          <t>Trae la tasa de mercado anual de la hoja 02 (Parámetros) y la divide para 100; en blanco si no se informó.</t>
        </is>
      </c>
      <c r="D13" s="24" t="inlineStr">
        <is>
          <t>Fila 1: IF(10,00=""; ""; 10,00/100) → 10,00 %</t>
        </is>
      </c>
      <c r="E13" s="24" t="inlineStr">
        <is>
          <t>hoja «Parámetros»</t>
        </is>
      </c>
      <c r="F13" s="24" t="inlineStr">
        <is>
          <t>—</t>
        </is>
      </c>
    </row>
    <row r="14">
      <c r="A14" s="24" t="inlineStr">
        <is>
          <t>Pasivo inicial (valor presente)</t>
        </is>
      </c>
      <c r="B14" s="25" t="inlineStr">
        <is>
          <t>'=IF(H5="","",E5/(1+H5)^(F5/365))</t>
        </is>
      </c>
      <c r="C14" s="24" t="inlineStr">
        <is>
          <t>Descuenta el nominal a la tasa de mercado por el plazo: nominal ÷ (1 + tasa) elevado a plazo/365. Es el pasivo que debió reconocerse al comprar.</t>
        </is>
      </c>
      <c r="D14" s="24" t="inlineStr">
        <is>
          <t>Fila 1: IF(10,00 %=""; ""; 24.200,00/(1+10,00 %)^(730/365)) → 20.000,00</t>
        </is>
      </c>
      <c r="E14" s="24" t="inlineStr">
        <is>
          <t>«TIE = tasa de mercado» (esta hoja), «Nominal» (esta hoja), «Plazo (días)» (esta hoja)</t>
        </is>
      </c>
      <c r="F14" s="24" t="inlineStr">
        <is>
          <t>—</t>
        </is>
      </c>
    </row>
    <row r="15">
      <c r="A15" s="24" t="inlineStr">
        <is>
          <t>Financiación implícita</t>
        </is>
      </c>
      <c r="B15" s="25" t="inlineStr">
        <is>
          <t>'=IF(H5="","",E5-I5)</t>
        </is>
      </c>
      <c r="C15" s="24" t="inlineStr">
        <is>
          <t>Resta el pasivo inicial (valor presente) del nominal: es el interés escondido en el precio de la compra.</t>
        </is>
      </c>
      <c r="D15" s="24" t="inlineStr">
        <is>
          <t>Fila 1: IF(10,00 %=""; ""; 24.200,00-20.000,00) → 4.200,00</t>
        </is>
      </c>
      <c r="E15" s="24" t="inlineStr">
        <is>
          <t>«TIE = tasa de mercado» (esta hoja), «Nominal» (esta hoja), «Pasivo inicial (valor presente)» (esta hoja)</t>
        </is>
      </c>
      <c r="F15" s="24" t="inlineStr">
        <is>
          <t>—</t>
        </is>
      </c>
    </row>
    <row r="16">
      <c r="A16" s="24" t="inlineStr">
        <is>
          <t>TIE recalculada</t>
        </is>
      </c>
      <c r="B16" s="25" t="inlineStr">
        <is>
          <t>'=IF(H5="","",(E5/I5)^(365/F5)-1)</t>
        </is>
      </c>
      <c r="C16" s="24" t="inlineStr">
        <is>
          <t>Despeja la tasa que convierte el pasivo inicial en el nominal en el plazo del documento; debe coincidir con la tasa de mercado y sirve de control.</t>
        </is>
      </c>
      <c r="D16" s="24" t="inlineStr">
        <is>
          <t>Fila 1: IF(10,00 %=""; ""; (24.200,00/20.000,00)^(365/730)-1) → 10,00 %</t>
        </is>
      </c>
      <c r="E16" s="24" t="inlineStr">
        <is>
          <t>«TIE = tasa de mercado» (esta hoja), «Nominal» (esta hoja), «Pasivo inicial (valor presente)» (esta hoja), «Plazo (días)» (esta hoja)</t>
        </is>
      </c>
      <c r="F16" s="24" t="inlineStr">
        <is>
          <t>—</t>
        </is>
      </c>
    </row>
    <row r="17">
      <c r="A17" s="24" t="inlineStr">
        <is>
          <t>Interés devengado al corte</t>
        </is>
      </c>
      <c r="B17" s="25" t="inlineStr">
        <is>
          <t>'=IF(H5="","",I5*((1+H5)^(G5/365)-1))</t>
        </is>
      </c>
      <c r="C17" s="24" t="inlineStr">
        <is>
          <t>Aplica al pasivo inicial la tasa de mercado por los días transcurridos: pasivo inicial × ((1 + tasa) elevado a días/365 − 1).</t>
        </is>
      </c>
      <c r="D17" s="24" t="inlineStr">
        <is>
          <t>Fila 1: IF(10,00 %=""; ""; 20.000,00*((1+10,00 %)^(183/365)-1)) → 978,92</t>
        </is>
      </c>
      <c r="E17" s="24" t="inlineStr">
        <is>
          <t>«TIE = tasa de mercado» (esta hoja), «Pasivo inicial (valor presente)» (esta hoja), «Días transcurridos» (esta hoja)</t>
        </is>
      </c>
      <c r="F17" s="24" t="inlineStr">
        <is>
          <t>—</t>
        </is>
      </c>
    </row>
    <row r="18">
      <c r="A18" s="24" t="inlineStr">
        <is>
          <t>Costo amortizado al corte</t>
        </is>
      </c>
      <c r="B18" s="25" t="inlineStr">
        <is>
          <t>'=IF(H5="","",I5+L5)</t>
        </is>
      </c>
      <c r="C18" s="24" t="inlineStr">
        <is>
          <t>Suma el pasivo inicial y el interés devengado al corte: es el saldo que corresponde presentar a la fecha de corte.</t>
        </is>
      </c>
      <c r="D18" s="24" t="inlineStr">
        <is>
          <t>Fila 1: IF(10,00 %=""; ""; 20.000,00+978,92) → 20.978,92</t>
        </is>
      </c>
      <c r="E18" s="24" t="inlineStr">
        <is>
          <t>«TIE = tasa de mercado» (esta hoja), «Pasivo inicial (valor presente)» (esta hoja), «Interés devengado al corte» (esta hoja)</t>
        </is>
      </c>
      <c r="F18" s="24" t="inlineStr">
        <is>
          <t>—</t>
        </is>
      </c>
    </row>
    <row r="19">
      <c r="A19" s="24" t="inlineStr">
        <is>
          <t>Interés por devengar</t>
        </is>
      </c>
      <c r="B19" s="25" t="inlineStr">
        <is>
          <t>'=IF(H5="","",E5-M5)</t>
        </is>
      </c>
      <c r="C19" s="24" t="inlineStr">
        <is>
          <t>Resta el costo amortizado al corte del nominal: es el interés implícito que queda por devengar después del corte.</t>
        </is>
      </c>
      <c r="D19" s="24" t="inlineStr">
        <is>
          <t>Fila 1: IF(10,00 %=""; ""; 24.200,00-20.978,92) → 3.221,08</t>
        </is>
      </c>
      <c r="E19" s="24" t="inlineStr">
        <is>
          <t>«TIE = tasa de mercado» (esta hoja), «Nominal» (esta hoja), «Costo amortizado al corte» (esta hoja)</t>
        </is>
      </c>
      <c r="F19" s="24" t="inlineStr">
        <is>
          <t>—</t>
        </is>
      </c>
    </row>
  </sheetData>
  <mergeCells count="3">
    <mergeCell ref="A8:F8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3" customWidth="1" min="3" max="3"/>
    <col width="17" customWidth="1" min="4" max="4"/>
    <col width="19" customWidth="1" min="5" max="5"/>
    <col width="25" customWidth="1" min="6" max="6"/>
    <col width="12" customWidth="1" min="7" max="7"/>
    <col width="19" customWidth="1" min="8" max="8"/>
    <col width="23" customWidth="1" min="9" max="9"/>
    <col width="24" customWidth="1" min="10" max="10"/>
    <col width="24" customWidth="1" min="11" max="11"/>
  </cols>
  <sheetData>
    <row r="1">
      <c r="A1" s="3" t="inlineStr">
        <is>
          <t>Clasificación corriente / no corriente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Proveedores y cuentas por pagar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</row>
    <row r="4" ht="30" customHeight="1">
      <c r="A4" s="17" t="inlineStr">
        <is>
          <t>Documento</t>
        </is>
      </c>
      <c r="B4" s="17" t="inlineStr">
        <is>
          <t>Proveedor</t>
        </is>
      </c>
      <c r="C4" s="17" t="inlineStr">
        <is>
          <t>Vencimiento</t>
        </is>
      </c>
      <c r="D4" s="17" t="inlineStr">
        <is>
          <t>Días por vencer</t>
        </is>
      </c>
      <c r="E4" s="17" t="inlineStr">
        <is>
          <t>Costo amortizado</t>
        </is>
      </c>
      <c r="F4" s="17" t="inlineStr">
        <is>
          <t>Clasificación requerida</t>
        </is>
      </c>
      <c r="G4" s="17" t="inlineStr">
        <is>
          <t>Corriente</t>
        </is>
      </c>
      <c r="H4" s="17" t="inlineStr">
        <is>
          <t>No corriente</t>
        </is>
      </c>
      <c r="I4" s="17" t="inlineStr">
        <is>
          <t>Saldo deudor (activo)</t>
        </is>
      </c>
      <c r="J4" s="17" t="inlineStr">
        <is>
          <t>Partida de explotación</t>
        </is>
      </c>
      <c r="K4" s="17" t="inlineStr">
        <is>
          <t>Límite aplicado (días)</t>
        </is>
      </c>
    </row>
    <row r="5">
      <c r="A5" s="18" t="inlineStr">
        <is>
          <t>P-001</t>
        </is>
      </c>
      <c r="B5" s="18" t="inlineStr">
        <is>
          <t>Aceros del Pacífico S.A.</t>
        </is>
      </c>
      <c r="C5" s="29" t="n">
        <v>46026</v>
      </c>
      <c r="D5" s="30">
        <f>'03_Detalle'!O5</f>
        <v/>
      </c>
      <c r="E5" s="20">
        <f>'03_Detalle'!M5</f>
        <v/>
      </c>
      <c r="F5" s="18">
        <f>IF(E5&lt;0,"Activo (anticipo)",IF('03_Detalle'!P5="Sí","No corriente","Corriente"))</f>
        <v/>
      </c>
      <c r="G5" s="20">
        <f>IF(F5="Corriente",E5,0)</f>
        <v/>
      </c>
      <c r="H5" s="20">
        <f>'03_Detalle'!Q5</f>
        <v/>
      </c>
      <c r="I5" s="20">
        <f>'03_Detalle'!R5</f>
        <v/>
      </c>
      <c r="J5" s="18">
        <f>IF('03_Detalle'!S5="","",'03_Detalle'!S5)</f>
        <v/>
      </c>
      <c r="K5" s="30">
        <f>IF(J5="No",12*365/12,MAX(12,'02_Parametros'!$B$9)*365/12)</f>
        <v/>
      </c>
    </row>
    <row r="6">
      <c r="A6" s="19" t="inlineStr">
        <is>
          <t>P-002</t>
        </is>
      </c>
      <c r="B6" s="19" t="inlineStr">
        <is>
          <t>Plásticos Andinos Cía. Ltda.</t>
        </is>
      </c>
      <c r="C6" s="31" t="n">
        <v>46050</v>
      </c>
      <c r="D6" s="32">
        <f>'03_Detalle'!O6</f>
        <v/>
      </c>
      <c r="E6" s="21">
        <f>'03_Detalle'!M6</f>
        <v/>
      </c>
      <c r="F6" s="19">
        <f>IF(E6&lt;0,"Activo (anticipo)",IF('03_Detalle'!P6="Sí","No corriente","Corriente"))</f>
        <v/>
      </c>
      <c r="G6" s="21">
        <f>IF(F6="Corriente",E6,0)</f>
        <v/>
      </c>
      <c r="H6" s="21">
        <f>'03_Detalle'!Q6</f>
        <v/>
      </c>
      <c r="I6" s="21">
        <f>'03_Detalle'!R6</f>
        <v/>
      </c>
      <c r="J6" s="19">
        <f>IF('03_Detalle'!S6="","",'03_Detalle'!S6)</f>
        <v/>
      </c>
      <c r="K6" s="32">
        <f>IF(J6="No",12*365/12,MAX(12,'02_Parametros'!$B$9)*365/12)</f>
        <v/>
      </c>
    </row>
    <row r="7">
      <c r="A7" s="18" t="inlineStr">
        <is>
          <t>P-003</t>
        </is>
      </c>
      <c r="B7" s="18" t="inlineStr">
        <is>
          <t>Servicios Logísticos del Sur</t>
        </is>
      </c>
      <c r="C7" s="29" t="n">
        <v>46001</v>
      </c>
      <c r="D7" s="30">
        <f>'03_Detalle'!O7</f>
        <v/>
      </c>
      <c r="E7" s="20">
        <f>'03_Detalle'!M7</f>
        <v/>
      </c>
      <c r="F7" s="18">
        <f>IF(E7&lt;0,"Activo (anticipo)",IF('03_Detalle'!P7="Sí","No corriente","Corriente"))</f>
        <v/>
      </c>
      <c r="G7" s="20">
        <f>IF(F7="Corriente",E7,0)</f>
        <v/>
      </c>
      <c r="H7" s="20">
        <f>'03_Detalle'!Q7</f>
        <v/>
      </c>
      <c r="I7" s="20">
        <f>'03_Detalle'!R7</f>
        <v/>
      </c>
      <c r="J7" s="18">
        <f>IF('03_Detalle'!S7="","",'03_Detalle'!S7)</f>
        <v/>
      </c>
      <c r="K7" s="30">
        <f>IF(J7="No",12*365/12,MAX(12,'02_Parametros'!$B$9)*365/12)</f>
        <v/>
      </c>
    </row>
    <row r="8">
      <c r="A8" s="19" t="inlineStr">
        <is>
          <t>P-004</t>
        </is>
      </c>
      <c r="B8" s="19" t="inlineStr">
        <is>
          <t>Químicos Unidos S.A.</t>
        </is>
      </c>
      <c r="C8" s="31" t="n">
        <v>45945</v>
      </c>
      <c r="D8" s="32">
        <f>'03_Detalle'!O8</f>
        <v/>
      </c>
      <c r="E8" s="21">
        <f>'03_Detalle'!M8</f>
        <v/>
      </c>
      <c r="F8" s="19">
        <f>IF(E8&lt;0,"Activo (anticipo)",IF('03_Detalle'!P8="Sí","No corriente","Corriente"))</f>
        <v/>
      </c>
      <c r="G8" s="21">
        <f>IF(F8="Corriente",E8,0)</f>
        <v/>
      </c>
      <c r="H8" s="21">
        <f>'03_Detalle'!Q8</f>
        <v/>
      </c>
      <c r="I8" s="21">
        <f>'03_Detalle'!R8</f>
        <v/>
      </c>
      <c r="J8" s="19">
        <f>IF('03_Detalle'!S8="","",'03_Detalle'!S8)</f>
        <v/>
      </c>
      <c r="K8" s="32">
        <f>IF(J8="No",12*365/12,MAX(12,'02_Parametros'!$B$9)*365/12)</f>
        <v/>
      </c>
    </row>
    <row r="9">
      <c r="A9" s="18" t="inlineStr">
        <is>
          <t>P-005</t>
        </is>
      </c>
      <c r="B9" s="18" t="inlineStr">
        <is>
          <t>Maquinarias Industriales S.A.</t>
        </is>
      </c>
      <c r="C9" s="29" t="n">
        <v>46569</v>
      </c>
      <c r="D9" s="30">
        <f>'03_Detalle'!O9</f>
        <v/>
      </c>
      <c r="E9" s="20">
        <f>'03_Detalle'!M9</f>
        <v/>
      </c>
      <c r="F9" s="18">
        <f>IF(E9&lt;0,"Activo (anticipo)",IF('03_Detalle'!P9="Sí","No corriente","Corriente"))</f>
        <v/>
      </c>
      <c r="G9" s="20">
        <f>IF(F9="Corriente",E9,0)</f>
        <v/>
      </c>
      <c r="H9" s="20">
        <f>'03_Detalle'!Q9</f>
        <v/>
      </c>
      <c r="I9" s="20">
        <f>'03_Detalle'!R9</f>
        <v/>
      </c>
      <c r="J9" s="18">
        <f>IF('03_Detalle'!S9="","",'03_Detalle'!S9)</f>
        <v/>
      </c>
      <c r="K9" s="30">
        <f>IF(J9="No",12*365/12,MAX(12,'02_Parametros'!$B$9)*365/12)</f>
        <v/>
      </c>
    </row>
    <row r="10">
      <c r="A10" s="19" t="inlineStr">
        <is>
          <t>P-006</t>
        </is>
      </c>
      <c r="B10" s="19" t="inlineStr">
        <is>
          <t>Holding Andes S.A.</t>
        </is>
      </c>
      <c r="C10" s="31" t="n">
        <v>46203</v>
      </c>
      <c r="D10" s="32">
        <f>'03_Detalle'!O10</f>
        <v/>
      </c>
      <c r="E10" s="21">
        <f>'03_Detalle'!M10</f>
        <v/>
      </c>
      <c r="F10" s="19">
        <f>IF(E10&lt;0,"Activo (anticipo)",IF('03_Detalle'!P10="Sí","No corriente","Corriente"))</f>
        <v/>
      </c>
      <c r="G10" s="21">
        <f>IF(F10="Corriente",E10,0)</f>
        <v/>
      </c>
      <c r="H10" s="21">
        <f>'03_Detalle'!Q10</f>
        <v/>
      </c>
      <c r="I10" s="21">
        <f>'03_Detalle'!R10</f>
        <v/>
      </c>
      <c r="J10" s="19">
        <f>IF('03_Detalle'!S10="","",'03_Detalle'!S10)</f>
        <v/>
      </c>
      <c r="K10" s="32">
        <f>IF(J10="No",12*365/12,MAX(12,'02_Parametros'!$B$9)*365/12)</f>
        <v/>
      </c>
    </row>
    <row r="11">
      <c r="A11" s="18" t="inlineStr">
        <is>
          <t>P-007</t>
        </is>
      </c>
      <c r="B11" s="18" t="inlineStr">
        <is>
          <t>Transportes Rápidos</t>
        </is>
      </c>
      <c r="C11" s="29" t="n">
        <v>46041</v>
      </c>
      <c r="D11" s="30">
        <f>'03_Detalle'!O11</f>
        <v/>
      </c>
      <c r="E11" s="20">
        <f>'03_Detalle'!M11</f>
        <v/>
      </c>
      <c r="F11" s="18">
        <f>IF(E11&lt;0,"Activo (anticipo)",IF('03_Detalle'!P11="Sí","No corriente","Corriente"))</f>
        <v/>
      </c>
      <c r="G11" s="20">
        <f>IF(F11="Corriente",E11,0)</f>
        <v/>
      </c>
      <c r="H11" s="20">
        <f>'03_Detalle'!Q11</f>
        <v/>
      </c>
      <c r="I11" s="20">
        <f>'03_Detalle'!R11</f>
        <v/>
      </c>
      <c r="J11" s="18">
        <f>IF('03_Detalle'!S11="","",'03_Detalle'!S11)</f>
        <v/>
      </c>
      <c r="K11" s="30">
        <f>IF(J11="No",12*365/12,MAX(12,'02_Parametros'!$B$9)*365/12)</f>
        <v/>
      </c>
    </row>
    <row r="12">
      <c r="A12" s="19" t="inlineStr">
        <is>
          <t>P-008</t>
        </is>
      </c>
      <c r="B12" s="19" t="inlineStr">
        <is>
          <t>Empaques Sierra</t>
        </is>
      </c>
      <c r="C12" s="31" t="n">
        <v>45809</v>
      </c>
      <c r="D12" s="32">
        <f>'03_Detalle'!O12</f>
        <v/>
      </c>
      <c r="E12" s="21">
        <f>'03_Detalle'!M12</f>
        <v/>
      </c>
      <c r="F12" s="19">
        <f>IF(E12&lt;0,"Activo (anticipo)",IF('03_Detalle'!P12="Sí","No corriente","Corriente"))</f>
        <v/>
      </c>
      <c r="G12" s="21">
        <f>IF(F12="Corriente",E12,0)</f>
        <v/>
      </c>
      <c r="H12" s="21">
        <f>'03_Detalle'!Q12</f>
        <v/>
      </c>
      <c r="I12" s="21">
        <f>'03_Detalle'!R12</f>
        <v/>
      </c>
      <c r="J12" s="19">
        <f>IF('03_Detalle'!S12="","",'03_Detalle'!S12)</f>
        <v/>
      </c>
      <c r="K12" s="32">
        <f>IF(J12="No",12*365/12,MAX(12,'02_Parametros'!$B$9)*365/12)</f>
        <v/>
      </c>
    </row>
    <row r="13">
      <c r="A13" s="18" t="inlineStr">
        <is>
          <t>P-009</t>
        </is>
      </c>
      <c r="B13" s="18" t="inlineStr">
        <is>
          <t>Importadora Global GmbH</t>
        </is>
      </c>
      <c r="C13" s="29" t="n">
        <v>46052</v>
      </c>
      <c r="D13" s="30">
        <f>'03_Detalle'!O13</f>
        <v/>
      </c>
      <c r="E13" s="20">
        <f>'03_Detalle'!M13</f>
        <v/>
      </c>
      <c r="F13" s="18">
        <f>IF(E13&lt;0,"Activo (anticipo)",IF('03_Detalle'!P13="Sí","No corriente","Corriente"))</f>
        <v/>
      </c>
      <c r="G13" s="20">
        <f>IF(F13="Corriente",E13,0)</f>
        <v/>
      </c>
      <c r="H13" s="20">
        <f>'03_Detalle'!Q13</f>
        <v/>
      </c>
      <c r="I13" s="20">
        <f>'03_Detalle'!R13</f>
        <v/>
      </c>
      <c r="J13" s="18">
        <f>IF('03_Detalle'!S13="","",'03_Detalle'!S13)</f>
        <v/>
      </c>
      <c r="K13" s="30">
        <f>IF(J13="No",12*365/12,MAX(12,'02_Parametros'!$B$9)*365/12)</f>
        <v/>
      </c>
    </row>
    <row r="14">
      <c r="A14" s="19" t="inlineStr">
        <is>
          <t>P-010</t>
        </is>
      </c>
      <c r="B14" s="19" t="inlineStr">
        <is>
          <t>Empresa Eléctrica</t>
        </is>
      </c>
      <c r="C14" s="31" t="n">
        <v>46036</v>
      </c>
      <c r="D14" s="32">
        <f>'03_Detalle'!O14</f>
        <v/>
      </c>
      <c r="E14" s="21">
        <f>'03_Detalle'!M14</f>
        <v/>
      </c>
      <c r="F14" s="19">
        <f>IF(E14&lt;0,"Activo (anticipo)",IF('03_Detalle'!P14="Sí","No corriente","Corriente"))</f>
        <v/>
      </c>
      <c r="G14" s="21">
        <f>IF(F14="Corriente",E14,0)</f>
        <v/>
      </c>
      <c r="H14" s="21">
        <f>'03_Detalle'!Q14</f>
        <v/>
      </c>
      <c r="I14" s="21">
        <f>'03_Detalle'!R14</f>
        <v/>
      </c>
      <c r="J14" s="19">
        <f>IF('03_Detalle'!S14="","",'03_Detalle'!S14)</f>
        <v/>
      </c>
      <c r="K14" s="32">
        <f>IF(J14="No",12*365/12,MAX(12,'02_Parametros'!$B$9)*365/12)</f>
        <v/>
      </c>
    </row>
    <row r="15">
      <c r="A15" s="18" t="inlineStr">
        <is>
          <t>P-011</t>
        </is>
      </c>
      <c r="B15" s="18" t="inlineStr">
        <is>
          <t>Asesores Legales Asociados</t>
        </is>
      </c>
      <c r="C15" s="29" t="n">
        <v>45596</v>
      </c>
      <c r="D15" s="30">
        <f>'03_Detalle'!O15</f>
        <v/>
      </c>
      <c r="E15" s="20">
        <f>'03_Detalle'!M15</f>
        <v/>
      </c>
      <c r="F15" s="18">
        <f>IF(E15&lt;0,"Activo (anticipo)",IF('03_Detalle'!P15="Sí","No corriente","Corriente"))</f>
        <v/>
      </c>
      <c r="G15" s="20">
        <f>IF(F15="Corriente",E15,0)</f>
        <v/>
      </c>
      <c r="H15" s="20">
        <f>'03_Detalle'!Q15</f>
        <v/>
      </c>
      <c r="I15" s="20">
        <f>'03_Detalle'!R15</f>
        <v/>
      </c>
      <c r="J15" s="18">
        <f>IF('03_Detalle'!S15="","",'03_Detalle'!S15)</f>
        <v/>
      </c>
      <c r="K15" s="30">
        <f>IF(J15="No",12*365/12,MAX(12,'02_Parametros'!$B$9)*365/12)</f>
        <v/>
      </c>
    </row>
    <row r="16">
      <c r="A16" s="19" t="inlineStr">
        <is>
          <t>P-012</t>
        </is>
      </c>
      <c r="B16" s="19" t="inlineStr">
        <is>
          <t>Mantenimiento Técnico</t>
        </is>
      </c>
      <c r="C16" s="31" t="n">
        <v>46067</v>
      </c>
      <c r="D16" s="32">
        <f>'03_Detalle'!O16</f>
        <v/>
      </c>
      <c r="E16" s="21">
        <f>'03_Detalle'!M16</f>
        <v/>
      </c>
      <c r="F16" s="19">
        <f>IF(E16&lt;0,"Activo (anticipo)",IF('03_Detalle'!P16="Sí","No corriente","Corriente"))</f>
        <v/>
      </c>
      <c r="G16" s="21">
        <f>IF(F16="Corriente",E16,0)</f>
        <v/>
      </c>
      <c r="H16" s="21">
        <f>'03_Detalle'!Q16</f>
        <v/>
      </c>
      <c r="I16" s="21">
        <f>'03_Detalle'!R16</f>
        <v/>
      </c>
      <c r="J16" s="19">
        <f>IF('03_Detalle'!S16="","",'03_Detalle'!S16)</f>
        <v/>
      </c>
      <c r="K16" s="32">
        <f>IF(J16="No",12*365/12,MAX(12,'02_Parametros'!$B$9)*365/12)</f>
        <v/>
      </c>
    </row>
    <row r="17">
      <c r="A17" s="35" t="inlineStr">
        <is>
          <t>TOTAL</t>
        </is>
      </c>
      <c r="B17" s="35" t="inlineStr"/>
      <c r="C17" s="36" t="n"/>
      <c r="D17" s="38" t="n"/>
      <c r="E17" s="37">
        <f>SUM(E5:E16)</f>
        <v/>
      </c>
      <c r="F17" s="35" t="inlineStr"/>
      <c r="G17" s="37">
        <f>SUM(G5:G16)</f>
        <v/>
      </c>
      <c r="H17" s="37">
        <f>SUM(H5:H16)</f>
        <v/>
      </c>
      <c r="I17" s="37">
        <f>SUM(I5:I16)</f>
        <v/>
      </c>
      <c r="J17" s="35" t="inlineStr"/>
      <c r="K17" s="38" t="n"/>
    </row>
    <row r="19">
      <c r="A19" s="22" t="inlineStr">
        <is>
          <t>ⓘ  Cómo se calcula esta hoja</t>
        </is>
      </c>
    </row>
    <row r="20">
      <c r="A20" s="23" t="inlineStr">
        <is>
          <t>Columna</t>
        </is>
      </c>
      <c r="B20" s="23" t="inlineStr">
        <is>
          <t>Fórmula (Excel)</t>
        </is>
      </c>
      <c r="C20" s="23" t="inlineStr">
        <is>
          <t>Cómo se calcula (sencillo)</t>
        </is>
      </c>
      <c r="D20" s="23" t="inlineStr">
        <is>
          <t>Ejemplo con números reales</t>
        </is>
      </c>
      <c r="E20" s="23" t="inlineStr">
        <is>
          <t>De dónde viene</t>
        </is>
      </c>
      <c r="F20" s="23" t="inlineStr">
        <is>
          <t>Norma</t>
        </is>
      </c>
    </row>
    <row r="21">
      <c r="A21" s="24" t="inlineStr">
        <is>
          <t>Días por vencer</t>
        </is>
      </c>
      <c r="B21" s="25" t="inlineStr">
        <is>
          <t>'='03_Detalle'!O5</t>
        </is>
      </c>
      <c r="C21" s="24" t="inlineStr">
        <is>
          <t>Trae de la hoja 03 (Detalle por documento) los días que faltan desde el corte hasta el vencimiento.</t>
        </is>
      </c>
      <c r="D21" s="24" t="inlineStr">
        <is>
          <t>Fila 1: 4 → 4</t>
        </is>
      </c>
      <c r="E21" s="24" t="inlineStr">
        <is>
          <t>hoja «Detalle por documento»</t>
        </is>
      </c>
      <c r="F21" s="24" t="inlineStr">
        <is>
          <t>—</t>
        </is>
      </c>
    </row>
    <row r="22">
      <c r="A22" s="24" t="inlineStr">
        <is>
          <t>Costo amortizado</t>
        </is>
      </c>
      <c r="B22" s="25" t="inlineStr">
        <is>
          <t>'='03_Detalle'!M5</t>
        </is>
      </c>
      <c r="C22" s="24" t="inlineStr">
        <is>
          <t>Trae de la hoja 03 (Detalle por documento) el costo amortizado del documento.</t>
        </is>
      </c>
      <c r="D22" s="24" t="inlineStr">
        <is>
          <t>Fila 1: 15.000,00 → 15.000,00</t>
        </is>
      </c>
      <c r="E22" s="24" t="inlineStr">
        <is>
          <t>hoja «Detalle por documento»</t>
        </is>
      </c>
      <c r="F22" s="24" t="inlineStr">
        <is>
          <t>—</t>
        </is>
      </c>
    </row>
    <row r="23">
      <c r="A23" s="24" t="inlineStr">
        <is>
          <t>Clasificación requerida</t>
        </is>
      </c>
      <c r="B23" s="25" t="inlineStr">
        <is>
          <t>'=IF(E5&lt;0,"Activo (anticipo)",IF('03_Detalle'!P5="Sí","No corriente","Corriente"))</t>
        </is>
      </c>
      <c r="C23" s="24" t="inlineStr">
        <is>
          <t>«Activo (anticipo)» si el costo amortizado es negativo; «No corriente» si en la hoja 03 el documento quedó marcado como no corriente; si no, «Corriente».</t>
        </is>
      </c>
      <c r="D23" s="24" t="inlineStr">
        <is>
          <t>Fila 1: IF(15.000,00&lt;0; "Activo (anticipo)"; IF(«No»="Sí"; "No corriente"; "Corriente")) → Corriente</t>
        </is>
      </c>
      <c r="E23" s="24" t="inlineStr">
        <is>
          <t>«Costo amortizado» (esta hoja), hoja «Detalle por documento»</t>
        </is>
      </c>
      <c r="F23" s="24" t="inlineStr">
        <is>
          <t>—</t>
        </is>
      </c>
    </row>
    <row r="24">
      <c r="A24" s="24" t="inlineStr">
        <is>
          <t>Corriente</t>
        </is>
      </c>
      <c r="B24" s="25" t="inlineStr">
        <is>
          <t>'=IF(F5="Corriente",E5,0)</t>
        </is>
      </c>
      <c r="C24" s="24" t="inlineStr">
        <is>
          <t>Si la clasificación requerida es «Corriente», toma el costo amortizado del documento; en otro caso, cero.</t>
        </is>
      </c>
      <c r="D24" s="24" t="inlineStr">
        <is>
          <t>Fila 1: IF(«Corriente»="Corriente"; 15.000,00; 0) → 15.000,00</t>
        </is>
      </c>
      <c r="E24" s="24" t="inlineStr">
        <is>
          <t>«Clasificación requerida» (esta hoja), «Costo amortizado» (esta hoja)</t>
        </is>
      </c>
      <c r="F24" s="24" t="inlineStr">
        <is>
          <t>—</t>
        </is>
      </c>
    </row>
    <row r="25">
      <c r="A25" s="24" t="inlineStr">
        <is>
          <t>No corriente</t>
        </is>
      </c>
      <c r="B25" s="25" t="inlineStr">
        <is>
          <t>'='03_Detalle'!Q5</t>
        </is>
      </c>
      <c r="C25" s="24" t="inlineStr">
        <is>
          <t>Trae de la hoja 03 (Detalle por documento) el importe no corriente del documento (su costo amortizado si vence después del límite).</t>
        </is>
      </c>
      <c r="D25" s="24" t="inlineStr">
        <is>
          <t>Fila 1: 0,00 → 0,00</t>
        </is>
      </c>
      <c r="E25" s="24" t="inlineStr">
        <is>
          <t>hoja «Detalle por documento»</t>
        </is>
      </c>
      <c r="F25" s="24" t="inlineStr">
        <is>
          <t>—</t>
        </is>
      </c>
    </row>
    <row r="26">
      <c r="A26" s="24" t="inlineStr">
        <is>
          <t>Saldo deudor (activo)</t>
        </is>
      </c>
      <c r="B26" s="25" t="inlineStr">
        <is>
          <t>'='03_Detalle'!R5</t>
        </is>
      </c>
      <c r="C26" s="24" t="inlineStr">
        <is>
          <t>Trae de la hoja 03 (Detalle por documento) el saldo deudor en positivo, que se reclasifica al activo.</t>
        </is>
      </c>
      <c r="D26" s="24" t="inlineStr">
        <is>
          <t>Fila 1: 0,00 → 0,00</t>
        </is>
      </c>
      <c r="E26" s="24" t="inlineStr">
        <is>
          <t>hoja «Detalle por documento»</t>
        </is>
      </c>
      <c r="F26" s="24" t="inlineStr">
        <is>
          <t>—</t>
        </is>
      </c>
    </row>
    <row r="27">
      <c r="A27" s="24" t="inlineStr">
        <is>
          <t>Partida de explotación</t>
        </is>
      </c>
      <c r="B27" s="25" t="inlineStr">
        <is>
          <t>'=IF('03_Detalle'!S5="","",'03_Detalle'!S5)</t>
        </is>
      </c>
      <c r="C27" s="24" t="inlineStr">
        <is>
          <t>Copia de la hoja 03 si el documento es una partida de explotación (sí/no); en blanco si no se informó.</t>
        </is>
      </c>
      <c r="D27" s="24" t="inlineStr">
        <is>
          <t>Fila 1: IF(«Sí»=""; ""; «Sí») → Sí</t>
        </is>
      </c>
      <c r="E27" s="24" t="inlineStr">
        <is>
          <t>hoja «Detalle por documento»</t>
        </is>
      </c>
      <c r="F27" s="24" t="inlineStr">
        <is>
          <t>—</t>
        </is>
      </c>
    </row>
    <row r="28">
      <c r="A28" s="24" t="inlineStr">
        <is>
          <t>Límite aplicado (días)</t>
        </is>
      </c>
      <c r="B28" s="25" t="inlineStr">
        <is>
          <t>'=IF(J5="No",12*365/12,MAX(12,'02_Parametros'!$B$9)*365/12)</t>
        </is>
      </c>
      <c r="C28" s="24" t="inlineStr">
        <is>
          <t>Días a partir de los cuales el documento es no corriente: 365 si no es partida de explotación; si lo es o no se informó, el mayor entre 12 meses y el ciclo de operación (hoja 02), en días.</t>
        </is>
      </c>
      <c r="D28" s="24" t="inlineStr">
        <is>
          <t>Fila 1: IF(«Sí»="No"; 12*365/12; MAX(12; 12,00)*365/12) → 365</t>
        </is>
      </c>
      <c r="E28" s="24" t="inlineStr">
        <is>
          <t>«Partida de explotación» (esta hoja), hoja «Parámetros»</t>
        </is>
      </c>
      <c r="F28" s="24" t="inlineStr">
        <is>
          <t>—</t>
        </is>
      </c>
    </row>
  </sheetData>
  <mergeCells count="3">
    <mergeCell ref="A19:F19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1" customWidth="1" min="1" max="1"/>
    <col width="12" customWidth="1" min="2" max="2"/>
    <col width="60" customWidth="1" min="3" max="3"/>
  </cols>
  <sheetData>
    <row r="1">
      <c r="A1" s="3" t="inlineStr">
        <is>
          <t>Saldo auditado y ajustes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Proveedores y cuentas por pagar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  <c r="C4" s="17" t="inlineStr">
        <is>
          <t>Referencia</t>
        </is>
      </c>
    </row>
    <row r="5">
      <c r="A5" s="18" t="inlineStr">
        <is>
          <t>Proveedores según auxiliar (nominal)</t>
        </is>
      </c>
      <c r="B5" s="20">
        <f>SUM('03_Detalle'!$F$5:$F$16)</f>
        <v/>
      </c>
      <c r="C5" s="18" t="inlineStr">
        <is>
          <t>03_Detalle</t>
        </is>
      </c>
    </row>
    <row r="6">
      <c r="A6" s="19" t="inlineStr">
        <is>
          <t>(-) Intereses implícitos por devengar registrados</t>
        </is>
      </c>
      <c r="B6" s="21">
        <f>'02_Parametros'!$B$10</f>
        <v/>
      </c>
      <c r="C6" s="19" t="inlineStr">
        <is>
          <t>Parámetros (mayor)</t>
        </is>
      </c>
    </row>
    <row r="7">
      <c r="A7" s="18" t="inlineStr">
        <is>
          <t>Saldo en libros neto</t>
        </is>
      </c>
      <c r="B7" s="20">
        <f>B5-B6</f>
        <v/>
      </c>
      <c r="C7" s="18" t="inlineStr"/>
    </row>
    <row r="8">
      <c r="A8" s="19" t="inlineStr">
        <is>
          <t>(+) Pasivos no registrados</t>
        </is>
      </c>
      <c r="B8" s="21">
        <f>'06_Pasivos_no_registrados'!I13</f>
        <v/>
      </c>
      <c r="C8" s="19" t="inlineStr">
        <is>
          <t>06_Pasivos_no_registrados · NIIF 9 3.1.1 y B3.1.2 b) / PYMES 11.12; NIA 500</t>
        </is>
      </c>
    </row>
    <row r="9">
      <c r="A9" s="18" t="inlineStr">
        <is>
          <t>(-) Compras registradas antes de la recepción</t>
        </is>
      </c>
      <c r="B9" s="20">
        <f>'08_Corte_compras'!G11</f>
        <v/>
      </c>
      <c r="C9" s="18" t="inlineStr">
        <is>
          <t>08_Corte_compras</t>
        </is>
      </c>
    </row>
    <row r="10">
      <c r="A10" s="19" t="inlineStr">
        <is>
          <t>Intereses implícitos por devengar requeridos</t>
        </is>
      </c>
      <c r="B10" s="21">
        <f>SUM('03_Detalle'!$N$5:$N$16)</f>
        <v/>
      </c>
      <c r="C10" s="19" t="inlineStr">
        <is>
          <t>NIIF 9 5.1.1, B5.1.1</t>
        </is>
      </c>
    </row>
    <row r="11">
      <c r="A11" s="18" t="inlineStr">
        <is>
          <t>(-) Ajuste por financiación implícita</t>
        </is>
      </c>
      <c r="B11" s="20">
        <f>B10-B6</f>
        <v/>
      </c>
      <c r="C11" s="18" t="inlineStr">
        <is>
          <t>Requerido − registrado</t>
        </is>
      </c>
    </row>
    <row r="12">
      <c r="A12" s="19" t="inlineStr">
        <is>
          <t>(+) Saldos deudores reclasificados al activo</t>
        </is>
      </c>
      <c r="B12" s="21">
        <f>SUM('03_Detalle'!$R$5:$R$16)</f>
        <v/>
      </c>
      <c r="C12" s="19" t="inlineStr">
        <is>
          <t>Anticipos: no se compensan (NIC 1.32); NIC 32.42 solo para notas de crédito</t>
        </is>
      </c>
    </row>
    <row r="13">
      <c r="A13" s="18" t="inlineStr">
        <is>
          <t>Saldo de proveedores auditado</t>
        </is>
      </c>
      <c r="B13" s="20">
        <f>B7+B8-B9-B11+B12</f>
        <v/>
      </c>
      <c r="C13" s="18" t="inlineStr"/>
    </row>
    <row r="14">
      <c r="A14" s="19" t="inlineStr">
        <is>
          <t>Ajuste neto propuesto a proveedores</t>
        </is>
      </c>
      <c r="B14" s="21">
        <f>B13-B7</f>
        <v/>
      </c>
      <c r="C14" s="19" t="inlineStr">
        <is>
          <t>Positivo: aumenta el pasivo</t>
        </is>
      </c>
    </row>
    <row r="15">
      <c r="A15" s="18" t="inlineStr">
        <is>
          <t>Porción no corriente requerida</t>
        </is>
      </c>
      <c r="B15" s="20">
        <f>SUM('03_Detalle'!$Q$5:$Q$16)</f>
        <v/>
      </c>
      <c r="C15" s="18" t="inlineStr">
        <is>
          <t>NIC 1 69–70 (NIIF 18 párr. 101 y B96 desde 2027)</t>
        </is>
      </c>
    </row>
    <row r="16">
      <c r="A16" s="19" t="inlineStr">
        <is>
          <t>Porción no corriente presentada</t>
        </is>
      </c>
      <c r="B16" s="21">
        <f>'02_Parametros'!$B$11</f>
        <v/>
      </c>
      <c r="C16" s="19" t="inlineStr">
        <is>
          <t>Parámetros</t>
        </is>
      </c>
    </row>
    <row r="17">
      <c r="A17" s="18" t="inlineStr">
        <is>
          <t>Reclasificación a no corriente</t>
        </is>
      </c>
      <c r="B17" s="20">
        <f>B15-B16</f>
        <v/>
      </c>
      <c r="C17" s="18" t="inlineStr">
        <is>
          <t>Positivo: pasar de corriente a no corriente</t>
        </is>
      </c>
    </row>
    <row r="18">
      <c r="A18" s="19" t="inlineStr">
        <is>
          <t>Saldo según el mayor</t>
        </is>
      </c>
      <c r="B18" s="21">
        <f>IF('02_Parametros'!$B$12&lt;&gt;"",'02_Parametros'!$B$12,"")</f>
        <v/>
      </c>
      <c r="C18" s="19" t="inlineStr">
        <is>
          <t>Parámetros</t>
        </is>
      </c>
    </row>
    <row r="19">
      <c r="A19" s="18" t="inlineStr">
        <is>
          <t>Diferencia auxiliar − mayor</t>
        </is>
      </c>
      <c r="B19" s="20">
        <f>IF(B18="","",B5-B18)</f>
        <v/>
      </c>
      <c r="C19" s="18" t="inlineStr">
        <is>
          <t>NIA 500</t>
        </is>
      </c>
    </row>
    <row r="20">
      <c r="A20" s="19" t="inlineStr">
        <is>
          <t>Diferencias de confirmación (absolutas)</t>
        </is>
      </c>
      <c r="B20" s="21">
        <f>'07_Confirmaciones'!F8</f>
        <v/>
      </c>
      <c r="C20" s="19" t="inlineStr">
        <is>
          <t>NIA 505</t>
        </is>
      </c>
    </row>
    <row r="21">
      <c r="A21" s="18" t="inlineStr">
        <is>
          <t>Pagos posteriores mayores al saldo</t>
        </is>
      </c>
      <c r="B21" s="20">
        <f>'05_Pagos_posteriores'!I17</f>
        <v/>
      </c>
      <c r="C21" s="18" t="inlineStr">
        <is>
          <t>05_Pagos_posteriores</t>
        </is>
      </c>
    </row>
    <row r="22">
      <c r="A22" s="19" t="inlineStr">
        <is>
          <t>Saldos con partes relacionadas</t>
        </is>
      </c>
      <c r="B22" s="21">
        <f>SUMIF('03_Detalle'!$G$5:$G$16,"Sí",'03_Detalle'!$F$5:$F$16)</f>
        <v/>
      </c>
      <c r="C22" s="19" t="inlineStr">
        <is>
          <t>NIC 24 párr. 18</t>
        </is>
      </c>
    </row>
    <row r="24">
      <c r="A24" s="22" t="inlineStr">
        <is>
          <t>ⓘ  Cómo se calcula esta hoja</t>
        </is>
      </c>
    </row>
    <row r="25">
      <c r="A25" s="23" t="inlineStr">
        <is>
          <t>Columna</t>
        </is>
      </c>
      <c r="B25" s="23" t="inlineStr">
        <is>
          <t>Fórmula (Excel)</t>
        </is>
      </c>
      <c r="C25" s="23" t="inlineStr">
        <is>
          <t>Cómo se calcula (sencillo)</t>
        </is>
      </c>
      <c r="D25" s="23" t="inlineStr">
        <is>
          <t>Ejemplo con números reales</t>
        </is>
      </c>
      <c r="E25" s="23" t="inlineStr">
        <is>
          <t>De dónde viene</t>
        </is>
      </c>
      <c r="F25" s="23" t="inlineStr">
        <is>
          <t>Norma</t>
        </is>
      </c>
    </row>
    <row r="26">
      <c r="A26" s="24" t="inlineStr">
        <is>
          <t>Importe</t>
        </is>
      </c>
      <c r="B26" s="25" t="inlineStr">
        <is>
          <t>'=SUM('03_Detalle'!$F$5:$F$16)</t>
        </is>
      </c>
      <c r="C26" s="24" t="inlineStr">
        <is>
          <t>Cada fila tiene su propia fórmula: suma columnas de la hoja 03 (saldo, interés por devengar, no corriente, saldos deudores, relacionadas), trae los totales de las hojas 05 a 08 o valores de la hoja 02, y arma el saldo auditado: libros netos + omitidos − compras anticipadas − ajuste por financiación + saldos deudores.</t>
        </is>
      </c>
      <c r="D26" s="24" t="inlineStr">
        <is>
          <t>Fila 1: SUM([«Saldo» de «Detalle por documento», 12 filas]) → 80.300,00</t>
        </is>
      </c>
      <c r="E26" s="24" t="inlineStr">
        <is>
          <t>hoja «Detalle por documento»</t>
        </is>
      </c>
      <c r="F26" s="24" t="inlineStr">
        <is>
          <t>—</t>
        </is>
      </c>
    </row>
  </sheetData>
  <mergeCells count="3">
    <mergeCell ref="A24:F24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60" customWidth="1" min="2" max="2"/>
    <col width="12" customWidth="1" min="3" max="3"/>
    <col width="12" customWidth="1" min="4" max="4"/>
  </cols>
  <sheetData>
    <row r="1">
      <c r="A1" s="3" t="inlineStr">
        <is>
          <t>Asientos propuestos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Proveedores y cuentas por pagar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Asiento</t>
        </is>
      </c>
      <c r="B4" s="17" t="inlineStr">
        <is>
          <t>Cuenta</t>
        </is>
      </c>
      <c r="C4" s="17" t="inlineStr">
        <is>
          <t>Debe</t>
        </is>
      </c>
      <c r="D4" s="17" t="inlineStr">
        <is>
          <t>Haber</t>
        </is>
      </c>
    </row>
    <row r="5">
      <c r="A5" s="18" t="inlineStr">
        <is>
          <t>1 · Pasivos no registrados</t>
        </is>
      </c>
      <c r="B5" s="18" t="inlineStr">
        <is>
          <t>Inventarios / costos y gastos (bienes y servicios recibidos al corte)</t>
        </is>
      </c>
      <c r="C5" s="20">
        <f>'11_Ajuste'!B8</f>
        <v/>
      </c>
      <c r="D5" s="20" t="n"/>
    </row>
    <row r="6">
      <c r="A6" s="19" t="inlineStr"/>
      <c r="B6" s="19" t="inlineStr">
        <is>
          <t>Proveedores</t>
        </is>
      </c>
      <c r="C6" s="21" t="n"/>
      <c r="D6" s="21">
        <f>'11_Ajuste'!B8</f>
        <v/>
      </c>
    </row>
    <row r="7">
      <c r="A7" s="18" t="inlineStr">
        <is>
          <t>2 · Compras registradas antes de la recepción</t>
        </is>
      </c>
      <c r="B7" s="18" t="inlineStr">
        <is>
          <t>Proveedores</t>
        </is>
      </c>
      <c r="C7" s="20">
        <f>'11_Ajuste'!B9</f>
        <v/>
      </c>
      <c r="D7" s="20" t="n"/>
    </row>
    <row r="8">
      <c r="A8" s="19" t="inlineStr"/>
      <c r="B8" s="19" t="inlineStr">
        <is>
          <t>Inventarios / costos y gastos</t>
        </is>
      </c>
      <c r="C8" s="21" t="n"/>
      <c r="D8" s="21">
        <f>'11_Ajuste'!B9</f>
        <v/>
      </c>
    </row>
    <row r="9">
      <c r="A9" s="18" t="inlineStr">
        <is>
          <t>3 · Financiación implícita no reconocida</t>
        </is>
      </c>
      <c r="B9" s="18" t="inlineStr">
        <is>
          <t>(-) Intereses implícitos por devengar (proveedores)</t>
        </is>
      </c>
      <c r="C9" s="20">
        <f>'09_Costo_amortizado'!N6</f>
        <v/>
      </c>
      <c r="D9" s="20" t="n"/>
    </row>
    <row r="10">
      <c r="A10" s="19" t="inlineStr"/>
      <c r="B10" s="19" t="inlineStr">
        <is>
          <t>Gasto financiero por intereses devengados</t>
        </is>
      </c>
      <c r="C10" s="21">
        <f>'09_Costo_amortizado'!L6</f>
        <v/>
      </c>
      <c r="D10" s="21" t="n"/>
    </row>
    <row r="11">
      <c r="A11" s="18" t="inlineStr"/>
      <c r="B11" s="18" t="inlineStr">
        <is>
          <t>Activo o gasto de la compra (componente de financiación)</t>
        </is>
      </c>
      <c r="C11" s="20" t="n"/>
      <c r="D11" s="20">
        <f>'09_Costo_amortizado'!J6</f>
        <v/>
      </c>
    </row>
    <row r="12">
      <c r="A12" s="19" t="inlineStr">
        <is>
          <t>4 · Saldos deudores a anticipos</t>
        </is>
      </c>
      <c r="B12" s="19" t="inlineStr">
        <is>
          <t>Anticipos a proveedores (activo)</t>
        </is>
      </c>
      <c r="C12" s="21">
        <f>'11_Ajuste'!B12</f>
        <v/>
      </c>
      <c r="D12" s="21" t="n"/>
    </row>
    <row r="13">
      <c r="A13" s="18" t="inlineStr"/>
      <c r="B13" s="18" t="inlineStr">
        <is>
          <t>Proveedores</t>
        </is>
      </c>
      <c r="C13" s="20" t="n"/>
      <c r="D13" s="20">
        <f>'11_Ajuste'!B12</f>
        <v/>
      </c>
    </row>
    <row r="14">
      <c r="A14" s="19" t="inlineStr">
        <is>
          <t>5 · Reclasificación corriente / no corriente</t>
        </is>
      </c>
      <c r="B14" s="19" t="inlineStr">
        <is>
          <t>Proveedores corrientes</t>
        </is>
      </c>
      <c r="C14" s="21">
        <f>ABS('11_Ajuste'!B17)</f>
        <v/>
      </c>
      <c r="D14" s="21" t="n"/>
    </row>
    <row r="15">
      <c r="A15" s="18" t="inlineStr"/>
      <c r="B15" s="18" t="inlineStr">
        <is>
          <t>Proveedores no corrientes</t>
        </is>
      </c>
      <c r="C15" s="20" t="n"/>
      <c r="D15" s="20">
        <f>ABS('11_Ajuste'!B17)</f>
        <v/>
      </c>
    </row>
    <row r="17">
      <c r="A17" s="22" t="inlineStr">
        <is>
          <t>ⓘ  Cómo se calcula esta hoja</t>
        </is>
      </c>
    </row>
    <row r="18">
      <c r="A18" s="23" t="inlineStr">
        <is>
          <t>Columna</t>
        </is>
      </c>
      <c r="B18" s="23" t="inlineStr">
        <is>
          <t>Fórmula (Excel)</t>
        </is>
      </c>
      <c r="C18" s="23" t="inlineStr">
        <is>
          <t>Cómo se calcula (sencillo)</t>
        </is>
      </c>
      <c r="D18" s="23" t="inlineStr">
        <is>
          <t>Ejemplo con números reales</t>
        </is>
      </c>
      <c r="E18" s="23" t="inlineStr">
        <is>
          <t>De dónde viene</t>
        </is>
      </c>
      <c r="F18" s="23" t="inlineStr">
        <is>
          <t>Norma</t>
        </is>
      </c>
    </row>
    <row r="19">
      <c r="A19" s="24" t="inlineStr">
        <is>
          <t>Debe</t>
        </is>
      </c>
      <c r="B19" s="25" t="inlineStr">
        <is>
          <t>'='11_Ajuste'!B8</t>
        </is>
      </c>
      <c r="C19" s="24" t="inlineStr">
        <is>
          <t>Trae el importe de cada asiento de la hoja 11 (Saldo auditado y ajustes); en la financiación implícita no registrada, de los totales de la hoja 09 (interés por devengar e interés devengado).</t>
        </is>
      </c>
      <c r="D19" s="24" t="inlineStr">
        <is>
          <t>Fila 1: 9.000,00 → 9.000,00</t>
        </is>
      </c>
      <c r="E19" s="24" t="inlineStr">
        <is>
          <t>hoja «Saldo auditado y ajustes»</t>
        </is>
      </c>
      <c r="F19" s="24" t="inlineStr">
        <is>
          <t>—</t>
        </is>
      </c>
    </row>
    <row r="20">
      <c r="A20" s="24" t="inlineStr">
        <is>
          <t>Haber</t>
        </is>
      </c>
      <c r="B20" s="25" t="inlineStr">
        <is>
          <t>'='11_Ajuste'!B8</t>
        </is>
      </c>
      <c r="C20" s="24" t="inlineStr">
        <is>
          <t>Trae la contrapartida de cada asiento de la hoja 11 (Saldo auditado y ajustes); en la financiación implícita no registrada, el total de financiación implícita de la hoja 09.</t>
        </is>
      </c>
      <c r="D20" s="24" t="inlineStr">
        <is>
          <t>Fila 2: 9.000,00 → 9.000,00</t>
        </is>
      </c>
      <c r="E20" s="24" t="inlineStr">
        <is>
          <t>hoja «Saldo auditado y ajustes»</t>
        </is>
      </c>
      <c r="F20" s="24" t="inlineStr">
        <is>
          <t>—</t>
        </is>
      </c>
    </row>
  </sheetData>
  <mergeCells count="3">
    <mergeCell ref="A2:F2"/>
    <mergeCell ref="A1:F1"/>
    <mergeCell ref="A17:F17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  <col width="12" customWidth="1" min="3" max="3"/>
  </cols>
  <sheetData>
    <row r="1">
      <c r="A1" s="3" t="inlineStr">
        <is>
          <t>Problemas encontrados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Proveedores y cuentas por pagar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Código</t>
        </is>
      </c>
      <c r="B4" s="17" t="inlineStr">
        <is>
          <t>Descripción</t>
        </is>
      </c>
      <c r="C4" s="17" t="inlineStr">
        <is>
          <t>Importe</t>
        </is>
      </c>
    </row>
    <row r="5">
      <c r="A5" s="18" t="inlineStr">
        <is>
          <t>PASIVO_NO_REGISTRADO</t>
        </is>
      </c>
      <c r="B5" s="18" t="inlineStr">
        <is>
          <t>3 pago(s) o factura(s) posteriores al corte con recepción del bien o servicio hasta el corte y sin registrar: 9.000,00. El pasivo existía al cierre (NIIF 9 3.1.1 y B3.1.2 b) / PYMES 11.12; NIA 500).</t>
        </is>
      </c>
      <c r="C5" s="20" t="n">
        <v>9000</v>
      </c>
    </row>
    <row r="6">
      <c r="A6" s="19" t="inlineStr">
        <is>
          <t>DIF_CONFIRMACION</t>
        </is>
      </c>
      <c r="B6" s="19" t="inlineStr">
        <is>
          <t>1 confirmación(es) con diferencia contra libros: P-003 1.200,00. Un saldo confirmado mayor al registrado sugiere pasivo omitido; investigue y concilie (NIA 505).</t>
        </is>
      </c>
      <c r="C6" s="21" t="n">
        <v>1200</v>
      </c>
    </row>
    <row r="7">
      <c r="A7" s="18" t="inlineStr">
        <is>
          <t>ERROR_CORTE_COMPRAS</t>
        </is>
      </c>
      <c r="B7" s="18" t="inlineStr">
        <is>
          <t>P-002: compra registrada al corte con recepción del bien o servicio el 2026-01-06 (posterior al corte): el pasivo aún no existía.</t>
        </is>
      </c>
      <c r="C7" s="20" t="n">
        <v>7000</v>
      </c>
    </row>
    <row r="8">
      <c r="A8" s="19" t="inlineStr">
        <is>
          <t>PAGO_MAYOR_SALDO</t>
        </is>
      </c>
      <c r="B8" s="19" t="inlineStr">
        <is>
          <t>P-004: pago posterior 3.500,00 mayor al saldo registrado 3.000,00: posible pasivo subestimado; obtenga la factura que respalda la diferencia.</t>
        </is>
      </c>
      <c r="C8" s="21" t="n">
        <v>500</v>
      </c>
    </row>
    <row r="9">
      <c r="A9" s="18" t="inlineStr">
        <is>
          <t>PAGO_NO_POSTERIOR</t>
        </is>
      </c>
      <c r="B9" s="18" t="inlineStr">
        <is>
          <t>P-009: el pago informado no tiene fecha posterior al corte; si se pagó antes del cierre, el saldo no debería seguir en el auxiliar (NIIF 9 3.3.1).</t>
        </is>
      </c>
      <c r="C9" s="20" t="n">
        <v>9000</v>
      </c>
    </row>
    <row r="10">
      <c r="A10" s="19" t="inlineStr">
        <is>
          <t>FINANCIACION_NO_RECONOCIDA</t>
        </is>
      </c>
      <c r="B10" s="19" t="inlineStr">
        <is>
          <t>Intereses implícitos por devengar 3.221,08 frente a 0,00 registrados (dato del mayor no informado): proveedores a plazo largo medidos por su nominal (NIIF 9 5.1.1, B5.1.1; NIIF 9 4.2.1, 5.3.1 y Apéndice A).</t>
        </is>
      </c>
      <c r="C10" s="21" t="n">
        <v>3221.08</v>
      </c>
    </row>
    <row r="11">
      <c r="A11" s="18" t="inlineStr">
        <is>
          <t>NO_CORRIENTE_COMO_CORRIENTE</t>
        </is>
      </c>
      <c r="B11" s="18" t="inlineStr">
        <is>
          <t>Porción que vence después de 12,00 meses 20.978,92 frente a 0,00 presentado como no corriente: reclasificar (NIC 1 69–70 (NIIF 18 párr. 101 y B96 desde 2027)).</t>
        </is>
      </c>
      <c r="C11" s="20" t="n">
        <v>20978.92</v>
      </c>
    </row>
    <row r="12">
      <c r="A12" s="19" t="inlineStr">
        <is>
          <t>SALDOS_DEUDORES</t>
        </is>
      </c>
      <c r="B12" s="19" t="inlineStr">
        <is>
          <t>1 saldo(s) deudor(es) dentro de proveedores (anticipos o notas de crédito) por 1.800,00: reclasificar al activo. Un anticipo por bienes o servicios no es un activo financiero: la prohibición de compensarlo con el pasivo es NIC 1.32; la NIC 32.42 (derecho legal exigible e intención de liquidar por el neto) solo alcanza a los activos y pasivos financieros, como las notas de crédito.</t>
        </is>
      </c>
      <c r="C12" s="21" t="n">
        <v>1800</v>
      </c>
    </row>
    <row r="13">
      <c r="A13" s="18" t="inlineStr">
        <is>
          <t>VENCIDO_MAS_360</t>
        </is>
      </c>
      <c r="B13" s="18" t="inlineStr">
        <is>
          <t>1 saldo(s) vencido(s) hace más de 360 días por 600,00: confirme que la obligación sigue vigente o si se extinguió o prescribió (NIIF 9 3.3.1).</t>
        </is>
      </c>
      <c r="C13" s="20" t="n">
        <v>600</v>
      </c>
    </row>
    <row r="14">
      <c r="A14" s="19" t="inlineStr">
        <is>
          <t>MONEDA_EXTRANJERA</t>
        </is>
      </c>
      <c r="B14" s="19" t="inlineStr">
        <is>
          <t>1 saldo(s) en moneda extranjera (EUR): verifique la conversión al tipo de cambio de cierre (NIC 21 23 a)).</t>
        </is>
      </c>
      <c r="C14" s="21" t="n">
        <v>9000</v>
      </c>
    </row>
    <row r="15">
      <c r="A15" s="18" t="inlineStr">
        <is>
          <t>DIF_MAYOR</t>
        </is>
      </c>
      <c r="B15" s="18" t="inlineStr">
        <is>
          <t>El auxiliar (80.300,00) no concilia con el mayor (80.000,00): diferencia 300,00.</t>
        </is>
      </c>
      <c r="C15" s="20" t="n">
        <v>300</v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</cols>
  <sheetData>
    <row r="1">
      <c r="A1" s="3" t="inlineStr">
        <is>
          <t>Conclusión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Proveedores y cuentas por pagar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Detalle</t>
        </is>
      </c>
    </row>
    <row r="5">
      <c r="A5" s="18" t="inlineStr">
        <is>
          <t>Conciliación con el mayor</t>
        </is>
      </c>
      <c r="B5" s="18" t="inlineStr">
        <is>
          <t>Población None · mayor None · diferencia None</t>
        </is>
      </c>
    </row>
    <row r="6">
      <c r="A6" s="19" t="inlineStr">
        <is>
          <t>Evaluación de excepciones</t>
        </is>
      </c>
      <c r="B6" s="19" t="inlineStr"/>
    </row>
    <row r="7">
      <c r="A7" s="18" t="inlineStr">
        <is>
          <t>Análisis</t>
        </is>
      </c>
      <c r="B7" s="18" t="inlineStr"/>
    </row>
    <row r="8">
      <c r="A8" s="19" t="inlineStr">
        <is>
          <t>Conclusión</t>
        </is>
      </c>
      <c r="B8" s="19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12" customWidth="1" min="5" max="5"/>
    <col width="12" customWidth="1" min="6" max="6"/>
  </cols>
  <sheetData>
    <row r="1">
      <c r="A1" s="3" t="inlineStr">
        <is>
          <t>Control de revisión</t>
        </is>
      </c>
      <c r="H1" s="14" t="inlineStr">
        <is>
          <t>⟵ Inicio</t>
        </is>
      </c>
      <c r="I1" s="14" t="inlineStr">
        <is>
          <t>◀ Anterior</t>
        </is>
      </c>
    </row>
    <row r="2">
      <c r="A2" s="15" t="inlineStr">
        <is>
          <t>Proveedores y cuentas por pagar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Fecha</t>
        </is>
      </c>
      <c r="B4" s="17" t="inlineStr">
        <is>
          <t>Acción</t>
        </is>
      </c>
      <c r="C4" s="17" t="inlineStr">
        <is>
          <t>Estado anterior</t>
        </is>
      </c>
      <c r="D4" s="17" t="inlineStr">
        <is>
          <t>Estado nuevo</t>
        </is>
      </c>
      <c r="E4" s="17" t="inlineStr">
        <is>
          <t>Actor</t>
        </is>
      </c>
      <c r="F4" s="17" t="inlineStr">
        <is>
          <t>Comentario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2026-09-24T04:20:01Z</dcterms:created>
  <dcterms:modified xmlns:dcterms="http://purl.org/dc/terms/" xmlns:xsi="http://www.w3.org/2001/XMLSchema-instance" xsi:type="dcterms:W3CDTF">2026-09-24T04:20:01Z</dcterms:modified>
</cp:coreProperties>
</file>