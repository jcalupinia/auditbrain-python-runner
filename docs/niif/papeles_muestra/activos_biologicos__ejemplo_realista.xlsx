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Activos" sheetId="7" state="visible" r:id="rId7"/>
    <sheet xmlns:r="http://schemas.openxmlformats.org/officeDocument/2006/relationships" name="04_Existencia" sheetId="8" state="visible" r:id="rId8"/>
    <sheet xmlns:r="http://schemas.openxmlformats.org/officeDocument/2006/relationships" name="05_Valoracion" sheetId="9" state="visible" r:id="rId9"/>
    <sheet xmlns:r="http://schemas.openxmlformats.org/officeDocument/2006/relationships" name="06_Transformacion" sheetId="10" state="visible" r:id="rId10"/>
    <sheet xmlns:r="http://schemas.openxmlformats.org/officeDocument/2006/relationships" name="07_Conciliacion" sheetId="11" state="visible" r:id="rId11"/>
    <sheet xmlns:r="http://schemas.openxmlformats.org/officeDocument/2006/relationships" name="08_Modelo_costo" sheetId="12" state="visible" r:id="rId12"/>
    <sheet xmlns:r="http://schemas.openxmlformats.org/officeDocument/2006/relationships" name="09_Cosecha" sheetId="13" state="visible" r:id="rId13"/>
    <sheet xmlns:r="http://schemas.openxmlformats.org/officeDocument/2006/relationships" name="10_Problemas" sheetId="14" state="visible" r:id="rId14"/>
    <sheet xmlns:r="http://schemas.openxmlformats.org/officeDocument/2006/relationships" name="13_Conclusion" sheetId="15" state="visible" r:id="rId15"/>
    <sheet xmlns:r="http://schemas.openxmlformats.org/officeDocument/2006/relationships" name="14_Control_Revision" sheetId="16" state="visible" r:id="rId16"/>
  </sheets>
  <definedNames>
    <definedName name="_xlnm.Print_Area" localSheetId="0">'00_Inicio'!$A$1:$L$75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center" vertical="center" wrapText="1"/>
    </xf>
    <xf numFmtId="165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'00_Inicio'!O22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'00_Inicio'!$N$23:$N$40</f>
            </numRef>
          </cat>
          <val>
            <numRef>
              <f>'00_Inicio'!$O$23:$O$40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'00_Inicio'!O42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'00_Inicio'!$N$43:$N$50</f>
            </numRef>
          </cat>
          <val>
            <numRef>
              <f>'00_Inicio'!$O$43:$O$50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7740000" cy="5745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55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Activos'!A1" TargetMode="External" Id="rId6"/><Relationship Type="http://schemas.openxmlformats.org/officeDocument/2006/relationships/hyperlink" Target="#'04_Existencia'!A1" TargetMode="External" Id="rId7"/><Relationship Type="http://schemas.openxmlformats.org/officeDocument/2006/relationships/hyperlink" Target="#'05_Valoracion'!A1" TargetMode="External" Id="rId8"/><Relationship Type="http://schemas.openxmlformats.org/officeDocument/2006/relationships/hyperlink" Target="#'06_Transformacion'!A1" TargetMode="External" Id="rId9"/><Relationship Type="http://schemas.openxmlformats.org/officeDocument/2006/relationships/hyperlink" Target="#'07_Conciliacion'!A1" TargetMode="External" Id="rId10"/><Relationship Type="http://schemas.openxmlformats.org/officeDocument/2006/relationships/hyperlink" Target="#'08_Modelo_costo'!A1" TargetMode="External" Id="rId11"/><Relationship Type="http://schemas.openxmlformats.org/officeDocument/2006/relationships/hyperlink" Target="#'09_Cosecha'!A1" TargetMode="External" Id="rId12"/><Relationship Type="http://schemas.openxmlformats.org/officeDocument/2006/relationships/hyperlink" Target="#'10_Problemas'!A1" TargetMode="External" Id="rId13"/><Relationship Type="http://schemas.openxmlformats.org/officeDocument/2006/relationships/hyperlink" Target="#'13_Conclusion'!A1" TargetMode="External" Id="rId14"/><Relationship Type="http://schemas.openxmlformats.org/officeDocument/2006/relationships/hyperlink" Target="#'14_Control_Revision'!A1" TargetMode="External" Id="rId15"/><Relationship Type="http://schemas.openxmlformats.org/officeDocument/2006/relationships/drawing" Target="/xl/drawings/drawing1.xm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Activo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Existencia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Activos'!A1" TargetMode="External" Id="rId2"/><Relationship Type="http://schemas.openxmlformats.org/officeDocument/2006/relationships/hyperlink" Target="#'05_Valoracion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Existencia'!A1" TargetMode="External" Id="rId2"/><Relationship Type="http://schemas.openxmlformats.org/officeDocument/2006/relationships/hyperlink" Target="#'06_Transformacion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Valoracion'!A1" TargetMode="External" Id="rId2"/><Relationship Type="http://schemas.openxmlformats.org/officeDocument/2006/relationships/hyperlink" Target="#'07_Conciliacion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Transformacion'!A1" TargetMode="External" Id="rId2"/><Relationship Type="http://schemas.openxmlformats.org/officeDocument/2006/relationships/hyperlink" Target="#'08_Modelo_costo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Conciliacion'!A1" TargetMode="External" Id="rId2"/><Relationship Type="http://schemas.openxmlformats.org/officeDocument/2006/relationships/hyperlink" Target="#'09_Cosecha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Modelo_costo'!A1" TargetMode="External" Id="rId2"/><Relationship Type="http://schemas.openxmlformats.org/officeDocument/2006/relationships/hyperlink" Target="#'10_Problemas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Cosecha'!A1" TargetMode="External" Id="rId2"/><Relationship Type="http://schemas.openxmlformats.org/officeDocument/2006/relationships/hyperlink" Target="#'13_Conclusion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Problemas'!A1" TargetMode="External" Id="rId2"/><Relationship Type="http://schemas.openxmlformats.org/officeDocument/2006/relationships/hyperlink" Target="#'14_Control_Revision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Activos biológicos y agricultura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(partidas medidas)</t>
        </is>
      </c>
      <c r="C11" s="7" t="inlineStr">
        <is>
          <t>Problemas encontrados</t>
        </is>
      </c>
    </row>
    <row r="12">
      <c r="B12" s="8" t="n">
        <v>22320</v>
      </c>
      <c r="C12" s="9" t="n">
        <v>12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 y ajuste propuesto</t>
        </is>
      </c>
    </row>
    <row r="17" ht="32" customHeight="1">
      <c r="B17" s="10" t="inlineStr">
        <is>
          <t>Parámetros y ruta por marco</t>
        </is>
      </c>
      <c r="C17" s="10" t="inlineStr">
        <is>
          <t>Activos biológicos: clasificación y datos</t>
        </is>
      </c>
      <c r="D17" s="10" t="inlineStr">
        <is>
          <t>Existencia: conteo vs registros</t>
        </is>
      </c>
      <c r="E17" s="10" t="inlineStr">
        <is>
          <t>Valoración: VR menos costos de venta</t>
        </is>
      </c>
    </row>
    <row r="18" ht="32" customHeight="1">
      <c r="B18" s="10" t="inlineStr">
        <is>
          <t>Transformación biológica y cambio de VR</t>
        </is>
      </c>
      <c r="C18" s="10" t="inlineStr">
        <is>
          <t>Conciliación de cambios (NIC 41.50)</t>
        </is>
      </c>
      <c r="D18" s="10" t="inlineStr">
        <is>
          <t>Modelo del costo y deterioro</t>
        </is>
      </c>
      <c r="E18" s="10" t="inlineStr">
        <is>
          <t>Producto agrícola en el punto de cosecha</t>
        </is>
      </c>
    </row>
    <row r="19" ht="32" customHeight="1">
      <c r="B19" s="10" t="inlineStr">
        <is>
          <t>Problemas encontrados</t>
        </is>
      </c>
      <c r="C19" s="10" t="inlineStr">
        <is>
          <t>Conclusión</t>
        </is>
      </c>
      <c r="D19" s="10" t="inlineStr">
        <is>
          <t>Control de revisión</t>
        </is>
      </c>
    </row>
    <row r="21">
      <c r="B21" s="6" t="inlineStr">
        <is>
          <t>PANORAMA</t>
        </is>
      </c>
      <c r="N21" s="11" t="inlineStr">
        <is>
          <t>Datos de los gráficos (fórmulas a las cédulas)</t>
        </is>
      </c>
    </row>
    <row r="22">
      <c r="N22" s="12" t="inlineStr">
        <is>
          <t>Cifras del resumen</t>
        </is>
      </c>
      <c r="O22" s="12" t="inlineStr">
        <is>
          <t>Importe (USD)</t>
        </is>
      </c>
    </row>
    <row r="23">
      <c r="N23" s="12">
        <f>'01_Resumen'!A5</f>
        <v/>
      </c>
      <c r="O23" s="13">
        <f>'01_Resumen'!B5</f>
        <v/>
      </c>
    </row>
    <row r="24">
      <c r="N24" s="12">
        <f>'01_Resumen'!A6</f>
        <v/>
      </c>
      <c r="O24" s="13">
        <f>'01_Resumen'!B6</f>
        <v/>
      </c>
    </row>
    <row r="25">
      <c r="N25" s="12">
        <f>'01_Resumen'!A7</f>
        <v/>
      </c>
      <c r="O25" s="13">
        <f>'01_Resumen'!B7</f>
        <v/>
      </c>
    </row>
    <row r="26">
      <c r="N26" s="12">
        <f>'01_Resumen'!A8</f>
        <v/>
      </c>
      <c r="O26" s="13">
        <f>'01_Resumen'!B8</f>
        <v/>
      </c>
    </row>
    <row r="27">
      <c r="N27" s="12">
        <f>'01_Resumen'!A9</f>
        <v/>
      </c>
      <c r="O27" s="13">
        <f>'01_Resumen'!B9</f>
        <v/>
      </c>
    </row>
    <row r="28">
      <c r="N28" s="12">
        <f>'01_Resumen'!A10</f>
        <v/>
      </c>
      <c r="O28" s="13">
        <f>'01_Resumen'!B10</f>
        <v/>
      </c>
    </row>
    <row r="29">
      <c r="N29" s="12">
        <f>'01_Resumen'!A11</f>
        <v/>
      </c>
      <c r="O29" s="13">
        <f>'01_Resumen'!B11</f>
        <v/>
      </c>
    </row>
    <row r="30">
      <c r="N30" s="12">
        <f>'01_Resumen'!A12</f>
        <v/>
      </c>
      <c r="O30" s="13">
        <f>'01_Resumen'!B12</f>
        <v/>
      </c>
    </row>
    <row r="31">
      <c r="N31" s="12">
        <f>'01_Resumen'!A13</f>
        <v/>
      </c>
      <c r="O31" s="13">
        <f>'01_Resumen'!B13</f>
        <v/>
      </c>
    </row>
    <row r="32">
      <c r="N32" s="12">
        <f>'01_Resumen'!A14</f>
        <v/>
      </c>
      <c r="O32" s="13">
        <f>'01_Resumen'!B14</f>
        <v/>
      </c>
    </row>
    <row r="33">
      <c r="N33" s="12">
        <f>'01_Resumen'!A15</f>
        <v/>
      </c>
      <c r="O33" s="13">
        <f>'01_Resumen'!B15</f>
        <v/>
      </c>
    </row>
    <row r="34">
      <c r="N34" s="12">
        <f>'01_Resumen'!A16</f>
        <v/>
      </c>
      <c r="O34" s="13">
        <f>'01_Resumen'!B16</f>
        <v/>
      </c>
    </row>
    <row r="35">
      <c r="N35" s="12">
        <f>'01_Resumen'!A17</f>
        <v/>
      </c>
      <c r="O35" s="13">
        <f>'01_Resumen'!B17</f>
        <v/>
      </c>
    </row>
    <row r="36">
      <c r="N36" s="12">
        <f>'01_Resumen'!A18</f>
        <v/>
      </c>
      <c r="O36" s="13">
        <f>'01_Resumen'!B18</f>
        <v/>
      </c>
    </row>
    <row r="37">
      <c r="N37" s="12">
        <f>'01_Resumen'!A19</f>
        <v/>
      </c>
      <c r="O37" s="13">
        <f>'01_Resumen'!B19</f>
        <v/>
      </c>
    </row>
    <row r="38">
      <c r="N38" s="12">
        <f>'01_Resumen'!A20</f>
        <v/>
      </c>
      <c r="O38" s="13">
        <f>'01_Resumen'!B20</f>
        <v/>
      </c>
    </row>
    <row r="39">
      <c r="N39" s="12">
        <f>'01_Resumen'!A21</f>
        <v/>
      </c>
      <c r="O39" s="13">
        <f>'01_Resumen'!B21</f>
        <v/>
      </c>
    </row>
    <row r="40">
      <c r="N40" s="12">
        <f>'01_Resumen'!A22</f>
        <v/>
      </c>
      <c r="O40" s="13">
        <f>'01_Resumen'!B22</f>
        <v/>
      </c>
    </row>
    <row r="42">
      <c r="N42" s="12" t="inlineStr">
        <is>
          <t>Hallazgos de mayor impacto</t>
        </is>
      </c>
      <c r="O42" s="12" t="inlineStr">
        <is>
          <t>Importe (USD)</t>
        </is>
      </c>
    </row>
    <row r="43">
      <c r="N43" s="12" t="inlineStr">
        <is>
          <t>Sin conteo</t>
        </is>
      </c>
      <c r="O43" s="13">
        <f>SUMIFS('10_Problemas'!$C$5:$C$16,'10_Problemas'!$A$5:$A$16,"SIN_CONTEO",'10_Problemas'!$C$5:$C$16,"&gt;0")-SUMIFS('10_Problemas'!$C$5:$C$16,'10_Problemas'!$A$5:$A$16,"SIN_CONTEO",'10_Problemas'!$C$5:$C$16,"&lt;0")</f>
        <v/>
      </c>
    </row>
    <row r="44">
      <c r="N44" s="12" t="inlineStr">
        <is>
          <t>Planta productora</t>
        </is>
      </c>
      <c r="O44" s="13">
        <f>SUMIFS('10_Problemas'!$C$5:$C$16,'10_Problemas'!$A$5:$A$16,"PLANTA_PRODUCTORA",'10_Problemas'!$C$5:$C$16,"&gt;0")-SUMIFS('10_Problemas'!$C$5:$C$16,'10_Problemas'!$A$5:$A$16,"PLANTA_PRODUCTORA",'10_Problemas'!$C$5:$C$16,"&lt;0")</f>
        <v/>
      </c>
    </row>
    <row r="45">
      <c r="N45" s="12" t="inlineStr">
        <is>
          <t>Cambio vr no reconocido</t>
        </is>
      </c>
      <c r="O45" s="13">
        <f>SUMIFS('10_Problemas'!$C$5:$C$16,'10_Problemas'!$A$5:$A$16,"CAMBIO_VR_NO_RECONOCIDO",'10_Problemas'!$C$5:$C$16,"&gt;0")-SUMIFS('10_Problemas'!$C$5:$C$16,'10_Problemas'!$A$5:$A$16,"CAMBIO_VR_NO_RECONOCIDO",'10_Problemas'!$C$5:$C$16,"&lt;0")</f>
        <v/>
      </c>
    </row>
    <row r="46">
      <c r="N46" s="12" t="inlineStr">
        <is>
          <t>Valoracion difiere</t>
        </is>
      </c>
      <c r="O46" s="13">
        <f>SUMIFS('10_Problemas'!$C$5:$C$16,'10_Problemas'!$A$5:$A$16,"VALORACION_DIFIERE",'10_Problemas'!$C$5:$C$16,"&gt;0")-SUMIFS('10_Problemas'!$C$5:$C$16,'10_Problemas'!$A$5:$A$16,"VALORACION_DIFIERE",'10_Problemas'!$C$5:$C$16,"&lt;0")</f>
        <v/>
      </c>
    </row>
    <row r="47">
      <c r="N47" s="12" t="inlineStr">
        <is>
          <t>Cosecha no a vr</t>
        </is>
      </c>
      <c r="O47" s="13">
        <f>SUMIFS('10_Problemas'!$C$5:$C$16,'10_Problemas'!$A$5:$A$16,"COSECHA_NO_A_VR",'10_Problemas'!$C$5:$C$16,"&gt;0")-SUMIFS('10_Problemas'!$C$5:$C$16,'10_Problemas'!$A$5:$A$16,"COSECHA_NO_A_VR",'10_Problemas'!$C$5:$C$16,"&lt;0")</f>
        <v/>
      </c>
    </row>
    <row r="48">
      <c r="N48" s="12" t="inlineStr">
        <is>
          <t>Modelo costo sin justificar</t>
        </is>
      </c>
      <c r="O48" s="13">
        <f>SUMIFS('10_Problemas'!$C$5:$C$16,'10_Problemas'!$A$5:$A$16,"MODELO_COSTO_SIN_JUSTIFICAR",'10_Problemas'!$C$5:$C$16,"&gt;0")-SUMIFS('10_Problemas'!$C$5:$C$16,'10_Problemas'!$A$5:$A$16,"MODELO_COSTO_SIN_JUSTIFICAR",'10_Problemas'!$C$5:$C$16,"&lt;0")</f>
        <v/>
      </c>
    </row>
    <row r="49">
      <c r="N49" s="12" t="inlineStr">
        <is>
          <t>Deterioro costo</t>
        </is>
      </c>
      <c r="O49" s="13">
        <f>SUMIFS('10_Problemas'!$C$5:$C$16,'10_Problemas'!$A$5:$A$16,"DETERIORO_COSTO",'10_Problemas'!$C$5:$C$16,"&gt;0")-SUMIFS('10_Problemas'!$C$5:$C$16,'10_Problemas'!$A$5:$A$16,"DETERIORO_COSTO",'10_Problemas'!$C$5:$C$16,"&lt;0")</f>
        <v/>
      </c>
    </row>
    <row r="50">
      <c r="N50" s="12" t="inlineStr">
        <is>
          <t>Otros (3 tipos)</t>
        </is>
      </c>
      <c r="O50" s="13">
        <f>SUMIF('10_Problemas'!$C$5:$C$16,"&gt;0")-SUMIF('10_Problemas'!$C$5:$C$16,"&lt;0")-((SUMIFS('10_Problemas'!$C$5:$C$16,'10_Problemas'!$A$5:$A$16,"SIN_CONTEO",'10_Problemas'!$C$5:$C$16,"&gt;0")-SUMIFS('10_Problemas'!$C$5:$C$16,'10_Problemas'!$A$5:$A$16,"SIN_CONTEO",'10_Problemas'!$C$5:$C$16,"&lt;0"))+(SUMIFS('10_Problemas'!$C$5:$C$16,'10_Problemas'!$A$5:$A$16,"PLANTA_PRODUCTORA",'10_Problemas'!$C$5:$C$16,"&gt;0")-SUMIFS('10_Problemas'!$C$5:$C$16,'10_Problemas'!$A$5:$A$16,"PLANTA_PRODUCTORA",'10_Problemas'!$C$5:$C$16,"&lt;0"))+(SUMIFS('10_Problemas'!$C$5:$C$16,'10_Problemas'!$A$5:$A$16,"CAMBIO_VR_NO_RECONOCIDO",'10_Problemas'!$C$5:$C$16,"&gt;0")-SUMIFS('10_Problemas'!$C$5:$C$16,'10_Problemas'!$A$5:$A$16,"CAMBIO_VR_NO_RECONOCIDO",'10_Problemas'!$C$5:$C$16,"&lt;0"))+(SUMIFS('10_Problemas'!$C$5:$C$16,'10_Problemas'!$A$5:$A$16,"VALORACION_DIFIERE",'10_Problemas'!$C$5:$C$16,"&gt;0")-SUMIFS('10_Problemas'!$C$5:$C$16,'10_Problemas'!$A$5:$A$16,"VALORACION_DIFIERE",'10_Problemas'!$C$5:$C$16,"&lt;0"))+(SUMIFS('10_Problemas'!$C$5:$C$16,'10_Problemas'!$A$5:$A$16,"COSECHA_NO_A_VR",'10_Problemas'!$C$5:$C$16,"&gt;0")-SUMIFS('10_Problemas'!$C$5:$C$16,'10_Problemas'!$A$5:$A$16,"COSECHA_NO_A_VR",'10_Problemas'!$C$5:$C$16,"&lt;0"))+(SUMIFS('10_Problemas'!$C$5:$C$16,'10_Problemas'!$A$5:$A$16,"MODELO_COSTO_SIN_JUSTIFICAR",'10_Problemas'!$C$5:$C$16,"&gt;0")-SUMIFS('10_Problemas'!$C$5:$C$16,'10_Problemas'!$A$5:$A$16,"MODELO_COSTO_SIN_JUSTIFICAR",'10_Problemas'!$C$5:$C$16,"&lt;0"))+(SUMIFS('10_Problemas'!$C$5:$C$16,'10_Problemas'!$A$5:$A$16,"DETERIORO_COSTO",'10_Problemas'!$C$5:$C$16,"&gt;0")-SUMIFS('10_Problemas'!$C$5:$C$16,'10_Problemas'!$A$5:$A$16,"DETERIORO_COSTO",'10_Problemas'!$C$5:$C$16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Activos biológicos y agricultura</t>
        </is>
      </c>
    </row>
    <row r="12">
      <c r="A12" s="19" t="inlineStr">
        <is>
          <t>Rubro</t>
        </is>
      </c>
      <c r="B12" s="19" t="inlineStr">
        <is>
          <t>Activos biológicos</t>
        </is>
      </c>
    </row>
    <row r="13">
      <c r="A13" s="18" t="inlineStr">
        <is>
          <t>Motor</t>
        </is>
      </c>
      <c r="B13" s="18" t="inlineStr">
        <is>
          <t>activos_biologicos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60" customWidth="1" min="4" max="4"/>
    <col width="60" customWidth="1" min="5" max="5"/>
    <col width="60" customWidth="1" min="6" max="6"/>
    <col width="57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BIO-01</t>
        </is>
      </c>
      <c r="B5" s="18" t="inlineStr">
        <is>
          <t>Clasificación</t>
        </is>
      </c>
      <c r="C5" s="18" t="inlineStr">
        <is>
          <t>Clasificación</t>
        </is>
      </c>
      <c r="D5" s="18" t="inlineStr">
        <is>
          <t>Clasificar cada lote: consumo/productor, planta productora (NIC 16 en NIIF completas; Sección 17 en PYMES 2025 si puede medirse por separado de su producto, 34.2A) o activo biológico</t>
        </is>
      </c>
      <c r="E5" s="18" t="inlineStr">
        <is>
          <t>Descripción de lotes, políticas</t>
        </is>
      </c>
      <c r="F5" s="18" t="inlineStr">
        <is>
          <t>Cada lote en la norma que le corresponde</t>
        </is>
      </c>
      <c r="G5" s="18" t="inlineStr">
        <is>
          <t>NIC 41.1-2, 41.5-5C · PYMES 34.2, 34.2A, 17.3 a, BIO-07</t>
        </is>
      </c>
    </row>
    <row r="6">
      <c r="A6" s="19" t="inlineStr">
        <is>
          <t>BIO-02</t>
        </is>
      </c>
      <c r="B6" s="19" t="inlineStr">
        <is>
          <t>Existencia</t>
        </is>
      </c>
      <c r="C6" s="19" t="inlineStr">
        <is>
          <t>Existencia</t>
        </is>
      </c>
      <c r="D6" s="19" t="inlineStr">
        <is>
          <t>Presenciar el conteo o la estimación de biomasa y compararlo con los registros</t>
        </is>
      </c>
      <c r="E6" s="19" t="inlineStr">
        <is>
          <t>Actas de conteo, registros de campo, informes de mortalidad</t>
        </is>
      </c>
      <c r="F6" s="19" t="inlineStr">
        <is>
          <t>Diferencias valorizadas y ajustadas</t>
        </is>
      </c>
      <c r="G6" s="19" t="inlineStr">
        <is>
          <t>NIA 501</t>
        </is>
      </c>
    </row>
    <row r="7">
      <c r="A7" s="18" t="inlineStr">
        <is>
          <t>BIO-03</t>
        </is>
      </c>
      <c r="B7" s="18" t="inlineStr">
        <is>
          <t>Valoración</t>
        </is>
      </c>
      <c r="C7" s="18" t="inlineStr">
        <is>
          <t>Valoración</t>
        </is>
      </c>
      <c r="D7" s="18" t="inlineStr">
        <is>
          <t>Recalcular VR menos costos de venta con precios de mercado y costos de venta</t>
        </is>
      </c>
      <c r="E7" s="18" t="inlineStr">
        <is>
          <t>Cotizaciones de mercado, informes de peritos, costos de flete y comisiones</t>
        </is>
      </c>
      <c r="F7" s="18" t="inlineStr">
        <is>
          <t>Valor auditado = libros</t>
        </is>
      </c>
      <c r="G7" s="18" t="inlineStr">
        <is>
          <t>NIC 41.12, NIIF 13 · PYMES 34.4</t>
        </is>
      </c>
    </row>
    <row r="8">
      <c r="A8" s="19" t="inlineStr">
        <is>
          <t>BIO-04</t>
        </is>
      </c>
      <c r="B8" s="19" t="inlineStr">
        <is>
          <t>Transformación biológica</t>
        </is>
      </c>
      <c r="C8" s="19" t="inlineStr">
        <is>
          <t>Exactitud</t>
        </is>
      </c>
      <c r="D8" s="19" t="inlineStr">
        <is>
          <t>Separar el cambio físico y de precio y recalcular la ganancia del ejercicio</t>
        </is>
      </c>
      <c r="E8" s="19" t="inlineStr">
        <is>
          <t>Anexo inicial y final, mayor de resultados</t>
        </is>
      </c>
      <c r="F8" s="19" t="inlineStr">
        <is>
          <t>Ganancia registrada = recalculada</t>
        </is>
      </c>
      <c r="G8" s="19" t="inlineStr">
        <is>
          <t>NIC 41.26, 41.50-41.51 · PYMES 34.4, BIO-05</t>
        </is>
      </c>
    </row>
    <row r="9">
      <c r="A9" s="18" t="inlineStr">
        <is>
          <t>BIO-05</t>
        </is>
      </c>
      <c r="B9" s="18" t="inlineStr">
        <is>
          <t>Producto agrícola</t>
        </is>
      </c>
      <c r="C9" s="18" t="inlineStr">
        <is>
          <t>Valoración</t>
        </is>
      </c>
      <c r="D9" s="18" t="inlineStr">
        <is>
          <t>Recalcular la cosecha a VR menos costos de venta en el punto de cosecha</t>
        </is>
      </c>
      <c r="E9" s="18" t="inlineStr">
        <is>
          <t>Reportes de cosecha, precios a la fecha de cosecha</t>
        </is>
      </c>
      <c r="F9" s="18" t="inlineStr">
        <is>
          <t>Inventario inicial del producto = VR menos costos de venta</t>
        </is>
      </c>
      <c r="G9" s="18" t="inlineStr">
        <is>
          <t>NIC 41.13, 41.32 · PYMES 34.5</t>
        </is>
      </c>
    </row>
    <row r="10">
      <c r="A10" s="19" t="inlineStr">
        <is>
          <t>BIO-06</t>
        </is>
      </c>
      <c r="B10" s="19" t="inlineStr">
        <is>
          <t>Modelo del costo y deterioro</t>
        </is>
      </c>
      <c r="C10" s="19" t="inlineStr">
        <is>
          <t>Valoración</t>
        </is>
      </c>
      <c r="D10" s="19" t="inlineStr">
        <is>
          <t>Evaluar la justificación del modelo del costo y comparar el neto con el importe recuperable</t>
        </is>
      </c>
      <c r="E10" s="19" t="inlineStr">
        <is>
          <t>Análisis de fiabilidad del VR, costeo, tasación</t>
        </is>
      </c>
      <c r="F10" s="19" t="inlineStr">
        <is>
          <t>Costo solo si procede; sin exceso sobre el recuperable</t>
        </is>
      </c>
      <c r="G10" s="19" t="inlineStr">
        <is>
          <t>NIC 41.30-41.33, NIC 36 · PYMES 34.8-34.10, 27</t>
        </is>
      </c>
    </row>
    <row r="11">
      <c r="A11" s="18" t="inlineStr">
        <is>
          <t>BIO-07</t>
        </is>
      </c>
      <c r="B11" s="18" t="inlineStr">
        <is>
          <t>Conciliación y revelaciones</t>
        </is>
      </c>
      <c r="C11" s="18" t="inlineStr">
        <is>
          <t>Presentación</t>
        </is>
      </c>
      <c r="D11" s="18" t="inlineStr">
        <is>
          <t>Conciliar los cambios del importe en libros y el anexo con el mayor</t>
        </is>
      </c>
      <c r="E11" s="18" t="inlineStr">
        <is>
          <t>Movimiento del rubro, mayor</t>
        </is>
      </c>
      <c r="F11" s="18" t="inlineStr">
        <is>
          <t>Conciliación cuadrada y revelada</t>
        </is>
      </c>
      <c r="G11" s="18" t="inlineStr">
        <is>
          <t>NIC 41.50 · PYMES 34.7 c)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501</t>
        </is>
      </c>
      <c r="B5" s="18" t="inlineStr">
        <is>
          <t>Presenciar el recuento de los activos biológicos materiales y probar sus resultados.</t>
        </is>
      </c>
      <c r="C5" s="18" t="inlineStr">
        <is>
          <t>párr. 4 (aplicada por analogía; el párr. 4 trata de inventarios)</t>
        </is>
      </c>
      <c r="D5" s="18" t="inlineStr"/>
      <c r="E5" s="18" t="inlineStr"/>
    </row>
    <row r="6">
      <c r="A6" s="19" t="inlineStr">
        <is>
          <t>NIA · NIA 540 (Revisada)</t>
        </is>
      </c>
      <c r="B6" s="19" t="inlineStr">
        <is>
          <t>El VR menos costos de venta es una estimación: evaluar método, datos y supuestos.</t>
        </is>
      </c>
      <c r="C6" s="19" t="inlineStr">
        <is>
          <t>párr. 13, 16–17, 18–27 y 28–30</t>
        </is>
      </c>
      <c r="D6" s="19" t="inlineStr"/>
      <c r="E6" s="19" t="inlineStr"/>
    </row>
    <row r="7">
      <c r="A7" s="18" t="inlineStr">
        <is>
          <t>NIA · NIA 500</t>
        </is>
      </c>
      <c r="B7" s="18" t="inlineStr">
        <is>
          <t>Evaluar el trabajo del experto (veterinario, ingeniero forestal, biólogo o valuador).</t>
        </is>
      </c>
      <c r="C7" s="18" t="inlineStr">
        <is>
          <t>párr. 8 si el perito es del cliente (NIA 620 solo si lo contrata el auditor)</t>
        </is>
      </c>
      <c r="D7" s="18" t="inlineStr"/>
      <c r="E7" s="18" t="inlineStr"/>
    </row>
    <row r="8">
      <c r="A8" s="19" t="inlineStr">
        <is>
          <t>NIA · NIA 500</t>
        </is>
      </c>
      <c r="B8" s="19" t="inlineStr">
        <is>
          <t>Exactitud e integridad del anexo contra el mayor y los registros de campo.</t>
        </is>
      </c>
      <c r="C8" s="19" t="inlineStr">
        <is>
          <t>párr. 9</t>
        </is>
      </c>
      <c r="D8" s="19" t="inlineStr"/>
      <c r="E8" s="19" t="inlineStr"/>
    </row>
    <row r="9">
      <c r="A9" s="18" t="inlineStr">
        <is>
          <t>NIA · NIA 330</t>
        </is>
      </c>
      <c r="B9" s="18" t="inlineStr">
        <is>
          <t>Procedimientos sustantivos y conciliación de los estados con los registros.</t>
        </is>
      </c>
      <c r="C9" s="18" t="inlineStr">
        <is>
          <t>párr. 18 y 20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3" t="inlineStr">
        <is>
          <t>Resumen y ajuste propuesto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Activos biológicos auditados</t>
        </is>
      </c>
      <c r="B5" s="20">
        <f>SUM('05_Valoracion'!$J$5:$J$14)</f>
        <v/>
      </c>
    </row>
    <row r="6">
      <c r="A6" s="19" t="inlineStr">
        <is>
          <t>Activos biológicos según el anexo (libros)</t>
        </is>
      </c>
      <c r="B6" s="21">
        <f>SUM('03_Activos'!$M$5:$M$14)</f>
        <v/>
      </c>
    </row>
    <row r="7">
      <c r="A7" s="18" t="inlineStr">
        <is>
          <t>Ajuste propuesto (partidas medidas)</t>
        </is>
      </c>
      <c r="B7" s="20">
        <f>SUM('05_Valoracion'!$L$5:$L$14)</f>
        <v/>
      </c>
    </row>
    <row r="8">
      <c r="A8" s="19" t="inlineStr">
        <is>
          <t>Activos biológicos según el mayor</t>
        </is>
      </c>
      <c r="B8" s="21">
        <f>IF('02_Parametros'!$B$9="",SUM('03_Activos'!$M$5:$M$14),'02_Parametros'!$B$9)</f>
        <v/>
      </c>
    </row>
    <row r="9">
      <c r="A9" s="18" t="inlineStr">
        <is>
          <t>Diferencia anexo − mayor</t>
        </is>
      </c>
      <c r="B9" s="20">
        <f>B6-B8</f>
        <v/>
      </c>
    </row>
    <row r="10">
      <c r="A10" s="19" t="inlineStr">
        <is>
          <t>Diferencias físicas valorizadas</t>
        </is>
      </c>
      <c r="B10" s="21">
        <f>SUM('04_Existencia'!$H$5:$H$14)</f>
        <v/>
      </c>
    </row>
    <row r="11">
      <c r="A11" s="18" t="inlineStr">
        <is>
          <t>Cambio de VR por cambios físicos (NIC 41.51)</t>
        </is>
      </c>
      <c r="B11" s="20">
        <f>SUM('06_Transformacion'!$G$5:$G$14)</f>
        <v/>
      </c>
    </row>
    <row r="12">
      <c r="A12" s="19" t="inlineStr">
        <is>
          <t>Cambio de VR por precios (NIC 41.51)</t>
        </is>
      </c>
      <c r="B12" s="21">
        <f>SUM('06_Transformacion'!$H$5:$H$14)</f>
        <v/>
      </c>
    </row>
    <row r="13">
      <c r="A13" s="18" t="inlineStr">
        <is>
          <t>Cambio total del VR menos costos de venta</t>
        </is>
      </c>
      <c r="B13" s="20">
        <f>SUM('06_Transformacion'!$I$5:$I$14)</f>
        <v/>
      </c>
    </row>
    <row r="14">
      <c r="A14" s="19" t="inlineStr">
        <is>
          <t>Ganancia por cambio de VR recalculada</t>
        </is>
      </c>
      <c r="B14" s="21">
        <f>SUM('06_Transformacion'!$N$5:$N$14)</f>
        <v/>
      </c>
    </row>
    <row r="15">
      <c r="A15" s="18" t="inlineStr">
        <is>
          <t>Ganancia por cambio de VR registrada</t>
        </is>
      </c>
      <c r="B15" s="20">
        <f>SUM('03_Activos'!$Q$5:$Q$14)</f>
        <v/>
      </c>
    </row>
    <row r="16">
      <c r="A16" s="19" t="inlineStr">
        <is>
          <t>Cambio de VR no reconocido (recalculado − registrado)</t>
        </is>
      </c>
      <c r="B16" s="21">
        <f>SUM('06_Transformacion'!$P$5:$P$14)</f>
        <v/>
      </c>
    </row>
    <row r="17">
      <c r="A17" s="18" t="inlineStr">
        <is>
          <t>Diferencia en la conciliación de cambios (NIC 41.50)</t>
        </is>
      </c>
      <c r="B17" s="20">
        <f>SUM('07_Conciliacion'!$I$5:$I$14)</f>
        <v/>
      </c>
    </row>
    <row r="18">
      <c r="A18" s="19" t="inlineStr">
        <is>
          <t>Deterioro adicional (modelo del costo)</t>
        </is>
      </c>
      <c r="B18" s="21">
        <f>SUM('08_Modelo_costo'!$H$5:$H$14)</f>
        <v/>
      </c>
    </row>
    <row r="19">
      <c r="A19" s="18" t="inlineStr">
        <is>
          <t>Plantas productoras fuera de NIC 41 (NIC 16)</t>
        </is>
      </c>
      <c r="B19" s="20">
        <f>SUMIF('05_Valoracion'!$C$5:$C$14,"NIC 16",'05_Valoracion'!$K$5:$K$14)</f>
        <v/>
      </c>
    </row>
    <row r="20">
      <c r="A20" s="19" t="inlineStr">
        <is>
          <t>Cosecha a VR menos costos de venta</t>
        </is>
      </c>
      <c r="B20" s="21">
        <f>SUM('09_Cosecha'!$H$5:$H$10)</f>
        <v/>
      </c>
    </row>
    <row r="21">
      <c r="A21" s="18" t="inlineStr">
        <is>
          <t>Cosecha registrada en inventario</t>
        </is>
      </c>
      <c r="B21" s="20">
        <f>SUM('09_Cosecha'!$I$5:$I$10)</f>
        <v/>
      </c>
    </row>
    <row r="22">
      <c r="A22" s="19" t="inlineStr">
        <is>
          <t>Diferencia en la medición de la cosecha</t>
        </is>
      </c>
      <c r="B22" s="21">
        <f>SUM('09_Cosecha'!$J$5:$J$10)</f>
        <v/>
      </c>
    </row>
    <row r="24">
      <c r="A24" s="22" t="inlineStr">
        <is>
          <t>ⓘ  Cómo se calcula esta hoja</t>
        </is>
      </c>
    </row>
    <row r="25">
      <c r="A25" s="23" t="inlineStr">
        <is>
          <t>Columna</t>
        </is>
      </c>
      <c r="B25" s="23" t="inlineStr">
        <is>
          <t>Fórmula (Excel)</t>
        </is>
      </c>
      <c r="C25" s="23" t="inlineStr">
        <is>
          <t>Cómo se calcula (sencillo)</t>
        </is>
      </c>
      <c r="D25" s="23" t="inlineStr">
        <is>
          <t>Ejemplo con números reales</t>
        </is>
      </c>
      <c r="E25" s="23" t="inlineStr">
        <is>
          <t>De dónde viene</t>
        </is>
      </c>
      <c r="F25" s="23" t="inlineStr">
        <is>
          <t>Norma</t>
        </is>
      </c>
    </row>
    <row r="26">
      <c r="A26" s="24" t="inlineStr">
        <is>
          <t>Importe</t>
        </is>
      </c>
      <c r="B26" s="25" t="inlineStr">
        <is>
          <t>'=SUM('05_Valoracion'!$J$5:$J$14)</t>
        </is>
      </c>
      <c r="C26" s="24" t="inlineStr">
        <is>
          <t>Trae cada importe de la hoja de cálculo que le corresponde, concepto por concepto: valor auditado y ajuste de la hoja 05, valor en libros y ganancia registrada de la 03, diferencias físicas de la 04, cambios y ganancia de la 06, conciliación de la 07, deterioro de la 08 y cosecha de la 09. El saldo del mayor es el del parámetro o, si está en blanco, el valor en libros del anexo.</t>
        </is>
      </c>
      <c r="D26" s="24" t="inlineStr">
        <is>
          <t>Fila 1: SUM([«Valor auditado» de «Valoración: VR menos costos de venta», 10 filas]) → 1.524.120,00</t>
        </is>
      </c>
      <c r="E26" s="24" t="inlineStr">
        <is>
          <t>hoja «Valoración: VR menos costos de venta»</t>
        </is>
      </c>
      <c r="F26" s="24" t="inlineStr">
        <is>
          <t>—</t>
        </is>
      </c>
    </row>
  </sheetData>
  <mergeCells count="3">
    <mergeCell ref="A24:F24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60" customWidth="1" min="3" max="3"/>
  </cols>
  <sheetData>
    <row r="1">
      <c r="A1" s="3" t="inlineStr">
        <is>
          <t>Parámetros y ruta por marco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y ruta de cálculo</t>
        </is>
      </c>
      <c r="B6" s="19" t="inlineStr">
        <is>
          <t>NIIF completas · NIC 41 y NIIF 13</t>
        </is>
      </c>
      <c r="C6" s="19" t="inlineStr">
        <is>
          <t>NIC 41: VR menos costos de venta (41.12); costo solo si el VR no es fiable y el activo ya estaba al costo (41.30-41.31); plantas productoras a NIC 16 (41.2 b)</t>
        </is>
      </c>
    </row>
    <row r="7">
      <c r="A7" s="18" t="inlineStr">
        <is>
          <t>NIIF completas: ¿el VR de los activos puede medirse con fiabilidad? (Sí/No, NIC 41.30)</t>
        </is>
      </c>
      <c r="B7" s="18" t="inlineStr">
        <is>
          <t>Sí</t>
        </is>
      </c>
      <c r="C7" s="18" t="inlineStr">
        <is>
          <t>Se aplica en NIIF completas; cada lote puede indicar otra cosa en su columna «VR fiable»</t>
        </is>
      </c>
    </row>
    <row r="8">
      <c r="A8" s="19" t="inlineStr">
        <is>
          <t>PYMES: ¿el VR es fácilmente determinable sin costo o esfuerzo desproporcionado? (Sí/No, 34.2)</t>
        </is>
      </c>
      <c r="B8" s="19" t="inlineStr">
        <is>
          <t>Sí</t>
        </is>
      </c>
      <c r="C8" s="19" t="inlineStr">
        <is>
          <t>Se aplica en PYMES; juicio documentado del auditor</t>
        </is>
      </c>
    </row>
    <row r="9">
      <c r="A9" s="18" t="inlineStr">
        <is>
          <t>Saldo de activos biológicos según el mayor</t>
        </is>
      </c>
      <c r="B9" s="27" t="n">
        <v>1500000</v>
      </c>
      <c r="C9" s="18" t="inlineStr">
        <is>
          <t>Mayor contable (en blanco: se toma el anexo)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A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9" customWidth="1" min="4" max="4"/>
    <col width="20" customWidth="1" min="5" max="5"/>
    <col width="18" customWidth="1" min="6" max="6"/>
    <col width="18" customWidth="1" min="7" max="7"/>
    <col width="26" customWidth="1" min="8" max="8"/>
    <col width="18" customWidth="1" min="9" max="9"/>
    <col width="21" customWidth="1" min="10" max="10"/>
    <col width="22" customWidth="1" min="11" max="11"/>
    <col width="25" customWidth="1" min="12" max="12"/>
    <col width="17" customWidth="1" min="13" max="13"/>
    <col width="18" customWidth="1" min="14" max="14"/>
    <col width="23" customWidth="1" min="15" max="15"/>
    <col width="15" customWidth="1" min="16" max="16"/>
    <col width="24" customWidth="1" min="17" max="17"/>
    <col width="17" customWidth="1" min="18" max="18"/>
    <col width="24" customWidth="1" min="19" max="19"/>
    <col width="22" customWidth="1" min="20" max="20"/>
    <col width="21" customWidth="1" min="21" max="21"/>
    <col width="23" customWidth="1" min="22" max="22"/>
    <col width="17" customWidth="1" min="23" max="23"/>
    <col width="19" customWidth="1" min="24" max="24"/>
    <col width="31" customWidth="1" min="25" max="25"/>
    <col width="39" customWidth="1" min="26" max="26"/>
    <col width="48" customWidth="1" min="27" max="27"/>
  </cols>
  <sheetData>
    <row r="1">
      <c r="A1" s="3" t="inlineStr">
        <is>
          <t>Activos biológicos: clasificación y datos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</row>
    <row r="4" ht="30" customHeight="1">
      <c r="A4" s="17" t="inlineStr">
        <is>
          <t>Lote</t>
        </is>
      </c>
      <c r="B4" s="17" t="inlineStr">
        <is>
          <t>Categoría</t>
        </is>
      </c>
      <c r="C4" s="17" t="inlineStr">
        <is>
          <t>Unidad</t>
        </is>
      </c>
      <c r="D4" s="17" t="inlineStr">
        <is>
          <t>Planta productora</t>
        </is>
      </c>
      <c r="E4" s="17" t="inlineStr">
        <is>
          <t>Modelo del cliente</t>
        </is>
      </c>
      <c r="F4" s="17" t="inlineStr">
        <is>
          <t>VR fiable (lote)</t>
        </is>
      </c>
      <c r="G4" s="17" t="inlineStr">
        <is>
          <t>Cantidad inicial</t>
        </is>
      </c>
      <c r="H4" s="17" t="inlineStr">
        <is>
          <t>Cantidad según registros</t>
        </is>
      </c>
      <c r="I4" s="17" t="inlineStr">
        <is>
          <t>Cantidad contada</t>
        </is>
      </c>
      <c r="J4" s="17" t="inlineStr">
        <is>
          <t>VR unitario inicial</t>
        </is>
      </c>
      <c r="K4" s="17" t="inlineStr">
        <is>
          <t>VR unitario al corte</t>
        </is>
      </c>
      <c r="L4" s="17" t="inlineStr">
        <is>
          <t>Costo de venta unitario</t>
        </is>
      </c>
      <c r="M4" s="17" t="inlineStr">
        <is>
          <t>Valor en libros</t>
        </is>
      </c>
      <c r="N4" s="17" t="inlineStr">
        <is>
          <t>Libros al inicio</t>
        </is>
      </c>
      <c r="O4" s="17" t="inlineStr">
        <is>
          <t>Compras e incrementos</t>
        </is>
      </c>
      <c r="P4" s="17" t="inlineStr">
        <is>
          <t>Disminuciones</t>
        </is>
      </c>
      <c r="Q4" s="17" t="inlineStr">
        <is>
          <t>Ganancia VR registrada</t>
        </is>
      </c>
      <c r="R4" s="17" t="inlineStr">
        <is>
          <t>Costo acumulado</t>
        </is>
      </c>
      <c r="S4" s="17" t="inlineStr">
        <is>
          <t>Depreciación acumulada</t>
        </is>
      </c>
      <c r="T4" s="17" t="inlineStr">
        <is>
          <t>Deterioro registrado</t>
        </is>
      </c>
      <c r="U4" s="17" t="inlineStr">
        <is>
          <t>Importe recuperable</t>
        </is>
      </c>
      <c r="V4" s="17" t="inlineStr">
        <is>
          <t>VR medible (aplicado)</t>
        </is>
      </c>
      <c r="W4" s="17" t="inlineStr">
        <is>
          <t>Modelo auditado</t>
        </is>
      </c>
      <c r="X4" s="17" t="inlineStr">
        <is>
          <t>Cantidad auditada</t>
        </is>
      </c>
      <c r="Y4" s="17" t="inlineStr">
        <is>
          <t>VR − costos de venta unitario</t>
        </is>
      </c>
      <c r="Z4" s="17" t="inlineStr">
        <is>
          <t>VR − costos de venta unitario inicial</t>
        </is>
      </c>
      <c r="AA4" s="17" t="inlineStr">
        <is>
          <t>Planta productora medible por separado (34.2A)</t>
        </is>
      </c>
    </row>
    <row r="5">
      <c r="A5" s="18" t="inlineStr">
        <is>
          <t>G-01</t>
        </is>
      </c>
      <c r="B5" s="18" t="inlineStr">
        <is>
          <t>Ganado lechero</t>
        </is>
      </c>
      <c r="C5" s="18" t="inlineStr">
        <is>
          <t>cabezas</t>
        </is>
      </c>
      <c r="D5" s="18" t="inlineStr">
        <is>
          <t>No</t>
        </is>
      </c>
      <c r="E5" s="18" t="inlineStr">
        <is>
          <t>Valor razonable</t>
        </is>
      </c>
      <c r="F5" s="18" t="n"/>
      <c r="G5" s="20" t="n">
        <v>120</v>
      </c>
      <c r="H5" s="20" t="n">
        <v>125</v>
      </c>
      <c r="I5" s="20" t="n">
        <v>123</v>
      </c>
      <c r="J5" s="20" t="n">
        <v>1500</v>
      </c>
      <c r="K5" s="20" t="n">
        <v>1600</v>
      </c>
      <c r="L5" s="20" t="n">
        <v>40</v>
      </c>
      <c r="M5" s="20" t="n">
        <v>195000</v>
      </c>
      <c r="N5" s="20" t="n">
        <v>175200</v>
      </c>
      <c r="O5" s="20" t="n">
        <v>6000</v>
      </c>
      <c r="P5" s="20" t="n">
        <v>4500</v>
      </c>
      <c r="Q5" s="20" t="n">
        <v>18300</v>
      </c>
      <c r="R5" s="20" t="n"/>
      <c r="S5" s="20" t="n"/>
      <c r="T5" s="20" t="n"/>
      <c r="U5" s="20" t="n"/>
      <c r="V5" s="18">
        <f>IF(F5&lt;&gt;"",F5,'02_Parametros'!$B$7)</f>
        <v/>
      </c>
      <c r="W5" s="18">
        <f>IF(D5="Sí","NIC 16",IF(AND(V5="No",E5="Costo"),"Costo","Valor razonable"))</f>
        <v/>
      </c>
      <c r="X5" s="20">
        <f>IF(I5&lt;&gt;"",I5,H5)</f>
        <v/>
      </c>
      <c r="Y5" s="20">
        <f>IF(K5="","",K5-L5)</f>
        <v/>
      </c>
      <c r="Z5" s="20">
        <f>IF(J5="","",J5-L5)</f>
        <v/>
      </c>
      <c r="AA5" s="18" t="n"/>
    </row>
    <row r="6">
      <c r="A6" s="19" t="inlineStr">
        <is>
          <t>G-02</t>
        </is>
      </c>
      <c r="B6" s="19" t="inlineStr">
        <is>
          <t>Ganado de engorde</t>
        </is>
      </c>
      <c r="C6" s="19" t="inlineStr">
        <is>
          <t>cabezas</t>
        </is>
      </c>
      <c r="D6" s="19" t="inlineStr">
        <is>
          <t>No</t>
        </is>
      </c>
      <c r="E6" s="19" t="inlineStr">
        <is>
          <t>Valor razonable</t>
        </is>
      </c>
      <c r="F6" s="19" t="n"/>
      <c r="G6" s="21" t="n">
        <v>300</v>
      </c>
      <c r="H6" s="21" t="n">
        <v>280</v>
      </c>
      <c r="I6" s="21" t="n">
        <v>280</v>
      </c>
      <c r="J6" s="21" t="n">
        <v>800</v>
      </c>
      <c r="K6" s="21" t="n">
        <v>850</v>
      </c>
      <c r="L6" s="21" t="n">
        <v>25</v>
      </c>
      <c r="M6" s="21" t="n">
        <v>224000</v>
      </c>
      <c r="N6" s="21" t="n">
        <v>232500</v>
      </c>
      <c r="O6" s="21" t="n">
        <v>40000</v>
      </c>
      <c r="P6" s="21" t="n">
        <v>48500</v>
      </c>
      <c r="Q6" s="21" t="n">
        <v>0</v>
      </c>
      <c r="R6" s="21" t="n"/>
      <c r="S6" s="21" t="n"/>
      <c r="T6" s="21" t="n"/>
      <c r="U6" s="21" t="n"/>
      <c r="V6" s="19">
        <f>IF(F6&lt;&gt;"",F6,'02_Parametros'!$B$7)</f>
        <v/>
      </c>
      <c r="W6" s="19">
        <f>IF(D6="Sí","NIC 16",IF(AND(V6="No",E6="Costo"),"Costo","Valor razonable"))</f>
        <v/>
      </c>
      <c r="X6" s="21">
        <f>IF(I6&lt;&gt;"",I6,H6)</f>
        <v/>
      </c>
      <c r="Y6" s="21">
        <f>IF(K6="","",K6-L6)</f>
        <v/>
      </c>
      <c r="Z6" s="21">
        <f>IF(J6="","",J6-L6)</f>
        <v/>
      </c>
      <c r="AA6" s="19" t="n"/>
    </row>
    <row r="7">
      <c r="A7" s="18" t="inlineStr">
        <is>
          <t>P-01</t>
        </is>
      </c>
      <c r="B7" s="18" t="inlineStr">
        <is>
          <t>Plantación de teca</t>
        </is>
      </c>
      <c r="C7" s="18" t="inlineStr">
        <is>
          <t>hectáreas</t>
        </is>
      </c>
      <c r="D7" s="18" t="inlineStr">
        <is>
          <t>No</t>
        </is>
      </c>
      <c r="E7" s="18" t="inlineStr">
        <is>
          <t>Valor razonable</t>
        </is>
      </c>
      <c r="F7" s="18" t="n"/>
      <c r="G7" s="20" t="n">
        <v>50</v>
      </c>
      <c r="H7" s="20" t="n">
        <v>50</v>
      </c>
      <c r="I7" s="20" t="n">
        <v>50</v>
      </c>
      <c r="J7" s="20" t="n">
        <v>12000</v>
      </c>
      <c r="K7" s="20" t="n">
        <v>13500</v>
      </c>
      <c r="L7" s="20" t="n">
        <v>500</v>
      </c>
      <c r="M7" s="20" t="n">
        <v>650000</v>
      </c>
      <c r="N7" s="20" t="n">
        <v>575000</v>
      </c>
      <c r="O7" s="20" t="n">
        <v>0</v>
      </c>
      <c r="P7" s="20" t="n">
        <v>0</v>
      </c>
      <c r="Q7" s="20" t="n">
        <v>75000</v>
      </c>
      <c r="R7" s="20" t="n"/>
      <c r="S7" s="20" t="n"/>
      <c r="T7" s="20" t="n"/>
      <c r="U7" s="20" t="n"/>
      <c r="V7" s="18">
        <f>IF(F7&lt;&gt;"",F7,'02_Parametros'!$B$7)</f>
        <v/>
      </c>
      <c r="W7" s="18">
        <f>IF(D7="Sí","NIC 16",IF(AND(V7="No",E7="Costo"),"Costo","Valor razonable"))</f>
        <v/>
      </c>
      <c r="X7" s="20">
        <f>IF(I7&lt;&gt;"",I7,H7)</f>
        <v/>
      </c>
      <c r="Y7" s="20">
        <f>IF(K7="","",K7-L7)</f>
        <v/>
      </c>
      <c r="Z7" s="20">
        <f>IF(J7="","",J7-L7)</f>
        <v/>
      </c>
      <c r="AA7" s="18" t="n"/>
    </row>
    <row r="8">
      <c r="A8" s="19" t="inlineStr">
        <is>
          <t>C-01</t>
        </is>
      </c>
      <c r="B8" s="19" t="inlineStr">
        <is>
          <t>Camarón en piscinas</t>
        </is>
      </c>
      <c r="C8" s="19" t="inlineStr">
        <is>
          <t>kg</t>
        </is>
      </c>
      <c r="D8" s="19" t="inlineStr">
        <is>
          <t>No</t>
        </is>
      </c>
      <c r="E8" s="19" t="inlineStr">
        <is>
          <t>Valor razonable</t>
        </is>
      </c>
      <c r="F8" s="19" t="n"/>
      <c r="G8" s="21" t="n">
        <v>20000</v>
      </c>
      <c r="H8" s="21" t="n">
        <v>45000</v>
      </c>
      <c r="I8" s="21" t="n"/>
      <c r="J8" s="21" t="n">
        <v>3</v>
      </c>
      <c r="K8" s="21" t="n">
        <v>3.2</v>
      </c>
      <c r="L8" s="21" t="n">
        <v>0.2</v>
      </c>
      <c r="M8" s="21" t="n">
        <v>130000</v>
      </c>
      <c r="N8" s="21" t="n">
        <v>56000</v>
      </c>
      <c r="O8" s="21" t="n">
        <v>30000</v>
      </c>
      <c r="P8" s="21" t="n">
        <v>0</v>
      </c>
      <c r="Q8" s="21" t="n">
        <v>44000</v>
      </c>
      <c r="R8" s="21" t="n"/>
      <c r="S8" s="21" t="n"/>
      <c r="T8" s="21" t="n"/>
      <c r="U8" s="21" t="n"/>
      <c r="V8" s="19">
        <f>IF(F8&lt;&gt;"",F8,'02_Parametros'!$B$7)</f>
        <v/>
      </c>
      <c r="W8" s="19">
        <f>IF(D8="Sí","NIC 16",IF(AND(V8="No",E8="Costo"),"Costo","Valor razonable"))</f>
        <v/>
      </c>
      <c r="X8" s="21">
        <f>IF(I8&lt;&gt;"",I8,H8)</f>
        <v/>
      </c>
      <c r="Y8" s="21">
        <f>IF(K8="","",K8-L8)</f>
        <v/>
      </c>
      <c r="Z8" s="21">
        <f>IF(J8="","",J8-L8)</f>
        <v/>
      </c>
      <c r="AA8" s="19" t="n"/>
    </row>
    <row r="9">
      <c r="A9" s="18" t="inlineStr">
        <is>
          <t>F-01</t>
        </is>
      </c>
      <c r="B9" s="18" t="inlineStr">
        <is>
          <t>Rosales en producción</t>
        </is>
      </c>
      <c r="C9" s="18" t="inlineStr">
        <is>
          <t>plantas</t>
        </is>
      </c>
      <c r="D9" s="18" t="inlineStr">
        <is>
          <t>Sí</t>
        </is>
      </c>
      <c r="E9" s="18" t="inlineStr">
        <is>
          <t>Costo</t>
        </is>
      </c>
      <c r="F9" s="18" t="n"/>
      <c r="G9" s="20" t="n">
        <v>100000</v>
      </c>
      <c r="H9" s="20" t="n">
        <v>100000</v>
      </c>
      <c r="I9" s="20" t="n">
        <v>100000</v>
      </c>
      <c r="J9" s="20" t="n"/>
      <c r="K9" s="20" t="n"/>
      <c r="L9" s="20" t="n"/>
      <c r="M9" s="20" t="n">
        <v>80000</v>
      </c>
      <c r="N9" s="20" t="n">
        <v>80000</v>
      </c>
      <c r="O9" s="20" t="n">
        <v>0</v>
      </c>
      <c r="P9" s="20" t="n">
        <v>0</v>
      </c>
      <c r="Q9" s="20" t="n"/>
      <c r="R9" s="20" t="n"/>
      <c r="S9" s="20" t="n"/>
      <c r="T9" s="20" t="n"/>
      <c r="U9" s="20" t="n"/>
      <c r="V9" s="18">
        <f>IF(F9&lt;&gt;"",F9,'02_Parametros'!$B$7)</f>
        <v/>
      </c>
      <c r="W9" s="18">
        <f>IF(D9="Sí","NIC 16",IF(AND(V9="No",E9="Costo"),"Costo","Valor razonable"))</f>
        <v/>
      </c>
      <c r="X9" s="20">
        <f>IF(I9&lt;&gt;"",I9,H9)</f>
        <v/>
      </c>
      <c r="Y9" s="20">
        <f>IF(K9="","",K9-L9)</f>
        <v/>
      </c>
      <c r="Z9" s="20">
        <f>IF(J9="","",J9-L9)</f>
        <v/>
      </c>
      <c r="AA9" s="18" t="inlineStr">
        <is>
          <t>Sí</t>
        </is>
      </c>
    </row>
    <row r="10">
      <c r="A10" s="19" t="inlineStr">
        <is>
          <t>F-02</t>
        </is>
      </c>
      <c r="B10" s="19" t="inlineStr">
        <is>
          <t>Botones de rosa en crecimiento</t>
        </is>
      </c>
      <c r="C10" s="19" t="inlineStr">
        <is>
          <t>tallos</t>
        </is>
      </c>
      <c r="D10" s="19" t="inlineStr">
        <is>
          <t>No</t>
        </is>
      </c>
      <c r="E10" s="19" t="inlineStr">
        <is>
          <t>Valor razonable</t>
        </is>
      </c>
      <c r="F10" s="19" t="n"/>
      <c r="G10" s="21" t="n">
        <v>200000</v>
      </c>
      <c r="H10" s="21" t="n">
        <v>250000</v>
      </c>
      <c r="I10" s="21" t="n">
        <v>250000</v>
      </c>
      <c r="J10" s="21" t="n">
        <v>0.1</v>
      </c>
      <c r="K10" s="21" t="n">
        <v>0.12</v>
      </c>
      <c r="L10" s="21" t="n">
        <v>0.02</v>
      </c>
      <c r="M10" s="21" t="n">
        <v>25000</v>
      </c>
      <c r="N10" s="21" t="n">
        <v>16000</v>
      </c>
      <c r="O10" s="21" t="n">
        <v>0</v>
      </c>
      <c r="P10" s="21" t="n">
        <v>0</v>
      </c>
      <c r="Q10" s="21" t="n">
        <v>8000</v>
      </c>
      <c r="R10" s="21" t="n"/>
      <c r="S10" s="21" t="n"/>
      <c r="T10" s="21" t="n"/>
      <c r="U10" s="21" t="n"/>
      <c r="V10" s="19">
        <f>IF(F10&lt;&gt;"",F10,'02_Parametros'!$B$7)</f>
        <v/>
      </c>
      <c r="W10" s="19">
        <f>IF(D10="Sí","NIC 16",IF(AND(V10="No",E10="Costo"),"Costo","Valor razonable"))</f>
        <v/>
      </c>
      <c r="X10" s="21">
        <f>IF(I10&lt;&gt;"",I10,H10)</f>
        <v/>
      </c>
      <c r="Y10" s="21">
        <f>IF(K10="","",K10-L10)</f>
        <v/>
      </c>
      <c r="Z10" s="21">
        <f>IF(J10="","",J10-L10)</f>
        <v/>
      </c>
      <c r="AA10" s="19" t="n"/>
    </row>
    <row r="11">
      <c r="A11" s="18" t="inlineStr">
        <is>
          <t>G-03</t>
        </is>
      </c>
      <c r="B11" s="18" t="inlineStr">
        <is>
          <t>Toros reproductores importados</t>
        </is>
      </c>
      <c r="C11" s="18" t="inlineStr">
        <is>
          <t>cabezas</t>
        </is>
      </c>
      <c r="D11" s="18" t="inlineStr">
        <is>
          <t>No</t>
        </is>
      </c>
      <c r="E11" s="18" t="inlineStr">
        <is>
          <t>Costo</t>
        </is>
      </c>
      <c r="F11" s="18" t="inlineStr">
        <is>
          <t>No</t>
        </is>
      </c>
      <c r="G11" s="20" t="n">
        <v>5</v>
      </c>
      <c r="H11" s="20" t="n">
        <v>5</v>
      </c>
      <c r="I11" s="20" t="n">
        <v>5</v>
      </c>
      <c r="J11" s="20" t="n"/>
      <c r="K11" s="20" t="n"/>
      <c r="L11" s="20" t="n"/>
      <c r="M11" s="20" t="n">
        <v>42000</v>
      </c>
      <c r="N11" s="20" t="n">
        <v>48000</v>
      </c>
      <c r="O11" s="20" t="n">
        <v>0</v>
      </c>
      <c r="P11" s="20" t="n">
        <v>6000</v>
      </c>
      <c r="Q11" s="20" t="n"/>
      <c r="R11" s="20" t="n">
        <v>60000</v>
      </c>
      <c r="S11" s="20" t="n">
        <v>18000</v>
      </c>
      <c r="T11" s="20" t="n">
        <v>0</v>
      </c>
      <c r="U11" s="20" t="n">
        <v>38000</v>
      </c>
      <c r="V11" s="18">
        <f>IF(F11&lt;&gt;"",F11,'02_Parametros'!$B$7)</f>
        <v/>
      </c>
      <c r="W11" s="18">
        <f>IF(D11="Sí","NIC 16",IF(AND(V11="No",E11="Costo"),"Costo","Valor razonable"))</f>
        <v/>
      </c>
      <c r="X11" s="20">
        <f>IF(I11&lt;&gt;"",I11,H11)</f>
        <v/>
      </c>
      <c r="Y11" s="20">
        <f>IF(K11="","",K11-L11)</f>
        <v/>
      </c>
      <c r="Z11" s="20">
        <f>IF(J11="","",J11-L11)</f>
        <v/>
      </c>
      <c r="AA11" s="18" t="n"/>
    </row>
    <row r="12">
      <c r="A12" s="19" t="inlineStr">
        <is>
          <t>G-04</t>
        </is>
      </c>
      <c r="B12" s="19" t="inlineStr">
        <is>
          <t>Cerdos de engorde</t>
        </is>
      </c>
      <c r="C12" s="19" t="inlineStr">
        <is>
          <t>cabezas</t>
        </is>
      </c>
      <c r="D12" s="19" t="inlineStr">
        <is>
          <t>No</t>
        </is>
      </c>
      <c r="E12" s="19" t="inlineStr">
        <is>
          <t>Costo</t>
        </is>
      </c>
      <c r="F12" s="19" t="n"/>
      <c r="G12" s="21" t="n">
        <v>400</v>
      </c>
      <c r="H12" s="21" t="n">
        <v>420</v>
      </c>
      <c r="I12" s="21" t="n">
        <v>418</v>
      </c>
      <c r="J12" s="21" t="n">
        <v>180</v>
      </c>
      <c r="K12" s="21" t="n">
        <v>190</v>
      </c>
      <c r="L12" s="21" t="n">
        <v>10</v>
      </c>
      <c r="M12" s="21" t="n">
        <v>63000</v>
      </c>
      <c r="N12" s="21" t="n">
        <v>60000</v>
      </c>
      <c r="O12" s="21" t="n">
        <v>20000</v>
      </c>
      <c r="P12" s="21" t="n">
        <v>17000</v>
      </c>
      <c r="Q12" s="21" t="n">
        <v>0</v>
      </c>
      <c r="R12" s="21" t="n">
        <v>63000</v>
      </c>
      <c r="S12" s="21" t="n"/>
      <c r="T12" s="21" t="n"/>
      <c r="U12" s="21" t="n"/>
      <c r="V12" s="19">
        <f>IF(F12&lt;&gt;"",F12,'02_Parametros'!$B$7)</f>
        <v/>
      </c>
      <c r="W12" s="19">
        <f>IF(D12="Sí","NIC 16",IF(AND(V12="No",E12="Costo"),"Costo","Valor razonable"))</f>
        <v/>
      </c>
      <c r="X12" s="21">
        <f>IF(I12&lt;&gt;"",I12,H12)</f>
        <v/>
      </c>
      <c r="Y12" s="21">
        <f>IF(K12="","",K12-L12)</f>
        <v/>
      </c>
      <c r="Z12" s="21">
        <f>IF(J12="","",J12-L12)</f>
        <v/>
      </c>
      <c r="AA12" s="19" t="n"/>
    </row>
    <row r="13">
      <c r="A13" s="18" t="inlineStr">
        <is>
          <t>P-02</t>
        </is>
      </c>
      <c r="B13" s="18" t="inlineStr">
        <is>
          <t>Cultivo de maíz</t>
        </is>
      </c>
      <c r="C13" s="18" t="inlineStr">
        <is>
          <t>hectáreas</t>
        </is>
      </c>
      <c r="D13" s="18" t="inlineStr">
        <is>
          <t>No</t>
        </is>
      </c>
      <c r="E13" s="18" t="inlineStr">
        <is>
          <t>Valor razonable</t>
        </is>
      </c>
      <c r="F13" s="18" t="n"/>
      <c r="G13" s="20" t="n">
        <v>0</v>
      </c>
      <c r="H13" s="20" t="n">
        <v>80</v>
      </c>
      <c r="I13" s="20" t="n">
        <v>80</v>
      </c>
      <c r="J13" s="20" t="n"/>
      <c r="K13" s="20" t="n">
        <v>900</v>
      </c>
      <c r="L13" s="20" t="n">
        <v>50</v>
      </c>
      <c r="M13" s="20" t="n">
        <v>64000</v>
      </c>
      <c r="N13" s="20" t="n">
        <v>0</v>
      </c>
      <c r="O13" s="20" t="n">
        <v>64000</v>
      </c>
      <c r="P13" s="20" t="n">
        <v>0</v>
      </c>
      <c r="Q13" s="20" t="n">
        <v>0</v>
      </c>
      <c r="R13" s="20" t="n"/>
      <c r="S13" s="20" t="n"/>
      <c r="T13" s="20" t="n"/>
      <c r="U13" s="20" t="n"/>
      <c r="V13" s="18">
        <f>IF(F13&lt;&gt;"",F13,'02_Parametros'!$B$7)</f>
        <v/>
      </c>
      <c r="W13" s="18">
        <f>IF(D13="Sí","NIC 16",IF(AND(V13="No",E13="Costo"),"Costo","Valor razonable"))</f>
        <v/>
      </c>
      <c r="X13" s="20">
        <f>IF(I13&lt;&gt;"",I13,H13)</f>
        <v/>
      </c>
      <c r="Y13" s="20">
        <f>IF(K13="","",K13-L13)</f>
        <v/>
      </c>
      <c r="Z13" s="20">
        <f>IF(J13="","",J13-L13)</f>
        <v/>
      </c>
      <c r="AA13" s="18" t="n"/>
    </row>
    <row r="14">
      <c r="A14" s="19" t="inlineStr">
        <is>
          <t>C-02</t>
        </is>
      </c>
      <c r="B14" s="19" t="inlineStr">
        <is>
          <t>Tilapia en estanques</t>
        </is>
      </c>
      <c r="C14" s="19" t="inlineStr">
        <is>
          <t>kg</t>
        </is>
      </c>
      <c r="D14" s="19" t="inlineStr">
        <is>
          <t>No</t>
        </is>
      </c>
      <c r="E14" s="19" t="inlineStr">
        <is>
          <t>Valor razonable</t>
        </is>
      </c>
      <c r="F14" s="19" t="n"/>
      <c r="G14" s="21" t="n">
        <v>10000</v>
      </c>
      <c r="H14" s="21" t="n">
        <v>12000</v>
      </c>
      <c r="I14" s="21" t="n">
        <v>12500</v>
      </c>
      <c r="J14" s="21" t="n">
        <v>2.5</v>
      </c>
      <c r="K14" s="21" t="n">
        <v>2.4</v>
      </c>
      <c r="L14" s="21" t="n"/>
      <c r="M14" s="21" t="n">
        <v>28800</v>
      </c>
      <c r="N14" s="21" t="n">
        <v>25000</v>
      </c>
      <c r="O14" s="21" t="n">
        <v>5000</v>
      </c>
      <c r="P14" s="21" t="n">
        <v>3000</v>
      </c>
      <c r="Q14" s="21" t="n">
        <v>1800</v>
      </c>
      <c r="R14" s="21" t="n"/>
      <c r="S14" s="21" t="n"/>
      <c r="T14" s="21" t="n"/>
      <c r="U14" s="21" t="n"/>
      <c r="V14" s="19">
        <f>IF(F14&lt;&gt;"",F14,'02_Parametros'!$B$7)</f>
        <v/>
      </c>
      <c r="W14" s="19">
        <f>IF(D14="Sí","NIC 16",IF(AND(V14="No",E14="Costo"),"Costo","Valor razonable"))</f>
        <v/>
      </c>
      <c r="X14" s="21">
        <f>IF(I14&lt;&gt;"",I14,H14)</f>
        <v/>
      </c>
      <c r="Y14" s="21">
        <f>IF(K14="","",K14-L14)</f>
        <v/>
      </c>
      <c r="Z14" s="21">
        <f>IF(J14="","",J14-L14)</f>
        <v/>
      </c>
      <c r="AA14" s="19" t="n"/>
    </row>
    <row r="15">
      <c r="A15" s="28" t="inlineStr">
        <is>
          <t>TOTAL</t>
        </is>
      </c>
      <c r="B15" s="28" t="inlineStr"/>
      <c r="C15" s="28" t="inlineStr"/>
      <c r="D15" s="28" t="inlineStr"/>
      <c r="E15" s="28" t="inlineStr"/>
      <c r="F15" s="28" t="inlineStr"/>
      <c r="G15" s="29" t="n"/>
      <c r="H15" s="29" t="n"/>
      <c r="I15" s="29" t="n"/>
      <c r="J15" s="29" t="n"/>
      <c r="K15" s="29" t="n"/>
      <c r="L15" s="29" t="n"/>
      <c r="M15" s="29">
        <f>SUM(M5:M14)</f>
        <v/>
      </c>
      <c r="N15" s="29" t="n"/>
      <c r="O15" s="29" t="n"/>
      <c r="P15" s="29" t="n"/>
      <c r="Q15" s="29">
        <f>SUM(Q5:Q14)</f>
        <v/>
      </c>
      <c r="R15" s="29" t="n"/>
      <c r="S15" s="29" t="n"/>
      <c r="T15" s="29" t="n"/>
      <c r="U15" s="29" t="n"/>
      <c r="V15" s="28" t="inlineStr"/>
      <c r="W15" s="28" t="inlineStr"/>
      <c r="X15" s="29" t="n"/>
      <c r="Y15" s="29" t="n"/>
      <c r="Z15" s="29" t="n"/>
      <c r="AA15" s="28" t="inlineStr"/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VR medible (aplicado)</t>
        </is>
      </c>
      <c r="B19" s="25" t="inlineStr">
        <is>
          <t>'=IF(F5&lt;&gt;"",F5,'02_Parametros'!$B$7)</t>
        </is>
      </c>
      <c r="C19" s="24" t="inlineStr">
        <is>
          <t>Usa la respuesta del lote en la columna «VR fiable (lote)»; si está en blanco, aplica el parámetro general «VR fiable» (NIIF completas) de la hoja 02 (Parámetros).</t>
        </is>
      </c>
      <c r="D19" s="24" t="inlineStr">
        <is>
          <t>Fila 1: IF((vacío)&lt;&gt;""; (vacío); «Sí») → Sí</t>
        </is>
      </c>
      <c r="E19" s="24" t="inlineStr">
        <is>
          <t>«VR fiable (lote)» (esta hoja), hoja «Parámetros y ruta por marco»</t>
        </is>
      </c>
      <c r="F19" s="24" t="inlineStr">
        <is>
          <t>—</t>
        </is>
      </c>
    </row>
    <row r="20">
      <c r="A20" s="24" t="inlineStr">
        <is>
          <t>Modelo auditado</t>
        </is>
      </c>
      <c r="B20" s="25" t="inlineStr">
        <is>
          <t>'=IF(D5="Sí","NIC 16",IF(AND(V5="No",E5="Costo"),"Costo","Valor razonable"))</t>
        </is>
      </c>
      <c r="C20" s="24" t="inlineStr">
        <is>
          <t>Decide cómo se mide el lote: las plantas productoras van a NIC 16; queda al costo solo si el VR no es fiable y el cliente ya lo tenía al costo; en los demás casos, a valor razonable.</t>
        </is>
      </c>
      <c r="D20" s="24" t="inlineStr">
        <is>
          <t>Fila 1: IF(«No»="Sí"; "NIC 16"; IF(AND(«Sí»="No"; «Valor razonable»="Costo"); "Costo"; "Valor razonable")) → Valor razonable</t>
        </is>
      </c>
      <c r="E20" s="24" t="inlineStr">
        <is>
          <t>«Planta productora» (esta hoja), «VR medible (aplicado)» (esta hoja), «Modelo del cliente» (esta hoja)</t>
        </is>
      </c>
      <c r="F20" s="24" t="inlineStr">
        <is>
          <t>—</t>
        </is>
      </c>
    </row>
    <row r="21">
      <c r="A21" s="24" t="inlineStr">
        <is>
          <t>Cantidad auditada</t>
        </is>
      </c>
      <c r="B21" s="25" t="inlineStr">
        <is>
          <t>'=IF(I5&lt;&gt;"",I5,H5)</t>
        </is>
      </c>
      <c r="C21" s="24" t="inlineStr">
        <is>
          <t>Usa la cantidad contada por el auditor; si no hubo conteo del lote, toma la cantidad según los registros.</t>
        </is>
      </c>
      <c r="D21" s="24" t="inlineStr">
        <is>
          <t>Fila 1: IF(123,00&lt;&gt;""; 123,00; 125,00) → 123,00</t>
        </is>
      </c>
      <c r="E21" s="24" t="inlineStr">
        <is>
          <t>«Cantidad contada» (esta hoja), «Cantidad según registros» (esta hoja)</t>
        </is>
      </c>
      <c r="F21" s="24" t="inlineStr">
        <is>
          <t>—</t>
        </is>
      </c>
    </row>
    <row r="22">
      <c r="A22" s="24" t="inlineStr">
        <is>
          <t>VR − costos de venta unitario</t>
        </is>
      </c>
      <c r="B22" s="25" t="inlineStr">
        <is>
          <t>'=IF(K5="","",K5-L5)</t>
        </is>
      </c>
      <c r="C22" s="24" t="inlineStr">
        <is>
          <t>Resta el costo de venta unitario al valor razonable unitario al corte; queda en blanco si no hay valor razonable al corte.</t>
        </is>
      </c>
      <c r="D22" s="24" t="inlineStr">
        <is>
          <t>Fila 1: IF(1.600,00=""; ""; 1.600,00-40,00) → 1.560,00</t>
        </is>
      </c>
      <c r="E22" s="24" t="inlineStr">
        <is>
          <t>«VR unitario al corte» (esta hoja), «Costo de venta unitario» (esta hoja)</t>
        </is>
      </c>
      <c r="F22" s="24" t="inlineStr">
        <is>
          <t>—</t>
        </is>
      </c>
    </row>
    <row r="23">
      <c r="A23" s="24" t="inlineStr">
        <is>
          <t>VR − costos de venta unitario inicial</t>
        </is>
      </c>
      <c r="B23" s="25" t="inlineStr">
        <is>
          <t>'=IF(J5="","",J5-L5)</t>
        </is>
      </c>
      <c r="C23" s="24" t="inlineStr">
        <is>
          <t>Resta el costo de venta unitario al valor razonable unitario inicial; queda en blanco si no hay valor razonable inicial.</t>
        </is>
      </c>
      <c r="D23" s="24" t="inlineStr">
        <is>
          <t>Fila 1: IF(1.500,00=""; ""; 1.500,00-40,00) → 1.460,00</t>
        </is>
      </c>
      <c r="E23" s="24" t="inlineStr">
        <is>
          <t>«VR unitario inicial» (esta hoja), «Costo de venta unitario» (esta hoja)</t>
        </is>
      </c>
      <c r="F23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6" customWidth="1" min="4" max="4"/>
    <col width="18" customWidth="1" min="5" max="5"/>
    <col width="23" customWidth="1" min="6" max="6"/>
    <col width="21" customWidth="1" min="7" max="7"/>
    <col width="23" customWidth="1" min="8" max="8"/>
  </cols>
  <sheetData>
    <row r="1">
      <c r="A1" s="3" t="inlineStr">
        <is>
          <t>Existencia: conteo vs registros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Lote</t>
        </is>
      </c>
      <c r="B4" s="17" t="inlineStr">
        <is>
          <t>Categoría</t>
        </is>
      </c>
      <c r="C4" s="17" t="inlineStr">
        <is>
          <t>Unidad</t>
        </is>
      </c>
      <c r="D4" s="17" t="inlineStr">
        <is>
          <t>Cantidad según registros</t>
        </is>
      </c>
      <c r="E4" s="17" t="inlineStr">
        <is>
          <t>Cantidad contada</t>
        </is>
      </c>
      <c r="F4" s="17" t="inlineStr">
        <is>
          <t>Diferencia (unidades)</t>
        </is>
      </c>
      <c r="G4" s="17" t="inlineStr">
        <is>
          <t>Valor unitario</t>
        </is>
      </c>
      <c r="H4" s="17" t="inlineStr">
        <is>
          <t>Diferencia valorizada</t>
        </is>
      </c>
    </row>
    <row r="5">
      <c r="A5" s="18" t="inlineStr">
        <is>
          <t>G-01</t>
        </is>
      </c>
      <c r="B5" s="18" t="inlineStr">
        <is>
          <t>Ganado lechero</t>
        </is>
      </c>
      <c r="C5" s="18" t="inlineStr">
        <is>
          <t>cabezas</t>
        </is>
      </c>
      <c r="D5" s="20">
        <f>'03_Activos'!H5</f>
        <v/>
      </c>
      <c r="E5" s="20">
        <f>IF('03_Activos'!I5="","",'03_Activos'!I5)</f>
        <v/>
      </c>
      <c r="F5" s="20">
        <f>IF(E5="","",E5-D5)</f>
        <v/>
      </c>
      <c r="G5" s="20">
        <f>IF('03_Activos'!Y5&lt;&gt;"",'03_Activos'!Y5,IF('03_Activos'!H5=0,"",'03_Activos'!M5/'03_Activos'!H5))</f>
        <v/>
      </c>
      <c r="H5" s="20">
        <f>IF(OR(F5="",G5=""),"",F5*G5)</f>
        <v/>
      </c>
    </row>
    <row r="6">
      <c r="A6" s="19" t="inlineStr">
        <is>
          <t>G-02</t>
        </is>
      </c>
      <c r="B6" s="19" t="inlineStr">
        <is>
          <t>Ganado de engorde</t>
        </is>
      </c>
      <c r="C6" s="19" t="inlineStr">
        <is>
          <t>cabezas</t>
        </is>
      </c>
      <c r="D6" s="21">
        <f>'03_Activos'!H6</f>
        <v/>
      </c>
      <c r="E6" s="21">
        <f>IF('03_Activos'!I6="","",'03_Activos'!I6)</f>
        <v/>
      </c>
      <c r="F6" s="21">
        <f>IF(E6="","",E6-D6)</f>
        <v/>
      </c>
      <c r="G6" s="21">
        <f>IF('03_Activos'!Y6&lt;&gt;"",'03_Activos'!Y6,IF('03_Activos'!H6=0,"",'03_Activos'!M6/'03_Activos'!H6))</f>
        <v/>
      </c>
      <c r="H6" s="21">
        <f>IF(OR(F6="",G6=""),"",F6*G6)</f>
        <v/>
      </c>
    </row>
    <row r="7">
      <c r="A7" s="18" t="inlineStr">
        <is>
          <t>P-01</t>
        </is>
      </c>
      <c r="B7" s="18" t="inlineStr">
        <is>
          <t>Plantación de teca</t>
        </is>
      </c>
      <c r="C7" s="18" t="inlineStr">
        <is>
          <t>hectáreas</t>
        </is>
      </c>
      <c r="D7" s="20">
        <f>'03_Activos'!H7</f>
        <v/>
      </c>
      <c r="E7" s="20">
        <f>IF('03_Activos'!I7="","",'03_Activos'!I7)</f>
        <v/>
      </c>
      <c r="F7" s="20">
        <f>IF(E7="","",E7-D7)</f>
        <v/>
      </c>
      <c r="G7" s="20">
        <f>IF('03_Activos'!Y7&lt;&gt;"",'03_Activos'!Y7,IF('03_Activos'!H7=0,"",'03_Activos'!M7/'03_Activos'!H7))</f>
        <v/>
      </c>
      <c r="H7" s="20">
        <f>IF(OR(F7="",G7=""),"",F7*G7)</f>
        <v/>
      </c>
    </row>
    <row r="8">
      <c r="A8" s="19" t="inlineStr">
        <is>
          <t>C-01</t>
        </is>
      </c>
      <c r="B8" s="19" t="inlineStr">
        <is>
          <t>Camarón en piscinas</t>
        </is>
      </c>
      <c r="C8" s="19" t="inlineStr">
        <is>
          <t>kg</t>
        </is>
      </c>
      <c r="D8" s="21">
        <f>'03_Activos'!H8</f>
        <v/>
      </c>
      <c r="E8" s="21">
        <f>IF('03_Activos'!I8="","",'03_Activos'!I8)</f>
        <v/>
      </c>
      <c r="F8" s="21">
        <f>IF(E8="","",E8-D8)</f>
        <v/>
      </c>
      <c r="G8" s="21">
        <f>IF('03_Activos'!Y8&lt;&gt;"",'03_Activos'!Y8,IF('03_Activos'!H8=0,"",'03_Activos'!M8/'03_Activos'!H8))</f>
        <v/>
      </c>
      <c r="H8" s="21">
        <f>IF(OR(F8="",G8=""),"",F8*G8)</f>
        <v/>
      </c>
    </row>
    <row r="9">
      <c r="A9" s="18" t="inlineStr">
        <is>
          <t>F-01</t>
        </is>
      </c>
      <c r="B9" s="18" t="inlineStr">
        <is>
          <t>Rosales en producción</t>
        </is>
      </c>
      <c r="C9" s="18" t="inlineStr">
        <is>
          <t>plantas</t>
        </is>
      </c>
      <c r="D9" s="20">
        <f>'03_Activos'!H9</f>
        <v/>
      </c>
      <c r="E9" s="20">
        <f>IF('03_Activos'!I9="","",'03_Activos'!I9)</f>
        <v/>
      </c>
      <c r="F9" s="20">
        <f>IF(E9="","",E9-D9)</f>
        <v/>
      </c>
      <c r="G9" s="20">
        <f>IF('03_Activos'!Y9&lt;&gt;"",'03_Activos'!Y9,IF('03_Activos'!H9=0,"",'03_Activos'!M9/'03_Activos'!H9))</f>
        <v/>
      </c>
      <c r="H9" s="20">
        <f>IF(OR(F9="",G9=""),"",F9*G9)</f>
        <v/>
      </c>
    </row>
    <row r="10">
      <c r="A10" s="19" t="inlineStr">
        <is>
          <t>F-02</t>
        </is>
      </c>
      <c r="B10" s="19" t="inlineStr">
        <is>
          <t>Botones de rosa en crecimiento</t>
        </is>
      </c>
      <c r="C10" s="19" t="inlineStr">
        <is>
          <t>tallos</t>
        </is>
      </c>
      <c r="D10" s="21">
        <f>'03_Activos'!H10</f>
        <v/>
      </c>
      <c r="E10" s="21">
        <f>IF('03_Activos'!I10="","",'03_Activos'!I10)</f>
        <v/>
      </c>
      <c r="F10" s="21">
        <f>IF(E10="","",E10-D10)</f>
        <v/>
      </c>
      <c r="G10" s="21">
        <f>IF('03_Activos'!Y10&lt;&gt;"",'03_Activos'!Y10,IF('03_Activos'!H10=0,"",'03_Activos'!M10/'03_Activos'!H10))</f>
        <v/>
      </c>
      <c r="H10" s="21">
        <f>IF(OR(F10="",G10=""),"",F10*G10)</f>
        <v/>
      </c>
    </row>
    <row r="11">
      <c r="A11" s="18" t="inlineStr">
        <is>
          <t>G-03</t>
        </is>
      </c>
      <c r="B11" s="18" t="inlineStr">
        <is>
          <t>Toros reproductores importados</t>
        </is>
      </c>
      <c r="C11" s="18" t="inlineStr">
        <is>
          <t>cabezas</t>
        </is>
      </c>
      <c r="D11" s="20">
        <f>'03_Activos'!H11</f>
        <v/>
      </c>
      <c r="E11" s="20">
        <f>IF('03_Activos'!I11="","",'03_Activos'!I11)</f>
        <v/>
      </c>
      <c r="F11" s="20">
        <f>IF(E11="","",E11-D11)</f>
        <v/>
      </c>
      <c r="G11" s="20">
        <f>IF('03_Activos'!Y11&lt;&gt;"",'03_Activos'!Y11,IF('03_Activos'!H11=0,"",'03_Activos'!M11/'03_Activos'!H11))</f>
        <v/>
      </c>
      <c r="H11" s="20">
        <f>IF(OR(F11="",G11=""),"",F11*G11)</f>
        <v/>
      </c>
    </row>
    <row r="12">
      <c r="A12" s="19" t="inlineStr">
        <is>
          <t>G-04</t>
        </is>
      </c>
      <c r="B12" s="19" t="inlineStr">
        <is>
          <t>Cerdos de engorde</t>
        </is>
      </c>
      <c r="C12" s="19" t="inlineStr">
        <is>
          <t>cabezas</t>
        </is>
      </c>
      <c r="D12" s="21">
        <f>'03_Activos'!H12</f>
        <v/>
      </c>
      <c r="E12" s="21">
        <f>IF('03_Activos'!I12="","",'03_Activos'!I12)</f>
        <v/>
      </c>
      <c r="F12" s="21">
        <f>IF(E12="","",E12-D12)</f>
        <v/>
      </c>
      <c r="G12" s="21">
        <f>IF('03_Activos'!Y12&lt;&gt;"",'03_Activos'!Y12,IF('03_Activos'!H12=0,"",'03_Activos'!M12/'03_Activos'!H12))</f>
        <v/>
      </c>
      <c r="H12" s="21">
        <f>IF(OR(F12="",G12=""),"",F12*G12)</f>
        <v/>
      </c>
    </row>
    <row r="13">
      <c r="A13" s="18" t="inlineStr">
        <is>
          <t>P-02</t>
        </is>
      </c>
      <c r="B13" s="18" t="inlineStr">
        <is>
          <t>Cultivo de maíz</t>
        </is>
      </c>
      <c r="C13" s="18" t="inlineStr">
        <is>
          <t>hectáreas</t>
        </is>
      </c>
      <c r="D13" s="20">
        <f>'03_Activos'!H13</f>
        <v/>
      </c>
      <c r="E13" s="20">
        <f>IF('03_Activos'!I13="","",'03_Activos'!I13)</f>
        <v/>
      </c>
      <c r="F13" s="20">
        <f>IF(E13="","",E13-D13)</f>
        <v/>
      </c>
      <c r="G13" s="20">
        <f>IF('03_Activos'!Y13&lt;&gt;"",'03_Activos'!Y13,IF('03_Activos'!H13=0,"",'03_Activos'!M13/'03_Activos'!H13))</f>
        <v/>
      </c>
      <c r="H13" s="20">
        <f>IF(OR(F13="",G13=""),"",F13*G13)</f>
        <v/>
      </c>
    </row>
    <row r="14">
      <c r="A14" s="19" t="inlineStr">
        <is>
          <t>C-02</t>
        </is>
      </c>
      <c r="B14" s="19" t="inlineStr">
        <is>
          <t>Tilapia en estanques</t>
        </is>
      </c>
      <c r="C14" s="19" t="inlineStr">
        <is>
          <t>kg</t>
        </is>
      </c>
      <c r="D14" s="21">
        <f>'03_Activos'!H14</f>
        <v/>
      </c>
      <c r="E14" s="21">
        <f>IF('03_Activos'!I14="","",'03_Activos'!I14)</f>
        <v/>
      </c>
      <c r="F14" s="21">
        <f>IF(E14="","",E14-D14)</f>
        <v/>
      </c>
      <c r="G14" s="21">
        <f>IF('03_Activos'!Y14&lt;&gt;"",'03_Activos'!Y14,IF('03_Activos'!H14=0,"",'03_Activos'!M14/'03_Activos'!H14))</f>
        <v/>
      </c>
      <c r="H14" s="21">
        <f>IF(OR(F14="",G14=""),"",F14*G14)</f>
        <v/>
      </c>
    </row>
    <row r="15">
      <c r="A15" s="28" t="inlineStr">
        <is>
          <t>TOTAL</t>
        </is>
      </c>
      <c r="B15" s="28" t="inlineStr"/>
      <c r="C15" s="28" t="inlineStr"/>
      <c r="D15" s="29" t="n"/>
      <c r="E15" s="29" t="n"/>
      <c r="F15" s="29" t="n"/>
      <c r="G15" s="29" t="n"/>
      <c r="H15" s="29">
        <f>SUM(H5:H14)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Cantidad según registros</t>
        </is>
      </c>
      <c r="B19" s="25" t="inlineStr">
        <is>
          <t>'='03_Activos'!H5</t>
        </is>
      </c>
      <c r="C19" s="24" t="inlineStr">
        <is>
          <t>Trae la cantidad de unidades que muestran los registros del cliente en la hoja 03 (Activos biológicos: clasificación y datos).</t>
        </is>
      </c>
      <c r="D19" s="24" t="inlineStr">
        <is>
          <t>Fila 1: 125,00 → 125,00</t>
        </is>
      </c>
      <c r="E19" s="24" t="inlineStr">
        <is>
          <t>hoja «Activos biológicos: clasificación y datos»</t>
        </is>
      </c>
      <c r="F19" s="24" t="inlineStr">
        <is>
          <t>—</t>
        </is>
      </c>
    </row>
    <row r="20">
      <c r="A20" s="24" t="inlineStr">
        <is>
          <t>Cantidad contada</t>
        </is>
      </c>
      <c r="B20" s="25" t="inlineStr">
        <is>
          <t>'=IF('03_Activos'!I5="","",'03_Activos'!I5)</t>
        </is>
      </c>
      <c r="C20" s="24" t="inlineStr">
        <is>
          <t>Trae la cantidad contada físicamente en la hoja 03 (Activos biológicos: clasificación y datos); si el lote no se contó, queda en blanco.</t>
        </is>
      </c>
      <c r="D20" s="24" t="inlineStr">
        <is>
          <t>Fila 1: IF(123,00=""; ""; 123,00) → 123,00</t>
        </is>
      </c>
      <c r="E20" s="24" t="inlineStr">
        <is>
          <t>hoja «Activos biológicos: clasificación y datos»</t>
        </is>
      </c>
      <c r="F20" s="24" t="inlineStr">
        <is>
          <t>—</t>
        </is>
      </c>
    </row>
    <row r="21">
      <c r="A21" s="24" t="inlineStr">
        <is>
          <t>Diferencia (unidades)</t>
        </is>
      </c>
      <c r="B21" s="25" t="inlineStr">
        <is>
          <t>'=IF(E5="","",E5-D5)</t>
        </is>
      </c>
      <c r="C21" s="24" t="inlineStr">
        <is>
          <t>Resta la cantidad según registros a la contada: negativo es faltante, positivo sobrante; en blanco sin conteo.</t>
        </is>
      </c>
      <c r="D21" s="24" t="inlineStr">
        <is>
          <t>Fila 1: IF(123,00=""; ""; 123,00-125,00) → -2,00</t>
        </is>
      </c>
      <c r="E21" s="24" t="inlineStr">
        <is>
          <t>«Cantidad contada» (esta hoja), «Cantidad según registros» (esta hoja)</t>
        </is>
      </c>
      <c r="F21" s="24" t="inlineStr">
        <is>
          <t>—</t>
        </is>
      </c>
    </row>
    <row r="22">
      <c r="A22" s="24" t="inlineStr">
        <is>
          <t>Valor unitario</t>
        </is>
      </c>
      <c r="B22" s="25" t="inlineStr">
        <is>
          <t>'=IF('03_Activos'!Y5&lt;&gt;"",'03_Activos'!Y5,IF('03_Activos'!H5=0,"",'03_Activos'!M5/'03_Activos'!H5))</t>
        </is>
      </c>
      <c r="C22" s="24" t="inlineStr">
        <is>
          <t>Usa el VR menos costos de venta unitario de la hoja 03 (Activos biológicos: clasificación y datos); si no lo hay, divide el valor en libros entre la cantidad según registros (en blanco si esa cantidad es cero).</t>
        </is>
      </c>
      <c r="D22" s="24" t="inlineStr">
        <is>
          <t>Fila 1: IF(1.560,00&lt;&gt;""; 1.560,00; IF(125,00=0; ""; 195.000,00/125,00)) → 1.560,00</t>
        </is>
      </c>
      <c r="E22" s="24" t="inlineStr">
        <is>
          <t>hoja «Activos biológicos: clasificación y datos»</t>
        </is>
      </c>
      <c r="F22" s="24" t="inlineStr">
        <is>
          <t>—</t>
        </is>
      </c>
    </row>
    <row r="23">
      <c r="A23" s="24" t="inlineStr">
        <is>
          <t>Diferencia valorizada</t>
        </is>
      </c>
      <c r="B23" s="25" t="inlineStr">
        <is>
          <t>'=IF(OR(F5="",G5=""),"",F5*G5)</t>
        </is>
      </c>
      <c r="C23" s="24" t="inlineStr">
        <is>
          <t>Multiplica la diferencia en unidades por el valor unitario; en blanco si falta alguno de los dos.</t>
        </is>
      </c>
      <c r="D23" s="24" t="inlineStr">
        <is>
          <t>Fila 1: IF(OR(-2,00=""; 1.560,00=""); ""; -2,00*1.560,00) → -3.120,00</t>
        </is>
      </c>
      <c r="E23" s="24" t="inlineStr">
        <is>
          <t>«Diferencia (unidades)» (esta hoja), «Valor unitario» (esta hoja)</t>
        </is>
      </c>
      <c r="F23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19" customWidth="1" min="4" max="4"/>
    <col width="22" customWidth="1" min="5" max="5"/>
    <col width="25" customWidth="1" min="6" max="6"/>
    <col width="31" customWidth="1" min="7" max="7"/>
    <col width="28" customWidth="1" min="8" max="8"/>
    <col width="24" customWidth="1" min="9" max="9"/>
    <col width="20" customWidth="1" min="10" max="10"/>
    <col width="17" customWidth="1" min="11" max="11"/>
    <col width="24" customWidth="1" min="12" max="12"/>
  </cols>
  <sheetData>
    <row r="1">
      <c r="A1" s="3" t="inlineStr">
        <is>
          <t>Valoración: VR menos costos de venta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Lote</t>
        </is>
      </c>
      <c r="B4" s="17" t="inlineStr">
        <is>
          <t>Categoría</t>
        </is>
      </c>
      <c r="C4" s="17" t="inlineStr">
        <is>
          <t>Modelo auditado</t>
        </is>
      </c>
      <c r="D4" s="17" t="inlineStr">
        <is>
          <t>Cantidad auditada</t>
        </is>
      </c>
      <c r="E4" s="17" t="inlineStr">
        <is>
          <t>VR unitario al corte</t>
        </is>
      </c>
      <c r="F4" s="17" t="inlineStr">
        <is>
          <t>Costo de venta unitario</t>
        </is>
      </c>
      <c r="G4" s="17" t="inlineStr">
        <is>
          <t>VR − costos de venta unitario</t>
        </is>
      </c>
      <c r="H4" s="17" t="inlineStr">
        <is>
          <t>VR − costos de venta total</t>
        </is>
      </c>
      <c r="I4" s="17" t="inlineStr">
        <is>
          <t>Valor modelo del costo</t>
        </is>
      </c>
      <c r="J4" s="17" t="inlineStr">
        <is>
          <t>Valor auditado</t>
        </is>
      </c>
      <c r="K4" s="17" t="inlineStr">
        <is>
          <t>Valor en libros</t>
        </is>
      </c>
      <c r="L4" s="17" t="inlineStr">
        <is>
          <t>Ajuste</t>
        </is>
      </c>
    </row>
    <row r="5">
      <c r="A5" s="18" t="inlineStr">
        <is>
          <t>G-01</t>
        </is>
      </c>
      <c r="B5" s="18" t="inlineStr">
        <is>
          <t>Ganado lechero</t>
        </is>
      </c>
      <c r="C5" s="18">
        <f>'03_Activos'!W5</f>
        <v/>
      </c>
      <c r="D5" s="20">
        <f>'03_Activos'!X5</f>
        <v/>
      </c>
      <c r="E5" s="20">
        <f>IF('03_Activos'!K5="","",'03_Activos'!K5)</f>
        <v/>
      </c>
      <c r="F5" s="20">
        <f>'03_Activos'!L5</f>
        <v/>
      </c>
      <c r="G5" s="20">
        <f>IF(E5="","",E5-F5)</f>
        <v/>
      </c>
      <c r="H5" s="20">
        <f>IF(OR(C5&lt;&gt;"Valor razonable",G5=""),"",D5*G5)</f>
        <v/>
      </c>
      <c r="I5" s="20">
        <f>IF(C5="Costo",IF('08_Modelo_costo'!I5="","",'08_Modelo_costo'!I5),"")</f>
        <v/>
      </c>
      <c r="J5" s="20">
        <f>IF(C5="NIC 16",K5,IF(C5="Valor razonable",H5,I5))</f>
        <v/>
      </c>
      <c r="K5" s="20">
        <f>'03_Activos'!M5</f>
        <v/>
      </c>
      <c r="L5" s="20">
        <f>IF(J5="","",J5-K5)</f>
        <v/>
      </c>
    </row>
    <row r="6">
      <c r="A6" s="19" t="inlineStr">
        <is>
          <t>G-02</t>
        </is>
      </c>
      <c r="B6" s="19" t="inlineStr">
        <is>
          <t>Ganado de engorde</t>
        </is>
      </c>
      <c r="C6" s="19">
        <f>'03_Activos'!W6</f>
        <v/>
      </c>
      <c r="D6" s="21">
        <f>'03_Activos'!X6</f>
        <v/>
      </c>
      <c r="E6" s="21">
        <f>IF('03_Activos'!K6="","",'03_Activos'!K6)</f>
        <v/>
      </c>
      <c r="F6" s="21">
        <f>'03_Activos'!L6</f>
        <v/>
      </c>
      <c r="G6" s="21">
        <f>IF(E6="","",E6-F6)</f>
        <v/>
      </c>
      <c r="H6" s="21">
        <f>IF(OR(C6&lt;&gt;"Valor razonable",G6=""),"",D6*G6)</f>
        <v/>
      </c>
      <c r="I6" s="21">
        <f>IF(C6="Costo",IF('08_Modelo_costo'!I6="","",'08_Modelo_costo'!I6),"")</f>
        <v/>
      </c>
      <c r="J6" s="21">
        <f>IF(C6="NIC 16",K6,IF(C6="Valor razonable",H6,I6))</f>
        <v/>
      </c>
      <c r="K6" s="21">
        <f>'03_Activos'!M6</f>
        <v/>
      </c>
      <c r="L6" s="21">
        <f>IF(J6="","",J6-K6)</f>
        <v/>
      </c>
    </row>
    <row r="7">
      <c r="A7" s="18" t="inlineStr">
        <is>
          <t>P-01</t>
        </is>
      </c>
      <c r="B7" s="18" t="inlineStr">
        <is>
          <t>Plantación de teca</t>
        </is>
      </c>
      <c r="C7" s="18">
        <f>'03_Activos'!W7</f>
        <v/>
      </c>
      <c r="D7" s="20">
        <f>'03_Activos'!X7</f>
        <v/>
      </c>
      <c r="E7" s="20">
        <f>IF('03_Activos'!K7="","",'03_Activos'!K7)</f>
        <v/>
      </c>
      <c r="F7" s="20">
        <f>'03_Activos'!L7</f>
        <v/>
      </c>
      <c r="G7" s="20">
        <f>IF(E7="","",E7-F7)</f>
        <v/>
      </c>
      <c r="H7" s="20">
        <f>IF(OR(C7&lt;&gt;"Valor razonable",G7=""),"",D7*G7)</f>
        <v/>
      </c>
      <c r="I7" s="20">
        <f>IF(C7="Costo",IF('08_Modelo_costo'!I7="","",'08_Modelo_costo'!I7),"")</f>
        <v/>
      </c>
      <c r="J7" s="20">
        <f>IF(C7="NIC 16",K7,IF(C7="Valor razonable",H7,I7))</f>
        <v/>
      </c>
      <c r="K7" s="20">
        <f>'03_Activos'!M7</f>
        <v/>
      </c>
      <c r="L7" s="20">
        <f>IF(J7="","",J7-K7)</f>
        <v/>
      </c>
    </row>
    <row r="8">
      <c r="A8" s="19" t="inlineStr">
        <is>
          <t>C-01</t>
        </is>
      </c>
      <c r="B8" s="19" t="inlineStr">
        <is>
          <t>Camarón en piscinas</t>
        </is>
      </c>
      <c r="C8" s="19">
        <f>'03_Activos'!W8</f>
        <v/>
      </c>
      <c r="D8" s="21">
        <f>'03_Activos'!X8</f>
        <v/>
      </c>
      <c r="E8" s="21">
        <f>IF('03_Activos'!K8="","",'03_Activos'!K8)</f>
        <v/>
      </c>
      <c r="F8" s="21">
        <f>'03_Activos'!L8</f>
        <v/>
      </c>
      <c r="G8" s="21">
        <f>IF(E8="","",E8-F8)</f>
        <v/>
      </c>
      <c r="H8" s="21">
        <f>IF(OR(C8&lt;&gt;"Valor razonable",G8=""),"",D8*G8)</f>
        <v/>
      </c>
      <c r="I8" s="21">
        <f>IF(C8="Costo",IF('08_Modelo_costo'!I8="","",'08_Modelo_costo'!I8),"")</f>
        <v/>
      </c>
      <c r="J8" s="21">
        <f>IF(C8="NIC 16",K8,IF(C8="Valor razonable",H8,I8))</f>
        <v/>
      </c>
      <c r="K8" s="21">
        <f>'03_Activos'!M8</f>
        <v/>
      </c>
      <c r="L8" s="21">
        <f>IF(J8="","",J8-K8)</f>
        <v/>
      </c>
    </row>
    <row r="9">
      <c r="A9" s="18" t="inlineStr">
        <is>
          <t>F-01</t>
        </is>
      </c>
      <c r="B9" s="18" t="inlineStr">
        <is>
          <t>Rosales en producción</t>
        </is>
      </c>
      <c r="C9" s="18">
        <f>'03_Activos'!W9</f>
        <v/>
      </c>
      <c r="D9" s="20">
        <f>'03_Activos'!X9</f>
        <v/>
      </c>
      <c r="E9" s="20">
        <f>IF('03_Activos'!K9="","",'03_Activos'!K9)</f>
        <v/>
      </c>
      <c r="F9" s="20">
        <f>'03_Activos'!L9</f>
        <v/>
      </c>
      <c r="G9" s="20">
        <f>IF(E9="","",E9-F9)</f>
        <v/>
      </c>
      <c r="H9" s="20">
        <f>IF(OR(C9&lt;&gt;"Valor razonable",G9=""),"",D9*G9)</f>
        <v/>
      </c>
      <c r="I9" s="20">
        <f>IF(C9="Costo",IF('08_Modelo_costo'!I9="","",'08_Modelo_costo'!I9),"")</f>
        <v/>
      </c>
      <c r="J9" s="20">
        <f>IF(C9="NIC 16",K9,IF(C9="Valor razonable",H9,I9))</f>
        <v/>
      </c>
      <c r="K9" s="20">
        <f>'03_Activos'!M9</f>
        <v/>
      </c>
      <c r="L9" s="20">
        <f>IF(J9="","",J9-K9)</f>
        <v/>
      </c>
    </row>
    <row r="10">
      <c r="A10" s="19" t="inlineStr">
        <is>
          <t>F-02</t>
        </is>
      </c>
      <c r="B10" s="19" t="inlineStr">
        <is>
          <t>Botones de rosa en crecimiento</t>
        </is>
      </c>
      <c r="C10" s="19">
        <f>'03_Activos'!W10</f>
        <v/>
      </c>
      <c r="D10" s="21">
        <f>'03_Activos'!X10</f>
        <v/>
      </c>
      <c r="E10" s="21">
        <f>IF('03_Activos'!K10="","",'03_Activos'!K10)</f>
        <v/>
      </c>
      <c r="F10" s="21">
        <f>'03_Activos'!L10</f>
        <v/>
      </c>
      <c r="G10" s="21">
        <f>IF(E10="","",E10-F10)</f>
        <v/>
      </c>
      <c r="H10" s="21">
        <f>IF(OR(C10&lt;&gt;"Valor razonable",G10=""),"",D10*G10)</f>
        <v/>
      </c>
      <c r="I10" s="21">
        <f>IF(C10="Costo",IF('08_Modelo_costo'!I10="","",'08_Modelo_costo'!I10),"")</f>
        <v/>
      </c>
      <c r="J10" s="21">
        <f>IF(C10="NIC 16",K10,IF(C10="Valor razonable",H10,I10))</f>
        <v/>
      </c>
      <c r="K10" s="21">
        <f>'03_Activos'!M10</f>
        <v/>
      </c>
      <c r="L10" s="21">
        <f>IF(J10="","",J10-K10)</f>
        <v/>
      </c>
    </row>
    <row r="11">
      <c r="A11" s="18" t="inlineStr">
        <is>
          <t>G-03</t>
        </is>
      </c>
      <c r="B11" s="18" t="inlineStr">
        <is>
          <t>Toros reproductores importados</t>
        </is>
      </c>
      <c r="C11" s="18">
        <f>'03_Activos'!W11</f>
        <v/>
      </c>
      <c r="D11" s="20">
        <f>'03_Activos'!X11</f>
        <v/>
      </c>
      <c r="E11" s="20">
        <f>IF('03_Activos'!K11="","",'03_Activos'!K11)</f>
        <v/>
      </c>
      <c r="F11" s="20">
        <f>'03_Activos'!L11</f>
        <v/>
      </c>
      <c r="G11" s="20">
        <f>IF(E11="","",E11-F11)</f>
        <v/>
      </c>
      <c r="H11" s="20">
        <f>IF(OR(C11&lt;&gt;"Valor razonable",G11=""),"",D11*G11)</f>
        <v/>
      </c>
      <c r="I11" s="20">
        <f>IF(C11="Costo",IF('08_Modelo_costo'!I11="","",'08_Modelo_costo'!I11),"")</f>
        <v/>
      </c>
      <c r="J11" s="20">
        <f>IF(C11="NIC 16",K11,IF(C11="Valor razonable",H11,I11))</f>
        <v/>
      </c>
      <c r="K11" s="20">
        <f>'03_Activos'!M11</f>
        <v/>
      </c>
      <c r="L11" s="20">
        <f>IF(J11="","",J11-K11)</f>
        <v/>
      </c>
    </row>
    <row r="12">
      <c r="A12" s="19" t="inlineStr">
        <is>
          <t>G-04</t>
        </is>
      </c>
      <c r="B12" s="19" t="inlineStr">
        <is>
          <t>Cerdos de engorde</t>
        </is>
      </c>
      <c r="C12" s="19">
        <f>'03_Activos'!W12</f>
        <v/>
      </c>
      <c r="D12" s="21">
        <f>'03_Activos'!X12</f>
        <v/>
      </c>
      <c r="E12" s="21">
        <f>IF('03_Activos'!K12="","",'03_Activos'!K12)</f>
        <v/>
      </c>
      <c r="F12" s="21">
        <f>'03_Activos'!L12</f>
        <v/>
      </c>
      <c r="G12" s="21">
        <f>IF(E12="","",E12-F12)</f>
        <v/>
      </c>
      <c r="H12" s="21">
        <f>IF(OR(C12&lt;&gt;"Valor razonable",G12=""),"",D12*G12)</f>
        <v/>
      </c>
      <c r="I12" s="21">
        <f>IF(C12="Costo",IF('08_Modelo_costo'!I12="","",'08_Modelo_costo'!I12),"")</f>
        <v/>
      </c>
      <c r="J12" s="21">
        <f>IF(C12="NIC 16",K12,IF(C12="Valor razonable",H12,I12))</f>
        <v/>
      </c>
      <c r="K12" s="21">
        <f>'03_Activos'!M12</f>
        <v/>
      </c>
      <c r="L12" s="21">
        <f>IF(J12="","",J12-K12)</f>
        <v/>
      </c>
    </row>
    <row r="13">
      <c r="A13" s="18" t="inlineStr">
        <is>
          <t>P-02</t>
        </is>
      </c>
      <c r="B13" s="18" t="inlineStr">
        <is>
          <t>Cultivo de maíz</t>
        </is>
      </c>
      <c r="C13" s="18">
        <f>'03_Activos'!W13</f>
        <v/>
      </c>
      <c r="D13" s="20">
        <f>'03_Activos'!X13</f>
        <v/>
      </c>
      <c r="E13" s="20">
        <f>IF('03_Activos'!K13="","",'03_Activos'!K13)</f>
        <v/>
      </c>
      <c r="F13" s="20">
        <f>'03_Activos'!L13</f>
        <v/>
      </c>
      <c r="G13" s="20">
        <f>IF(E13="","",E13-F13)</f>
        <v/>
      </c>
      <c r="H13" s="20">
        <f>IF(OR(C13&lt;&gt;"Valor razonable",G13=""),"",D13*G13)</f>
        <v/>
      </c>
      <c r="I13" s="20">
        <f>IF(C13="Costo",IF('08_Modelo_costo'!I13="","",'08_Modelo_costo'!I13),"")</f>
        <v/>
      </c>
      <c r="J13" s="20">
        <f>IF(C13="NIC 16",K13,IF(C13="Valor razonable",H13,I13))</f>
        <v/>
      </c>
      <c r="K13" s="20">
        <f>'03_Activos'!M13</f>
        <v/>
      </c>
      <c r="L13" s="20">
        <f>IF(J13="","",J13-K13)</f>
        <v/>
      </c>
    </row>
    <row r="14">
      <c r="A14" s="19" t="inlineStr">
        <is>
          <t>C-02</t>
        </is>
      </c>
      <c r="B14" s="19" t="inlineStr">
        <is>
          <t>Tilapia en estanques</t>
        </is>
      </c>
      <c r="C14" s="19">
        <f>'03_Activos'!W14</f>
        <v/>
      </c>
      <c r="D14" s="21">
        <f>'03_Activos'!X14</f>
        <v/>
      </c>
      <c r="E14" s="21">
        <f>IF('03_Activos'!K14="","",'03_Activos'!K14)</f>
        <v/>
      </c>
      <c r="F14" s="21">
        <f>'03_Activos'!L14</f>
        <v/>
      </c>
      <c r="G14" s="21">
        <f>IF(E14="","",E14-F14)</f>
        <v/>
      </c>
      <c r="H14" s="21">
        <f>IF(OR(C14&lt;&gt;"Valor razonable",G14=""),"",D14*G14)</f>
        <v/>
      </c>
      <c r="I14" s="21">
        <f>IF(C14="Costo",IF('08_Modelo_costo'!I14="","",'08_Modelo_costo'!I14),"")</f>
        <v/>
      </c>
      <c r="J14" s="21">
        <f>IF(C14="NIC 16",K14,IF(C14="Valor razonable",H14,I14))</f>
        <v/>
      </c>
      <c r="K14" s="21">
        <f>'03_Activos'!M14</f>
        <v/>
      </c>
      <c r="L14" s="21">
        <f>IF(J14="","",J14-K14)</f>
        <v/>
      </c>
    </row>
    <row r="15">
      <c r="A15" s="28" t="inlineStr">
        <is>
          <t>TOTAL</t>
        </is>
      </c>
      <c r="B15" s="28" t="inlineStr"/>
      <c r="C15" s="28" t="inlineStr"/>
      <c r="D15" s="29" t="n"/>
      <c r="E15" s="29" t="n"/>
      <c r="F15" s="29" t="n"/>
      <c r="G15" s="29" t="n"/>
      <c r="H15" s="29">
        <f>SUM(H5:H14)</f>
        <v/>
      </c>
      <c r="I15" s="29">
        <f>SUM(I5:I14)</f>
        <v/>
      </c>
      <c r="J15" s="29">
        <f>SUM(J5:J14)</f>
        <v/>
      </c>
      <c r="K15" s="29">
        <f>SUM(K5:K14)</f>
        <v/>
      </c>
      <c r="L15" s="29">
        <f>SUM(L5:L14)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Modelo auditado</t>
        </is>
      </c>
      <c r="B19" s="25" t="inlineStr">
        <is>
          <t>'='03_Activos'!W5</t>
        </is>
      </c>
      <c r="C19" s="24" t="inlineStr">
        <is>
          <t>Trae de la hoja 03 (Activos biológicos: clasificación y datos) el modelo con que el auditor mide el lote (valor razonable, costo o NIC 16 para plantas productoras).</t>
        </is>
      </c>
      <c r="D19" s="24" t="inlineStr">
        <is>
          <t>Fila 1: «Valor razonable» → Valor razonable</t>
        </is>
      </c>
      <c r="E19" s="24" t="inlineStr">
        <is>
          <t>hoja «Activos biológicos: clasificación y datos»</t>
        </is>
      </c>
      <c r="F19" s="24" t="inlineStr">
        <is>
          <t>—</t>
        </is>
      </c>
    </row>
    <row r="20">
      <c r="A20" s="24" t="inlineStr">
        <is>
          <t>Cantidad auditada</t>
        </is>
      </c>
      <c r="B20" s="25" t="inlineStr">
        <is>
          <t>'='03_Activos'!X5</t>
        </is>
      </c>
      <c r="C20" s="24" t="inlineStr">
        <is>
          <t>Trae la cantidad auditada de la hoja 03 (Activos biológicos: clasificación y datos): la contada o, sin conteo, la de los registros.</t>
        </is>
      </c>
      <c r="D20" s="24" t="inlineStr">
        <is>
          <t>Fila 1: 123,00 → 123,00</t>
        </is>
      </c>
      <c r="E20" s="24" t="inlineStr">
        <is>
          <t>hoja «Activos biológicos: clasificación y datos»</t>
        </is>
      </c>
      <c r="F20" s="24" t="inlineStr">
        <is>
          <t>—</t>
        </is>
      </c>
    </row>
    <row r="21">
      <c r="A21" s="24" t="inlineStr">
        <is>
          <t>VR unitario al corte</t>
        </is>
      </c>
      <c r="B21" s="25" t="inlineStr">
        <is>
          <t>'=IF('03_Activos'!K5="","",'03_Activos'!K5)</t>
        </is>
      </c>
      <c r="C21" s="24" t="inlineStr">
        <is>
          <t>Trae el valor razonable unitario al corte informado en la hoja 03 (Activos biológicos: clasificación y datos); en blanco si no se informó.</t>
        </is>
      </c>
      <c r="D21" s="24" t="inlineStr">
        <is>
          <t>Fila 1: IF(1.600,00=""; ""; 1.600,00) → 1.600,00</t>
        </is>
      </c>
      <c r="E21" s="24" t="inlineStr">
        <is>
          <t>hoja «Activos biológicos: clasificación y datos»</t>
        </is>
      </c>
      <c r="F21" s="24" t="inlineStr">
        <is>
          <t>—</t>
        </is>
      </c>
    </row>
    <row r="22">
      <c r="A22" s="24" t="inlineStr">
        <is>
          <t>Costo de venta unitario</t>
        </is>
      </c>
      <c r="B22" s="25" t="inlineStr">
        <is>
          <t>'='03_Activos'!L5</t>
        </is>
      </c>
      <c r="C22" s="24" t="inlineStr">
        <is>
          <t>Trae el costo de venta unitario del lote (por ejemplo, comisiones) informado en la hoja 03 (Activos biológicos: clasificación y datos).</t>
        </is>
      </c>
      <c r="D22" s="24" t="inlineStr">
        <is>
          <t>Fila 1: 40,00 → 40,00</t>
        </is>
      </c>
      <c r="E22" s="24" t="inlineStr">
        <is>
          <t>hoja «Activos biológicos: clasificación y datos»</t>
        </is>
      </c>
      <c r="F22" s="24" t="inlineStr">
        <is>
          <t>—</t>
        </is>
      </c>
    </row>
    <row r="23">
      <c r="A23" s="24" t="inlineStr">
        <is>
          <t>VR − costos de venta unitario</t>
        </is>
      </c>
      <c r="B23" s="25" t="inlineStr">
        <is>
          <t>'=IF(E5="","",E5-F5)</t>
        </is>
      </c>
      <c r="C23" s="24" t="inlineStr">
        <is>
          <t>Resta el costo de venta unitario al VR unitario al corte; queda en blanco si no hay VR al corte.</t>
        </is>
      </c>
      <c r="D23" s="24" t="inlineStr">
        <is>
          <t>Fila 1: IF(1.600,00=""; ""; 1.600,00-40,00) → 1.560,00</t>
        </is>
      </c>
      <c r="E23" s="24" t="inlineStr">
        <is>
          <t>«VR unitario al corte» (esta hoja), «Costo de venta unitario» (esta hoja)</t>
        </is>
      </c>
      <c r="F23" s="24" t="inlineStr">
        <is>
          <t>—</t>
        </is>
      </c>
    </row>
    <row r="24">
      <c r="A24" s="24" t="inlineStr">
        <is>
          <t>VR − costos de venta total</t>
        </is>
      </c>
      <c r="B24" s="25" t="inlineStr">
        <is>
          <t>'=IF(OR(C5&lt;&gt;"Valor razonable",G5=""),"",D5*G5)</t>
        </is>
      </c>
      <c r="C24" s="24" t="inlineStr">
        <is>
          <t>Multiplica la cantidad auditada por el VR menos costos de venta unitario. Solo se calcula para lotes medidos a valor razonable; en los demás queda en blanco.</t>
        </is>
      </c>
      <c r="D24" s="24" t="inlineStr">
        <is>
          <t>Fila 1: IF(OR(«Valor razonable»&lt;&gt;"Valor razonable"; 1.560,00=""); ""; 123,00*1.560,00) → 191.880,00</t>
        </is>
      </c>
      <c r="E24" s="24" t="inlineStr">
        <is>
          <t>«Modelo auditado» (esta hoja), «VR − costos de venta unitario» (esta hoja), «Cantidad auditada» (esta hoja)</t>
        </is>
      </c>
      <c r="F24" s="24" t="inlineStr">
        <is>
          <t>—</t>
        </is>
      </c>
    </row>
    <row r="25">
      <c r="A25" s="24" t="inlineStr">
        <is>
          <t>Valor modelo del costo</t>
        </is>
      </c>
      <c r="B25" s="25" t="inlineStr">
        <is>
          <t>'=IF(C5="Costo",IF('08_Modelo_costo'!I5="","",'08_Modelo_costo'!I5),"")</t>
        </is>
      </c>
      <c r="C25" s="24" t="inlineStr">
        <is>
          <t>Para lotes medidos al costo, trae el valor auditado al costo de la hoja 08 (Modelo del costo y deterioro); en los demás modelos queda en blanco.</t>
        </is>
      </c>
      <c r="D25" s="24" t="inlineStr">
        <is>
          <t>Fila 1: IF(«Valor razonable»="Costo"; IF((vacío)=""; ""; (vacío)); "") → (en blanco)</t>
        </is>
      </c>
      <c r="E25" s="24" t="inlineStr">
        <is>
          <t>«Modelo auditado» (esta hoja), hoja «Modelo del costo y deterioro»</t>
        </is>
      </c>
      <c r="F25" s="24" t="inlineStr">
        <is>
          <t>—</t>
        </is>
      </c>
    </row>
    <row r="26">
      <c r="A26" s="24" t="inlineStr">
        <is>
          <t>Valor auditado</t>
        </is>
      </c>
      <c r="B26" s="25" t="inlineStr">
        <is>
          <t>'=IF(C5="NIC 16",K5,IF(C5="Valor razonable",H5,I5))</t>
        </is>
      </c>
      <c r="C26" s="24" t="inlineStr">
        <is>
          <t>Elige el valor según el modelo: para plantas productoras medidas con NIC 16 acepta el valor en libros; a valor razonable, el VR menos costos de venta total; al costo, el valor de la hoja 08 (Modelo del costo).</t>
        </is>
      </c>
      <c r="D26" s="24" t="inlineStr">
        <is>
          <t>Fila 1: IF(«Valor razonable»="NIC 16"; 195.000,00; IF(«Valor razonable»="Valor razonable"; 191.880,00; (vacío))) → 191.880,00</t>
        </is>
      </c>
      <c r="E26" s="24" t="inlineStr">
        <is>
          <t>«Modelo auditado» (esta hoja), «Valor en libros» (esta hoja), «VR − costos de venta total» (esta hoja), «Valor modelo del costo» (esta hoja)</t>
        </is>
      </c>
      <c r="F26" s="24" t="inlineStr">
        <is>
          <t>—</t>
        </is>
      </c>
    </row>
    <row r="27">
      <c r="A27" s="24" t="inlineStr">
        <is>
          <t>Valor en libros</t>
        </is>
      </c>
      <c r="B27" s="25" t="inlineStr">
        <is>
          <t>'='03_Activos'!M5</t>
        </is>
      </c>
      <c r="C27" s="24" t="inlineStr">
        <is>
          <t>Trae el valor en libros del lote al corte registrado por el cliente en la hoja 03 (Activos biológicos: clasificación y datos).</t>
        </is>
      </c>
      <c r="D27" s="24" t="inlineStr">
        <is>
          <t>Fila 1: 195.000,00 → 195.000,00</t>
        </is>
      </c>
      <c r="E27" s="24" t="inlineStr">
        <is>
          <t>hoja «Activos biológicos: clasificación y datos»</t>
        </is>
      </c>
      <c r="F27" s="24" t="inlineStr">
        <is>
          <t>—</t>
        </is>
      </c>
    </row>
    <row r="28">
      <c r="A28" s="24" t="inlineStr">
        <is>
          <t>Ajuste</t>
        </is>
      </c>
      <c r="B28" s="25" t="inlineStr">
        <is>
          <t>'=IF(J5="","",J5-K5)</t>
        </is>
      </c>
      <c r="C28" s="24" t="inlineStr">
        <is>
          <t>Resta el valor en libros al valor auditado: positivo aumenta el activo y negativo lo disminuye; en blanco sin valor auditado.</t>
        </is>
      </c>
      <c r="D28" s="24" t="inlineStr">
        <is>
          <t>Fila 1: IF(191.880,00=""; ""; 191.880,00-195.000,00) → -3.120,00</t>
        </is>
      </c>
      <c r="E28" s="24" t="inlineStr">
        <is>
          <t>«Valor auditado» (esta hoja), «Valor en libros» (esta hoja)</t>
        </is>
      </c>
      <c r="F28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5" customWidth="1" min="4" max="4"/>
    <col width="26" customWidth="1" min="5" max="5"/>
    <col width="24" customWidth="1" min="6" max="6"/>
    <col width="15" customWidth="1" min="7" max="7"/>
    <col width="21" customWidth="1" min="8" max="8"/>
    <col width="19" customWidth="1" min="9" max="9"/>
    <col width="18" customWidth="1" min="10" max="10"/>
    <col width="12" customWidth="1" min="11" max="11"/>
    <col width="15" customWidth="1" min="12" max="12"/>
    <col width="21" customWidth="1" min="13" max="13"/>
    <col width="22" customWidth="1" min="14" max="14"/>
    <col width="21" customWidth="1" min="15" max="15"/>
    <col width="20" customWidth="1" min="16" max="16"/>
  </cols>
  <sheetData>
    <row r="1">
      <c r="A1" s="3" t="inlineStr">
        <is>
          <t>Transformación biológica y cambio de VR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</row>
    <row r="4" ht="30" customHeight="1">
      <c r="A4" s="17" t="inlineStr">
        <is>
          <t>Lote</t>
        </is>
      </c>
      <c r="B4" s="17" t="inlineStr">
        <is>
          <t>Modelo auditado</t>
        </is>
      </c>
      <c r="C4" s="17" t="inlineStr">
        <is>
          <t>Cantidad inicial</t>
        </is>
      </c>
      <c r="D4" s="17" t="inlineStr">
        <is>
          <t>Cantidad final auditada</t>
        </is>
      </c>
      <c r="E4" s="17" t="inlineStr">
        <is>
          <t>VR − CV unitario inicial</t>
        </is>
      </c>
      <c r="F4" s="17" t="inlineStr">
        <is>
          <t>VR − CV unitario final</t>
        </is>
      </c>
      <c r="G4" s="17" t="inlineStr">
        <is>
          <t>Cambio físico</t>
        </is>
      </c>
      <c r="H4" s="17" t="inlineStr">
        <is>
          <t>Cambio de precio</t>
        </is>
      </c>
      <c r="I4" s="17" t="inlineStr">
        <is>
          <t>Cambio total</t>
        </is>
      </c>
      <c r="J4" s="17" t="inlineStr">
        <is>
          <t>Libros al inicio</t>
        </is>
      </c>
      <c r="K4" s="17" t="inlineStr">
        <is>
          <t>Compras</t>
        </is>
      </c>
      <c r="L4" s="17" t="inlineStr">
        <is>
          <t>Disminuciones</t>
        </is>
      </c>
      <c r="M4" s="17" t="inlineStr">
        <is>
          <t>VR − CV final total</t>
        </is>
      </c>
      <c r="N4" s="17" t="inlineStr">
        <is>
          <t>Ganancia recalculada</t>
        </is>
      </c>
      <c r="O4" s="17" t="inlineStr">
        <is>
          <t>Ganancia registrada</t>
        </is>
      </c>
      <c r="P4" s="17" t="inlineStr">
        <is>
          <t>No reconocido</t>
        </is>
      </c>
    </row>
    <row r="5">
      <c r="A5" s="18" t="inlineStr">
        <is>
          <t>G-01</t>
        </is>
      </c>
      <c r="B5" s="18">
        <f>'05_Valoracion'!C5</f>
        <v/>
      </c>
      <c r="C5" s="20">
        <f>IF('03_Activos'!G5="","",'03_Activos'!G5)</f>
        <v/>
      </c>
      <c r="D5" s="20">
        <f>'03_Activos'!X5</f>
        <v/>
      </c>
      <c r="E5" s="20">
        <f>IF('03_Activos'!Z5="","",'03_Activos'!Z5)</f>
        <v/>
      </c>
      <c r="F5" s="20">
        <f>IF('03_Activos'!Y5="","",'03_Activos'!Y5)</f>
        <v/>
      </c>
      <c r="G5" s="20">
        <f>IF(OR(B5&lt;&gt;"Valor razonable",C5="",E5=""),"",(D5-C5)*E5)</f>
        <v/>
      </c>
      <c r="H5" s="20">
        <f>IF(OR(B5&lt;&gt;"Valor razonable",E5="",F5=""),"",D5*(F5-E5))</f>
        <v/>
      </c>
      <c r="I5" s="20">
        <f>IF(OR(G5="",H5=""),"",G5+H5)</f>
        <v/>
      </c>
      <c r="J5" s="20">
        <f>IF('03_Activos'!N5="","",'03_Activos'!N5)</f>
        <v/>
      </c>
      <c r="K5" s="20">
        <f>IF('03_Activos'!O5="",0,'03_Activos'!O5)</f>
        <v/>
      </c>
      <c r="L5" s="20">
        <f>IF('03_Activos'!P5="",0,'03_Activos'!P5)</f>
        <v/>
      </c>
      <c r="M5" s="20">
        <f>IF('05_Valoracion'!H5="","",'05_Valoracion'!H5)</f>
        <v/>
      </c>
      <c r="N5" s="20">
        <f>IF(OR(M5="",J5=""),"",M5-J5-K5+L5)</f>
        <v/>
      </c>
      <c r="O5" s="20">
        <f>IF('03_Activos'!Q5="","",'03_Activos'!Q5)</f>
        <v/>
      </c>
      <c r="P5" s="20">
        <f>IF(OR(N5="",O5=""),"",N5-O5)</f>
        <v/>
      </c>
    </row>
    <row r="6">
      <c r="A6" s="19" t="inlineStr">
        <is>
          <t>G-02</t>
        </is>
      </c>
      <c r="B6" s="19">
        <f>'05_Valoracion'!C6</f>
        <v/>
      </c>
      <c r="C6" s="21">
        <f>IF('03_Activos'!G6="","",'03_Activos'!G6)</f>
        <v/>
      </c>
      <c r="D6" s="21">
        <f>'03_Activos'!X6</f>
        <v/>
      </c>
      <c r="E6" s="21">
        <f>IF('03_Activos'!Z6="","",'03_Activos'!Z6)</f>
        <v/>
      </c>
      <c r="F6" s="21">
        <f>IF('03_Activos'!Y6="","",'03_Activos'!Y6)</f>
        <v/>
      </c>
      <c r="G6" s="21">
        <f>IF(OR(B6&lt;&gt;"Valor razonable",C6="",E6=""),"",(D6-C6)*E6)</f>
        <v/>
      </c>
      <c r="H6" s="21">
        <f>IF(OR(B6&lt;&gt;"Valor razonable",E6="",F6=""),"",D6*(F6-E6))</f>
        <v/>
      </c>
      <c r="I6" s="21">
        <f>IF(OR(G6="",H6=""),"",G6+H6)</f>
        <v/>
      </c>
      <c r="J6" s="21">
        <f>IF('03_Activos'!N6="","",'03_Activos'!N6)</f>
        <v/>
      </c>
      <c r="K6" s="21">
        <f>IF('03_Activos'!O6="",0,'03_Activos'!O6)</f>
        <v/>
      </c>
      <c r="L6" s="21">
        <f>IF('03_Activos'!P6="",0,'03_Activos'!P6)</f>
        <v/>
      </c>
      <c r="M6" s="21">
        <f>IF('05_Valoracion'!H6="","",'05_Valoracion'!H6)</f>
        <v/>
      </c>
      <c r="N6" s="21">
        <f>IF(OR(M6="",J6=""),"",M6-J6-K6+L6)</f>
        <v/>
      </c>
      <c r="O6" s="21">
        <f>IF('03_Activos'!Q6="","",'03_Activos'!Q6)</f>
        <v/>
      </c>
      <c r="P6" s="21">
        <f>IF(OR(N6="",O6=""),"",N6-O6)</f>
        <v/>
      </c>
    </row>
    <row r="7">
      <c r="A7" s="18" t="inlineStr">
        <is>
          <t>P-01</t>
        </is>
      </c>
      <c r="B7" s="18">
        <f>'05_Valoracion'!C7</f>
        <v/>
      </c>
      <c r="C7" s="20">
        <f>IF('03_Activos'!G7="","",'03_Activos'!G7)</f>
        <v/>
      </c>
      <c r="D7" s="20">
        <f>'03_Activos'!X7</f>
        <v/>
      </c>
      <c r="E7" s="20">
        <f>IF('03_Activos'!Z7="","",'03_Activos'!Z7)</f>
        <v/>
      </c>
      <c r="F7" s="20">
        <f>IF('03_Activos'!Y7="","",'03_Activos'!Y7)</f>
        <v/>
      </c>
      <c r="G7" s="20">
        <f>IF(OR(B7&lt;&gt;"Valor razonable",C7="",E7=""),"",(D7-C7)*E7)</f>
        <v/>
      </c>
      <c r="H7" s="20">
        <f>IF(OR(B7&lt;&gt;"Valor razonable",E7="",F7=""),"",D7*(F7-E7))</f>
        <v/>
      </c>
      <c r="I7" s="20">
        <f>IF(OR(G7="",H7=""),"",G7+H7)</f>
        <v/>
      </c>
      <c r="J7" s="20">
        <f>IF('03_Activos'!N7="","",'03_Activos'!N7)</f>
        <v/>
      </c>
      <c r="K7" s="20">
        <f>IF('03_Activos'!O7="",0,'03_Activos'!O7)</f>
        <v/>
      </c>
      <c r="L7" s="20">
        <f>IF('03_Activos'!P7="",0,'03_Activos'!P7)</f>
        <v/>
      </c>
      <c r="M7" s="20">
        <f>IF('05_Valoracion'!H7="","",'05_Valoracion'!H7)</f>
        <v/>
      </c>
      <c r="N7" s="20">
        <f>IF(OR(M7="",J7=""),"",M7-J7-K7+L7)</f>
        <v/>
      </c>
      <c r="O7" s="20">
        <f>IF('03_Activos'!Q7="","",'03_Activos'!Q7)</f>
        <v/>
      </c>
      <c r="P7" s="20">
        <f>IF(OR(N7="",O7=""),"",N7-O7)</f>
        <v/>
      </c>
    </row>
    <row r="8">
      <c r="A8" s="19" t="inlineStr">
        <is>
          <t>C-01</t>
        </is>
      </c>
      <c r="B8" s="19">
        <f>'05_Valoracion'!C8</f>
        <v/>
      </c>
      <c r="C8" s="21">
        <f>IF('03_Activos'!G8="","",'03_Activos'!G8)</f>
        <v/>
      </c>
      <c r="D8" s="21">
        <f>'03_Activos'!X8</f>
        <v/>
      </c>
      <c r="E8" s="21">
        <f>IF('03_Activos'!Z8="","",'03_Activos'!Z8)</f>
        <v/>
      </c>
      <c r="F8" s="21">
        <f>IF('03_Activos'!Y8="","",'03_Activos'!Y8)</f>
        <v/>
      </c>
      <c r="G8" s="21">
        <f>IF(OR(B8&lt;&gt;"Valor razonable",C8="",E8=""),"",(D8-C8)*E8)</f>
        <v/>
      </c>
      <c r="H8" s="21">
        <f>IF(OR(B8&lt;&gt;"Valor razonable",E8="",F8=""),"",D8*(F8-E8))</f>
        <v/>
      </c>
      <c r="I8" s="21">
        <f>IF(OR(G8="",H8=""),"",G8+H8)</f>
        <v/>
      </c>
      <c r="J8" s="21">
        <f>IF('03_Activos'!N8="","",'03_Activos'!N8)</f>
        <v/>
      </c>
      <c r="K8" s="21">
        <f>IF('03_Activos'!O8="",0,'03_Activos'!O8)</f>
        <v/>
      </c>
      <c r="L8" s="21">
        <f>IF('03_Activos'!P8="",0,'03_Activos'!P8)</f>
        <v/>
      </c>
      <c r="M8" s="21">
        <f>IF('05_Valoracion'!H8="","",'05_Valoracion'!H8)</f>
        <v/>
      </c>
      <c r="N8" s="21">
        <f>IF(OR(M8="",J8=""),"",M8-J8-K8+L8)</f>
        <v/>
      </c>
      <c r="O8" s="21">
        <f>IF('03_Activos'!Q8="","",'03_Activos'!Q8)</f>
        <v/>
      </c>
      <c r="P8" s="21">
        <f>IF(OR(N8="",O8=""),"",N8-O8)</f>
        <v/>
      </c>
    </row>
    <row r="9">
      <c r="A9" s="18" t="inlineStr">
        <is>
          <t>F-01</t>
        </is>
      </c>
      <c r="B9" s="18">
        <f>'05_Valoracion'!C9</f>
        <v/>
      </c>
      <c r="C9" s="20">
        <f>IF('03_Activos'!G9="","",'03_Activos'!G9)</f>
        <v/>
      </c>
      <c r="D9" s="20">
        <f>'03_Activos'!X9</f>
        <v/>
      </c>
      <c r="E9" s="20">
        <f>IF('03_Activos'!Z9="","",'03_Activos'!Z9)</f>
        <v/>
      </c>
      <c r="F9" s="20">
        <f>IF('03_Activos'!Y9="","",'03_Activos'!Y9)</f>
        <v/>
      </c>
      <c r="G9" s="20">
        <f>IF(OR(B9&lt;&gt;"Valor razonable",C9="",E9=""),"",(D9-C9)*E9)</f>
        <v/>
      </c>
      <c r="H9" s="20">
        <f>IF(OR(B9&lt;&gt;"Valor razonable",E9="",F9=""),"",D9*(F9-E9))</f>
        <v/>
      </c>
      <c r="I9" s="20">
        <f>IF(OR(G9="",H9=""),"",G9+H9)</f>
        <v/>
      </c>
      <c r="J9" s="20">
        <f>IF('03_Activos'!N9="","",'03_Activos'!N9)</f>
        <v/>
      </c>
      <c r="K9" s="20">
        <f>IF('03_Activos'!O9="",0,'03_Activos'!O9)</f>
        <v/>
      </c>
      <c r="L9" s="20">
        <f>IF('03_Activos'!P9="",0,'03_Activos'!P9)</f>
        <v/>
      </c>
      <c r="M9" s="20">
        <f>IF('05_Valoracion'!H9="","",'05_Valoracion'!H9)</f>
        <v/>
      </c>
      <c r="N9" s="20">
        <f>IF(OR(M9="",J9=""),"",M9-J9-K9+L9)</f>
        <v/>
      </c>
      <c r="O9" s="20">
        <f>IF('03_Activos'!Q9="","",'03_Activos'!Q9)</f>
        <v/>
      </c>
      <c r="P9" s="20">
        <f>IF(OR(N9="",O9=""),"",N9-O9)</f>
        <v/>
      </c>
    </row>
    <row r="10">
      <c r="A10" s="19" t="inlineStr">
        <is>
          <t>F-02</t>
        </is>
      </c>
      <c r="B10" s="19">
        <f>'05_Valoracion'!C10</f>
        <v/>
      </c>
      <c r="C10" s="21">
        <f>IF('03_Activos'!G10="","",'03_Activos'!G10)</f>
        <v/>
      </c>
      <c r="D10" s="21">
        <f>'03_Activos'!X10</f>
        <v/>
      </c>
      <c r="E10" s="21">
        <f>IF('03_Activos'!Z10="","",'03_Activos'!Z10)</f>
        <v/>
      </c>
      <c r="F10" s="21">
        <f>IF('03_Activos'!Y10="","",'03_Activos'!Y10)</f>
        <v/>
      </c>
      <c r="G10" s="21">
        <f>IF(OR(B10&lt;&gt;"Valor razonable",C10="",E10=""),"",(D10-C10)*E10)</f>
        <v/>
      </c>
      <c r="H10" s="21">
        <f>IF(OR(B10&lt;&gt;"Valor razonable",E10="",F10=""),"",D10*(F10-E10))</f>
        <v/>
      </c>
      <c r="I10" s="21">
        <f>IF(OR(G10="",H10=""),"",G10+H10)</f>
        <v/>
      </c>
      <c r="J10" s="21">
        <f>IF('03_Activos'!N10="","",'03_Activos'!N10)</f>
        <v/>
      </c>
      <c r="K10" s="21">
        <f>IF('03_Activos'!O10="",0,'03_Activos'!O10)</f>
        <v/>
      </c>
      <c r="L10" s="21">
        <f>IF('03_Activos'!P10="",0,'03_Activos'!P10)</f>
        <v/>
      </c>
      <c r="M10" s="21">
        <f>IF('05_Valoracion'!H10="","",'05_Valoracion'!H10)</f>
        <v/>
      </c>
      <c r="N10" s="21">
        <f>IF(OR(M10="",J10=""),"",M10-J10-K10+L10)</f>
        <v/>
      </c>
      <c r="O10" s="21">
        <f>IF('03_Activos'!Q10="","",'03_Activos'!Q10)</f>
        <v/>
      </c>
      <c r="P10" s="21">
        <f>IF(OR(N10="",O10=""),"",N10-O10)</f>
        <v/>
      </c>
    </row>
    <row r="11">
      <c r="A11" s="18" t="inlineStr">
        <is>
          <t>G-03</t>
        </is>
      </c>
      <c r="B11" s="18">
        <f>'05_Valoracion'!C11</f>
        <v/>
      </c>
      <c r="C11" s="20">
        <f>IF('03_Activos'!G11="","",'03_Activos'!G11)</f>
        <v/>
      </c>
      <c r="D11" s="20">
        <f>'03_Activos'!X11</f>
        <v/>
      </c>
      <c r="E11" s="20">
        <f>IF('03_Activos'!Z11="","",'03_Activos'!Z11)</f>
        <v/>
      </c>
      <c r="F11" s="20">
        <f>IF('03_Activos'!Y11="","",'03_Activos'!Y11)</f>
        <v/>
      </c>
      <c r="G11" s="20">
        <f>IF(OR(B11&lt;&gt;"Valor razonable",C11="",E11=""),"",(D11-C11)*E11)</f>
        <v/>
      </c>
      <c r="H11" s="20">
        <f>IF(OR(B11&lt;&gt;"Valor razonable",E11="",F11=""),"",D11*(F11-E11))</f>
        <v/>
      </c>
      <c r="I11" s="20">
        <f>IF(OR(G11="",H11=""),"",G11+H11)</f>
        <v/>
      </c>
      <c r="J11" s="20">
        <f>IF('03_Activos'!N11="","",'03_Activos'!N11)</f>
        <v/>
      </c>
      <c r="K11" s="20">
        <f>IF('03_Activos'!O11="",0,'03_Activos'!O11)</f>
        <v/>
      </c>
      <c r="L11" s="20">
        <f>IF('03_Activos'!P11="",0,'03_Activos'!P11)</f>
        <v/>
      </c>
      <c r="M11" s="20">
        <f>IF('05_Valoracion'!H11="","",'05_Valoracion'!H11)</f>
        <v/>
      </c>
      <c r="N11" s="20">
        <f>IF(OR(M11="",J11=""),"",M11-J11-K11+L11)</f>
        <v/>
      </c>
      <c r="O11" s="20">
        <f>IF('03_Activos'!Q11="","",'03_Activos'!Q11)</f>
        <v/>
      </c>
      <c r="P11" s="20">
        <f>IF(OR(N11="",O11=""),"",N11-O11)</f>
        <v/>
      </c>
    </row>
    <row r="12">
      <c r="A12" s="19" t="inlineStr">
        <is>
          <t>G-04</t>
        </is>
      </c>
      <c r="B12" s="19">
        <f>'05_Valoracion'!C12</f>
        <v/>
      </c>
      <c r="C12" s="21">
        <f>IF('03_Activos'!G12="","",'03_Activos'!G12)</f>
        <v/>
      </c>
      <c r="D12" s="21">
        <f>'03_Activos'!X12</f>
        <v/>
      </c>
      <c r="E12" s="21">
        <f>IF('03_Activos'!Z12="","",'03_Activos'!Z12)</f>
        <v/>
      </c>
      <c r="F12" s="21">
        <f>IF('03_Activos'!Y12="","",'03_Activos'!Y12)</f>
        <v/>
      </c>
      <c r="G12" s="21">
        <f>IF(OR(B12&lt;&gt;"Valor razonable",C12="",E12=""),"",(D12-C12)*E12)</f>
        <v/>
      </c>
      <c r="H12" s="21">
        <f>IF(OR(B12&lt;&gt;"Valor razonable",E12="",F12=""),"",D12*(F12-E12))</f>
        <v/>
      </c>
      <c r="I12" s="21">
        <f>IF(OR(G12="",H12=""),"",G12+H12)</f>
        <v/>
      </c>
      <c r="J12" s="21">
        <f>IF('03_Activos'!N12="","",'03_Activos'!N12)</f>
        <v/>
      </c>
      <c r="K12" s="21">
        <f>IF('03_Activos'!O12="",0,'03_Activos'!O12)</f>
        <v/>
      </c>
      <c r="L12" s="21">
        <f>IF('03_Activos'!P12="",0,'03_Activos'!P12)</f>
        <v/>
      </c>
      <c r="M12" s="21">
        <f>IF('05_Valoracion'!H12="","",'05_Valoracion'!H12)</f>
        <v/>
      </c>
      <c r="N12" s="21">
        <f>IF(OR(M12="",J12=""),"",M12-J12-K12+L12)</f>
        <v/>
      </c>
      <c r="O12" s="21">
        <f>IF('03_Activos'!Q12="","",'03_Activos'!Q12)</f>
        <v/>
      </c>
      <c r="P12" s="21">
        <f>IF(OR(N12="",O12=""),"",N12-O12)</f>
        <v/>
      </c>
    </row>
    <row r="13">
      <c r="A13" s="18" t="inlineStr">
        <is>
          <t>P-02</t>
        </is>
      </c>
      <c r="B13" s="18">
        <f>'05_Valoracion'!C13</f>
        <v/>
      </c>
      <c r="C13" s="20">
        <f>IF('03_Activos'!G13="","",'03_Activos'!G13)</f>
        <v/>
      </c>
      <c r="D13" s="20">
        <f>'03_Activos'!X13</f>
        <v/>
      </c>
      <c r="E13" s="20">
        <f>IF('03_Activos'!Z13="","",'03_Activos'!Z13)</f>
        <v/>
      </c>
      <c r="F13" s="20">
        <f>IF('03_Activos'!Y13="","",'03_Activos'!Y13)</f>
        <v/>
      </c>
      <c r="G13" s="20">
        <f>IF(OR(B13&lt;&gt;"Valor razonable",C13="",E13=""),"",(D13-C13)*E13)</f>
        <v/>
      </c>
      <c r="H13" s="20">
        <f>IF(OR(B13&lt;&gt;"Valor razonable",E13="",F13=""),"",D13*(F13-E13))</f>
        <v/>
      </c>
      <c r="I13" s="20">
        <f>IF(OR(G13="",H13=""),"",G13+H13)</f>
        <v/>
      </c>
      <c r="J13" s="20">
        <f>IF('03_Activos'!N13="","",'03_Activos'!N13)</f>
        <v/>
      </c>
      <c r="K13" s="20">
        <f>IF('03_Activos'!O13="",0,'03_Activos'!O13)</f>
        <v/>
      </c>
      <c r="L13" s="20">
        <f>IF('03_Activos'!P13="",0,'03_Activos'!P13)</f>
        <v/>
      </c>
      <c r="M13" s="20">
        <f>IF('05_Valoracion'!H13="","",'05_Valoracion'!H13)</f>
        <v/>
      </c>
      <c r="N13" s="20">
        <f>IF(OR(M13="",J13=""),"",M13-J13-K13+L13)</f>
        <v/>
      </c>
      <c r="O13" s="20">
        <f>IF('03_Activos'!Q13="","",'03_Activos'!Q13)</f>
        <v/>
      </c>
      <c r="P13" s="20">
        <f>IF(OR(N13="",O13=""),"",N13-O13)</f>
        <v/>
      </c>
    </row>
    <row r="14">
      <c r="A14" s="19" t="inlineStr">
        <is>
          <t>C-02</t>
        </is>
      </c>
      <c r="B14" s="19">
        <f>'05_Valoracion'!C14</f>
        <v/>
      </c>
      <c r="C14" s="21">
        <f>IF('03_Activos'!G14="","",'03_Activos'!G14)</f>
        <v/>
      </c>
      <c r="D14" s="21">
        <f>'03_Activos'!X14</f>
        <v/>
      </c>
      <c r="E14" s="21">
        <f>IF('03_Activos'!Z14="","",'03_Activos'!Z14)</f>
        <v/>
      </c>
      <c r="F14" s="21">
        <f>IF('03_Activos'!Y14="","",'03_Activos'!Y14)</f>
        <v/>
      </c>
      <c r="G14" s="21">
        <f>IF(OR(B14&lt;&gt;"Valor razonable",C14="",E14=""),"",(D14-C14)*E14)</f>
        <v/>
      </c>
      <c r="H14" s="21">
        <f>IF(OR(B14&lt;&gt;"Valor razonable",E14="",F14=""),"",D14*(F14-E14))</f>
        <v/>
      </c>
      <c r="I14" s="21">
        <f>IF(OR(G14="",H14=""),"",G14+H14)</f>
        <v/>
      </c>
      <c r="J14" s="21">
        <f>IF('03_Activos'!N14="","",'03_Activos'!N14)</f>
        <v/>
      </c>
      <c r="K14" s="21">
        <f>IF('03_Activos'!O14="",0,'03_Activos'!O14)</f>
        <v/>
      </c>
      <c r="L14" s="21">
        <f>IF('03_Activos'!P14="",0,'03_Activos'!P14)</f>
        <v/>
      </c>
      <c r="M14" s="21">
        <f>IF('05_Valoracion'!H14="","",'05_Valoracion'!H14)</f>
        <v/>
      </c>
      <c r="N14" s="21">
        <f>IF(OR(M14="",J14=""),"",M14-J14-K14+L14)</f>
        <v/>
      </c>
      <c r="O14" s="21">
        <f>IF('03_Activos'!Q14="","",'03_Activos'!Q14)</f>
        <v/>
      </c>
      <c r="P14" s="21">
        <f>IF(OR(N14="",O14=""),"",N14-O14)</f>
        <v/>
      </c>
    </row>
    <row r="15">
      <c r="A15" s="28" t="inlineStr">
        <is>
          <t>TOTAL</t>
        </is>
      </c>
      <c r="B15" s="28" t="inlineStr"/>
      <c r="C15" s="29" t="n"/>
      <c r="D15" s="29" t="n"/>
      <c r="E15" s="29" t="n"/>
      <c r="F15" s="29" t="n"/>
      <c r="G15" s="29">
        <f>SUM(G5:G14)</f>
        <v/>
      </c>
      <c r="H15" s="29">
        <f>SUM(H5:H14)</f>
        <v/>
      </c>
      <c r="I15" s="29">
        <f>SUM(I5:I14)</f>
        <v/>
      </c>
      <c r="J15" s="29" t="n"/>
      <c r="K15" s="29" t="n"/>
      <c r="L15" s="29" t="n"/>
      <c r="M15" s="29" t="n"/>
      <c r="N15" s="29">
        <f>SUM(N5:N14)</f>
        <v/>
      </c>
      <c r="O15" s="29" t="n"/>
      <c r="P15" s="29">
        <f>SUM(P5:P14)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Modelo auditado</t>
        </is>
      </c>
      <c r="B19" s="25" t="inlineStr">
        <is>
          <t>'='05_Valoracion'!C5</t>
        </is>
      </c>
      <c r="C19" s="24" t="inlineStr">
        <is>
          <t>Trae de la hoja 05 (Valoración) el modelo del lote; los cambios de VR solo se calculan a valor razonable.</t>
        </is>
      </c>
      <c r="D19" s="24" t="inlineStr">
        <is>
          <t>Fila 1: «Valor razonable» → Valor razonable</t>
        </is>
      </c>
      <c r="E19" s="24" t="inlineStr">
        <is>
          <t>hoja «Valoración: VR menos costos de venta»</t>
        </is>
      </c>
      <c r="F19" s="24" t="inlineStr">
        <is>
          <t>—</t>
        </is>
      </c>
    </row>
    <row r="20">
      <c r="A20" s="24" t="inlineStr">
        <is>
          <t>Cantidad inicial</t>
        </is>
      </c>
      <c r="B20" s="25" t="inlineStr">
        <is>
          <t>'=IF('03_Activos'!G5="","",'03_Activos'!G5)</t>
        </is>
      </c>
      <c r="C20" s="24" t="inlineStr">
        <is>
          <t>Trae la cantidad de unidades al inicio del ejercicio informada en la hoja 03 (Activos biológicos: clasificación y datos); en blanco si falta.</t>
        </is>
      </c>
      <c r="D20" s="24" t="inlineStr">
        <is>
          <t>Fila 1: IF(120,00=""; ""; 120,00) → 120,00</t>
        </is>
      </c>
      <c r="E20" s="24" t="inlineStr">
        <is>
          <t>hoja «Activos biológicos: clasificación y datos»</t>
        </is>
      </c>
      <c r="F20" s="24" t="inlineStr">
        <is>
          <t>—</t>
        </is>
      </c>
    </row>
    <row r="21">
      <c r="A21" s="24" t="inlineStr">
        <is>
          <t>Cantidad final auditada</t>
        </is>
      </c>
      <c r="B21" s="25" t="inlineStr">
        <is>
          <t>'='03_Activos'!X5</t>
        </is>
      </c>
      <c r="C21" s="24" t="inlineStr">
        <is>
          <t>Trae de la hoja 03 (Activos biológicos: clasificación y datos) la cantidad auditada al corte: la contada o, si no hubo conteo, la de los registros.</t>
        </is>
      </c>
      <c r="D21" s="24" t="inlineStr">
        <is>
          <t>Fila 1: 123,00 → 123,00</t>
        </is>
      </c>
      <c r="E21" s="24" t="inlineStr">
        <is>
          <t>hoja «Activos biológicos: clasificación y datos»</t>
        </is>
      </c>
      <c r="F21" s="24" t="inlineStr">
        <is>
          <t>—</t>
        </is>
      </c>
    </row>
    <row r="22">
      <c r="A22" s="24" t="inlineStr">
        <is>
          <t>VR − CV unitario inicial</t>
        </is>
      </c>
      <c r="B22" s="25" t="inlineStr">
        <is>
          <t>'=IF('03_Activos'!Z5="","",'03_Activos'!Z5)</t>
        </is>
      </c>
      <c r="C22" s="24" t="inlineStr">
        <is>
          <t>Trae el VR menos costos de venta unitario al inicio calculado en la hoja 03 (Activos biológicos: clasificación y datos); en blanco si no hay.</t>
        </is>
      </c>
      <c r="D22" s="24" t="inlineStr">
        <is>
          <t>Fila 1: IF(1.460,00=""; ""; 1.460,00) → 1.460,00</t>
        </is>
      </c>
      <c r="E22" s="24" t="inlineStr">
        <is>
          <t>hoja «Activos biológicos: clasificación y datos»</t>
        </is>
      </c>
      <c r="F22" s="24" t="inlineStr">
        <is>
          <t>—</t>
        </is>
      </c>
    </row>
    <row r="23">
      <c r="A23" s="24" t="inlineStr">
        <is>
          <t>VR − CV unitario final</t>
        </is>
      </c>
      <c r="B23" s="25" t="inlineStr">
        <is>
          <t>'=IF('03_Activos'!Y5="","",'03_Activos'!Y5)</t>
        </is>
      </c>
      <c r="C23" s="24" t="inlineStr">
        <is>
          <t>Trae el VR menos costos de venta unitario al corte calculado en la hoja 03 (Activos biológicos: clasificación y datos); en blanco si no hay.</t>
        </is>
      </c>
      <c r="D23" s="24" t="inlineStr">
        <is>
          <t>Fila 1: IF(1.560,00=""; ""; 1.560,00) → 1.560,00</t>
        </is>
      </c>
      <c r="E23" s="24" t="inlineStr">
        <is>
          <t>hoja «Activos biológicos: clasificación y datos»</t>
        </is>
      </c>
      <c r="F23" s="24" t="inlineStr">
        <is>
          <t>—</t>
        </is>
      </c>
    </row>
    <row r="24">
      <c r="A24" s="24" t="inlineStr">
        <is>
          <t>Cambio físico</t>
        </is>
      </c>
      <c r="B24" s="25" t="inlineStr">
        <is>
          <t>'=IF(OR(B5&lt;&gt;"Valor razonable",C5="",E5=""),"",(D5-C5)*E5)</t>
        </is>
      </c>
      <c r="C24" s="24" t="inlineStr">
        <is>
          <t>Multiplica el aumento o disminución de unidades (final menos inicial) por el VR menos costos de venta unitario inicial. Solo para lotes a valor razonable con cantidad y precio inicial.</t>
        </is>
      </c>
      <c r="D24" s="24" t="inlineStr">
        <is>
          <t>Fila 1: IF(OR(«Valor razonable»&lt;&gt;"Valor razonable"; 120,00=""; 1.460,00=""); ""; (123,00-120,00)*1.460,00) → 4.380,00</t>
        </is>
      </c>
      <c r="E24" s="24" t="inlineStr">
        <is>
          <t>«Modelo auditado» (esta hoja), «Cantidad inicial» (esta hoja), «VR − CV unitario inicial» (esta hoja), «Cantidad final auditada» (esta hoja)</t>
        </is>
      </c>
      <c r="F24" s="24" t="inlineStr">
        <is>
          <t>—</t>
        </is>
      </c>
    </row>
    <row r="25">
      <c r="A25" s="24" t="inlineStr">
        <is>
          <t>Cambio de precio</t>
        </is>
      </c>
      <c r="B25" s="25" t="inlineStr">
        <is>
          <t>'=IF(OR(B5&lt;&gt;"Valor razonable",E5="",F5=""),"",D5*(F5-E5))</t>
        </is>
      </c>
      <c r="C25" s="24" t="inlineStr">
        <is>
          <t>Multiplica la cantidad final por la variación del VR menos costos de venta unitario (final menos inicial). Solo para lotes a valor razonable con ambos precios.</t>
        </is>
      </c>
      <c r="D25" s="24" t="inlineStr">
        <is>
          <t>Fila 1: IF(OR(«Valor razonable»&lt;&gt;"Valor razonable"; 1.460,00=""; 1.560,00=""); ""; 123,00*(1.560,00-1.460,00)) → 12.300,00</t>
        </is>
      </c>
      <c r="E25" s="24" t="inlineStr">
        <is>
          <t>«Modelo auditado» (esta hoja), «VR − CV unitario inicial» (esta hoja), «VR − CV unitario final» (esta hoja), «Cantidad final auditada» (esta hoja)</t>
        </is>
      </c>
      <c r="F25" s="24" t="inlineStr">
        <is>
          <t>—</t>
        </is>
      </c>
    </row>
    <row r="26">
      <c r="A26" s="24" t="inlineStr">
        <is>
          <t>Cambio total</t>
        </is>
      </c>
      <c r="B26" s="25" t="inlineStr">
        <is>
          <t>'=IF(OR(G5="",H5=""),"",G5+H5)</t>
        </is>
      </c>
      <c r="C26" s="24" t="inlineStr">
        <is>
          <t>Suma el cambio físico y el cambio de precio; en blanco si falta alguno de los dos.</t>
        </is>
      </c>
      <c r="D26" s="24" t="inlineStr">
        <is>
          <t>Fila 1: IF(OR(4.380,00=""; 12.300,00=""); ""; 4.380,00+12.300,00) → 16.680,00</t>
        </is>
      </c>
      <c r="E26" s="24" t="inlineStr">
        <is>
          <t>«Cambio físico» (esta hoja), «Cambio de precio» (esta hoja)</t>
        </is>
      </c>
      <c r="F26" s="24" t="inlineStr">
        <is>
          <t>—</t>
        </is>
      </c>
    </row>
    <row r="27">
      <c r="A27" s="24" t="inlineStr">
        <is>
          <t>Libros al inicio</t>
        </is>
      </c>
      <c r="B27" s="25" t="inlineStr">
        <is>
          <t>'=IF('03_Activos'!N5="","",'03_Activos'!N5)</t>
        </is>
      </c>
      <c r="C27" s="24" t="inlineStr">
        <is>
          <t>Trae el valor en libros del lote al inicio del ejercicio desde la hoja 03 (Activos biológicos: clasificación y datos); en blanco si falta.</t>
        </is>
      </c>
      <c r="D27" s="24" t="inlineStr">
        <is>
          <t>Fila 1: IF(175.200,00=""; ""; 175.200,00) → 175.200,00</t>
        </is>
      </c>
      <c r="E27" s="24" t="inlineStr">
        <is>
          <t>hoja «Activos biológicos: clasificación y datos»</t>
        </is>
      </c>
      <c r="F27" s="24" t="inlineStr">
        <is>
          <t>—</t>
        </is>
      </c>
    </row>
    <row r="28">
      <c r="A28" s="24" t="inlineStr">
        <is>
          <t>Compras</t>
        </is>
      </c>
      <c r="B28" s="25" t="inlineStr">
        <is>
          <t>'=IF('03_Activos'!O5="",0,'03_Activos'!O5)</t>
        </is>
      </c>
      <c r="C28" s="24" t="inlineStr">
        <is>
          <t>Trae las compras e incrementos del año informados en la hoja 03 (Activos biológicos: clasificación y datos); si están en blanco, cuenta cero.</t>
        </is>
      </c>
      <c r="D28" s="24" t="inlineStr">
        <is>
          <t>Fila 1: IF(6.000,00=""; 0; 6.000,00) → 6.000,00</t>
        </is>
      </c>
      <c r="E28" s="24" t="inlineStr">
        <is>
          <t>hoja «Activos biológicos: clasificación y datos»</t>
        </is>
      </c>
      <c r="F28" s="24" t="inlineStr">
        <is>
          <t>—</t>
        </is>
      </c>
    </row>
    <row r="29">
      <c r="A29" s="24" t="inlineStr">
        <is>
          <t>Disminuciones</t>
        </is>
      </c>
      <c r="B29" s="25" t="inlineStr">
        <is>
          <t>'=IF('03_Activos'!P5="",0,'03_Activos'!P5)</t>
        </is>
      </c>
      <c r="C29" s="24" t="inlineStr">
        <is>
          <t>Trae las disminuciones del año (ventas, cosecha, depreciación) informadas en la hoja 03 (Activos biológicos: clasificación y datos); en blanco cuenta cero.</t>
        </is>
      </c>
      <c r="D29" s="24" t="inlineStr">
        <is>
          <t>Fila 1: IF(4.500,00=""; 0; 4.500,00) → 4.500,00</t>
        </is>
      </c>
      <c r="E29" s="24" t="inlineStr">
        <is>
          <t>hoja «Activos biológicos: clasificación y datos»</t>
        </is>
      </c>
      <c r="F29" s="24" t="inlineStr">
        <is>
          <t>—</t>
        </is>
      </c>
    </row>
    <row r="30">
      <c r="A30" s="24" t="inlineStr">
        <is>
          <t>VR − CV final total</t>
        </is>
      </c>
      <c r="B30" s="25" t="inlineStr">
        <is>
          <t>'=IF('05_Valoracion'!H5="","",'05_Valoracion'!H5)</t>
        </is>
      </c>
      <c r="C30" s="24" t="inlineStr">
        <is>
          <t>Trae el VR menos costos de venta total al corte de la hoja 05 (Valoración); en blanco si no se calculó.</t>
        </is>
      </c>
      <c r="D30" s="24" t="inlineStr">
        <is>
          <t>Fila 1: IF(191.880,00=""; ""; 191.880,00) → 191.880,00</t>
        </is>
      </c>
      <c r="E30" s="24" t="inlineStr">
        <is>
          <t>hoja «Valoración: VR menos costos de venta»</t>
        </is>
      </c>
      <c r="F30" s="24" t="inlineStr">
        <is>
          <t>—</t>
        </is>
      </c>
    </row>
    <row r="31">
      <c r="A31" s="24" t="inlineStr">
        <is>
          <t>Ganancia recalculada</t>
        </is>
      </c>
      <c r="B31" s="25" t="inlineStr">
        <is>
          <t>'=IF(OR(M5="",J5=""),"",M5-J5-K5+L5)</t>
        </is>
      </c>
      <c r="C31" s="24" t="inlineStr">
        <is>
          <t>Parte del VR menos costos de venta final, resta los libros al inicio y las compras y suma las disminuciones: es la ganancia por cambio de valor razonable del año según el auditor.</t>
        </is>
      </c>
      <c r="D31" s="24" t="inlineStr">
        <is>
          <t>Fila 1: IF(OR(191.880,00=""; 175.200,00=""); ""; 191.880,00-175.200,00-6.000,00+4.500,00) → 15.180,00</t>
        </is>
      </c>
      <c r="E31" s="24" t="inlineStr">
        <is>
          <t>«VR − CV final total» (esta hoja), «Libros al inicio» (esta hoja), «Compras» (esta hoja), «Disminuciones» (esta hoja)</t>
        </is>
      </c>
      <c r="F31" s="24" t="inlineStr">
        <is>
          <t>—</t>
        </is>
      </c>
    </row>
    <row r="32">
      <c r="A32" s="24" t="inlineStr">
        <is>
          <t>Ganancia registrada</t>
        </is>
      </c>
      <c r="B32" s="25" t="inlineStr">
        <is>
          <t>'=IF('03_Activos'!Q5="","",'03_Activos'!Q5)</t>
        </is>
      </c>
      <c r="C32" s="24" t="inlineStr">
        <is>
          <t>Trae la ganancia por cambio de valor razonable que registró el cliente en la hoja 03 (Activos biológicos: clasificación y datos); en blanco si falta.</t>
        </is>
      </c>
      <c r="D32" s="24" t="inlineStr">
        <is>
          <t>Fila 1: IF(18.300,00=""; ""; 18.300,00) → 18.300,00</t>
        </is>
      </c>
      <c r="E32" s="24" t="inlineStr">
        <is>
          <t>hoja «Activos biológicos: clasificación y datos»</t>
        </is>
      </c>
      <c r="F32" s="24" t="inlineStr">
        <is>
          <t>—</t>
        </is>
      </c>
    </row>
    <row r="33">
      <c r="A33" s="24" t="inlineStr">
        <is>
          <t>No reconocido</t>
        </is>
      </c>
      <c r="B33" s="25" t="inlineStr">
        <is>
          <t>'=IF(OR(N5="",O5=""),"",N5-O5)</t>
        </is>
      </c>
      <c r="C33" s="24" t="inlineStr">
        <is>
          <t>Resta la ganancia registrada a la recalculada: positivo es ganancia no reconocida, negativo exceso reconocido; en blanco si falta alguna.</t>
        </is>
      </c>
      <c r="D33" s="24" t="inlineStr">
        <is>
          <t>Fila 1: IF(OR(15.180,00=""; 18.300,00=""); ""; 15.180,00-18.300,00) → -3.120,00</t>
        </is>
      </c>
      <c r="E33" s="24" t="inlineStr">
        <is>
          <t>«Ganancia recalculada» (esta hoja), «Ganancia registrada» (esta hoja)</t>
        </is>
      </c>
      <c r="F33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27" customWidth="1" min="4" max="4"/>
    <col width="19" customWidth="1" min="5" max="5"/>
    <col width="28" customWidth="1" min="6" max="6"/>
    <col width="23" customWidth="1" min="7" max="7"/>
    <col width="23" customWidth="1" min="8" max="8"/>
    <col width="12" customWidth="1" min="9" max="9"/>
  </cols>
  <sheetData>
    <row r="1">
      <c r="A1" s="3" t="inlineStr">
        <is>
          <t>Conciliación de cambios (NIC 41.50)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Lote</t>
        </is>
      </c>
      <c r="B4" s="17" t="inlineStr">
        <is>
          <t>Categoría</t>
        </is>
      </c>
      <c r="C4" s="17" t="inlineStr">
        <is>
          <t>Libros al inicio</t>
        </is>
      </c>
      <c r="D4" s="17" t="inlineStr">
        <is>
          <t>(+) Compras e incrementos</t>
        </is>
      </c>
      <c r="E4" s="17" t="inlineStr">
        <is>
          <t>(−) Disminuciones</t>
        </is>
      </c>
      <c r="F4" s="17" t="inlineStr">
        <is>
          <t>(+) Ganancia VR registrada</t>
        </is>
      </c>
      <c r="G4" s="17" t="inlineStr">
        <is>
          <t>Saldo final calculado</t>
        </is>
      </c>
      <c r="H4" s="17" t="inlineStr">
        <is>
          <t>Saldo final en libros</t>
        </is>
      </c>
      <c r="I4" s="17" t="inlineStr">
        <is>
          <t>Diferencia</t>
        </is>
      </c>
    </row>
    <row r="5">
      <c r="A5" s="18" t="inlineStr">
        <is>
          <t>G-01</t>
        </is>
      </c>
      <c r="B5" s="18" t="inlineStr">
        <is>
          <t>Ganado lechero</t>
        </is>
      </c>
      <c r="C5" s="20">
        <f>IF('03_Activos'!N5="","",'03_Activos'!N5)</f>
        <v/>
      </c>
      <c r="D5" s="20">
        <f>IF('03_Activos'!O5="",0,'03_Activos'!O5)</f>
        <v/>
      </c>
      <c r="E5" s="20">
        <f>IF('03_Activos'!P5="",0,'03_Activos'!P5)</f>
        <v/>
      </c>
      <c r="F5" s="20">
        <f>IF('03_Activos'!Q5="","",'03_Activos'!Q5)</f>
        <v/>
      </c>
      <c r="G5" s="20">
        <f>IF(C5="","",C5+D5-E5+IF(F5="",0,F5))</f>
        <v/>
      </c>
      <c r="H5" s="20">
        <f>'03_Activos'!M5</f>
        <v/>
      </c>
      <c r="I5" s="20">
        <f>IF(G5="","",H5-G5)</f>
        <v/>
      </c>
    </row>
    <row r="6">
      <c r="A6" s="19" t="inlineStr">
        <is>
          <t>G-02</t>
        </is>
      </c>
      <c r="B6" s="19" t="inlineStr">
        <is>
          <t>Ganado de engorde</t>
        </is>
      </c>
      <c r="C6" s="21">
        <f>IF('03_Activos'!N6="","",'03_Activos'!N6)</f>
        <v/>
      </c>
      <c r="D6" s="21">
        <f>IF('03_Activos'!O6="",0,'03_Activos'!O6)</f>
        <v/>
      </c>
      <c r="E6" s="21">
        <f>IF('03_Activos'!P6="",0,'03_Activos'!P6)</f>
        <v/>
      </c>
      <c r="F6" s="21">
        <f>IF('03_Activos'!Q6="","",'03_Activos'!Q6)</f>
        <v/>
      </c>
      <c r="G6" s="21">
        <f>IF(C6="","",C6+D6-E6+IF(F6="",0,F6))</f>
        <v/>
      </c>
      <c r="H6" s="21">
        <f>'03_Activos'!M6</f>
        <v/>
      </c>
      <c r="I6" s="21">
        <f>IF(G6="","",H6-G6)</f>
        <v/>
      </c>
    </row>
    <row r="7">
      <c r="A7" s="18" t="inlineStr">
        <is>
          <t>P-01</t>
        </is>
      </c>
      <c r="B7" s="18" t="inlineStr">
        <is>
          <t>Plantación de teca</t>
        </is>
      </c>
      <c r="C7" s="20">
        <f>IF('03_Activos'!N7="","",'03_Activos'!N7)</f>
        <v/>
      </c>
      <c r="D7" s="20">
        <f>IF('03_Activos'!O7="",0,'03_Activos'!O7)</f>
        <v/>
      </c>
      <c r="E7" s="20">
        <f>IF('03_Activos'!P7="",0,'03_Activos'!P7)</f>
        <v/>
      </c>
      <c r="F7" s="20">
        <f>IF('03_Activos'!Q7="","",'03_Activos'!Q7)</f>
        <v/>
      </c>
      <c r="G7" s="20">
        <f>IF(C7="","",C7+D7-E7+IF(F7="",0,F7))</f>
        <v/>
      </c>
      <c r="H7" s="20">
        <f>'03_Activos'!M7</f>
        <v/>
      </c>
      <c r="I7" s="20">
        <f>IF(G7="","",H7-G7)</f>
        <v/>
      </c>
    </row>
    <row r="8">
      <c r="A8" s="19" t="inlineStr">
        <is>
          <t>C-01</t>
        </is>
      </c>
      <c r="B8" s="19" t="inlineStr">
        <is>
          <t>Camarón en piscinas</t>
        </is>
      </c>
      <c r="C8" s="21">
        <f>IF('03_Activos'!N8="","",'03_Activos'!N8)</f>
        <v/>
      </c>
      <c r="D8" s="21">
        <f>IF('03_Activos'!O8="",0,'03_Activos'!O8)</f>
        <v/>
      </c>
      <c r="E8" s="21">
        <f>IF('03_Activos'!P8="",0,'03_Activos'!P8)</f>
        <v/>
      </c>
      <c r="F8" s="21">
        <f>IF('03_Activos'!Q8="","",'03_Activos'!Q8)</f>
        <v/>
      </c>
      <c r="G8" s="21">
        <f>IF(C8="","",C8+D8-E8+IF(F8="",0,F8))</f>
        <v/>
      </c>
      <c r="H8" s="21">
        <f>'03_Activos'!M8</f>
        <v/>
      </c>
      <c r="I8" s="21">
        <f>IF(G8="","",H8-G8)</f>
        <v/>
      </c>
    </row>
    <row r="9">
      <c r="A9" s="18" t="inlineStr">
        <is>
          <t>F-01</t>
        </is>
      </c>
      <c r="B9" s="18" t="inlineStr">
        <is>
          <t>Rosales en producción</t>
        </is>
      </c>
      <c r="C9" s="20">
        <f>IF('03_Activos'!N9="","",'03_Activos'!N9)</f>
        <v/>
      </c>
      <c r="D9" s="20">
        <f>IF('03_Activos'!O9="",0,'03_Activos'!O9)</f>
        <v/>
      </c>
      <c r="E9" s="20">
        <f>IF('03_Activos'!P9="",0,'03_Activos'!P9)</f>
        <v/>
      </c>
      <c r="F9" s="20">
        <f>IF('03_Activos'!Q9="","",'03_Activos'!Q9)</f>
        <v/>
      </c>
      <c r="G9" s="20">
        <f>IF(C9="","",C9+D9-E9+IF(F9="",0,F9))</f>
        <v/>
      </c>
      <c r="H9" s="20">
        <f>'03_Activos'!M9</f>
        <v/>
      </c>
      <c r="I9" s="20">
        <f>IF(G9="","",H9-G9)</f>
        <v/>
      </c>
    </row>
    <row r="10">
      <c r="A10" s="19" t="inlineStr">
        <is>
          <t>F-02</t>
        </is>
      </c>
      <c r="B10" s="19" t="inlineStr">
        <is>
          <t>Botones de rosa en crecimiento</t>
        </is>
      </c>
      <c r="C10" s="21">
        <f>IF('03_Activos'!N10="","",'03_Activos'!N10)</f>
        <v/>
      </c>
      <c r="D10" s="21">
        <f>IF('03_Activos'!O10="",0,'03_Activos'!O10)</f>
        <v/>
      </c>
      <c r="E10" s="21">
        <f>IF('03_Activos'!P10="",0,'03_Activos'!P10)</f>
        <v/>
      </c>
      <c r="F10" s="21">
        <f>IF('03_Activos'!Q10="","",'03_Activos'!Q10)</f>
        <v/>
      </c>
      <c r="G10" s="21">
        <f>IF(C10="","",C10+D10-E10+IF(F10="",0,F10))</f>
        <v/>
      </c>
      <c r="H10" s="21">
        <f>'03_Activos'!M10</f>
        <v/>
      </c>
      <c r="I10" s="21">
        <f>IF(G10="","",H10-G10)</f>
        <v/>
      </c>
    </row>
    <row r="11">
      <c r="A11" s="18" t="inlineStr">
        <is>
          <t>G-03</t>
        </is>
      </c>
      <c r="B11" s="18" t="inlineStr">
        <is>
          <t>Toros reproductores importados</t>
        </is>
      </c>
      <c r="C11" s="20">
        <f>IF('03_Activos'!N11="","",'03_Activos'!N11)</f>
        <v/>
      </c>
      <c r="D11" s="20">
        <f>IF('03_Activos'!O11="",0,'03_Activos'!O11)</f>
        <v/>
      </c>
      <c r="E11" s="20">
        <f>IF('03_Activos'!P11="",0,'03_Activos'!P11)</f>
        <v/>
      </c>
      <c r="F11" s="20">
        <f>IF('03_Activos'!Q11="","",'03_Activos'!Q11)</f>
        <v/>
      </c>
      <c r="G11" s="20">
        <f>IF(C11="","",C11+D11-E11+IF(F11="",0,F11))</f>
        <v/>
      </c>
      <c r="H11" s="20">
        <f>'03_Activos'!M11</f>
        <v/>
      </c>
      <c r="I11" s="20">
        <f>IF(G11="","",H11-G11)</f>
        <v/>
      </c>
    </row>
    <row r="12">
      <c r="A12" s="19" t="inlineStr">
        <is>
          <t>G-04</t>
        </is>
      </c>
      <c r="B12" s="19" t="inlineStr">
        <is>
          <t>Cerdos de engorde</t>
        </is>
      </c>
      <c r="C12" s="21">
        <f>IF('03_Activos'!N12="","",'03_Activos'!N12)</f>
        <v/>
      </c>
      <c r="D12" s="21">
        <f>IF('03_Activos'!O12="",0,'03_Activos'!O12)</f>
        <v/>
      </c>
      <c r="E12" s="21">
        <f>IF('03_Activos'!P12="",0,'03_Activos'!P12)</f>
        <v/>
      </c>
      <c r="F12" s="21">
        <f>IF('03_Activos'!Q12="","",'03_Activos'!Q12)</f>
        <v/>
      </c>
      <c r="G12" s="21">
        <f>IF(C12="","",C12+D12-E12+IF(F12="",0,F12))</f>
        <v/>
      </c>
      <c r="H12" s="21">
        <f>'03_Activos'!M12</f>
        <v/>
      </c>
      <c r="I12" s="21">
        <f>IF(G12="","",H12-G12)</f>
        <v/>
      </c>
    </row>
    <row r="13">
      <c r="A13" s="18" t="inlineStr">
        <is>
          <t>P-02</t>
        </is>
      </c>
      <c r="B13" s="18" t="inlineStr">
        <is>
          <t>Cultivo de maíz</t>
        </is>
      </c>
      <c r="C13" s="20">
        <f>IF('03_Activos'!N13="","",'03_Activos'!N13)</f>
        <v/>
      </c>
      <c r="D13" s="20">
        <f>IF('03_Activos'!O13="",0,'03_Activos'!O13)</f>
        <v/>
      </c>
      <c r="E13" s="20">
        <f>IF('03_Activos'!P13="",0,'03_Activos'!P13)</f>
        <v/>
      </c>
      <c r="F13" s="20">
        <f>IF('03_Activos'!Q13="","",'03_Activos'!Q13)</f>
        <v/>
      </c>
      <c r="G13" s="20">
        <f>IF(C13="","",C13+D13-E13+IF(F13="",0,F13))</f>
        <v/>
      </c>
      <c r="H13" s="20">
        <f>'03_Activos'!M13</f>
        <v/>
      </c>
      <c r="I13" s="20">
        <f>IF(G13="","",H13-G13)</f>
        <v/>
      </c>
    </row>
    <row r="14">
      <c r="A14" s="19" t="inlineStr">
        <is>
          <t>C-02</t>
        </is>
      </c>
      <c r="B14" s="19" t="inlineStr">
        <is>
          <t>Tilapia en estanques</t>
        </is>
      </c>
      <c r="C14" s="21">
        <f>IF('03_Activos'!N14="","",'03_Activos'!N14)</f>
        <v/>
      </c>
      <c r="D14" s="21">
        <f>IF('03_Activos'!O14="",0,'03_Activos'!O14)</f>
        <v/>
      </c>
      <c r="E14" s="21">
        <f>IF('03_Activos'!P14="",0,'03_Activos'!P14)</f>
        <v/>
      </c>
      <c r="F14" s="21">
        <f>IF('03_Activos'!Q14="","",'03_Activos'!Q14)</f>
        <v/>
      </c>
      <c r="G14" s="21">
        <f>IF(C14="","",C14+D14-E14+IF(F14="",0,F14))</f>
        <v/>
      </c>
      <c r="H14" s="21">
        <f>'03_Activos'!M14</f>
        <v/>
      </c>
      <c r="I14" s="21">
        <f>IF(G14="","",H14-G14)</f>
        <v/>
      </c>
    </row>
    <row r="15">
      <c r="A15" s="28" t="inlineStr">
        <is>
          <t>TOTAL</t>
        </is>
      </c>
      <c r="B15" s="28" t="inlineStr"/>
      <c r="C15" s="29">
        <f>SUM(C5:C14)</f>
        <v/>
      </c>
      <c r="D15" s="29">
        <f>SUM(D5:D14)</f>
        <v/>
      </c>
      <c r="E15" s="29">
        <f>SUM(E5:E14)</f>
        <v/>
      </c>
      <c r="F15" s="29">
        <f>SUM(F5:F14)</f>
        <v/>
      </c>
      <c r="G15" s="29">
        <f>SUM(G5:G14)</f>
        <v/>
      </c>
      <c r="H15" s="29">
        <f>SUM(H5:H14)</f>
        <v/>
      </c>
      <c r="I15" s="29">
        <f>SUM(I5:I14)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Libros al inicio</t>
        </is>
      </c>
      <c r="B19" s="25" t="inlineStr">
        <is>
          <t>'=IF('03_Activos'!N5="","",'03_Activos'!N5)</t>
        </is>
      </c>
      <c r="C19" s="24" t="inlineStr">
        <is>
          <t>Trae el saldo del lote al inicio del ejercicio, tal como lo informó el cliente en la hoja 03 (Activos biológicos: clasificación y datos).</t>
        </is>
      </c>
      <c r="D19" s="24" t="inlineStr">
        <is>
          <t>Fila 1: IF(175.200,00=""; ""; 175.200,00) → 175.200,00</t>
        </is>
      </c>
      <c r="E19" s="24" t="inlineStr">
        <is>
          <t>hoja «Activos biológicos: clasificación y datos»</t>
        </is>
      </c>
      <c r="F19" s="24" t="inlineStr">
        <is>
          <t>—</t>
        </is>
      </c>
    </row>
    <row r="20">
      <c r="A20" s="24" t="inlineStr">
        <is>
          <t>(+) Compras e incrementos</t>
        </is>
      </c>
      <c r="B20" s="25" t="inlineStr">
        <is>
          <t>'=IF('03_Activos'!O5="",0,'03_Activos'!O5)</t>
        </is>
      </c>
      <c r="C20" s="24" t="inlineStr">
        <is>
          <t>Trae las compras e incrementos del año de la hoja 03 (Activos biológicos: clasificación y datos); en blanco se toma como cero.</t>
        </is>
      </c>
      <c r="D20" s="24" t="inlineStr">
        <is>
          <t>Fila 1: IF(6.000,00=""; 0; 6.000,00) → 6.000,00</t>
        </is>
      </c>
      <c r="E20" s="24" t="inlineStr">
        <is>
          <t>hoja «Activos biológicos: clasificación y datos»</t>
        </is>
      </c>
      <c r="F20" s="24" t="inlineStr">
        <is>
          <t>—</t>
        </is>
      </c>
    </row>
    <row r="21">
      <c r="A21" s="24" t="inlineStr">
        <is>
          <t>(−) Disminuciones</t>
        </is>
      </c>
      <c r="B21" s="25" t="inlineStr">
        <is>
          <t>'=IF('03_Activos'!P5="",0,'03_Activos'!P5)</t>
        </is>
      </c>
      <c r="C21" s="24" t="inlineStr">
        <is>
          <t>Trae las disminuciones del año al valor en libros (ventas, cosecha, depreciación) de la hoja 03 (Activos biológicos: clasificación y datos); en blanco, cero.</t>
        </is>
      </c>
      <c r="D21" s="24" t="inlineStr">
        <is>
          <t>Fila 1: IF(4.500,00=""; 0; 4.500,00) → 4.500,00</t>
        </is>
      </c>
      <c r="E21" s="24" t="inlineStr">
        <is>
          <t>hoja «Activos biológicos: clasificación y datos»</t>
        </is>
      </c>
      <c r="F21" s="24" t="inlineStr">
        <is>
          <t>—</t>
        </is>
      </c>
    </row>
    <row r="22">
      <c r="A22" s="24" t="inlineStr">
        <is>
          <t>(+) Ganancia VR registrada</t>
        </is>
      </c>
      <c r="B22" s="25" t="inlineStr">
        <is>
          <t>'=IF('03_Activos'!Q5="","",'03_Activos'!Q5)</t>
        </is>
      </c>
      <c r="C22" s="24" t="inlineStr">
        <is>
          <t>Trae la ganancia por cambio de valor razonable registrada por el cliente en la hoja 03 (Activos biológicos: clasificación y datos).</t>
        </is>
      </c>
      <c r="D22" s="24" t="inlineStr">
        <is>
          <t>Fila 1: IF(18.300,00=""; ""; 18.300,00) → 18.300,00</t>
        </is>
      </c>
      <c r="E22" s="24" t="inlineStr">
        <is>
          <t>hoja «Activos biológicos: clasificación y datos»</t>
        </is>
      </c>
      <c r="F22" s="24" t="inlineStr">
        <is>
          <t>—</t>
        </is>
      </c>
    </row>
    <row r="23">
      <c r="A23" s="24" t="inlineStr">
        <is>
          <t>Saldo final calculado</t>
        </is>
      </c>
      <c r="B23" s="25" t="inlineStr">
        <is>
          <t>'=IF(C5="","",C5+D5-E5+IF(F5="",0,F5))</t>
        </is>
      </c>
      <c r="C23" s="24" t="inlineStr">
        <is>
          <t>Suma libros al inicio y compras, resta disminuciones y suma la ganancia registrada (cero si está en blanco); si no hay saldo inicial, queda en blanco.</t>
        </is>
      </c>
      <c r="D23" s="24" t="inlineStr">
        <is>
          <t>Fila 1: IF(175.200,00=""; ""; 175.200,00+6.000,00-4.500,00+IF(18.300,00=""; 0; 18.300,00)) → 195.000,00</t>
        </is>
      </c>
      <c r="E23" s="24" t="inlineStr">
        <is>
          <t>«Libros al inicio» (esta hoja), «(+) Compras e incrementos» (esta hoja), «(−) Disminuciones» (esta hoja), «(+) Ganancia VR registrada» (esta hoja)</t>
        </is>
      </c>
      <c r="F23" s="24" t="inlineStr">
        <is>
          <t>—</t>
        </is>
      </c>
    </row>
    <row r="24">
      <c r="A24" s="24" t="inlineStr">
        <is>
          <t>Saldo final en libros</t>
        </is>
      </c>
      <c r="B24" s="25" t="inlineStr">
        <is>
          <t>'='03_Activos'!M5</t>
        </is>
      </c>
      <c r="C24" s="24" t="inlineStr">
        <is>
          <t>Trae el valor en libros del lote al corte registrado por el cliente en la hoja 03 (Activos biológicos: clasificación y datos).</t>
        </is>
      </c>
      <c r="D24" s="24" t="inlineStr">
        <is>
          <t>Fila 1: 195.000,00 → 195.000,00</t>
        </is>
      </c>
      <c r="E24" s="24" t="inlineStr">
        <is>
          <t>hoja «Activos biológicos: clasificación y datos»</t>
        </is>
      </c>
      <c r="F24" s="24" t="inlineStr">
        <is>
          <t>—</t>
        </is>
      </c>
    </row>
    <row r="25">
      <c r="A25" s="24" t="inlineStr">
        <is>
          <t>Diferencia</t>
        </is>
      </c>
      <c r="B25" s="25" t="inlineStr">
        <is>
          <t>'=IF(G5="","",H5-G5)</t>
        </is>
      </c>
      <c r="C25" s="24" t="inlineStr">
        <is>
          <t>Resta el saldo final calculado al saldo en libros: distinto de cero indica que el movimiento del año no explica el saldo; en blanco sin saldo calculado.</t>
        </is>
      </c>
      <c r="D25" s="24" t="inlineStr">
        <is>
          <t>Fila 1: IF(195.000,00=""; ""; 195.000,00-195.000,00) → 0,00</t>
        </is>
      </c>
      <c r="E25" s="24" t="inlineStr">
        <is>
          <t>«Saldo final calculado» (esta hoja), «Saldo final en libros» (esta hoja)</t>
        </is>
      </c>
      <c r="F25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2" customWidth="1" min="5" max="5"/>
    <col width="21" customWidth="1" min="6" max="6"/>
    <col width="21" customWidth="1" min="7" max="7"/>
    <col width="21" customWidth="1" min="8" max="8"/>
    <col width="25" customWidth="1" min="9" max="9"/>
  </cols>
  <sheetData>
    <row r="1">
      <c r="A1" s="3" t="inlineStr">
        <is>
          <t>Modelo del costo y deterioro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Lote</t>
        </is>
      </c>
      <c r="B4" s="17" t="inlineStr">
        <is>
          <t>Modelo auditado</t>
        </is>
      </c>
      <c r="C4" s="17" t="inlineStr">
        <is>
          <t>Costo acumulado</t>
        </is>
      </c>
      <c r="D4" s="17" t="inlineStr">
        <is>
          <t>Depreciación acumulada</t>
        </is>
      </c>
      <c r="E4" s="17" t="inlineStr">
        <is>
          <t>Deterioro registrado</t>
        </is>
      </c>
      <c r="F4" s="17" t="inlineStr">
        <is>
          <t>Valor neto al costo</t>
        </is>
      </c>
      <c r="G4" s="17" t="inlineStr">
        <is>
          <t>Importe recuperable</t>
        </is>
      </c>
      <c r="H4" s="17" t="inlineStr">
        <is>
          <t>Deterioro adicional</t>
        </is>
      </c>
      <c r="I4" s="17" t="inlineStr">
        <is>
          <t>Valor auditado al costo</t>
        </is>
      </c>
    </row>
    <row r="5">
      <c r="A5" s="18" t="inlineStr">
        <is>
          <t>G-01</t>
        </is>
      </c>
      <c r="B5" s="18">
        <f>'03_Activos'!W5</f>
        <v/>
      </c>
      <c r="C5" s="20">
        <f>IF('03_Activos'!R5="","",'03_Activos'!R5)</f>
        <v/>
      </c>
      <c r="D5" s="20">
        <f>IF('03_Activos'!S5="","",'03_Activos'!S5)</f>
        <v/>
      </c>
      <c r="E5" s="20">
        <f>IF('03_Activos'!T5="","",'03_Activos'!T5)</f>
        <v/>
      </c>
      <c r="F5" s="20">
        <f>IF(OR(B5&lt;&gt;"Costo",C5=""),"",C5-IF(D5="",0,D5)-IF(E5="",0,E5))</f>
        <v/>
      </c>
      <c r="G5" s="20">
        <f>IF('03_Activos'!U5="","",'03_Activos'!U5)</f>
        <v/>
      </c>
      <c r="H5" s="20">
        <f>IF(OR(F5="",G5=""),"",MAX(0,F5-G5))</f>
        <v/>
      </c>
      <c r="I5" s="20">
        <f>IF(F5="","",F5-IF(H5="",0,H5))</f>
        <v/>
      </c>
    </row>
    <row r="6">
      <c r="A6" s="19" t="inlineStr">
        <is>
          <t>G-02</t>
        </is>
      </c>
      <c r="B6" s="19">
        <f>'03_Activos'!W6</f>
        <v/>
      </c>
      <c r="C6" s="21">
        <f>IF('03_Activos'!R6="","",'03_Activos'!R6)</f>
        <v/>
      </c>
      <c r="D6" s="21">
        <f>IF('03_Activos'!S6="","",'03_Activos'!S6)</f>
        <v/>
      </c>
      <c r="E6" s="21">
        <f>IF('03_Activos'!T6="","",'03_Activos'!T6)</f>
        <v/>
      </c>
      <c r="F6" s="21">
        <f>IF(OR(B6&lt;&gt;"Costo",C6=""),"",C6-IF(D6="",0,D6)-IF(E6="",0,E6))</f>
        <v/>
      </c>
      <c r="G6" s="21">
        <f>IF('03_Activos'!U6="","",'03_Activos'!U6)</f>
        <v/>
      </c>
      <c r="H6" s="21">
        <f>IF(OR(F6="",G6=""),"",MAX(0,F6-G6))</f>
        <v/>
      </c>
      <c r="I6" s="21">
        <f>IF(F6="","",F6-IF(H6="",0,H6))</f>
        <v/>
      </c>
    </row>
    <row r="7">
      <c r="A7" s="18" t="inlineStr">
        <is>
          <t>P-01</t>
        </is>
      </c>
      <c r="B7" s="18">
        <f>'03_Activos'!W7</f>
        <v/>
      </c>
      <c r="C7" s="20">
        <f>IF('03_Activos'!R7="","",'03_Activos'!R7)</f>
        <v/>
      </c>
      <c r="D7" s="20">
        <f>IF('03_Activos'!S7="","",'03_Activos'!S7)</f>
        <v/>
      </c>
      <c r="E7" s="20">
        <f>IF('03_Activos'!T7="","",'03_Activos'!T7)</f>
        <v/>
      </c>
      <c r="F7" s="20">
        <f>IF(OR(B7&lt;&gt;"Costo",C7=""),"",C7-IF(D7="",0,D7)-IF(E7="",0,E7))</f>
        <v/>
      </c>
      <c r="G7" s="20">
        <f>IF('03_Activos'!U7="","",'03_Activos'!U7)</f>
        <v/>
      </c>
      <c r="H7" s="20">
        <f>IF(OR(F7="",G7=""),"",MAX(0,F7-G7))</f>
        <v/>
      </c>
      <c r="I7" s="20">
        <f>IF(F7="","",F7-IF(H7="",0,H7))</f>
        <v/>
      </c>
    </row>
    <row r="8">
      <c r="A8" s="19" t="inlineStr">
        <is>
          <t>C-01</t>
        </is>
      </c>
      <c r="B8" s="19">
        <f>'03_Activos'!W8</f>
        <v/>
      </c>
      <c r="C8" s="21">
        <f>IF('03_Activos'!R8="","",'03_Activos'!R8)</f>
        <v/>
      </c>
      <c r="D8" s="21">
        <f>IF('03_Activos'!S8="","",'03_Activos'!S8)</f>
        <v/>
      </c>
      <c r="E8" s="21">
        <f>IF('03_Activos'!T8="","",'03_Activos'!T8)</f>
        <v/>
      </c>
      <c r="F8" s="21">
        <f>IF(OR(B8&lt;&gt;"Costo",C8=""),"",C8-IF(D8="",0,D8)-IF(E8="",0,E8))</f>
        <v/>
      </c>
      <c r="G8" s="21">
        <f>IF('03_Activos'!U8="","",'03_Activos'!U8)</f>
        <v/>
      </c>
      <c r="H8" s="21">
        <f>IF(OR(F8="",G8=""),"",MAX(0,F8-G8))</f>
        <v/>
      </c>
      <c r="I8" s="21">
        <f>IF(F8="","",F8-IF(H8="",0,H8))</f>
        <v/>
      </c>
    </row>
    <row r="9">
      <c r="A9" s="18" t="inlineStr">
        <is>
          <t>F-01</t>
        </is>
      </c>
      <c r="B9" s="18">
        <f>'03_Activos'!W9</f>
        <v/>
      </c>
      <c r="C9" s="20">
        <f>IF('03_Activos'!R9="","",'03_Activos'!R9)</f>
        <v/>
      </c>
      <c r="D9" s="20">
        <f>IF('03_Activos'!S9="","",'03_Activos'!S9)</f>
        <v/>
      </c>
      <c r="E9" s="20">
        <f>IF('03_Activos'!T9="","",'03_Activos'!T9)</f>
        <v/>
      </c>
      <c r="F9" s="20">
        <f>IF(OR(B9&lt;&gt;"Costo",C9=""),"",C9-IF(D9="",0,D9)-IF(E9="",0,E9))</f>
        <v/>
      </c>
      <c r="G9" s="20">
        <f>IF('03_Activos'!U9="","",'03_Activos'!U9)</f>
        <v/>
      </c>
      <c r="H9" s="20">
        <f>IF(OR(F9="",G9=""),"",MAX(0,F9-G9))</f>
        <v/>
      </c>
      <c r="I9" s="20">
        <f>IF(F9="","",F9-IF(H9="",0,H9))</f>
        <v/>
      </c>
    </row>
    <row r="10">
      <c r="A10" s="19" t="inlineStr">
        <is>
          <t>F-02</t>
        </is>
      </c>
      <c r="B10" s="19">
        <f>'03_Activos'!W10</f>
        <v/>
      </c>
      <c r="C10" s="21">
        <f>IF('03_Activos'!R10="","",'03_Activos'!R10)</f>
        <v/>
      </c>
      <c r="D10" s="21">
        <f>IF('03_Activos'!S10="","",'03_Activos'!S10)</f>
        <v/>
      </c>
      <c r="E10" s="21">
        <f>IF('03_Activos'!T10="","",'03_Activos'!T10)</f>
        <v/>
      </c>
      <c r="F10" s="21">
        <f>IF(OR(B10&lt;&gt;"Costo",C10=""),"",C10-IF(D10="",0,D10)-IF(E10="",0,E10))</f>
        <v/>
      </c>
      <c r="G10" s="21">
        <f>IF('03_Activos'!U10="","",'03_Activos'!U10)</f>
        <v/>
      </c>
      <c r="H10" s="21">
        <f>IF(OR(F10="",G10=""),"",MAX(0,F10-G10))</f>
        <v/>
      </c>
      <c r="I10" s="21">
        <f>IF(F10="","",F10-IF(H10="",0,H10))</f>
        <v/>
      </c>
    </row>
    <row r="11">
      <c r="A11" s="18" t="inlineStr">
        <is>
          <t>G-03</t>
        </is>
      </c>
      <c r="B11" s="18">
        <f>'03_Activos'!W11</f>
        <v/>
      </c>
      <c r="C11" s="20">
        <f>IF('03_Activos'!R11="","",'03_Activos'!R11)</f>
        <v/>
      </c>
      <c r="D11" s="20">
        <f>IF('03_Activos'!S11="","",'03_Activos'!S11)</f>
        <v/>
      </c>
      <c r="E11" s="20">
        <f>IF('03_Activos'!T11="","",'03_Activos'!T11)</f>
        <v/>
      </c>
      <c r="F11" s="20">
        <f>IF(OR(B11&lt;&gt;"Costo",C11=""),"",C11-IF(D11="",0,D11)-IF(E11="",0,E11))</f>
        <v/>
      </c>
      <c r="G11" s="20">
        <f>IF('03_Activos'!U11="","",'03_Activos'!U11)</f>
        <v/>
      </c>
      <c r="H11" s="20">
        <f>IF(OR(F11="",G11=""),"",MAX(0,F11-G11))</f>
        <v/>
      </c>
      <c r="I11" s="20">
        <f>IF(F11="","",F11-IF(H11="",0,H11))</f>
        <v/>
      </c>
    </row>
    <row r="12">
      <c r="A12" s="19" t="inlineStr">
        <is>
          <t>G-04</t>
        </is>
      </c>
      <c r="B12" s="19">
        <f>'03_Activos'!W12</f>
        <v/>
      </c>
      <c r="C12" s="21">
        <f>IF('03_Activos'!R12="","",'03_Activos'!R12)</f>
        <v/>
      </c>
      <c r="D12" s="21">
        <f>IF('03_Activos'!S12="","",'03_Activos'!S12)</f>
        <v/>
      </c>
      <c r="E12" s="21">
        <f>IF('03_Activos'!T12="","",'03_Activos'!T12)</f>
        <v/>
      </c>
      <c r="F12" s="21">
        <f>IF(OR(B12&lt;&gt;"Costo",C12=""),"",C12-IF(D12="",0,D12)-IF(E12="",0,E12))</f>
        <v/>
      </c>
      <c r="G12" s="21">
        <f>IF('03_Activos'!U12="","",'03_Activos'!U12)</f>
        <v/>
      </c>
      <c r="H12" s="21">
        <f>IF(OR(F12="",G12=""),"",MAX(0,F12-G12))</f>
        <v/>
      </c>
      <c r="I12" s="21">
        <f>IF(F12="","",F12-IF(H12="",0,H12))</f>
        <v/>
      </c>
    </row>
    <row r="13">
      <c r="A13" s="18" t="inlineStr">
        <is>
          <t>P-02</t>
        </is>
      </c>
      <c r="B13" s="18">
        <f>'03_Activos'!W13</f>
        <v/>
      </c>
      <c r="C13" s="20">
        <f>IF('03_Activos'!R13="","",'03_Activos'!R13)</f>
        <v/>
      </c>
      <c r="D13" s="20">
        <f>IF('03_Activos'!S13="","",'03_Activos'!S13)</f>
        <v/>
      </c>
      <c r="E13" s="20">
        <f>IF('03_Activos'!T13="","",'03_Activos'!T13)</f>
        <v/>
      </c>
      <c r="F13" s="20">
        <f>IF(OR(B13&lt;&gt;"Costo",C13=""),"",C13-IF(D13="",0,D13)-IF(E13="",0,E13))</f>
        <v/>
      </c>
      <c r="G13" s="20">
        <f>IF('03_Activos'!U13="","",'03_Activos'!U13)</f>
        <v/>
      </c>
      <c r="H13" s="20">
        <f>IF(OR(F13="",G13=""),"",MAX(0,F13-G13))</f>
        <v/>
      </c>
      <c r="I13" s="20">
        <f>IF(F13="","",F13-IF(H13="",0,H13))</f>
        <v/>
      </c>
    </row>
    <row r="14">
      <c r="A14" s="19" t="inlineStr">
        <is>
          <t>C-02</t>
        </is>
      </c>
      <c r="B14" s="19">
        <f>'03_Activos'!W14</f>
        <v/>
      </c>
      <c r="C14" s="21">
        <f>IF('03_Activos'!R14="","",'03_Activos'!R14)</f>
        <v/>
      </c>
      <c r="D14" s="21">
        <f>IF('03_Activos'!S14="","",'03_Activos'!S14)</f>
        <v/>
      </c>
      <c r="E14" s="21">
        <f>IF('03_Activos'!T14="","",'03_Activos'!T14)</f>
        <v/>
      </c>
      <c r="F14" s="21">
        <f>IF(OR(B14&lt;&gt;"Costo",C14=""),"",C14-IF(D14="",0,D14)-IF(E14="",0,E14))</f>
        <v/>
      </c>
      <c r="G14" s="21">
        <f>IF('03_Activos'!U14="","",'03_Activos'!U14)</f>
        <v/>
      </c>
      <c r="H14" s="21">
        <f>IF(OR(F14="",G14=""),"",MAX(0,F14-G14))</f>
        <v/>
      </c>
      <c r="I14" s="21">
        <f>IF(F14="","",F14-IF(H14="",0,H14))</f>
        <v/>
      </c>
    </row>
    <row r="15">
      <c r="A15" s="28" t="inlineStr">
        <is>
          <t>TOTAL</t>
        </is>
      </c>
      <c r="B15" s="28" t="inlineStr"/>
      <c r="C15" s="29" t="n"/>
      <c r="D15" s="29" t="n"/>
      <c r="E15" s="29" t="n"/>
      <c r="F15" s="29">
        <f>SUM(F5:F14)</f>
        <v/>
      </c>
      <c r="G15" s="29" t="n"/>
      <c r="H15" s="29">
        <f>SUM(H5:H14)</f>
        <v/>
      </c>
      <c r="I15" s="29">
        <f>SUM(I5:I14)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Modelo auditado</t>
        </is>
      </c>
      <c r="B19" s="25" t="inlineStr">
        <is>
          <t>'='03_Activos'!W5</t>
        </is>
      </c>
      <c r="C19" s="24" t="inlineStr">
        <is>
          <t>Trae el modelo del lote desde la hoja 03 (Activos biológicos: clasificación y datos); esta hoja solo calcula los lotes medidos al costo.</t>
        </is>
      </c>
      <c r="D19" s="24" t="inlineStr">
        <is>
          <t>Fila 1: «Valor razonable» → Valor razonable</t>
        </is>
      </c>
      <c r="E19" s="24" t="inlineStr">
        <is>
          <t>hoja «Activos biológicos: clasificación y datos»</t>
        </is>
      </c>
      <c r="F19" s="24" t="inlineStr">
        <is>
          <t>—</t>
        </is>
      </c>
    </row>
    <row r="20">
      <c r="A20" s="24" t="inlineStr">
        <is>
          <t>Costo acumulado</t>
        </is>
      </c>
      <c r="B20" s="25" t="inlineStr">
        <is>
          <t>'=IF('03_Activos'!R5="","",'03_Activos'!R5)</t>
        </is>
      </c>
      <c r="C20" s="24" t="inlineStr">
        <is>
          <t>Trae el costo acumulado del lote informado en la hoja 03 (Activos biológicos: clasificación y datos); en blanco si no se informó.</t>
        </is>
      </c>
      <c r="D20" s="24" t="inlineStr">
        <is>
          <t>Fila 1: IF((vacío)=""; ""; (vacío)) → (en blanco)</t>
        </is>
      </c>
      <c r="E20" s="24" t="inlineStr">
        <is>
          <t>hoja «Activos biológicos: clasificación y datos»</t>
        </is>
      </c>
      <c r="F20" s="24" t="inlineStr">
        <is>
          <t>—</t>
        </is>
      </c>
    </row>
    <row r="21">
      <c r="A21" s="24" t="inlineStr">
        <is>
          <t>Depreciación acumulada</t>
        </is>
      </c>
      <c r="B21" s="25" t="inlineStr">
        <is>
          <t>'=IF('03_Activos'!S5="","",'03_Activos'!S5)</t>
        </is>
      </c>
      <c r="C21" s="24" t="inlineStr">
        <is>
          <t>Trae la depreciación acumulada del lote informada en la hoja 03 (Activos biológicos: clasificación y datos); en blanco si no se informó.</t>
        </is>
      </c>
      <c r="D21" s="24" t="inlineStr">
        <is>
          <t>Fila 1: IF((vacío)=""; ""; (vacío)) → (en blanco)</t>
        </is>
      </c>
      <c r="E21" s="24" t="inlineStr">
        <is>
          <t>hoja «Activos biológicos: clasificación y datos»</t>
        </is>
      </c>
      <c r="F21" s="24" t="inlineStr">
        <is>
          <t>—</t>
        </is>
      </c>
    </row>
    <row r="22">
      <c r="A22" s="24" t="inlineStr">
        <is>
          <t>Deterioro registrado</t>
        </is>
      </c>
      <c r="B22" s="25" t="inlineStr">
        <is>
          <t>'=IF('03_Activos'!T5="","",'03_Activos'!T5)</t>
        </is>
      </c>
      <c r="C22" s="24" t="inlineStr">
        <is>
          <t>Trae el deterioro acumulado que registró el cliente para el lote en la hoja 03 (Activos biológicos: clasificación y datos); en blanco si falta.</t>
        </is>
      </c>
      <c r="D22" s="24" t="inlineStr">
        <is>
          <t>Fila 1: IF((vacío)=""; ""; (vacío)) → (en blanco)</t>
        </is>
      </c>
      <c r="E22" s="24" t="inlineStr">
        <is>
          <t>hoja «Activos biológicos: clasificación y datos»</t>
        </is>
      </c>
      <c r="F22" s="24" t="inlineStr">
        <is>
          <t>—</t>
        </is>
      </c>
    </row>
    <row r="23">
      <c r="A23" s="24" t="inlineStr">
        <is>
          <t>Valor neto al costo</t>
        </is>
      </c>
      <c r="B23" s="25" t="inlineStr">
        <is>
          <t>'=IF(OR(B5&lt;&gt;"Costo",C5=""),"",C5-IF(D5="",0,D5)-IF(E5="",0,E5))</t>
        </is>
      </c>
      <c r="C23" s="24" t="inlineStr">
        <is>
          <t>Para lotes al costo, resta al costo acumulado la depreciación y el deterioro registrados (cero si están en blanco); en otros modelos o sin costo, queda en blanco.</t>
        </is>
      </c>
      <c r="D23" s="24" t="inlineStr">
        <is>
          <t>Fila 1: IF(OR(«Valor razonable»&lt;&gt;"Costo"; (vacío)=""); ""; (vacío)-IF((vacío)=""; 0; (vacío))-IF((vacío)=""; 0; (vacío))) → (en blanco)</t>
        </is>
      </c>
      <c r="E23" s="24" t="inlineStr">
        <is>
          <t>«Modelo auditado» (esta hoja), «Costo acumulado» (esta hoja), «Depreciación acumulada» (esta hoja), «Deterioro registrado» (esta hoja)</t>
        </is>
      </c>
      <c r="F23" s="24" t="inlineStr">
        <is>
          <t>—</t>
        </is>
      </c>
    </row>
    <row r="24">
      <c r="A24" s="24" t="inlineStr">
        <is>
          <t>Importe recuperable</t>
        </is>
      </c>
      <c r="B24" s="25" t="inlineStr">
        <is>
          <t>'=IF('03_Activos'!U5="","",'03_Activos'!U5)</t>
        </is>
      </c>
      <c r="C24" s="24" t="inlineStr">
        <is>
          <t>Trae el importe recuperable del lote informado en la hoja 03 (Activos biológicos: clasificación y datos); en blanco si no se informó.</t>
        </is>
      </c>
      <c r="D24" s="24" t="inlineStr">
        <is>
          <t>Fila 1: IF((vacío)=""; ""; (vacío)) → (en blanco)</t>
        </is>
      </c>
      <c r="E24" s="24" t="inlineStr">
        <is>
          <t>hoja «Activos biológicos: clasificación y datos»</t>
        </is>
      </c>
      <c r="F24" s="24" t="inlineStr">
        <is>
          <t>—</t>
        </is>
      </c>
    </row>
    <row r="25">
      <c r="A25" s="24" t="inlineStr">
        <is>
          <t>Deterioro adicional</t>
        </is>
      </c>
      <c r="B25" s="25" t="inlineStr">
        <is>
          <t>'=IF(OR(F5="",G5=""),"",MAX(0,F5-G5))</t>
        </is>
      </c>
      <c r="C25" s="24" t="inlineStr">
        <is>
          <t>Si el valor neto al costo supera al importe recuperable, la diferencia es deterioro adicional (si no, cero); en blanco si falta alguno de los dos.</t>
        </is>
      </c>
      <c r="D25" s="24" t="inlineStr">
        <is>
          <t>Fila 1: IF(OR((vacío)=""; (vacío)=""); ""; MAX(0; (vacío)-(vacío))) → (en blanco)</t>
        </is>
      </c>
      <c r="E25" s="24" t="inlineStr">
        <is>
          <t>«Valor neto al costo» (esta hoja), «Importe recuperable» (esta hoja)</t>
        </is>
      </c>
      <c r="F25" s="24" t="inlineStr">
        <is>
          <t>—</t>
        </is>
      </c>
    </row>
    <row r="26">
      <c r="A26" s="24" t="inlineStr">
        <is>
          <t>Valor auditado al costo</t>
        </is>
      </c>
      <c r="B26" s="25" t="inlineStr">
        <is>
          <t>'=IF(F5="","",F5-IF(H5="",0,H5))</t>
        </is>
      </c>
      <c r="C26" s="24" t="inlineStr">
        <is>
          <t>Resta al valor neto al costo el deterioro adicional (cero si está en blanco); en blanco sin valor neto.</t>
        </is>
      </c>
      <c r="D26" s="24" t="inlineStr">
        <is>
          <t>Fila 1: IF((vacío)=""; ""; (vacío)-IF((vacío)=""; 0; (vacío))) → (en blanco)</t>
        </is>
      </c>
      <c r="E26" s="24" t="inlineStr">
        <is>
          <t>«Valor neto al costo» (esta hoja), «Deterioro adicional» (esta hoja)</t>
        </is>
      </c>
      <c r="F26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2" customWidth="1" min="4" max="4"/>
    <col width="24" customWidth="1" min="5" max="5"/>
    <col width="25" customWidth="1" min="6" max="6"/>
    <col width="31" customWidth="1" min="7" max="7"/>
    <col width="28" customWidth="1" min="8" max="8"/>
    <col width="18" customWidth="1" min="9" max="9"/>
    <col width="25" customWidth="1" min="10" max="10"/>
  </cols>
  <sheetData>
    <row r="1">
      <c r="A1" s="3" t="inlineStr">
        <is>
          <t>Producto agrícola en el punto de cosecha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Lote / documento</t>
        </is>
      </c>
      <c r="B4" s="17" t="inlineStr">
        <is>
          <t>Producto</t>
        </is>
      </c>
      <c r="C4" s="17" t="inlineStr">
        <is>
          <t>Fecha</t>
        </is>
      </c>
      <c r="D4" s="17" t="inlineStr">
        <is>
          <t>Cantidad</t>
        </is>
      </c>
      <c r="E4" s="17" t="inlineStr">
        <is>
          <t>VR unitario en cosecha</t>
        </is>
      </c>
      <c r="F4" s="17" t="inlineStr">
        <is>
          <t>Costo de venta unitario</t>
        </is>
      </c>
      <c r="G4" s="17" t="inlineStr">
        <is>
          <t>VR − costos de venta unitario</t>
        </is>
      </c>
      <c r="H4" s="17" t="inlineStr">
        <is>
          <t>VR − costos de venta total</t>
        </is>
      </c>
      <c r="I4" s="17" t="inlineStr">
        <is>
          <t>Valor registrado</t>
        </is>
      </c>
      <c r="J4" s="17" t="inlineStr">
        <is>
          <t>Diferencia</t>
        </is>
      </c>
    </row>
    <row r="5">
      <c r="A5" s="18" t="inlineStr">
        <is>
          <t>H-01</t>
        </is>
      </c>
      <c r="B5" s="18" t="inlineStr">
        <is>
          <t>Leche</t>
        </is>
      </c>
      <c r="C5" s="30" t="n">
        <v>46022</v>
      </c>
      <c r="D5" s="20" t="n">
        <v>900000</v>
      </c>
      <c r="E5" s="20" t="n">
        <v>0.45</v>
      </c>
      <c r="F5" s="20" t="n">
        <v>0.03</v>
      </c>
      <c r="G5" s="20">
        <f>E5-F5</f>
        <v/>
      </c>
      <c r="H5" s="20">
        <f>D5*G5</f>
        <v/>
      </c>
      <c r="I5" s="20" t="n">
        <v>378000</v>
      </c>
      <c r="J5" s="20">
        <f>H5-I5</f>
        <v/>
      </c>
    </row>
    <row r="6">
      <c r="A6" s="19" t="inlineStr">
        <is>
          <t>H-02</t>
        </is>
      </c>
      <c r="B6" s="19" t="inlineStr">
        <is>
          <t>Madera de teca (raleo)</t>
        </is>
      </c>
      <c r="C6" s="31" t="n">
        <v>46022</v>
      </c>
      <c r="D6" s="21" t="n">
        <v>200</v>
      </c>
      <c r="E6" s="21" t="n">
        <v>180</v>
      </c>
      <c r="F6" s="21" t="n">
        <v>20</v>
      </c>
      <c r="G6" s="21">
        <f>E6-F6</f>
        <v/>
      </c>
      <c r="H6" s="21">
        <f>D6*G6</f>
        <v/>
      </c>
      <c r="I6" s="21" t="n">
        <v>25000</v>
      </c>
      <c r="J6" s="21">
        <f>H6-I6</f>
        <v/>
      </c>
    </row>
    <row r="7">
      <c r="A7" s="18" t="inlineStr">
        <is>
          <t>H-03</t>
        </is>
      </c>
      <c r="B7" s="18" t="inlineStr">
        <is>
          <t>Camarón cosechado</t>
        </is>
      </c>
      <c r="C7" s="30" t="n">
        <v>46022</v>
      </c>
      <c r="D7" s="20" t="n">
        <v>60000</v>
      </c>
      <c r="E7" s="20" t="n">
        <v>3.4</v>
      </c>
      <c r="F7" s="20" t="n">
        <v>0.2</v>
      </c>
      <c r="G7" s="20">
        <f>E7-F7</f>
        <v/>
      </c>
      <c r="H7" s="20">
        <f>D7*G7</f>
        <v/>
      </c>
      <c r="I7" s="20" t="n">
        <v>192000</v>
      </c>
      <c r="J7" s="20">
        <f>H7-I7</f>
        <v/>
      </c>
    </row>
    <row r="8">
      <c r="A8" s="19" t="inlineStr">
        <is>
          <t>H-04</t>
        </is>
      </c>
      <c r="B8" s="19" t="inlineStr">
        <is>
          <t>Rosas (tallos)</t>
        </is>
      </c>
      <c r="C8" s="31" t="n">
        <v>46022</v>
      </c>
      <c r="D8" s="21" t="n">
        <v>1200000</v>
      </c>
      <c r="E8" s="21" t="n">
        <v>0.15</v>
      </c>
      <c r="F8" s="21" t="n">
        <v>0.02</v>
      </c>
      <c r="G8" s="21">
        <f>E8-F8</f>
        <v/>
      </c>
      <c r="H8" s="21">
        <f>D8*G8</f>
        <v/>
      </c>
      <c r="I8" s="21" t="n">
        <v>150000</v>
      </c>
      <c r="J8" s="21">
        <f>H8-I8</f>
        <v/>
      </c>
    </row>
    <row r="9">
      <c r="A9" s="18" t="inlineStr">
        <is>
          <t>H-05</t>
        </is>
      </c>
      <c r="B9" s="18" t="inlineStr">
        <is>
          <t>Tilapia cosechada</t>
        </is>
      </c>
      <c r="C9" s="30" t="n">
        <v>46022</v>
      </c>
      <c r="D9" s="20" t="n">
        <v>8000</v>
      </c>
      <c r="E9" s="20" t="n">
        <v>2.6</v>
      </c>
      <c r="F9" s="20" t="n">
        <v>0.1</v>
      </c>
      <c r="G9" s="20">
        <f>E9-F9</f>
        <v/>
      </c>
      <c r="H9" s="20">
        <f>D9*G9</f>
        <v/>
      </c>
      <c r="I9" s="20" t="n">
        <v>20000</v>
      </c>
      <c r="J9" s="20">
        <f>H9-I9</f>
        <v/>
      </c>
    </row>
    <row r="10">
      <c r="A10" s="19" t="inlineStr">
        <is>
          <t>H-06</t>
        </is>
      </c>
      <c r="B10" s="19" t="inlineStr">
        <is>
          <t>Cerdos sacrificados</t>
        </is>
      </c>
      <c r="C10" s="31" t="n">
        <v>46022</v>
      </c>
      <c r="D10" s="21" t="n">
        <v>100</v>
      </c>
      <c r="E10" s="21" t="n">
        <v>190</v>
      </c>
      <c r="F10" s="21" t="n">
        <v>10</v>
      </c>
      <c r="G10" s="21">
        <f>E10-F10</f>
        <v/>
      </c>
      <c r="H10" s="21">
        <f>D10*G10</f>
        <v/>
      </c>
      <c r="I10" s="21" t="n">
        <v>17000</v>
      </c>
      <c r="J10" s="21">
        <f>H10-I10</f>
        <v/>
      </c>
    </row>
    <row r="11">
      <c r="A11" s="28" t="inlineStr">
        <is>
          <t>TOTAL</t>
        </is>
      </c>
      <c r="B11" s="28" t="inlineStr"/>
      <c r="C11" s="32" t="n"/>
      <c r="D11" s="29" t="n"/>
      <c r="E11" s="29" t="n"/>
      <c r="F11" s="29" t="n"/>
      <c r="G11" s="29" t="n"/>
      <c r="H11" s="29">
        <f>SUM(H5:H10)</f>
        <v/>
      </c>
      <c r="I11" s="29">
        <f>SUM(I5:I10)</f>
        <v/>
      </c>
      <c r="J11" s="29">
        <f>SUM(J5:J10)</f>
        <v/>
      </c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VR − costos de venta unitario</t>
        </is>
      </c>
      <c r="B15" s="25" t="inlineStr">
        <is>
          <t>'=E5-F5</t>
        </is>
      </c>
      <c r="C15" s="24" t="inlineStr">
        <is>
          <t>Resta el costo de venta unitario al valor razonable unitario en el punto de cosecha.</t>
        </is>
      </c>
      <c r="D15" s="24" t="inlineStr">
        <is>
          <t>Fila 1: 0,45-0,03 → 0,42</t>
        </is>
      </c>
      <c r="E15" s="24" t="inlineStr">
        <is>
          <t>«VR unitario en cosecha» (esta hoja), «Costo de venta unitario» (esta hoja)</t>
        </is>
      </c>
      <c r="F15" s="24" t="inlineStr">
        <is>
          <t>—</t>
        </is>
      </c>
    </row>
    <row r="16">
      <c r="A16" s="24" t="inlineStr">
        <is>
          <t>VR − costos de venta total</t>
        </is>
      </c>
      <c r="B16" s="25" t="inlineStr">
        <is>
          <t>'=D5*G5</t>
        </is>
      </c>
      <c r="C16" s="24" t="inlineStr">
        <is>
          <t>Multiplica la cantidad cosechada por el VR menos costos de venta unitario: es el valor de la cosecha.</t>
        </is>
      </c>
      <c r="D16" s="24" t="inlineStr">
        <is>
          <t>Fila 1: 900.000,00*0,42 → 378.000,00</t>
        </is>
      </c>
      <c r="E16" s="24" t="inlineStr">
        <is>
          <t>«Cantidad» (esta hoja), «VR − costos de venta unitario» (esta hoja)</t>
        </is>
      </c>
      <c r="F16" s="24" t="inlineStr">
        <is>
          <t>—</t>
        </is>
      </c>
    </row>
    <row r="17">
      <c r="A17" s="24" t="inlineStr">
        <is>
          <t>Diferencia</t>
        </is>
      </c>
      <c r="B17" s="25" t="inlineStr">
        <is>
          <t>'=H5-I5</t>
        </is>
      </c>
      <c r="C17" s="24" t="inlineStr">
        <is>
          <t>Resta el valor registrado por el cliente al valor de la cosecha recalculado (VR menos costos de venta total).</t>
        </is>
      </c>
      <c r="D17" s="24" t="inlineStr">
        <is>
          <t>Fila 1: 378.000,00-378.000,00 → 0,00</t>
        </is>
      </c>
      <c r="E17" s="24" t="inlineStr">
        <is>
          <t>«VR − costos de venta total» (esta hoja), «Valor registrado» (esta hoja)</t>
        </is>
      </c>
      <c r="F17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DIFERENCIA_FISICA</t>
        </is>
      </c>
      <c r="B5" s="18" t="inlineStr">
        <is>
          <t>Diferencias entre el conteo y los registros en 3 lote(s): G-01, G-04, C-02. Neto valorizado -2.280,00; ajuste las unidades e investigue la causa (mortalidad, robo, error de registro).</t>
        </is>
      </c>
      <c r="C5" s="20" t="n">
        <v>-2280</v>
      </c>
    </row>
    <row r="6">
      <c r="A6" s="19" t="inlineStr">
        <is>
          <t>SIN_CONTEO</t>
        </is>
      </c>
      <c r="B6" s="19" t="inlineStr">
        <is>
          <t>1 lote(s) sin cantidad contada (C-01): se usan los registros. Documente el recuento o la estimación de biomasa (NIA 501).</t>
        </is>
      </c>
      <c r="C6" s="21" t="n">
        <v>130000</v>
      </c>
    </row>
    <row r="7">
      <c r="A7" s="18" t="inlineStr">
        <is>
          <t>VALORACION_DIFIERE</t>
        </is>
      </c>
      <c r="B7" s="18" t="inlineStr">
        <is>
          <t>La medición auditada difiere del valor en libros en G-01, G-02, C-01, G-03, G-04, P-02, C-02: ajuste 22.320,00 (valor razonable menos costos de venta, NIC 41.12; modelo del costo cuando procede).</t>
        </is>
      </c>
      <c r="C7" s="20" t="n">
        <v>22320</v>
      </c>
    </row>
    <row r="8">
      <c r="A8" s="19" t="inlineStr">
        <is>
          <t>SIN_COSTO_VENTA</t>
        </is>
      </c>
      <c r="B8" s="19" t="inlineStr">
        <is>
          <t>Sin costo de venta unitario en C-02: se toma 0. Los costos incrementales de venta se restan del VR (NIC 41.5 y 41.12).</t>
        </is>
      </c>
      <c r="C8" s="21" t="n">
        <v>0</v>
      </c>
    </row>
    <row r="9">
      <c r="A9" s="18" t="inlineStr">
        <is>
          <t>CAMBIO_VR_NO_RECONOCIDO</t>
        </is>
      </c>
      <c r="B9" s="18" t="inlineStr">
        <is>
          <t>La ganancia o pérdida por cambio del VR menos costos de venta recalculada (174.420,00) difiere de la registrada en resultados en G-01, G-02, C-01, F-02, G-04, P-02, C-02: 27.320,00 (NIC 41.26).</t>
        </is>
      </c>
      <c r="C9" s="20" t="n">
        <v>27320</v>
      </c>
    </row>
    <row r="10">
      <c r="A10" s="19" t="inlineStr">
        <is>
          <t>CONCILIACION_41_50</t>
        </is>
      </c>
      <c r="B10" s="19" t="inlineStr">
        <is>
          <t>La conciliación de cambios del importe en libros no cuadra en F-02: 1.000,00 (inicial + compras − disminuciones + ganancia ≠ saldo final; NIC 41.50; PYMES 34.7 c).</t>
        </is>
      </c>
      <c r="C10" s="21" t="n">
        <v>1000</v>
      </c>
    </row>
    <row r="11">
      <c r="A11" s="18" t="inlineStr">
        <is>
          <t>SIN_DESGLOSE_FISICO_PRECIO</t>
        </is>
      </c>
      <c r="B11" s="18" t="inlineStr">
        <is>
          <t>Sin cantidad o VR inicial en P-02: no se separó el cambio físico del cambio de precio (recomendado por NIC 41.51).</t>
        </is>
      </c>
      <c r="C11" s="20" t="n">
        <v>0</v>
      </c>
    </row>
    <row r="12">
      <c r="A12" s="19" t="inlineStr">
        <is>
          <t>MODELO_COSTO_SIN_JUSTIFICAR</t>
        </is>
      </c>
      <c r="B12" s="19" t="inlineStr">
        <is>
          <t>El cliente mide al costo G-04 pero se presume que el VR es fiable y la presunción solo se refuta en el reconocimiento inicial (NIC 41.30-41.31): documente la justificación o mida a VR menos costos de venta.</t>
        </is>
      </c>
      <c r="C12" s="21" t="n">
        <v>12240</v>
      </c>
    </row>
    <row r="13">
      <c r="A13" s="18" t="inlineStr">
        <is>
          <t>DETERIORO_COSTO</t>
        </is>
      </c>
      <c r="B13" s="18" t="inlineStr">
        <is>
          <t>Activos al costo con importe recuperable menor que su valor neto en G-03: deterioro adicional 4.000,00 (NIC 36 por NIC 41.33).</t>
        </is>
      </c>
      <c r="C13" s="20" t="n">
        <v>4000</v>
      </c>
    </row>
    <row r="14">
      <c r="A14" s="19" t="inlineStr">
        <is>
          <t>PLANTA_PRODUCTORA</t>
        </is>
      </c>
      <c r="B14" s="19" t="inlineStr">
        <is>
          <t>Plantas productoras fuera de NIC 41: se miden con NIC 16. Su producto sí es NIC 41 (41.2 b y 41.5C) (F-01, 80.000,00): use la herramienta de propiedades, planta y equipo; aquí se dejan al valor en libros.</t>
        </is>
      </c>
      <c r="C14" s="21" t="n">
        <v>80000</v>
      </c>
    </row>
    <row r="15">
      <c r="A15" s="18" t="inlineStr">
        <is>
          <t>ANEXO_MAYOR</t>
        </is>
      </c>
      <c r="B15" s="18" t="inlineStr">
        <is>
          <t>El anexo (1.501.800,00) no concilia con el mayor (1.500.000,00): 1.800,00.</t>
        </is>
      </c>
      <c r="C15" s="20" t="n">
        <v>1800</v>
      </c>
    </row>
    <row r="16">
      <c r="A16" s="19" t="inlineStr">
        <is>
          <t>COSECHA_NO_A_VR</t>
        </is>
      </c>
      <c r="B16" s="19" t="inlineStr">
        <is>
          <t>Producto agrícola no medido a VR menos costos de venta en el punto de cosecha en H-02, H-04, H-06: 14.000,00 (NIC 41.13 y 41.32; ese importe es el costo de la NIC 2).</t>
        </is>
      </c>
      <c r="C16" s="21" t="n">
        <v>14000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Activos biológicos y agricultura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2026-09-24T04:19:53Z</dcterms:created>
  <dcterms:modified xmlns:dcterms="http://purl.org/dc/terms/" xmlns:xsi="http://www.w3.org/2001/XMLSchema-instance" xsi:type="dcterms:W3CDTF">2026-09-24T04:19:53Z</dcterms:modified>
</cp:coreProperties>
</file>