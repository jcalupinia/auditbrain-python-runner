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0_Inicio" sheetId="1" state="visible" r:id="rId1"/>
    <sheet xmlns:r="http://schemas.openxmlformats.org/officeDocument/2006/relationships" name="00_Caratula" sheetId="2" state="visible" r:id="rId2"/>
    <sheet xmlns:r="http://schemas.openxmlformats.org/officeDocument/2006/relationships" name="00_Programa" sheetId="3" state="visible" r:id="rId3"/>
    <sheet xmlns:r="http://schemas.openxmlformats.org/officeDocument/2006/relationships" name="00_Fuentes" sheetId="4" state="visible" r:id="rId4"/>
    <sheet xmlns:r="http://schemas.openxmlformats.org/officeDocument/2006/relationships" name="01_Resumen" sheetId="5" state="visible" r:id="rId5"/>
    <sheet xmlns:r="http://schemas.openxmlformats.org/officeDocument/2006/relationships" name="02_Parametros" sheetId="6" state="visible" r:id="rId6"/>
    <sheet xmlns:r="http://schemas.openxmlformats.org/officeDocument/2006/relationships" name="03_Inventario" sheetId="7" state="visible" r:id="rId7"/>
    <sheet xmlns:r="http://schemas.openxmlformats.org/officeDocument/2006/relationships" name="04_Conteo" sheetId="8" state="visible" r:id="rId8"/>
    <sheet xmlns:r="http://schemas.openxmlformats.org/officeDocument/2006/relationships" name="05_Prueba_costo" sheetId="9" state="visible" r:id="rId9"/>
    <sheet xmlns:r="http://schemas.openxmlformats.org/officeDocument/2006/relationships" name="06_Conciliacion" sheetId="10" state="visible" r:id="rId10"/>
    <sheet xmlns:r="http://schemas.openxmlformats.org/officeDocument/2006/relationships" name="07_Costo_produccion" sheetId="11" state="visible" r:id="rId11"/>
    <sheet xmlns:r="http://schemas.openxmlformats.org/officeDocument/2006/relationships" name="08_Costo_ventas" sheetId="12" state="visible" r:id="rId12"/>
    <sheet xmlns:r="http://schemas.openxmlformats.org/officeDocument/2006/relationships" name="09_VNR" sheetId="13" state="visible" r:id="rId13"/>
    <sheet xmlns:r="http://schemas.openxmlformats.org/officeDocument/2006/relationships" name="10_Obsolescencia" sheetId="14" state="visible" r:id="rId14"/>
    <sheet xmlns:r="http://schemas.openxmlformats.org/officeDocument/2006/relationships" name="11_Excepcion_MP" sheetId="15" state="visible" r:id="rId15"/>
    <sheet xmlns:r="http://schemas.openxmlformats.org/officeDocument/2006/relationships" name="12_Corte" sheetId="16" state="visible" r:id="rId16"/>
    <sheet xmlns:r="http://schemas.openxmlformats.org/officeDocument/2006/relationships" name="13_Problemas" sheetId="17" state="visible" r:id="rId17"/>
    <sheet xmlns:r="http://schemas.openxmlformats.org/officeDocument/2006/relationships" name="13_Conclusion" sheetId="18" state="visible" r:id="rId18"/>
    <sheet xmlns:r="http://schemas.openxmlformats.org/officeDocument/2006/relationships" name="14_Control_Revision" sheetId="19" state="visible" r:id="rId19"/>
  </sheets>
  <definedNames>
    <definedName name="_xlnm.Print_Area" localSheetId="0">'00_Inicio'!$A$1:$L$76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dd/mm/yyyy"/>
  </numFmts>
  <fonts count="14">
    <font>
      <name val="Calibri"/>
      <family val="2"/>
      <color theme="1"/>
      <sz val="11"/>
      <scheme val="minor"/>
    </font>
    <font>
      <name val="Montserrat"/>
      <b val="1"/>
      <color rgb="00FFFFFF"/>
      <sz val="16"/>
    </font>
    <font>
      <name val="Montserrat"/>
      <b val="1"/>
      <color rgb="000A2342"/>
      <sz val="15"/>
    </font>
    <font>
      <name val="Montserrat"/>
      <b val="1"/>
      <color rgb="000D7377"/>
      <sz val="9"/>
    </font>
    <font>
      <name val="Calibri"/>
      <color rgb="001A1A1A"/>
      <sz val="9"/>
    </font>
    <font>
      <name val="Montserrat"/>
      <b val="1"/>
      <color rgb="00C7A83C"/>
      <sz val="10"/>
    </font>
    <font>
      <name val="Consolas"/>
      <b val="1"/>
      <color rgb="000A2342"/>
      <sz val="18"/>
    </font>
    <font>
      <name val="Consolas"/>
      <b val="1"/>
      <color rgb="00C0392B"/>
      <sz val="18"/>
    </font>
    <font>
      <name val="Montserrat"/>
      <b val="1"/>
      <color rgb="00FFFFFF"/>
      <sz val="10"/>
    </font>
    <font>
      <name val="Calibri"/>
      <i val="1"/>
      <color rgb="006B7280"/>
      <sz val="8"/>
    </font>
    <font>
      <name val="Calibri"/>
      <color rgb="008A94A6"/>
      <sz val="8"/>
    </font>
    <font>
      <name val="Montserrat"/>
      <b val="1"/>
      <color rgb="000A2342"/>
      <sz val="9"/>
    </font>
    <font>
      <name val="Consolas"/>
      <color rgb="001A1A1A"/>
      <sz val="9"/>
    </font>
    <font>
      <name val="Consolas"/>
      <b val="1"/>
      <color rgb="000A2342"/>
      <sz val="10"/>
    </font>
  </fonts>
  <fills count="8">
    <fill>
      <patternFill/>
    </fill>
    <fill>
      <patternFill patternType="gray125"/>
    </fill>
    <fill>
      <patternFill patternType="solid">
        <fgColor rgb="000A2342"/>
      </patternFill>
    </fill>
    <fill>
      <patternFill patternType="solid">
        <fgColor rgb="00F4F6F9"/>
      </patternFill>
    </fill>
    <fill>
      <patternFill patternType="solid">
        <fgColor rgb="000D7377"/>
      </patternFill>
    </fill>
    <fill>
      <patternFill patternType="solid">
        <fgColor rgb="00DCE6F1"/>
      </patternFill>
    </fill>
    <fill>
      <patternFill patternType="solid">
        <fgColor rgb="00F7F9FC"/>
      </patternFill>
    </fill>
    <fill>
      <patternFill patternType="solid">
        <fgColor rgb="00C7A83C"/>
      </patternFill>
    </fill>
  </fills>
  <borders count="5">
    <border>
      <left/>
      <right/>
      <top/>
      <bottom/>
      <diagonal/>
    </border>
    <border>
      <left style="thin">
        <color rgb="00B7C0CC"/>
      </left>
      <right style="thin">
        <color rgb="00B7C0CC"/>
      </right>
      <top style="thin">
        <color rgb="00B7C0CC"/>
      </top>
      <bottom style="thin">
        <color rgb="00B7C0CC"/>
      </bottom>
    </border>
    <border>
      <bottom style="medium">
        <color rgb="00C7A83C"/>
      </bottom>
    </border>
    <border>
      <bottom style="thin">
        <color rgb="00E3E8EF"/>
      </bottom>
    </border>
    <border>
      <left style="thin">
        <color rgb="00B7C0CC"/>
      </left>
      <right style="thin">
        <color rgb="00B7C0CC"/>
      </right>
      <top style="double">
        <color rgb="000A2342"/>
      </top>
      <bottom style="double">
        <color rgb="000A2342"/>
      </bottom>
    </border>
  </borders>
  <cellStyleXfs count="1">
    <xf numFmtId="0" fontId="0" fillId="0" borderId="0"/>
  </cellStyleXfs>
  <cellXfs count="40">
    <xf numFmtId="0" fontId="0" fillId="0" borderId="0" pivotButton="0" quotePrefix="0" xfId="0"/>
    <xf numFmtId="0" fontId="1" fillId="2" borderId="0" applyAlignment="1" pivotButton="0" quotePrefix="0" xfId="0">
      <alignment horizontal="left" vertical="center" indent="1"/>
    </xf>
    <xf numFmtId="0" fontId="0" fillId="2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0" borderId="0" pivotButton="0" quotePrefix="0" xfId="0"/>
    <xf numFmtId="0" fontId="3" fillId="3" borderId="1" applyAlignment="1" pivotButton="0" quotePrefix="0" xfId="0">
      <alignment vertical="bottom" wrapText="1"/>
    </xf>
    <xf numFmtId="4" fontId="6" fillId="3" borderId="1" pivotButton="0" quotePrefix="0" xfId="0"/>
    <xf numFmtId="3" fontId="7" fillId="3" borderId="1" pivotButton="0" quotePrefix="0" xfId="0"/>
    <xf numFmtId="0" fontId="8" fillId="4" borderId="1" applyAlignment="1" pivotButton="0" quotePrefix="0" xfId="0">
      <alignment horizontal="center" vertical="center" wrapText="1"/>
    </xf>
    <xf numFmtId="0" fontId="9" fillId="0" borderId="0" pivotButton="0" quotePrefix="0" xfId="0"/>
    <xf numFmtId="0" fontId="10" fillId="0" borderId="0" pivotButton="0" quotePrefix="0" xfId="0"/>
    <xf numFmtId="4" fontId="10" fillId="0" borderId="0" pivotButton="0" quotePrefix="0" xfId="0"/>
    <xf numFmtId="0" fontId="11" fillId="5" borderId="1" applyAlignment="1" pivotButton="0" quotePrefix="0" xfId="0">
      <alignment horizontal="center" vertical="center" wrapText="1"/>
    </xf>
    <xf numFmtId="0" fontId="5" fillId="0" borderId="2" pivotButton="0" quotePrefix="0" xfId="0"/>
    <xf numFmtId="0" fontId="0" fillId="0" borderId="2" pivotButton="0" quotePrefix="0" xfId="0"/>
    <xf numFmtId="0" fontId="8" fillId="2" borderId="2" applyAlignment="1" pivotButton="0" quotePrefix="0" xfId="0">
      <alignment horizontal="center" vertical="center" wrapText="1"/>
    </xf>
    <xf numFmtId="0" fontId="4" fillId="0" borderId="3" applyAlignment="1" pivotButton="0" quotePrefix="0" xfId="0">
      <alignment horizontal="left" vertical="top" wrapText="1"/>
    </xf>
    <xf numFmtId="0" fontId="4" fillId="6" borderId="3" applyAlignment="1" pivotButton="0" quotePrefix="0" xfId="0">
      <alignment horizontal="left" vertical="top" wrapText="1"/>
    </xf>
    <xf numFmtId="4" fontId="12" fillId="0" borderId="3" applyAlignment="1" pivotButton="0" quotePrefix="0" xfId="0">
      <alignment horizontal="right" vertical="center"/>
    </xf>
    <xf numFmtId="4" fontId="12" fillId="6" borderId="3" applyAlignment="1" pivotButton="0" quotePrefix="0" xfId="0">
      <alignment horizontal="right" vertical="center"/>
    </xf>
    <xf numFmtId="0" fontId="5" fillId="7" borderId="0" applyAlignment="1" pivotButton="0" quotePrefix="0" xfId="0">
      <alignment horizontal="left" vertical="top" wrapText="1"/>
    </xf>
    <xf numFmtId="0" fontId="8" fillId="2" borderId="1" applyAlignment="1" pivotButton="0" quotePrefix="0" xfId="0">
      <alignment horizontal="center" vertical="center" wrapText="1"/>
    </xf>
    <xf numFmtId="0" fontId="4" fillId="3" borderId="1" applyAlignment="1" pivotButton="0" quotePrefix="0" xfId="0">
      <alignment horizontal="left" vertical="top" wrapText="1"/>
    </xf>
    <xf numFmtId="0" fontId="12" fillId="3" borderId="1" applyAlignment="1" pivotButton="0" quotePrefix="0" xfId="0">
      <alignment horizontal="left" vertical="top" wrapText="1"/>
    </xf>
    <xf numFmtId="165" fontId="4" fillId="0" borderId="3" applyAlignment="1" pivotButton="0" quotePrefix="0" xfId="0">
      <alignment horizontal="center" vertical="center" wrapText="1"/>
    </xf>
    <xf numFmtId="0" fontId="12" fillId="0" borderId="3" applyAlignment="1" pivotButton="0" quotePrefix="0" xfId="0">
      <alignment horizontal="right" vertical="center"/>
    </xf>
    <xf numFmtId="0" fontId="12" fillId="6" borderId="3" applyAlignment="1" pivotButton="0" quotePrefix="0" xfId="0">
      <alignment horizontal="right" vertical="center"/>
    </xf>
    <xf numFmtId="165" fontId="12" fillId="0" borderId="3" applyAlignment="1" pivotButton="0" quotePrefix="0" xfId="0">
      <alignment horizontal="center" vertical="center" wrapText="1"/>
    </xf>
    <xf numFmtId="165" fontId="12" fillId="6" borderId="3" applyAlignment="1" pivotButton="0" quotePrefix="0" xfId="0">
      <alignment horizontal="center" vertical="center" wrapText="1"/>
    </xf>
    <xf numFmtId="0" fontId="13" fillId="5" borderId="4" applyAlignment="1" pivotButton="0" quotePrefix="0" xfId="0">
      <alignment horizontal="left" vertical="top" wrapText="1"/>
    </xf>
    <xf numFmtId="4" fontId="13" fillId="5" borderId="4" applyAlignment="1" pivotButton="0" quotePrefix="0" xfId="0">
      <alignment horizontal="right" vertical="center"/>
    </xf>
    <xf numFmtId="165" fontId="13" fillId="5" borderId="4" applyAlignment="1" pivotButton="0" quotePrefix="0" xfId="0">
      <alignment horizontal="right" vertical="center"/>
    </xf>
    <xf numFmtId="3" fontId="12" fillId="0" borderId="3" applyAlignment="1" pivotButton="0" quotePrefix="0" xfId="0">
      <alignment horizontal="right" vertical="center"/>
    </xf>
    <xf numFmtId="10" fontId="12" fillId="0" borderId="3" applyAlignment="1" pivotButton="0" quotePrefix="0" xfId="0">
      <alignment horizontal="right" vertical="center"/>
    </xf>
    <xf numFmtId="3" fontId="12" fillId="6" borderId="3" applyAlignment="1" pivotButton="0" quotePrefix="0" xfId="0">
      <alignment horizontal="right" vertical="center"/>
    </xf>
    <xf numFmtId="10" fontId="12" fillId="6" borderId="3" applyAlignment="1" pivotButton="0" quotePrefix="0" xfId="0">
      <alignment horizontal="right" vertical="center"/>
    </xf>
    <xf numFmtId="3" fontId="13" fillId="5" borderId="4" applyAlignment="1" pivotButton="0" quotePrefix="0" xfId="0">
      <alignment horizontal="right" vertical="center"/>
    </xf>
    <xf numFmtId="10" fontId="13" fillId="5" borderId="4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styles" Target="styles.xml" Id="rId20"/><Relationship Type="http://schemas.openxmlformats.org/officeDocument/2006/relationships/theme" Target="theme/theme1.xml" Id="rId21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Cifras del resumen (USD)</a:t>
            </a:r>
          </a:p>
        </rich>
      </tx>
    </title>
    <plotArea>
      <barChart>
        <barDir val="bar"/>
        <grouping val="clustered"/>
        <ser>
          <idx val="0"/>
          <order val="0"/>
          <tx>
            <strRef>
              <f>'00_Inicio'!O23</f>
            </strRef>
          </tx>
          <spPr>
            <a:solidFill xmlns:a="http://schemas.openxmlformats.org/drawingml/2006/main">
              <a:srgbClr val="0093A3"/>
            </a:solidFill>
            <a:ln xmlns:a="http://schemas.openxmlformats.org/drawingml/2006/main">
              <a:noFill/>
              <a:prstDash val="solid"/>
            </a:ln>
          </spPr>
          <invertIfNegative val="0"/>
          <cat>
            <numRef>
              <f>'00_Inicio'!$N$24:$N$41</f>
            </numRef>
          </cat>
          <val>
            <numRef>
              <f>'00_Inicio'!$O$24:$O$41</f>
            </numRef>
          </val>
        </ser>
        <dLbls>
          <numFmt formatCode="#,##0.00"/>
          <showLegendKey val="0"/>
          <showVal val="1"/>
          <showCatName val="0"/>
          <showSerName val="0"/>
          <showPercent val="0"/>
        </dLbls>
        <gapWidth val="60"/>
        <axId val="10"/>
        <axId val="100"/>
      </barChart>
      <catAx>
        <axId val="10"/>
        <scaling>
          <orientation val="maxMin"/>
        </scaling>
        <delete val="0"/>
        <axPos val="l"/>
        <majorTickMark val="none"/>
        <minorTickMark val="none"/>
        <tickLblPos val="low"/>
        <crossAx val="100"/>
        <lblOffset val="100"/>
      </catAx>
      <valAx>
        <axId val="100"/>
        <scaling>
          <orientation val="minMax"/>
        </scaling>
        <delete val="0"/>
        <axPos val="l"/>
        <numFmt formatCode="#,##0" sourceLinked="0"/>
        <majorTickMark val="none"/>
        <minorTickMark val="none"/>
        <crossAx val="10"/>
      </valAx>
    </plotArea>
    <plotVisOnly val="1"/>
    <dispBlanksAs val="gap"/>
  </chart>
</chartSpace>
</file>

<file path=xl/charts/chart2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Hallazgos de mayor impacto (USD)</a:t>
            </a:r>
          </a:p>
        </rich>
      </tx>
    </title>
    <plotArea>
      <barChart>
        <barDir val="bar"/>
        <grouping val="clustered"/>
        <ser>
          <idx val="0"/>
          <order val="0"/>
          <tx>
            <strRef>
              <f>'00_Inicio'!O43</f>
            </strRef>
          </tx>
          <spPr>
            <a:solidFill xmlns:a="http://schemas.openxmlformats.org/drawingml/2006/main">
              <a:srgbClr val="0093A3"/>
            </a:solidFill>
            <a:ln xmlns:a="http://schemas.openxmlformats.org/drawingml/2006/main">
              <a:noFill/>
              <a:prstDash val="solid"/>
            </a:ln>
          </spPr>
          <invertIfNegative val="0"/>
          <cat>
            <numRef>
              <f>'00_Inicio'!$N$44:$N$51</f>
            </numRef>
          </cat>
          <val>
            <numRef>
              <f>'00_Inicio'!$O$44:$O$51</f>
            </numRef>
          </val>
        </ser>
        <dLbls>
          <numFmt formatCode="#,##0.00"/>
          <showLegendKey val="0"/>
          <showVal val="1"/>
          <showCatName val="0"/>
          <showSerName val="0"/>
          <showPercent val="0"/>
        </dLbls>
        <gapWidth val="60"/>
        <axId val="10"/>
        <axId val="100"/>
      </barChart>
      <catAx>
        <axId val="10"/>
        <scaling>
          <orientation val="maxMin"/>
        </scaling>
        <delete val="0"/>
        <axPos val="l"/>
        <majorTickMark val="none"/>
        <minorTickMark val="none"/>
        <tickLblPos val="low"/>
        <crossAx val="100"/>
        <lblOffset val="100"/>
      </catAx>
      <valAx>
        <axId val="100"/>
        <scaling>
          <orientation val="minMax"/>
        </scaling>
        <delete val="0"/>
        <axPos val="l"/>
        <numFmt formatCode="#,##0" sourceLinked="0"/>
        <majorTickMark val="none"/>
        <minorTickMark val="none"/>
        <crossAx val="10"/>
      </valAx>
    </plotArea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Relationship Type="http://schemas.openxmlformats.org/officeDocument/2006/relationships/chart" Target="/xl/charts/chart2.xml" Id="rId2"/></Relationships>
</file>

<file path=xl/drawings/drawing1.xml><?xml version="1.0" encoding="utf-8"?>
<wsDr xmlns="http://schemas.openxmlformats.org/drawingml/2006/spreadsheetDrawing">
  <oneCellAnchor>
    <from>
      <col>1</col>
      <colOff>0</colOff>
      <row>23</row>
      <rowOff>0</rowOff>
    </from>
    <ext cx="7740000" cy="57456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1</col>
      <colOff>0</colOff>
      <row>56</row>
      <rowOff>0</rowOff>
    </from>
    <ext cx="7740000" cy="31536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#'00_Caratula'!A1" TargetMode="External" Id="rId1"/><Relationship Type="http://schemas.openxmlformats.org/officeDocument/2006/relationships/hyperlink" Target="#'00_Programa'!A1" TargetMode="External" Id="rId2"/><Relationship Type="http://schemas.openxmlformats.org/officeDocument/2006/relationships/hyperlink" Target="#'00_Fuentes'!A1" TargetMode="External" Id="rId3"/><Relationship Type="http://schemas.openxmlformats.org/officeDocument/2006/relationships/hyperlink" Target="#'01_Resumen'!A1" TargetMode="External" Id="rId4"/><Relationship Type="http://schemas.openxmlformats.org/officeDocument/2006/relationships/hyperlink" Target="#'02_Parametros'!A1" TargetMode="External" Id="rId5"/><Relationship Type="http://schemas.openxmlformats.org/officeDocument/2006/relationships/hyperlink" Target="#'03_Inventario'!A1" TargetMode="External" Id="rId6"/><Relationship Type="http://schemas.openxmlformats.org/officeDocument/2006/relationships/hyperlink" Target="#'04_Conteo'!A1" TargetMode="External" Id="rId7"/><Relationship Type="http://schemas.openxmlformats.org/officeDocument/2006/relationships/hyperlink" Target="#'05_Prueba_costo'!A1" TargetMode="External" Id="rId8"/><Relationship Type="http://schemas.openxmlformats.org/officeDocument/2006/relationships/hyperlink" Target="#'06_Conciliacion'!A1" TargetMode="External" Id="rId9"/><Relationship Type="http://schemas.openxmlformats.org/officeDocument/2006/relationships/hyperlink" Target="#'07_Costo_produccion'!A1" TargetMode="External" Id="rId10"/><Relationship Type="http://schemas.openxmlformats.org/officeDocument/2006/relationships/hyperlink" Target="#'08_Costo_ventas'!A1" TargetMode="External" Id="rId11"/><Relationship Type="http://schemas.openxmlformats.org/officeDocument/2006/relationships/hyperlink" Target="#'09_VNR'!A1" TargetMode="External" Id="rId12"/><Relationship Type="http://schemas.openxmlformats.org/officeDocument/2006/relationships/hyperlink" Target="#'10_Obsolescencia'!A1" TargetMode="External" Id="rId13"/><Relationship Type="http://schemas.openxmlformats.org/officeDocument/2006/relationships/hyperlink" Target="#'11_Excepcion_MP'!A1" TargetMode="External" Id="rId14"/><Relationship Type="http://schemas.openxmlformats.org/officeDocument/2006/relationships/hyperlink" Target="#'12_Corte'!A1" TargetMode="External" Id="rId15"/><Relationship Type="http://schemas.openxmlformats.org/officeDocument/2006/relationships/hyperlink" Target="#'13_Problemas'!A1" TargetMode="External" Id="rId16"/><Relationship Type="http://schemas.openxmlformats.org/officeDocument/2006/relationships/hyperlink" Target="#'13_Conclusion'!A1" TargetMode="External" Id="rId17"/><Relationship Type="http://schemas.openxmlformats.org/officeDocument/2006/relationships/hyperlink" Target="#'14_Control_Revision'!A1" TargetMode="External" Id="rId18"/><Relationship Type="http://schemas.openxmlformats.org/officeDocument/2006/relationships/drawing" Target="/xl/drawings/drawing1.xml" Id="rId19"/></Relationships>
</file>

<file path=xl/worksheets/_rels/sheet2.xml.rels><Relationships xmlns="http://schemas.openxmlformats.org/package/2006/relationships"><Relationship Type="http://schemas.openxmlformats.org/officeDocument/2006/relationships/hyperlink" Target="#'00_Inicio'!A1" TargetMode="External" Id="rId1"/><Relationship Type="http://schemas.openxmlformats.org/officeDocument/2006/relationships/hyperlink" Target="#'00_Programa'!A1" TargetMode="External" Id="rId2"/></Relationships>
</file>

<file path=xl/worksheets/_rels/sheet3.xml.rels><Relationships xmlns="http://schemas.openxmlformats.org/package/2006/relationships"><Relationship Type="http://schemas.openxmlformats.org/officeDocument/2006/relationships/hyperlink" Target="#'00_Inicio'!A1" TargetMode="External" Id="rId1"/><Relationship Type="http://schemas.openxmlformats.org/officeDocument/2006/relationships/hyperlink" Target="#'00_Caratula'!A1" TargetMode="External" Id="rId2"/><Relationship Type="http://schemas.openxmlformats.org/officeDocument/2006/relationships/hyperlink" Target="#'00_Fuentes'!A1" TargetMode="External" Id="rId3"/></Relationships>
</file>

<file path=xl/worksheets/_rels/sheet4.xml.rels><Relationships xmlns="http://schemas.openxmlformats.org/package/2006/relationships"><Relationship Type="http://schemas.openxmlformats.org/officeDocument/2006/relationships/hyperlink" Target="#'00_Inicio'!A1" TargetMode="External" Id="rId1"/><Relationship Type="http://schemas.openxmlformats.org/officeDocument/2006/relationships/hyperlink" Target="#'00_Programa'!A1" TargetMode="External" Id="rId2"/><Relationship Type="http://schemas.openxmlformats.org/officeDocument/2006/relationships/hyperlink" Target="#'01_Resumen'!A1" TargetMode="External" Id="rId3"/></Relationships>
</file>

<file path=xl/worksheets/_rels/sheet5.xml.rels><Relationships xmlns="http://schemas.openxmlformats.org/package/2006/relationships"><Relationship Type="http://schemas.openxmlformats.org/officeDocument/2006/relationships/hyperlink" Target="#'00_Inicio'!A1" TargetMode="External" Id="rId1"/><Relationship Type="http://schemas.openxmlformats.org/officeDocument/2006/relationships/hyperlink" Target="#'00_Fuentes'!A1" TargetMode="External" Id="rId2"/><Relationship Type="http://schemas.openxmlformats.org/officeDocument/2006/relationships/hyperlink" Target="#'02_Parametros'!A1" TargetMode="External" Id="rId3"/></Relationships>
</file>

<file path=xl/worksheets/_rels/sheet6.xml.rels><Relationships xmlns="http://schemas.openxmlformats.org/package/2006/relationships"><Relationship Type="http://schemas.openxmlformats.org/officeDocument/2006/relationships/hyperlink" Target="#'00_Inicio'!A1" TargetMode="External" Id="rId1"/><Relationship Type="http://schemas.openxmlformats.org/officeDocument/2006/relationships/hyperlink" Target="#'01_Resumen'!A1" TargetMode="External" Id="rId2"/><Relationship Type="http://schemas.openxmlformats.org/officeDocument/2006/relationships/hyperlink" Target="#'03_Inventario'!A1" TargetMode="External" Id="rId3"/></Relationships>
</file>

<file path=xl/worksheets/_rels/sheet7.xml.rels><Relationships xmlns="http://schemas.openxmlformats.org/package/2006/relationships"><Relationship Type="http://schemas.openxmlformats.org/officeDocument/2006/relationships/hyperlink" Target="#'00_Inicio'!A1" TargetMode="External" Id="rId1"/><Relationship Type="http://schemas.openxmlformats.org/officeDocument/2006/relationships/hyperlink" Target="#'02_Parametros'!A1" TargetMode="External" Id="rId2"/><Relationship Type="http://schemas.openxmlformats.org/officeDocument/2006/relationships/hyperlink" Target="#'04_Conteo'!A1" TargetMode="External" Id="rId3"/></Relationships>
</file>

<file path=xl/worksheets/_rels/sheet8.xml.rels><Relationships xmlns="http://schemas.openxmlformats.org/package/2006/relationships"><Relationship Type="http://schemas.openxmlformats.org/officeDocument/2006/relationships/hyperlink" Target="#'00_Inicio'!A1" TargetMode="External" Id="rId1"/><Relationship Type="http://schemas.openxmlformats.org/officeDocument/2006/relationships/hyperlink" Target="#'03_Inventario'!A1" TargetMode="External" Id="rId2"/><Relationship Type="http://schemas.openxmlformats.org/officeDocument/2006/relationships/hyperlink" Target="#'05_Prueba_costo'!A1" TargetMode="External" Id="rId3"/></Relationships>
</file>

<file path=xl/worksheets/_rels/sheet9.xml.rels><Relationships xmlns="http://schemas.openxmlformats.org/package/2006/relationships"><Relationship Type="http://schemas.openxmlformats.org/officeDocument/2006/relationships/hyperlink" Target="#'00_Inicio'!A1" TargetMode="External" Id="rId1"/><Relationship Type="http://schemas.openxmlformats.org/officeDocument/2006/relationships/hyperlink" Target="#'04_Conteo'!A1" TargetMode="External" Id="rId2"/><Relationship Type="http://schemas.openxmlformats.org/officeDocument/2006/relationships/hyperlink" Target="#'06_Conciliacion'!A1" TargetMode="External" Id="rId3"/></Relationships>
</file>

<file path=xl/worksheets/_rels/sheet10.xml.rels><Relationships xmlns="http://schemas.openxmlformats.org/package/2006/relationships"><Relationship Type="http://schemas.openxmlformats.org/officeDocument/2006/relationships/hyperlink" Target="#'00_Inicio'!A1" TargetMode="External" Id="rId1"/><Relationship Type="http://schemas.openxmlformats.org/officeDocument/2006/relationships/hyperlink" Target="#'05_Prueba_costo'!A1" TargetMode="External" Id="rId2"/><Relationship Type="http://schemas.openxmlformats.org/officeDocument/2006/relationships/hyperlink" Target="#'07_Costo_produccion'!A1" TargetMode="External" Id="rId3"/></Relationships>
</file>

<file path=xl/worksheets/_rels/sheet11.xml.rels><Relationships xmlns="http://schemas.openxmlformats.org/package/2006/relationships"><Relationship Type="http://schemas.openxmlformats.org/officeDocument/2006/relationships/hyperlink" Target="#'00_Inicio'!A1" TargetMode="External" Id="rId1"/><Relationship Type="http://schemas.openxmlformats.org/officeDocument/2006/relationships/hyperlink" Target="#'06_Conciliacion'!A1" TargetMode="External" Id="rId2"/><Relationship Type="http://schemas.openxmlformats.org/officeDocument/2006/relationships/hyperlink" Target="#'08_Costo_ventas'!A1" TargetMode="External" Id="rId3"/></Relationships>
</file>

<file path=xl/worksheets/_rels/sheet12.xml.rels><Relationships xmlns="http://schemas.openxmlformats.org/package/2006/relationships"><Relationship Type="http://schemas.openxmlformats.org/officeDocument/2006/relationships/hyperlink" Target="#'00_Inicio'!A1" TargetMode="External" Id="rId1"/><Relationship Type="http://schemas.openxmlformats.org/officeDocument/2006/relationships/hyperlink" Target="#'07_Costo_produccion'!A1" TargetMode="External" Id="rId2"/><Relationship Type="http://schemas.openxmlformats.org/officeDocument/2006/relationships/hyperlink" Target="#'09_VNR'!A1" TargetMode="External" Id="rId3"/></Relationships>
</file>

<file path=xl/worksheets/_rels/sheet13.xml.rels><Relationships xmlns="http://schemas.openxmlformats.org/package/2006/relationships"><Relationship Type="http://schemas.openxmlformats.org/officeDocument/2006/relationships/hyperlink" Target="#'00_Inicio'!A1" TargetMode="External" Id="rId1"/><Relationship Type="http://schemas.openxmlformats.org/officeDocument/2006/relationships/hyperlink" Target="#'08_Costo_ventas'!A1" TargetMode="External" Id="rId2"/><Relationship Type="http://schemas.openxmlformats.org/officeDocument/2006/relationships/hyperlink" Target="#'10_Obsolescencia'!A1" TargetMode="External" Id="rId3"/></Relationships>
</file>

<file path=xl/worksheets/_rels/sheet14.xml.rels><Relationships xmlns="http://schemas.openxmlformats.org/package/2006/relationships"><Relationship Type="http://schemas.openxmlformats.org/officeDocument/2006/relationships/hyperlink" Target="#'00_Inicio'!A1" TargetMode="External" Id="rId1"/><Relationship Type="http://schemas.openxmlformats.org/officeDocument/2006/relationships/hyperlink" Target="#'09_VNR'!A1" TargetMode="External" Id="rId2"/><Relationship Type="http://schemas.openxmlformats.org/officeDocument/2006/relationships/hyperlink" Target="#'11_Excepcion_MP'!A1" TargetMode="External" Id="rId3"/></Relationships>
</file>

<file path=xl/worksheets/_rels/sheet15.xml.rels><Relationships xmlns="http://schemas.openxmlformats.org/package/2006/relationships"><Relationship Type="http://schemas.openxmlformats.org/officeDocument/2006/relationships/hyperlink" Target="#'00_Inicio'!A1" TargetMode="External" Id="rId1"/><Relationship Type="http://schemas.openxmlformats.org/officeDocument/2006/relationships/hyperlink" Target="#'10_Obsolescencia'!A1" TargetMode="External" Id="rId2"/><Relationship Type="http://schemas.openxmlformats.org/officeDocument/2006/relationships/hyperlink" Target="#'12_Corte'!A1" TargetMode="External" Id="rId3"/></Relationships>
</file>

<file path=xl/worksheets/_rels/sheet16.xml.rels><Relationships xmlns="http://schemas.openxmlformats.org/package/2006/relationships"><Relationship Type="http://schemas.openxmlformats.org/officeDocument/2006/relationships/hyperlink" Target="#'00_Inicio'!A1" TargetMode="External" Id="rId1"/><Relationship Type="http://schemas.openxmlformats.org/officeDocument/2006/relationships/hyperlink" Target="#'11_Excepcion_MP'!A1" TargetMode="External" Id="rId2"/><Relationship Type="http://schemas.openxmlformats.org/officeDocument/2006/relationships/hyperlink" Target="#'13_Problemas'!A1" TargetMode="External" Id="rId3"/></Relationships>
</file>

<file path=xl/worksheets/_rels/sheet17.xml.rels><Relationships xmlns="http://schemas.openxmlformats.org/package/2006/relationships"><Relationship Type="http://schemas.openxmlformats.org/officeDocument/2006/relationships/hyperlink" Target="#'00_Inicio'!A1" TargetMode="External" Id="rId1"/><Relationship Type="http://schemas.openxmlformats.org/officeDocument/2006/relationships/hyperlink" Target="#'12_Corte'!A1" TargetMode="External" Id="rId2"/><Relationship Type="http://schemas.openxmlformats.org/officeDocument/2006/relationships/hyperlink" Target="#'13_Conclusion'!A1" TargetMode="External" Id="rId3"/></Relationships>
</file>

<file path=xl/worksheets/_rels/sheet18.xml.rels><Relationships xmlns="http://schemas.openxmlformats.org/package/2006/relationships"><Relationship Type="http://schemas.openxmlformats.org/officeDocument/2006/relationships/hyperlink" Target="#'00_Inicio'!A1" TargetMode="External" Id="rId1"/><Relationship Type="http://schemas.openxmlformats.org/officeDocument/2006/relationships/hyperlink" Target="#'13_Problemas'!A1" TargetMode="External" Id="rId2"/><Relationship Type="http://schemas.openxmlformats.org/officeDocument/2006/relationships/hyperlink" Target="#'14_Control_Revision'!A1" TargetMode="External" Id="rId3"/></Relationships>
</file>

<file path=xl/worksheets/_rels/sheet19.xml.rels><Relationships xmlns="http://schemas.openxmlformats.org/package/2006/relationships"><Relationship Type="http://schemas.openxmlformats.org/officeDocument/2006/relationships/hyperlink" Target="#'00_Inicio'!A1" TargetMode="External" Id="rId1"/><Relationship Type="http://schemas.openxmlformats.org/officeDocument/2006/relationships/hyperlink" Target="#'13_Conclusion'!A1" TargetMode="External" Id="rId2"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B2:O51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27" customWidth="1" min="2" max="2"/>
    <col width="27" customWidth="1" min="3" max="3"/>
    <col width="27" customWidth="1" min="4" max="4"/>
    <col width="27" customWidth="1" min="5" max="5"/>
    <col width="27" customWidth="1" min="6" max="6"/>
    <col width="34" customWidth="1" min="14" max="14"/>
    <col width="16" customWidth="1" min="15" max="15"/>
  </cols>
  <sheetData>
    <row r="2">
      <c r="B2" s="1" t="inlineStr">
        <is>
          <t>AuditConsulting Auditores Cía. Ltda.  ·  AUDIT-IA</t>
        </is>
      </c>
      <c r="C2" s="2" t="n"/>
      <c r="D2" s="2" t="n"/>
      <c r="E2" s="2" t="n"/>
      <c r="F2" s="2" t="n"/>
    </row>
    <row r="3">
      <c r="B3" s="2" t="n"/>
      <c r="C3" s="2" t="n"/>
      <c r="D3" s="2" t="n"/>
      <c r="E3" s="2" t="n"/>
      <c r="F3" s="2" t="n"/>
    </row>
    <row r="4">
      <c r="B4" s="3" t="inlineStr">
        <is>
          <t>Inventarios, producción y costo de ventas</t>
        </is>
      </c>
    </row>
    <row r="6">
      <c r="B6" s="4" t="inlineStr">
        <is>
          <t>Cliente</t>
        </is>
      </c>
      <c r="C6" s="5" t="inlineStr">
        <is>
          <t>Cliente de muestra S.A.</t>
        </is>
      </c>
      <c r="D6" s="4" t="inlineStr">
        <is>
          <t>RUC</t>
        </is>
      </c>
      <c r="E6" s="5" t="inlineStr">
        <is>
          <t>1790000000001</t>
        </is>
      </c>
    </row>
    <row r="7">
      <c r="B7" s="4" t="inlineStr">
        <is>
          <t>Marco contable</t>
        </is>
      </c>
      <c r="C7" s="5" t="inlineStr">
        <is>
          <t>NIIF completas</t>
        </is>
      </c>
      <c r="D7" s="4" t="inlineStr">
        <is>
          <t>Fecha de corte</t>
        </is>
      </c>
      <c r="E7" s="5" t="inlineStr">
        <is>
          <t>2025-12-31</t>
        </is>
      </c>
    </row>
    <row r="8">
      <c r="B8" s="4" t="inlineStr">
        <is>
          <t>Preparó</t>
        </is>
      </c>
      <c r="C8" s="5" t="inlineStr">
        <is>
          <t>Ejercicio modelo</t>
        </is>
      </c>
      <c r="D8" s="4" t="inlineStr">
        <is>
          <t>Revisó</t>
        </is>
      </c>
      <c r="E8" s="5" t="inlineStr">
        <is>
          <t>Pendiente</t>
        </is>
      </c>
    </row>
    <row r="10">
      <c r="B10" s="6" t="inlineStr">
        <is>
          <t>INDICADORES CLAVE</t>
        </is>
      </c>
    </row>
    <row r="11" ht="30" customHeight="1">
      <c r="B11" s="7" t="inlineStr">
        <is>
          <t>Ajuste propuesto (neto)</t>
        </is>
      </c>
      <c r="C11" s="7" t="inlineStr">
        <is>
          <t>Problemas encontrados</t>
        </is>
      </c>
    </row>
    <row r="12">
      <c r="B12" s="8" t="n">
        <v>-3459</v>
      </c>
      <c r="C12" s="9" t="n">
        <v>19</v>
      </c>
    </row>
    <row r="15">
      <c r="B15" s="6" t="inlineStr">
        <is>
          <t>IR A LA CÉDULA</t>
        </is>
      </c>
    </row>
    <row r="16" ht="32" customHeight="1">
      <c r="B16" s="10" t="inlineStr">
        <is>
          <t>Carátula</t>
        </is>
      </c>
      <c r="C16" s="10" t="inlineStr">
        <is>
          <t>Programa</t>
        </is>
      </c>
      <c r="D16" s="10" t="inlineStr">
        <is>
          <t>Base técnica</t>
        </is>
      </c>
      <c r="E16" s="10" t="inlineStr">
        <is>
          <t>Resumen y ajuste propuesto</t>
        </is>
      </c>
    </row>
    <row r="17" ht="32" customHeight="1">
      <c r="B17" s="10" t="inlineStr">
        <is>
          <t>Parámetros</t>
        </is>
      </c>
      <c r="C17" s="10" t="inlineStr">
        <is>
          <t>Inventario valorado por ítem</t>
        </is>
      </c>
      <c r="D17" s="10" t="inlineStr">
        <is>
          <t>Existencia: conteo vs kardex</t>
        </is>
      </c>
      <c r="E17" s="10" t="inlineStr">
        <is>
          <t>Prueba de costo</t>
        </is>
      </c>
    </row>
    <row r="18" ht="32" customHeight="1">
      <c r="B18" s="10" t="inlineStr">
        <is>
          <t>Conciliación kardex–mayor</t>
        </is>
      </c>
      <c r="C18" s="10" t="inlineStr">
        <is>
          <t>Costo de producción</t>
        </is>
      </c>
      <c r="D18" s="10" t="inlineStr">
        <is>
          <t>Costo de ventas</t>
        </is>
      </c>
      <c r="E18" s="10" t="inlineStr">
        <is>
          <t>Valor realizable neto</t>
        </is>
      </c>
    </row>
    <row r="19" ht="32" customHeight="1">
      <c r="B19" s="10" t="inlineStr">
        <is>
          <t>Obsolescencia y lenta rotación</t>
        </is>
      </c>
      <c r="C19" s="10" t="inlineStr">
        <is>
          <t>Materias primas: excepción de NIC 2.32</t>
        </is>
      </c>
      <c r="D19" s="10" t="inlineStr">
        <is>
          <t>Prueba de corte</t>
        </is>
      </c>
      <c r="E19" s="10" t="inlineStr">
        <is>
          <t>Problemas encontrados</t>
        </is>
      </c>
    </row>
    <row r="20" ht="32" customHeight="1">
      <c r="B20" s="10" t="inlineStr">
        <is>
          <t>Conclusión</t>
        </is>
      </c>
      <c r="C20" s="10" t="inlineStr">
        <is>
          <t>Control de revisión</t>
        </is>
      </c>
    </row>
    <row r="22">
      <c r="B22" s="6" t="inlineStr">
        <is>
          <t>PANORAMA</t>
        </is>
      </c>
      <c r="N22" s="11" t="inlineStr">
        <is>
          <t>Datos de los gráficos (fórmulas a las cédulas)</t>
        </is>
      </c>
    </row>
    <row r="23">
      <c r="N23" s="12" t="inlineStr">
        <is>
          <t>Cifras del resumen</t>
        </is>
      </c>
      <c r="O23" s="12" t="inlineStr">
        <is>
          <t>Importe (USD)</t>
        </is>
      </c>
    </row>
    <row r="24">
      <c r="N24" s="12">
        <f>'01_Resumen'!A5</f>
        <v/>
      </c>
      <c r="O24" s="13">
        <f>'01_Resumen'!B5</f>
        <v/>
      </c>
    </row>
    <row r="25">
      <c r="N25" s="12">
        <f>'01_Resumen'!A6</f>
        <v/>
      </c>
      <c r="O25" s="13">
        <f>'01_Resumen'!B6</f>
        <v/>
      </c>
    </row>
    <row r="26">
      <c r="N26" s="12">
        <f>'01_Resumen'!A7</f>
        <v/>
      </c>
      <c r="O26" s="13">
        <f>'01_Resumen'!B7</f>
        <v/>
      </c>
    </row>
    <row r="27">
      <c r="N27" s="12">
        <f>'01_Resumen'!A8</f>
        <v/>
      </c>
      <c r="O27" s="13">
        <f>'01_Resumen'!B8</f>
        <v/>
      </c>
    </row>
    <row r="28">
      <c r="N28" s="12">
        <f>'01_Resumen'!A9</f>
        <v/>
      </c>
      <c r="O28" s="13">
        <f>'01_Resumen'!B9</f>
        <v/>
      </c>
    </row>
    <row r="29">
      <c r="N29" s="12">
        <f>'01_Resumen'!A10</f>
        <v/>
      </c>
      <c r="O29" s="13">
        <f>'01_Resumen'!B10</f>
        <v/>
      </c>
    </row>
    <row r="30">
      <c r="N30" s="12">
        <f>'01_Resumen'!A11</f>
        <v/>
      </c>
      <c r="O30" s="13">
        <f>'01_Resumen'!B11</f>
        <v/>
      </c>
    </row>
    <row r="31">
      <c r="N31" s="12">
        <f>'01_Resumen'!A12</f>
        <v/>
      </c>
      <c r="O31" s="13">
        <f>'01_Resumen'!B12</f>
        <v/>
      </c>
    </row>
    <row r="32">
      <c r="N32" s="12">
        <f>'01_Resumen'!A13</f>
        <v/>
      </c>
      <c r="O32" s="13">
        <f>'01_Resumen'!B13</f>
        <v/>
      </c>
    </row>
    <row r="33">
      <c r="N33" s="12">
        <f>'01_Resumen'!A14</f>
        <v/>
      </c>
      <c r="O33" s="13">
        <f>'01_Resumen'!B14</f>
        <v/>
      </c>
    </row>
    <row r="34">
      <c r="N34" s="12">
        <f>'01_Resumen'!A15</f>
        <v/>
      </c>
      <c r="O34" s="13">
        <f>'01_Resumen'!B15</f>
        <v/>
      </c>
    </row>
    <row r="35">
      <c r="N35" s="12">
        <f>'01_Resumen'!A16</f>
        <v/>
      </c>
      <c r="O35" s="13">
        <f>'01_Resumen'!B16</f>
        <v/>
      </c>
    </row>
    <row r="36">
      <c r="N36" s="12">
        <f>'01_Resumen'!A17</f>
        <v/>
      </c>
      <c r="O36" s="13">
        <f>'01_Resumen'!B17</f>
        <v/>
      </c>
    </row>
    <row r="37">
      <c r="N37" s="12">
        <f>'01_Resumen'!A18</f>
        <v/>
      </c>
      <c r="O37" s="13">
        <f>'01_Resumen'!B18</f>
        <v/>
      </c>
    </row>
    <row r="38">
      <c r="N38" s="12">
        <f>'01_Resumen'!A19</f>
        <v/>
      </c>
      <c r="O38" s="13">
        <f>'01_Resumen'!B19</f>
        <v/>
      </c>
    </row>
    <row r="39">
      <c r="N39" s="12">
        <f>'01_Resumen'!A20</f>
        <v/>
      </c>
      <c r="O39" s="13">
        <f>'01_Resumen'!B20</f>
        <v/>
      </c>
    </row>
    <row r="40">
      <c r="N40" s="12">
        <f>'01_Resumen'!A21</f>
        <v/>
      </c>
      <c r="O40" s="13">
        <f>'01_Resumen'!B21</f>
        <v/>
      </c>
    </row>
    <row r="41">
      <c r="N41" s="12">
        <f>'01_Resumen'!A22</f>
        <v/>
      </c>
      <c r="O41" s="13">
        <f>'01_Resumen'!B22</f>
        <v/>
      </c>
    </row>
    <row r="43">
      <c r="N43" s="12" t="inlineStr">
        <is>
          <t>Hallazgos de mayor impacto</t>
        </is>
      </c>
      <c r="O43" s="12" t="inlineStr">
        <is>
          <t>Importe (USD)</t>
        </is>
      </c>
    </row>
    <row r="44">
      <c r="N44" s="12" t="inlineStr">
        <is>
          <t>Corte</t>
        </is>
      </c>
      <c r="O44" s="13">
        <f>SUMIFS('13_Problemas'!$C$5:$C$23,'13_Problemas'!$A$5:$A$23,"CORTE",'13_Problemas'!$C$5:$C$23,"&gt;0")-SUMIFS('13_Problemas'!$C$5:$C$23,'13_Problemas'!$A$5:$A$23,"CORTE",'13_Problemas'!$C$5:$C$23,"&lt;0")</f>
        <v/>
      </c>
    </row>
    <row r="45">
      <c r="N45" s="12" t="inlineStr">
        <is>
          <t>Vnr bajo costo</t>
        </is>
      </c>
      <c r="O45" s="13">
        <f>SUMIFS('13_Problemas'!$C$5:$C$23,'13_Problemas'!$A$5:$A$23,"VNR_BAJO_COSTO",'13_Problemas'!$C$5:$C$23,"&gt;0")-SUMIFS('13_Problemas'!$C$5:$C$23,'13_Problemas'!$A$5:$A$23,"VNR_BAJO_COSTO",'13_Problemas'!$C$5:$C$23,"&lt;0")</f>
        <v/>
      </c>
    </row>
    <row r="46">
      <c r="N46" s="12" t="inlineStr">
        <is>
          <t>Ajuste</t>
        </is>
      </c>
      <c r="O46" s="13">
        <f>SUMIFS('13_Problemas'!$C$5:$C$23,'13_Problemas'!$A$5:$A$23,"AJUSTE",'13_Problemas'!$C$5:$C$23,"&gt;0")-SUMIFS('13_Problemas'!$C$5:$C$23,'13_Problemas'!$A$5:$A$23,"AJUSTE",'13_Problemas'!$C$5:$C$23,"&lt;0")</f>
        <v/>
      </c>
    </row>
    <row r="47">
      <c r="N47" s="12" t="inlineStr">
        <is>
          <t>Lenta rotacion sin provision</t>
        </is>
      </c>
      <c r="O47" s="13">
        <f>SUMIFS('13_Problemas'!$C$5:$C$23,'13_Problemas'!$A$5:$A$23,"LENTA_ROTACION_SIN_PROVISION",'13_Problemas'!$C$5:$C$23,"&gt;0")-SUMIFS('13_Problemas'!$C$5:$C$23,'13_Problemas'!$A$5:$A$23,"LENTA_ROTACION_SIN_PROVISION",'13_Problemas'!$C$5:$C$23,"&lt;0")</f>
        <v/>
      </c>
    </row>
    <row r="48">
      <c r="N48" s="12" t="inlineStr">
        <is>
          <t>Cif no absorbido capitalizado</t>
        </is>
      </c>
      <c r="O48" s="13">
        <f>SUMIFS('13_Problemas'!$C$5:$C$23,'13_Problemas'!$A$5:$A$23,"CIF_NO_ABSORBIDO_CAPITALIZADO",'13_Problemas'!$C$5:$C$23,"&gt;0")-SUMIFS('13_Problemas'!$C$5:$C$23,'13_Problemas'!$A$5:$A$23,"CIF_NO_ABSORBIDO_CAPITALIZADO",'13_Problemas'!$C$5:$C$23,"&lt;0")</f>
        <v/>
      </c>
    </row>
    <row r="49">
      <c r="N49" s="12" t="inlineStr">
        <is>
          <t>Cif no absorbido</t>
        </is>
      </c>
      <c r="O49" s="13">
        <f>SUMIFS('13_Problemas'!$C$5:$C$23,'13_Problemas'!$A$5:$A$23,"CIF_NO_ABSORBIDO",'13_Problemas'!$C$5:$C$23,"&gt;0")-SUMIFS('13_Problemas'!$C$5:$C$23,'13_Problemas'!$A$5:$A$23,"CIF_NO_ABSORBIDO",'13_Problemas'!$C$5:$C$23,"&lt;0")</f>
        <v/>
      </c>
    </row>
    <row r="50">
      <c r="N50" s="12" t="inlineStr">
        <is>
          <t>Produccion no conciliada</t>
        </is>
      </c>
      <c r="O50" s="13">
        <f>SUMIFS('13_Problemas'!$C$5:$C$23,'13_Problemas'!$A$5:$A$23,"PRODUCCION_NO_CONCILIADA",'13_Problemas'!$C$5:$C$23,"&gt;0")-SUMIFS('13_Problemas'!$C$5:$C$23,'13_Problemas'!$A$5:$A$23,"PRODUCCION_NO_CONCILIADA",'13_Problemas'!$C$5:$C$23,"&lt;0")</f>
        <v/>
      </c>
    </row>
    <row r="51">
      <c r="N51" s="12" t="inlineStr">
        <is>
          <t>Otros (11 tipos)</t>
        </is>
      </c>
      <c r="O51" s="13">
        <f>SUMIF('13_Problemas'!$C$5:$C$23,"&gt;0")-SUMIF('13_Problemas'!$C$5:$C$23,"&lt;0")-((SUMIFS('13_Problemas'!$C$5:$C$23,'13_Problemas'!$A$5:$A$23,"CORTE",'13_Problemas'!$C$5:$C$23,"&gt;0")-SUMIFS('13_Problemas'!$C$5:$C$23,'13_Problemas'!$A$5:$A$23,"CORTE",'13_Problemas'!$C$5:$C$23,"&lt;0"))+(SUMIFS('13_Problemas'!$C$5:$C$23,'13_Problemas'!$A$5:$A$23,"VNR_BAJO_COSTO",'13_Problemas'!$C$5:$C$23,"&gt;0")-SUMIFS('13_Problemas'!$C$5:$C$23,'13_Problemas'!$A$5:$A$23,"VNR_BAJO_COSTO",'13_Problemas'!$C$5:$C$23,"&lt;0"))+(SUMIFS('13_Problemas'!$C$5:$C$23,'13_Problemas'!$A$5:$A$23,"AJUSTE",'13_Problemas'!$C$5:$C$23,"&gt;0")-SUMIFS('13_Problemas'!$C$5:$C$23,'13_Problemas'!$A$5:$A$23,"AJUSTE",'13_Problemas'!$C$5:$C$23,"&lt;0"))+(SUMIFS('13_Problemas'!$C$5:$C$23,'13_Problemas'!$A$5:$A$23,"LENTA_ROTACION_SIN_PROVISION",'13_Problemas'!$C$5:$C$23,"&gt;0")-SUMIFS('13_Problemas'!$C$5:$C$23,'13_Problemas'!$A$5:$A$23,"LENTA_ROTACION_SIN_PROVISION",'13_Problemas'!$C$5:$C$23,"&lt;0"))+(SUMIFS('13_Problemas'!$C$5:$C$23,'13_Problemas'!$A$5:$A$23,"CIF_NO_ABSORBIDO_CAPITALIZADO",'13_Problemas'!$C$5:$C$23,"&gt;0")-SUMIFS('13_Problemas'!$C$5:$C$23,'13_Problemas'!$A$5:$A$23,"CIF_NO_ABSORBIDO_CAPITALIZADO",'13_Problemas'!$C$5:$C$23,"&lt;0"))+(SUMIFS('13_Problemas'!$C$5:$C$23,'13_Problemas'!$A$5:$A$23,"CIF_NO_ABSORBIDO",'13_Problemas'!$C$5:$C$23,"&gt;0")-SUMIFS('13_Problemas'!$C$5:$C$23,'13_Problemas'!$A$5:$A$23,"CIF_NO_ABSORBIDO",'13_Problemas'!$C$5:$C$23,"&lt;0"))+(SUMIFS('13_Problemas'!$C$5:$C$23,'13_Problemas'!$A$5:$A$23,"PRODUCCION_NO_CONCILIADA",'13_Problemas'!$C$5:$C$23,"&gt;0")-SUMIFS('13_Problemas'!$C$5:$C$23,'13_Problemas'!$A$5:$A$23,"PRODUCCION_NO_CONCILIADA",'13_Problemas'!$C$5:$C$23,"&lt;0")))</f>
        <v/>
      </c>
    </row>
  </sheetData>
  <mergeCells count="2">
    <mergeCell ref="B4:F4"/>
    <mergeCell ref="B2:F3"/>
  </mergeCells>
  <hyperlinks>
    <hyperlink xmlns:r="http://schemas.openxmlformats.org/officeDocument/2006/relationships" ref="B16" r:id="rId1"/>
    <hyperlink xmlns:r="http://schemas.openxmlformats.org/officeDocument/2006/relationships" ref="C16" r:id="rId2"/>
    <hyperlink xmlns:r="http://schemas.openxmlformats.org/officeDocument/2006/relationships" ref="D16" r:id="rId3"/>
    <hyperlink xmlns:r="http://schemas.openxmlformats.org/officeDocument/2006/relationships" ref="E16" r:id="rId4"/>
    <hyperlink xmlns:r="http://schemas.openxmlformats.org/officeDocument/2006/relationships" ref="B17" r:id="rId5"/>
    <hyperlink xmlns:r="http://schemas.openxmlformats.org/officeDocument/2006/relationships" ref="C17" r:id="rId6"/>
    <hyperlink xmlns:r="http://schemas.openxmlformats.org/officeDocument/2006/relationships" ref="D17" r:id="rId7"/>
    <hyperlink xmlns:r="http://schemas.openxmlformats.org/officeDocument/2006/relationships" ref="E17" r:id="rId8"/>
    <hyperlink xmlns:r="http://schemas.openxmlformats.org/officeDocument/2006/relationships" ref="B18" r:id="rId9"/>
    <hyperlink xmlns:r="http://schemas.openxmlformats.org/officeDocument/2006/relationships" ref="C18" r:id="rId10"/>
    <hyperlink xmlns:r="http://schemas.openxmlformats.org/officeDocument/2006/relationships" ref="D18" r:id="rId11"/>
    <hyperlink xmlns:r="http://schemas.openxmlformats.org/officeDocument/2006/relationships" ref="E18" r:id="rId12"/>
    <hyperlink xmlns:r="http://schemas.openxmlformats.org/officeDocument/2006/relationships" ref="B19" r:id="rId13"/>
    <hyperlink xmlns:r="http://schemas.openxmlformats.org/officeDocument/2006/relationships" ref="C19" r:id="rId14"/>
    <hyperlink xmlns:r="http://schemas.openxmlformats.org/officeDocument/2006/relationships" ref="D19" r:id="rId15"/>
    <hyperlink xmlns:r="http://schemas.openxmlformats.org/officeDocument/2006/relationships" ref="E19" r:id="rId16"/>
    <hyperlink xmlns:r="http://schemas.openxmlformats.org/officeDocument/2006/relationships" ref="B20" r:id="rId17"/>
    <hyperlink xmlns:r="http://schemas.openxmlformats.org/officeDocument/2006/relationships" ref="C20" r:id="rId18"/>
  </hyperlinks>
  <printOptions horizontalCentered="1"/>
  <pageMargins left="0.75" right="0.75" top="1" bottom="1" header="0.5" footer="0.5"/>
  <pageSetup orientation="landscape" fitToHeight="0" fitToWidth="1"/>
  <headerFooter>
    <oddHeader/>
    <oddFooter>&amp;LAuditConsulting Auditores Cía. Ltda.&amp;CCliente de muestra S.A.&amp;RPágina &amp;P de &amp;N</oddFooter>
    <evenHeader/>
    <evenFooter/>
    <firstHeader/>
    <firstFooter/>
  </headerFooter>
  <drawing xmlns:r="http://schemas.openxmlformats.org/officeDocument/2006/relationships" r:id="rId19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J20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34" customWidth="1" min="1" max="1"/>
    <col width="43" customWidth="1" min="2" max="2"/>
  </cols>
  <sheetData>
    <row r="1">
      <c r="A1" s="3" t="inlineStr">
        <is>
          <t>Carátula</t>
        </is>
      </c>
      <c r="H1" s="14" t="inlineStr">
        <is>
          <t>⟵ Inicio</t>
        </is>
      </c>
      <c r="J1" s="14" t="inlineStr">
        <is>
          <t>Siguiente ▶</t>
        </is>
      </c>
    </row>
    <row r="2">
      <c r="A2" s="15" t="inlineStr">
        <is>
          <t>Inventarios, producción y costo de ventas · Cliente de muestra S.A. · corte 2025-12-31</t>
        </is>
      </c>
      <c r="B2" s="16" t="n"/>
      <c r="C2" s="16" t="n"/>
      <c r="D2" s="16" t="n"/>
      <c r="E2" s="16" t="n"/>
      <c r="F2" s="16" t="n"/>
    </row>
    <row r="4" ht="30" customHeight="1">
      <c r="A4" s="17" t="inlineStr">
        <is>
          <t>Concepto</t>
        </is>
      </c>
      <c r="B4" s="17" t="inlineStr">
        <is>
          <t>Detalle</t>
        </is>
      </c>
    </row>
    <row r="5">
      <c r="A5" s="18" t="inlineStr">
        <is>
          <t>Firma</t>
        </is>
      </c>
      <c r="B5" s="18" t="inlineStr">
        <is>
          <t>AuditConsulting Auditores Cía. Ltda.</t>
        </is>
      </c>
    </row>
    <row r="6">
      <c r="A6" s="19" t="inlineStr">
        <is>
          <t>Cliente</t>
        </is>
      </c>
      <c r="B6" s="19" t="inlineStr">
        <is>
          <t>Cliente de muestra S.A.</t>
        </is>
      </c>
    </row>
    <row r="7">
      <c r="A7" s="18" t="inlineStr">
        <is>
          <t>RUC</t>
        </is>
      </c>
      <c r="B7" s="18" t="inlineStr">
        <is>
          <t>1790000000001</t>
        </is>
      </c>
    </row>
    <row r="8">
      <c r="A8" s="19" t="inlineStr">
        <is>
          <t>Ejercicio</t>
        </is>
      </c>
      <c r="B8" s="19" t="inlineStr">
        <is>
          <t>2025</t>
        </is>
      </c>
    </row>
    <row r="9">
      <c r="A9" s="18" t="inlineStr">
        <is>
          <t>Fecha de corte</t>
        </is>
      </c>
      <c r="B9" s="18" t="inlineStr">
        <is>
          <t>2025-12-31</t>
        </is>
      </c>
    </row>
    <row r="10">
      <c r="A10" s="19" t="inlineStr">
        <is>
          <t>Marco contable</t>
        </is>
      </c>
      <c r="B10" s="19" t="inlineStr">
        <is>
          <t>NIIF completas</t>
        </is>
      </c>
    </row>
    <row r="11">
      <c r="A11" s="18" t="inlineStr">
        <is>
          <t>Herramienta</t>
        </is>
      </c>
      <c r="B11" s="18" t="inlineStr">
        <is>
          <t>Inventarios, producción y costo de ventas</t>
        </is>
      </c>
    </row>
    <row r="12">
      <c r="A12" s="19" t="inlineStr">
        <is>
          <t>Rubro</t>
        </is>
      </c>
      <c r="B12" s="19" t="inlineStr">
        <is>
          <t>Inventarios</t>
        </is>
      </c>
    </row>
    <row r="13">
      <c r="A13" s="18" t="inlineStr">
        <is>
          <t>Motor</t>
        </is>
      </c>
      <c r="B13" s="18" t="inlineStr">
        <is>
          <t>inventarios_costos 1.0</t>
        </is>
      </c>
    </row>
    <row r="14">
      <c r="A14" s="19" t="inlineStr">
        <is>
          <t>Versión del papel</t>
        </is>
      </c>
      <c r="B14" s="19" t="inlineStr">
        <is>
          <t>v1</t>
        </is>
      </c>
    </row>
    <row r="15">
      <c r="A15" s="18" t="inlineStr">
        <is>
          <t>Estado</t>
        </is>
      </c>
      <c r="B15" s="18" t="inlineStr">
        <is>
          <t>MUESTRA</t>
        </is>
      </c>
    </row>
    <row r="16">
      <c r="A16" s="19" t="inlineStr">
        <is>
          <t>Preparó</t>
        </is>
      </c>
      <c r="B16" s="19" t="inlineStr">
        <is>
          <t>Ejercicio modelo</t>
        </is>
      </c>
    </row>
    <row r="17">
      <c r="A17" s="18" t="inlineStr">
        <is>
          <t>Revisó</t>
        </is>
      </c>
      <c r="B17" s="18" t="inlineStr">
        <is>
          <t>Pendiente</t>
        </is>
      </c>
    </row>
    <row r="18">
      <c r="A18" s="19" t="inlineStr">
        <is>
          <t>Aprobó</t>
        </is>
      </c>
      <c r="B18" s="19" t="inlineStr"/>
    </row>
    <row r="19">
      <c r="A19" s="18" t="inlineStr">
        <is>
          <t>Fecha de aprobación</t>
        </is>
      </c>
      <c r="B19" s="18" t="inlineStr"/>
    </row>
    <row r="20">
      <c r="A20" s="19" t="inlineStr">
        <is>
          <t>Huella de la ejecución (SHA-256)</t>
        </is>
      </c>
      <c r="B20" s="19" t="inlineStr"/>
    </row>
  </sheetData>
  <mergeCells count="2">
    <mergeCell ref="A2:F2"/>
    <mergeCell ref="A1:F1"/>
  </mergeCells>
  <hyperlinks>
    <hyperlink xmlns:r="http://schemas.openxmlformats.org/officeDocument/2006/relationships" ref="H1" r:id="rId1"/>
    <hyperlink xmlns:r="http://schemas.openxmlformats.org/officeDocument/2006/relationships" ref="J1" r:id="rId2"/>
  </hyperlinks>
  <pageMargins left="0.75" right="0.75" top="1" bottom="1" header="0.5" footer="0.5"/>
  <pageSetup orientation="landscape" fitToHeight="0" fitToWidth="1"/>
  <headerFooter>
    <oddHeader/>
    <oddFooter>&amp;LAuditConsulting Auditores Cía. Ltda.&amp;C&amp;RPágina &amp;P de &amp;N</oddFooter>
    <evenHeader/>
    <evenFooter/>
    <firstHeader/>
    <firstFooter/>
  </headerFooter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J13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2" customWidth="1" min="1" max="1"/>
    <col width="40" customWidth="1" min="2" max="2"/>
    <col width="12" customWidth="1" min="3" max="3"/>
    <col width="60" customWidth="1" min="4" max="4"/>
    <col width="60" customWidth="1" min="5" max="5"/>
    <col width="60" customWidth="1" min="6" max="6"/>
    <col width="60" customWidth="1" min="7" max="7"/>
  </cols>
  <sheetData>
    <row r="1">
      <c r="A1" s="3" t="inlineStr">
        <is>
          <t>Programa</t>
        </is>
      </c>
      <c r="H1" s="14" t="inlineStr">
        <is>
          <t>⟵ Inicio</t>
        </is>
      </c>
      <c r="I1" s="14" t="inlineStr">
        <is>
          <t>◀ Anterior</t>
        </is>
      </c>
      <c r="J1" s="14" t="inlineStr">
        <is>
          <t>Siguiente ▶</t>
        </is>
      </c>
    </row>
    <row r="2">
      <c r="A2" s="15" t="inlineStr">
        <is>
          <t>Inventarios, producción y costo de ventas · Cliente de muestra S.A. · corte 2025-12-31</t>
        </is>
      </c>
      <c r="B2" s="16" t="n"/>
      <c r="C2" s="16" t="n"/>
      <c r="D2" s="16" t="n"/>
      <c r="E2" s="16" t="n"/>
      <c r="F2" s="16" t="n"/>
      <c r="G2" s="16" t="n"/>
    </row>
    <row r="4" ht="30" customHeight="1">
      <c r="A4" s="17" t="inlineStr">
        <is>
          <t>Código</t>
        </is>
      </c>
      <c r="B4" s="17" t="inlineStr">
        <is>
          <t>Objetivo</t>
        </is>
      </c>
      <c r="C4" s="17" t="inlineStr">
        <is>
          <t>Afirmación</t>
        </is>
      </c>
      <c r="D4" s="17" t="inlineStr">
        <is>
          <t>Procedimiento</t>
        </is>
      </c>
      <c r="E4" s="17" t="inlineStr">
        <is>
          <t>Evidencia</t>
        </is>
      </c>
      <c r="F4" s="17" t="inlineStr">
        <is>
          <t>Criterio</t>
        </is>
      </c>
      <c r="G4" s="17" t="inlineStr">
        <is>
          <t>Referencia</t>
        </is>
      </c>
    </row>
    <row r="5">
      <c r="A5" s="18" t="inlineStr">
        <is>
          <t>INV-01</t>
        </is>
      </c>
      <c r="B5" s="18" t="inlineStr">
        <is>
          <t>Existencia</t>
        </is>
      </c>
      <c r="C5" s="18" t="inlineStr">
        <is>
          <t>Existencia</t>
        </is>
      </c>
      <c r="D5" s="18" t="inlineStr">
        <is>
          <t>Presenciar el recuento y comparar cantidades contadas con el kardex</t>
        </is>
      </c>
      <c r="E5" s="18" t="inlineStr">
        <is>
          <t>Hojas de conteo, acta e instrucciones</t>
        </is>
      </c>
      <c r="F5" s="18" t="inlineStr">
        <is>
          <t>Diferencias valorizadas y ajustadas</t>
        </is>
      </c>
      <c r="G5" s="18" t="inlineStr">
        <is>
          <t>NIA 501</t>
        </is>
      </c>
    </row>
    <row r="6">
      <c r="A6" s="19" t="inlineStr">
        <is>
          <t>INV-02</t>
        </is>
      </c>
      <c r="B6" s="19" t="inlineStr">
        <is>
          <t>Conciliación kardex–mayor</t>
        </is>
      </c>
      <c r="C6" s="19" t="inlineStr">
        <is>
          <t>Integridad</t>
        </is>
      </c>
      <c r="D6" s="19" t="inlineStr">
        <is>
          <t>Conciliar el valor del kardex con el mayor y probar su extensión</t>
        </is>
      </c>
      <c r="E6" s="19" t="inlineStr">
        <is>
          <t>Kardex valorado y mayor</t>
        </is>
      </c>
      <c r="F6" s="19" t="inlineStr">
        <is>
          <t>Diferencia explicada o ajustada</t>
        </is>
      </c>
      <c r="G6" s="19" t="inlineStr">
        <is>
          <t>NIA 500</t>
        </is>
      </c>
    </row>
    <row r="7">
      <c r="A7" s="18" t="inlineStr">
        <is>
          <t>INV-03</t>
        </is>
      </c>
      <c r="B7" s="18" t="inlineStr">
        <is>
          <t>Prueba de costo</t>
        </is>
      </c>
      <c r="C7" s="18" t="inlineStr">
        <is>
          <t>Valoración</t>
        </is>
      </c>
      <c r="D7" s="18" t="inlineStr">
        <is>
          <t>Cotejar el costo unitario con facturas o el costeo (FIFO / promedio)</t>
        </is>
      </c>
      <c r="E7" s="18" t="inlineStr">
        <is>
          <t>Facturas de compra, hojas de costeo</t>
        </is>
      </c>
      <c r="F7" s="18" t="inlineStr">
        <is>
          <t>Costo soportado = registrado</t>
        </is>
      </c>
      <c r="G7" s="18" t="inlineStr">
        <is>
          <t>NIC 2.10-2.11, 2.25 · PYMES 13.5-13.6, 13.18, INV-08</t>
        </is>
      </c>
    </row>
    <row r="8">
      <c r="A8" s="19" t="inlineStr">
        <is>
          <t>INV-04</t>
        </is>
      </c>
      <c r="B8" s="19" t="inlineStr">
        <is>
          <t>Costo de producción</t>
        </is>
      </c>
      <c r="C8" s="19" t="inlineStr">
        <is>
          <t>Valoración</t>
        </is>
      </c>
      <c r="D8" s="19" t="inlineStr">
        <is>
          <t>Recalcular la absorción del CIF fijo sobre la capacidad normal y el costo capitalizable</t>
        </is>
      </c>
      <c r="E8" s="19" t="inlineStr">
        <is>
          <t>Costeo de producción, capacidad normal</t>
        </is>
      </c>
      <c r="F8" s="19" t="inlineStr">
        <is>
          <t>Solo el CIF absorbido va al inventario</t>
        </is>
      </c>
      <c r="G8" s="19" t="inlineStr">
        <is>
          <t>NIC 2.12-2.13, 2.16(a) · PYMES 13.8-13.9, 13.13(a), INV-07, INV-17</t>
        </is>
      </c>
    </row>
    <row r="9">
      <c r="A9" s="18" t="inlineStr">
        <is>
          <t>INV-05</t>
        </is>
      </c>
      <c r="B9" s="18" t="inlineStr">
        <is>
          <t>Costo de ventas</t>
        </is>
      </c>
      <c r="C9" s="18" t="inlineStr">
        <is>
          <t>Exactitud</t>
        </is>
      </c>
      <c r="D9" s="18" t="inlineStr">
        <is>
          <t>Recalcular el costo de ventas con inventarios, compras y producción</t>
        </is>
      </c>
      <c r="E9" s="18" t="inlineStr">
        <is>
          <t>Movimiento del inventario, mayor</t>
        </is>
      </c>
      <c r="F9" s="18" t="inlineStr">
        <is>
          <t>Diferencia explicada</t>
        </is>
      </c>
      <c r="G9" s="18" t="inlineStr">
        <is>
          <t>NIC 2.34 · PYMES 13.20</t>
        </is>
      </c>
    </row>
    <row r="10">
      <c r="A10" s="19" t="inlineStr">
        <is>
          <t>INV-06</t>
        </is>
      </c>
      <c r="B10" s="19" t="inlineStr">
        <is>
          <t>Valor realizable neto</t>
        </is>
      </c>
      <c r="C10" s="19" t="inlineStr">
        <is>
          <t>Valoración</t>
        </is>
      </c>
      <c r="D10" s="19" t="inlineStr">
        <is>
          <t>Comparar costo con VNR partida por partida con precios posteriores</t>
        </is>
      </c>
      <c r="E10" s="19" t="inlineStr">
        <is>
          <t>Ventas y listas de precios posteriores, costos de terminación y venta</t>
        </is>
      </c>
      <c r="F10" s="19" t="inlineStr">
        <is>
          <t>Rebaja a VNR registrada</t>
        </is>
      </c>
      <c r="G10" s="19" t="inlineStr">
        <is>
          <t>NIC 2.9, 2.28-2.33 · PYMES 27.2-27.4</t>
        </is>
      </c>
    </row>
    <row r="11">
      <c r="A11" s="18" t="inlineStr">
        <is>
          <t>INV-07</t>
        </is>
      </c>
      <c r="B11" s="18" t="inlineStr">
        <is>
          <t>Obsolescencia y lenta rotación</t>
        </is>
      </c>
      <c r="C11" s="18" t="inlineStr">
        <is>
          <t>Valoración</t>
        </is>
      </c>
      <c r="D11" s="18" t="inlineStr">
        <is>
          <t>Clasificar por días sin movimiento y aplicar los % de la política</t>
        </is>
      </c>
      <c r="E11" s="18" t="inlineStr">
        <is>
          <t>Kardex con fechas de último movimiento, política</t>
        </is>
      </c>
      <c r="F11" s="18" t="inlineStr">
        <is>
          <t>Provisión suficiente</t>
        </is>
      </c>
      <c r="G11" s="18" t="inlineStr">
        <is>
          <t>NIC 2.28 · PYMES 27.2</t>
        </is>
      </c>
    </row>
    <row r="12">
      <c r="A12" s="19" t="inlineStr">
        <is>
          <t>INV-09</t>
        </is>
      </c>
      <c r="B12" s="19" t="inlineStr">
        <is>
          <t>Materias primas: excepción de NIC 2.32</t>
        </is>
      </c>
      <c r="C12" s="19" t="inlineStr">
        <is>
          <t>Valoración</t>
        </is>
      </c>
      <c r="D12" s="19" t="inlineStr">
        <is>
          <t>Para cada materia prima con VNR bajo el costo, obtener el costeo del producto terminado asociado y su precio de venta esperado, recalcular el margen y aplicar la excepción solo si el producto terminado se venderá al costo o por encima</t>
        </is>
      </c>
      <c r="E12" s="19" t="inlineStr">
        <is>
          <t>Costeo estándar del producto terminado, lista de precios y pedidos en firme; costo de reposición de los materiales</t>
        </is>
      </c>
      <c r="F12" s="19" t="inlineStr">
        <is>
          <t>Excepción aplicada solo con margen demostrado; en caso contrario, rebaja a VNR registrada</t>
        </is>
      </c>
      <c r="G12" s="19" t="inlineStr">
        <is>
          <t>NIC 2.32 · PYMES: sin equivalente (13.19, 27.2-27.4), la excepción no se aplica</t>
        </is>
      </c>
    </row>
    <row r="13">
      <c r="A13" s="18" t="inlineStr">
        <is>
          <t>INV-08</t>
        </is>
      </c>
      <c r="B13" s="18" t="inlineStr">
        <is>
          <t>Corte</t>
        </is>
      </c>
      <c r="C13" s="18" t="inlineStr">
        <is>
          <t>Corte</t>
        </is>
      </c>
      <c r="D13" s="18" t="inlineStr">
        <is>
          <t>Comparar la fecha de recepción o despacho con la de registro alrededor del cierre</t>
        </is>
      </c>
      <c r="E13" s="18" t="inlineStr">
        <is>
          <t>Guías, facturas y asientos antes y después del corte</t>
        </is>
      </c>
      <c r="F13" s="18" t="inlineStr">
        <is>
          <t>Sin errores de corte o ajustados</t>
        </is>
      </c>
      <c r="G13" s="18" t="inlineStr">
        <is>
          <t>NIA 330, INV-04</t>
        </is>
      </c>
    </row>
  </sheetData>
  <mergeCells count="2">
    <mergeCell ref="A2:F2"/>
    <mergeCell ref="A1:F1"/>
  </mergeCells>
  <hyperlinks>
    <hyperlink xmlns:r="http://schemas.openxmlformats.org/officeDocument/2006/relationships" ref="H1" r:id="rId1"/>
    <hyperlink xmlns:r="http://schemas.openxmlformats.org/officeDocument/2006/relationships" ref="I1" r:id="rId2"/>
    <hyperlink xmlns:r="http://schemas.openxmlformats.org/officeDocument/2006/relationships" ref="J1" r:id="rId3"/>
  </hyperlinks>
  <pageMargins left="0.75" right="0.75" top="1" bottom="1" header="0.5" footer="0.5"/>
  <pageSetup orientation="landscape" fitToHeight="0" fitToWidth="1"/>
  <headerFooter>
    <oddHeader/>
    <oddFooter>&amp;LAuditConsulting Auditores Cía. Ltda.&amp;C&amp;RPágina &amp;P de &amp;N</oddFooter>
    <evenHeader/>
    <evenFooter/>
    <firstHeader/>
    <firstFooter/>
  </headerFooter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J9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6" customWidth="1" min="1" max="1"/>
    <col width="60" customWidth="1" min="2" max="2"/>
    <col width="29" customWidth="1" min="3" max="3"/>
    <col width="12" customWidth="1" min="4" max="4"/>
    <col width="12" customWidth="1" min="5" max="5"/>
  </cols>
  <sheetData>
    <row r="1">
      <c r="A1" s="3" t="inlineStr">
        <is>
          <t>Base técnica</t>
        </is>
      </c>
      <c r="H1" s="14" t="inlineStr">
        <is>
          <t>⟵ Inicio</t>
        </is>
      </c>
      <c r="I1" s="14" t="inlineStr">
        <is>
          <t>◀ Anterior</t>
        </is>
      </c>
      <c r="J1" s="14" t="inlineStr">
        <is>
          <t>Siguiente ▶</t>
        </is>
      </c>
    </row>
    <row r="2">
      <c r="A2" s="15" t="inlineStr">
        <is>
          <t>Inventarios, producción y costo de ventas · Cliente de muestra S.A. · corte 2025-12-31</t>
        </is>
      </c>
      <c r="B2" s="16" t="n"/>
      <c r="C2" s="16" t="n"/>
      <c r="D2" s="16" t="n"/>
      <c r="E2" s="16" t="n"/>
      <c r="F2" s="16" t="n"/>
    </row>
    <row r="4" ht="30" customHeight="1">
      <c r="A4" s="17" t="inlineStr">
        <is>
          <t>Categoría</t>
        </is>
      </c>
      <c r="B4" s="17" t="inlineStr">
        <is>
          <t>Documento</t>
        </is>
      </c>
      <c r="C4" s="17" t="inlineStr">
        <is>
          <t>Párrafos</t>
        </is>
      </c>
      <c r="D4" s="17" t="inlineStr">
        <is>
          <t>URL</t>
        </is>
      </c>
      <c r="E4" s="17" t="inlineStr">
        <is>
          <t>Verificada</t>
        </is>
      </c>
    </row>
    <row r="5">
      <c r="A5" s="18" t="inlineStr">
        <is>
          <t>NIA · NIA 501</t>
        </is>
      </c>
      <c r="B5" s="18" t="inlineStr">
        <is>
          <t>Presenciar el recuento físico de existencias materiales y probar sus resultados finales.</t>
        </is>
      </c>
      <c r="C5" s="18" t="inlineStr">
        <is>
          <t>párr. 4 y 7</t>
        </is>
      </c>
      <c r="D5" s="18" t="inlineStr"/>
      <c r="E5" s="18" t="inlineStr"/>
    </row>
    <row r="6">
      <c r="A6" s="19" t="inlineStr">
        <is>
          <t>NIA · NIA 500</t>
        </is>
      </c>
      <c r="B6" s="19" t="inlineStr">
        <is>
          <t>Evaluar exactitud e integridad del kardex y los anexos contra el mayor.</t>
        </is>
      </c>
      <c r="C6" s="19" t="inlineStr">
        <is>
          <t>párr. 9</t>
        </is>
      </c>
      <c r="D6" s="19" t="inlineStr"/>
      <c r="E6" s="19" t="inlineStr"/>
    </row>
    <row r="7">
      <c r="A7" s="18" t="inlineStr">
        <is>
          <t>NIA · NIA 540 (Revisada)</t>
        </is>
      </c>
      <c r="B7" s="18" t="inlineStr">
        <is>
          <t>VNR, obsolescencia y capacidad normal son estimaciones: evaluar método, datos y supuestos.</t>
        </is>
      </c>
      <c r="C7" s="18" t="inlineStr">
        <is>
          <t>párr. 13, 16-17, 18-30 y 32</t>
        </is>
      </c>
      <c r="D7" s="18" t="inlineStr"/>
      <c r="E7" s="18" t="inlineStr"/>
    </row>
    <row r="8">
      <c r="A8" s="19" t="inlineStr">
        <is>
          <t>NIA · NIA 330</t>
        </is>
      </c>
      <c r="B8" s="19" t="inlineStr">
        <is>
          <t>Procedimientos sustantivos de corte y de conciliación con los registros.</t>
        </is>
      </c>
      <c r="C8" s="19" t="inlineStr">
        <is>
          <t>párr. 6-7, 18 y 20</t>
        </is>
      </c>
      <c r="D8" s="19" t="inlineStr"/>
      <c r="E8" s="19" t="inlineStr"/>
    </row>
    <row r="9">
      <c r="A9" s="18" t="inlineStr">
        <is>
          <t>NIA · NIA 560</t>
        </is>
      </c>
      <c r="B9" s="18" t="inlineStr">
        <is>
          <t>Precios de venta posteriores al cierre como evidencia del VNR (NIC 2.30).</t>
        </is>
      </c>
      <c r="C9" s="18" t="inlineStr">
        <is>
          <t>párr. 6 · NIA 540 párr. 21</t>
        </is>
      </c>
      <c r="D9" s="18" t="inlineStr"/>
      <c r="E9" s="18" t="inlineStr"/>
    </row>
  </sheetData>
  <mergeCells count="2">
    <mergeCell ref="A2:F2"/>
    <mergeCell ref="A1:F1"/>
  </mergeCells>
  <hyperlinks>
    <hyperlink xmlns:r="http://schemas.openxmlformats.org/officeDocument/2006/relationships" ref="H1" r:id="rId1"/>
    <hyperlink xmlns:r="http://schemas.openxmlformats.org/officeDocument/2006/relationships" ref="I1" r:id="rId2"/>
    <hyperlink xmlns:r="http://schemas.openxmlformats.org/officeDocument/2006/relationships" ref="J1" r:id="rId3"/>
  </hyperlinks>
  <pageMargins left="0.75" right="0.75" top="1" bottom="1" header="0.5" footer="0.5"/>
  <pageSetup orientation="landscape" fitToHeight="0" fitToWidth="1"/>
  <headerFooter>
    <oddHeader/>
    <oddFooter>&amp;LAuditConsulting Auditores Cía. Ltda.&amp;C&amp;RPágina &amp;P de &amp;N</oddFooter>
    <evenHeader/>
    <evenFooter/>
    <firstHeader/>
    <firstFooter/>
  </headerFooter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J26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</cols>
  <sheetData>
    <row r="1">
      <c r="A1" s="3" t="inlineStr">
        <is>
          <t>Resumen y ajuste propuesto</t>
        </is>
      </c>
      <c r="H1" s="14" t="inlineStr">
        <is>
          <t>⟵ Inicio</t>
        </is>
      </c>
      <c r="I1" s="14" t="inlineStr">
        <is>
          <t>◀ Anterior</t>
        </is>
      </c>
      <c r="J1" s="14" t="inlineStr">
        <is>
          <t>Siguiente ▶</t>
        </is>
      </c>
    </row>
    <row r="2">
      <c r="A2" s="15" t="inlineStr">
        <is>
          <t>Inventarios, producción y costo de ventas · Cliente de muestra S.A. · corte 2025-12-31</t>
        </is>
      </c>
      <c r="B2" s="16" t="n"/>
      <c r="C2" s="16" t="n"/>
      <c r="D2" s="16" t="n"/>
      <c r="E2" s="16" t="n"/>
      <c r="F2" s="16" t="n"/>
    </row>
    <row r="4" ht="30" customHeight="1">
      <c r="A4" s="17" t="inlineStr">
        <is>
          <t>Concepto</t>
        </is>
      </c>
      <c r="B4" s="17" t="inlineStr">
        <is>
          <t>Importe</t>
        </is>
      </c>
    </row>
    <row r="5">
      <c r="A5" s="18" t="inlineStr">
        <is>
          <t>Inventario al costo auditado</t>
        </is>
      </c>
      <c r="B5" s="20">
        <f>SUM('03_Inventario'!$O$5:$O$17)</f>
        <v/>
      </c>
    </row>
    <row r="6">
      <c r="A6" s="19" t="inlineStr">
        <is>
          <t>Provisión estimada (rebaja a VNR; tramo solo sin precio; neta de la excepción NIC 2.32)</t>
        </is>
      </c>
      <c r="B6" s="21">
        <f>SUM('10_Obsolescencia'!$J$5:$J$17)</f>
        <v/>
      </c>
    </row>
    <row r="7">
      <c r="A7" s="18" t="inlineStr">
        <is>
          <t>Inventario neto auditado</t>
        </is>
      </c>
      <c r="B7" s="20">
        <f>B5-B6</f>
        <v/>
      </c>
    </row>
    <row r="8">
      <c r="A8" s="19" t="inlineStr">
        <is>
          <t>Inventario según el mayor</t>
        </is>
      </c>
      <c r="B8" s="21">
        <f>IF('02_Parametros'!$B$13="",SUM('03_Inventario'!$G$5:$G$17),'02_Parametros'!$B$13)</f>
        <v/>
      </c>
    </row>
    <row r="9">
      <c r="A9" s="18" t="inlineStr">
        <is>
          <t>Provisión registrada</t>
        </is>
      </c>
      <c r="B9" s="20">
        <f>IF('02_Parametros'!$B$14="",0,'02_Parametros'!$B$14)</f>
        <v/>
      </c>
    </row>
    <row r="10">
      <c r="A10" s="19" t="inlineStr">
        <is>
          <t>Inventario neto en libros</t>
        </is>
      </c>
      <c r="B10" s="21">
        <f>B8-B9</f>
        <v/>
      </c>
    </row>
    <row r="11">
      <c r="A11" s="18" t="inlineStr">
        <is>
          <t>Ajuste propuesto (neto)</t>
        </is>
      </c>
      <c r="B11" s="20">
        <f>B7-B10</f>
        <v/>
      </c>
    </row>
    <row r="12">
      <c r="A12" s="19" t="inlineStr">
        <is>
          <t>Diferencias físicas valorizadas</t>
        </is>
      </c>
      <c r="B12" s="21">
        <f>SUM('04_Conteo'!$H$5:$H$17)</f>
        <v/>
      </c>
    </row>
    <row r="13">
      <c r="A13" s="18" t="inlineStr">
        <is>
          <t>Diferencia de extensión (cantidad × costo − kardex)</t>
        </is>
      </c>
      <c r="B13" s="20">
        <f>SUM('05_Prueba_costo'!$G$5:$G$17)</f>
        <v/>
      </c>
    </row>
    <row r="14">
      <c r="A14" s="19" t="inlineStr">
        <is>
          <t>Diferencia de costo unitario</t>
        </is>
      </c>
      <c r="B14" s="21">
        <f>SUM('05_Prueba_costo'!$J$5:$J$17)</f>
        <v/>
      </c>
    </row>
    <row r="15">
      <c r="A15" s="18" t="inlineStr">
        <is>
          <t>Diferencia kardex − mayor</t>
        </is>
      </c>
      <c r="B15" s="20">
        <f>SUM('03_Inventario'!$G$5:$G$17)-B8</f>
        <v/>
      </c>
    </row>
    <row r="16">
      <c r="A16" s="19" t="inlineStr">
        <is>
          <t>Rebaja a VNR</t>
        </is>
      </c>
      <c r="B16" s="21">
        <f>SUM('09_VNR'!$I$5:$I$17)</f>
        <v/>
      </c>
    </row>
    <row r="17">
      <c r="A17" s="18" t="inlineStr">
        <is>
          <t>Provisión no reconocida por la excepción de NIC 2.32 (materias primas)</t>
        </is>
      </c>
      <c r="B17" s="20">
        <f>SUM('11_Excepcion_MP'!$K$5:$K$17)</f>
        <v/>
      </c>
    </row>
    <row r="18">
      <c r="A18" s="19" t="inlineStr">
        <is>
          <t>Provisión por obsolescencia (tramos)</t>
        </is>
      </c>
      <c r="B18" s="21">
        <f>SUM('10_Obsolescencia'!$G$5:$G$17)</f>
        <v/>
      </c>
    </row>
    <row r="19">
      <c r="A19" s="18" t="inlineStr">
        <is>
          <t>CIF fijo no absorbido (gasto)</t>
        </is>
      </c>
      <c r="B19" s="20">
        <f>SUM('07_Costo_produccion'!$K$5:$K$7)</f>
        <v/>
      </c>
    </row>
    <row r="20">
      <c r="A20" s="19" t="inlineStr">
        <is>
          <t>CIF no absorbido capitalizado por la entidad</t>
        </is>
      </c>
      <c r="B20" s="21">
        <f>SUM('07_Costo_produccion'!$O$5:$O$7)</f>
        <v/>
      </c>
    </row>
    <row r="21">
      <c r="A21" s="18" t="inlineStr">
        <is>
          <t>Diferencia en costo de ventas</t>
        </is>
      </c>
      <c r="B21" s="20">
        <f>SUM('08_Costo_ventas'!$M$5:$M$6)</f>
        <v/>
      </c>
    </row>
    <row r="22">
      <c r="A22" s="19" t="inlineStr">
        <is>
          <t>Importe con error de corte</t>
        </is>
      </c>
      <c r="B22" s="21">
        <f>SUM('12_Corte'!$I$5:$I$9)</f>
        <v/>
      </c>
    </row>
    <row r="24">
      <c r="A24" s="22" t="inlineStr">
        <is>
          <t>ⓘ  Cómo se calcula esta hoja</t>
        </is>
      </c>
    </row>
    <row r="25">
      <c r="A25" s="23" t="inlineStr">
        <is>
          <t>Columna</t>
        </is>
      </c>
      <c r="B25" s="23" t="inlineStr">
        <is>
          <t>Fórmula (Excel)</t>
        </is>
      </c>
      <c r="C25" s="23" t="inlineStr">
        <is>
          <t>Cómo se calcula (sencillo)</t>
        </is>
      </c>
      <c r="D25" s="23" t="inlineStr">
        <is>
          <t>Ejemplo con números reales</t>
        </is>
      </c>
      <c r="E25" s="23" t="inlineStr">
        <is>
          <t>De dónde viene</t>
        </is>
      </c>
      <c r="F25" s="23" t="inlineStr">
        <is>
          <t>Norma</t>
        </is>
      </c>
    </row>
    <row r="26">
      <c r="A26" s="24" t="inlineStr">
        <is>
          <t>Importe</t>
        </is>
      </c>
      <c r="B26" s="25" t="inlineStr">
        <is>
          <t>'=SUM('03_Inventario'!$O$5:$O$17)</t>
        </is>
      </c>
      <c r="C26" s="24" t="inlineStr">
        <is>
          <t>Trae cada concepto de su hoja de origen: el costo auditado de la hoja 03, la provisión estimada y la de obsolescencia de la hoja 10, el mayor y la provisión registrada de la hoja 02 (Parámetros), y las diferencias de las hojas 04, 05, 07, 08, 09, 11 y 12; los netos y el ajuste se calculan con esas filas.</t>
        </is>
      </c>
      <c r="D26" s="24" t="inlineStr">
        <is>
          <t>Fila 1: SUM([«Costo auditado» de «Inventario valorado por ítem», 13 filas]) → 41.016,00</t>
        </is>
      </c>
      <c r="E26" s="24" t="inlineStr">
        <is>
          <t>hoja «Inventario valorado por ítem»</t>
        </is>
      </c>
      <c r="F26" s="24" t="inlineStr">
        <is>
          <t>—</t>
        </is>
      </c>
    </row>
  </sheetData>
  <mergeCells count="3">
    <mergeCell ref="A24:F24"/>
    <mergeCell ref="A2:F2"/>
    <mergeCell ref="A1:F1"/>
  </mergeCells>
  <hyperlinks>
    <hyperlink xmlns:r="http://schemas.openxmlformats.org/officeDocument/2006/relationships" ref="H1" r:id="rId1"/>
    <hyperlink xmlns:r="http://schemas.openxmlformats.org/officeDocument/2006/relationships" ref="I1" r:id="rId2"/>
    <hyperlink xmlns:r="http://schemas.openxmlformats.org/officeDocument/2006/relationships" ref="J1" r:id="rId3"/>
  </hyperlinks>
  <pageMargins left="0.75" right="0.75" top="1" bottom="1" header="0.5" footer="0.5"/>
  <pageSetup orientation="landscape" fitToHeight="0" fitToWidth="1"/>
  <headerFooter>
    <oddHeader/>
    <oddFooter>&amp;LAuditConsulting Auditores Cía. Ltda.&amp;C&amp;RPágina &amp;P de &amp;N</oddFooter>
    <evenHeader/>
    <evenFooter/>
    <firstHeader/>
    <firstFooter/>
  </headerFooter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dimension ref="A1:J14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4" customWidth="1" min="1" max="1"/>
    <col width="24" customWidth="1" min="2" max="2"/>
    <col width="60" customWidth="1" min="3" max="3"/>
  </cols>
  <sheetData>
    <row r="1">
      <c r="A1" s="3" t="inlineStr">
        <is>
          <t>Parámetros</t>
        </is>
      </c>
      <c r="H1" s="14" t="inlineStr">
        <is>
          <t>⟵ Inicio</t>
        </is>
      </c>
      <c r="I1" s="14" t="inlineStr">
        <is>
          <t>◀ Anterior</t>
        </is>
      </c>
      <c r="J1" s="14" t="inlineStr">
        <is>
          <t>Siguiente ▶</t>
        </is>
      </c>
    </row>
    <row r="2">
      <c r="A2" s="15" t="inlineStr">
        <is>
          <t>Inventarios, producción y costo de ventas · Cliente de muestra S.A. · corte 2025-12-31</t>
        </is>
      </c>
      <c r="B2" s="16" t="n"/>
      <c r="C2" s="16" t="n"/>
      <c r="D2" s="16" t="n"/>
      <c r="E2" s="16" t="n"/>
      <c r="F2" s="16" t="n"/>
    </row>
    <row r="4" ht="30" customHeight="1">
      <c r="A4" s="17" t="inlineStr">
        <is>
          <t>Parámetro</t>
        </is>
      </c>
      <c r="B4" s="17" t="inlineStr">
        <is>
          <t>Valor</t>
        </is>
      </c>
      <c r="C4" s="17" t="inlineStr">
        <is>
          <t>Sustento</t>
        </is>
      </c>
    </row>
    <row r="5">
      <c r="A5" s="18" t="inlineStr">
        <is>
          <t>Corte del ejercicio</t>
        </is>
      </c>
      <c r="B5" s="26" t="n">
        <v>46022</v>
      </c>
      <c r="C5" s="18" t="inlineStr">
        <is>
          <t>Ficha del encargo</t>
        </is>
      </c>
    </row>
    <row r="6">
      <c r="A6" s="19" t="inlineStr">
        <is>
          <t>Marco y ruta de cálculo</t>
        </is>
      </c>
      <c r="B6" s="19" t="inlineStr">
        <is>
          <t>NIIF completas · NIC 2</t>
        </is>
      </c>
      <c r="C6" s="19" t="inlineStr">
        <is>
          <t>La medición base es la misma en ambos marcos (menor entre costo y VNR / precio de venta menos costos de terminación y venta); cambian las citas. Ruta por marco: la excepción de NIC 2.32 para materias primas solo existe en NIIF completas; PYMES 13.19 y 27.2-27.4 no la recogen, así que en PYMES la cédula 11 la deniega siempre. PYMES 27.3 agrupa solo si es impracticable; costos por préstamos a gasto (Secc. 25)</t>
        </is>
      </c>
    </row>
    <row r="7">
      <c r="A7" s="18" t="inlineStr">
        <is>
          <t>Tramo 1: días sin movimiento (más de)</t>
        </is>
      </c>
      <c r="B7" s="27" t="n">
        <v>180</v>
      </c>
      <c r="C7" s="18" t="inlineStr">
        <is>
          <t>Política de la entidad o juicio del auditor (NIC 2.28; PYMES 27.2). Los % solo estiman el VNR de los ítems SIN precio de venta (NIC 2.30): con precio informado manda la rebaja a VNR (NIC 2.9; PYMES 13.4)</t>
        </is>
      </c>
    </row>
    <row r="8">
      <c r="A8" s="19" t="inlineStr">
        <is>
          <t>Tramo 1: % de provisión</t>
        </is>
      </c>
      <c r="B8" s="28" t="n">
        <v>25</v>
      </c>
      <c r="C8" s="19" t="inlineStr">
        <is>
          <t>Juicio del auditor con sustento</t>
        </is>
      </c>
    </row>
    <row r="9">
      <c r="A9" s="18" t="inlineStr">
        <is>
          <t>Tramo 2: días sin movimiento (más de)</t>
        </is>
      </c>
      <c r="B9" s="27" t="n">
        <v>365</v>
      </c>
      <c r="C9" s="18" t="inlineStr">
        <is>
          <t>Ídem tramo 1</t>
        </is>
      </c>
    </row>
    <row r="10">
      <c r="A10" s="19" t="inlineStr">
        <is>
          <t>Tramo 2: % de provisión</t>
        </is>
      </c>
      <c r="B10" s="28" t="n">
        <v>50</v>
      </c>
      <c r="C10" s="19" t="inlineStr">
        <is>
          <t>Ídem tramo 1</t>
        </is>
      </c>
    </row>
    <row r="11">
      <c r="A11" s="18" t="inlineStr">
        <is>
          <t>Tramo 3: días sin movimiento (más de)</t>
        </is>
      </c>
      <c r="B11" s="27" t="n">
        <v>730</v>
      </c>
      <c r="C11" s="18" t="inlineStr">
        <is>
          <t>Ídem tramo 1</t>
        </is>
      </c>
    </row>
    <row r="12">
      <c r="A12" s="19" t="inlineStr">
        <is>
          <t>Tramo 3: % de provisión</t>
        </is>
      </c>
      <c r="B12" s="28" t="n">
        <v>100</v>
      </c>
      <c r="C12" s="19" t="inlineStr">
        <is>
          <t>Ídem tramo 1</t>
        </is>
      </c>
    </row>
    <row r="13">
      <c r="A13" s="18" t="inlineStr">
        <is>
          <t>Saldo del inventario según el mayor</t>
        </is>
      </c>
      <c r="B13" s="27" t="n">
        <v>41300</v>
      </c>
      <c r="C13" s="18" t="inlineStr">
        <is>
          <t>Mayor contable (en blanco: se toma el kardex)</t>
        </is>
      </c>
    </row>
    <row r="14">
      <c r="A14" s="19" t="inlineStr">
        <is>
          <t>Provisión registrada (VNR / obsolescencia)</t>
        </is>
      </c>
      <c r="B14" s="28" t="n">
        <v>1000</v>
      </c>
      <c r="C14" s="19" t="inlineStr">
        <is>
          <t>Mayor contable (en blanco: 0)</t>
        </is>
      </c>
    </row>
  </sheetData>
  <mergeCells count="2">
    <mergeCell ref="A2:F2"/>
    <mergeCell ref="A1:F1"/>
  </mergeCells>
  <hyperlinks>
    <hyperlink xmlns:r="http://schemas.openxmlformats.org/officeDocument/2006/relationships" ref="H1" r:id="rId1"/>
    <hyperlink xmlns:r="http://schemas.openxmlformats.org/officeDocument/2006/relationships" ref="I1" r:id="rId2"/>
    <hyperlink xmlns:r="http://schemas.openxmlformats.org/officeDocument/2006/relationships" ref="J1" r:id="rId3"/>
  </hyperlinks>
  <pageMargins left="0.75" right="0.75" top="1" bottom="1" header="0.5" footer="0.5"/>
  <pageSetup orientation="landscape" fitToHeight="0" fitToWidth="1"/>
  <headerFooter>
    <oddHeader/>
    <oddFooter>&amp;LAuditConsulting Auditores Cía. Ltda.&amp;C&amp;RPágina &amp;P de &amp;N</oddFooter>
    <evenHeader/>
    <evenFooter/>
    <firstHeader/>
    <firstFooter/>
  </headerFooter>
</worksheet>
</file>

<file path=xl/worksheets/sheet7.xml><?xml version="1.0" encoding="utf-8"?>
<worksheet xmlns="http://schemas.openxmlformats.org/spreadsheetml/2006/main">
  <sheetPr>
    <outlinePr summaryBelow="1" summaryRight="1"/>
    <pageSetUpPr fitToPage="1"/>
  </sheetPr>
  <dimension ref="A1:T25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2" customWidth="1" min="1" max="1"/>
    <col width="31" customWidth="1" min="2" max="2"/>
    <col width="12" customWidth="1" min="3" max="3"/>
    <col width="17" customWidth="1" min="4" max="4"/>
    <col width="18" customWidth="1" min="5" max="5"/>
    <col width="16" customWidth="1" min="6" max="6"/>
    <col width="14" customWidth="1" min="7" max="7"/>
    <col width="26" customWidth="1" min="8" max="8"/>
    <col width="19" customWidth="1" min="9" max="9"/>
    <col width="17" customWidth="1" min="10" max="10"/>
    <col width="23" customWidth="1" min="11" max="11"/>
    <col width="17" customWidth="1" min="12" max="12"/>
    <col width="19" customWidth="1" min="13" max="13"/>
    <col width="25" customWidth="1" min="14" max="14"/>
    <col width="16" customWidth="1" min="15" max="15"/>
    <col width="17" customWidth="1" min="16" max="16"/>
    <col width="29" customWidth="1" min="17" max="17"/>
    <col width="39" customWidth="1" min="18" max="18"/>
    <col width="40" customWidth="1" min="19" max="19"/>
    <col width="40" customWidth="1" min="20" max="20"/>
  </cols>
  <sheetData>
    <row r="1">
      <c r="A1" s="3" t="inlineStr">
        <is>
          <t>Inventario valorado por ítem</t>
        </is>
      </c>
      <c r="H1" s="14" t="inlineStr">
        <is>
          <t>⟵ Inicio</t>
        </is>
      </c>
      <c r="I1" s="14" t="inlineStr">
        <is>
          <t>◀ Anterior</t>
        </is>
      </c>
      <c r="J1" s="14" t="inlineStr">
        <is>
          <t>Siguiente ▶</t>
        </is>
      </c>
    </row>
    <row r="2">
      <c r="A2" s="15" t="inlineStr">
        <is>
          <t>Inventarios, producción y costo de ventas · Cliente de muestra S.A. · corte 2025-12-31</t>
        </is>
      </c>
      <c r="B2" s="16" t="n"/>
      <c r="C2" s="16" t="n"/>
      <c r="D2" s="16" t="n"/>
      <c r="E2" s="16" t="n"/>
      <c r="F2" s="16" t="n"/>
      <c r="G2" s="16" t="n"/>
      <c r="H2" s="16" t="n"/>
      <c r="I2" s="16" t="n"/>
      <c r="J2" s="16" t="n"/>
      <c r="K2" s="16" t="n"/>
      <c r="L2" s="16" t="n"/>
      <c r="M2" s="16" t="n"/>
      <c r="N2" s="16" t="n"/>
      <c r="O2" s="16" t="n"/>
      <c r="P2" s="16" t="n"/>
      <c r="Q2" s="16" t="n"/>
      <c r="R2" s="16" t="n"/>
      <c r="S2" s="16" t="n"/>
      <c r="T2" s="16" t="n"/>
    </row>
    <row r="4" ht="30" customHeight="1">
      <c r="A4" s="17" t="inlineStr">
        <is>
          <t>Código</t>
        </is>
      </c>
      <c r="B4" s="17" t="inlineStr">
        <is>
          <t>Descripción</t>
        </is>
      </c>
      <c r="C4" s="17" t="inlineStr">
        <is>
          <t>Bodega</t>
        </is>
      </c>
      <c r="D4" s="17" t="inlineStr">
        <is>
          <t>Cantidad kardex</t>
        </is>
      </c>
      <c r="E4" s="17" t="inlineStr">
        <is>
          <t>Cantidad contada</t>
        </is>
      </c>
      <c r="F4" s="17" t="inlineStr">
        <is>
          <t>Costo unitario</t>
        </is>
      </c>
      <c r="G4" s="17" t="inlineStr">
        <is>
          <t>Valor kardex</t>
        </is>
      </c>
      <c r="H4" s="17" t="inlineStr">
        <is>
          <t>Costo unitario soportado</t>
        </is>
      </c>
      <c r="I4" s="17" t="inlineStr">
        <is>
          <t>Último movimiento</t>
        </is>
      </c>
      <c r="J4" s="17" t="inlineStr">
        <is>
          <t>Precio de venta</t>
        </is>
      </c>
      <c r="K4" s="17" t="inlineStr">
        <is>
          <t>Costos de terminación</t>
        </is>
      </c>
      <c r="L4" s="17" t="inlineStr">
        <is>
          <t>Costos de venta</t>
        </is>
      </c>
      <c r="M4" s="17" t="inlineStr">
        <is>
          <t>Cantidad auditada</t>
        </is>
      </c>
      <c r="N4" s="17" t="inlineStr">
        <is>
          <t>Costo unitario auditado</t>
        </is>
      </c>
      <c r="O4" s="17" t="inlineStr">
        <is>
          <t>Costo auditado</t>
        </is>
      </c>
      <c r="P4" s="17" t="inlineStr">
        <is>
          <t>¿Materia prima?</t>
        </is>
      </c>
      <c r="Q4" s="17" t="inlineStr">
        <is>
          <t>Producto terminado asociado</t>
        </is>
      </c>
      <c r="R4" s="17" t="inlineStr">
        <is>
          <t>Costo esperado del producto terminado</t>
        </is>
      </c>
      <c r="S4" s="17" t="inlineStr">
        <is>
          <t>Precio esperado del producto terminado</t>
        </is>
      </c>
      <c r="T4" s="17" t="inlineStr">
        <is>
          <t>Margen esperado del producto terminado</t>
        </is>
      </c>
    </row>
    <row r="5">
      <c r="A5" s="18" t="inlineStr">
        <is>
          <t>A-001</t>
        </is>
      </c>
      <c r="B5" s="18" t="inlineStr">
        <is>
          <t>Tornillo 1/4</t>
        </is>
      </c>
      <c r="C5" s="18" t="inlineStr">
        <is>
          <t>BOD1</t>
        </is>
      </c>
      <c r="D5" s="20" t="n">
        <v>1000</v>
      </c>
      <c r="E5" s="20" t="n">
        <v>1000</v>
      </c>
      <c r="F5" s="20" t="n">
        <v>2.5</v>
      </c>
      <c r="G5" s="20" t="n">
        <v>2500</v>
      </c>
      <c r="H5" s="20" t="n"/>
      <c r="I5" s="29" t="n">
        <v>46001</v>
      </c>
      <c r="J5" s="20" t="n">
        <v>4</v>
      </c>
      <c r="K5" s="20" t="n"/>
      <c r="L5" s="20" t="n">
        <v>0.3</v>
      </c>
      <c r="M5" s="20">
        <f>IF(E5&lt;&gt;"",E5,D5)</f>
        <v/>
      </c>
      <c r="N5" s="20">
        <f>IF(H5&lt;&gt;"",H5,F5)</f>
        <v/>
      </c>
      <c r="O5" s="20">
        <f>M5*N5</f>
        <v/>
      </c>
      <c r="P5" s="18" t="inlineStr">
        <is>
          <t>No</t>
        </is>
      </c>
      <c r="Q5" s="18" t="n"/>
      <c r="R5" s="20" t="n"/>
      <c r="S5" s="20" t="n"/>
      <c r="T5" s="20">
        <f>IF(OR(R5="",S5=""),"",S5-R5)</f>
        <v/>
      </c>
    </row>
    <row r="6">
      <c r="A6" s="19" t="inlineStr">
        <is>
          <t>A-002</t>
        </is>
      </c>
      <c r="B6" s="19" t="inlineStr">
        <is>
          <t>Tuerca 1/4</t>
        </is>
      </c>
      <c r="C6" s="19" t="inlineStr">
        <is>
          <t>BOD1</t>
        </is>
      </c>
      <c r="D6" s="21" t="n">
        <v>500</v>
      </c>
      <c r="E6" s="21" t="n">
        <v>480</v>
      </c>
      <c r="F6" s="21" t="n">
        <v>1.2</v>
      </c>
      <c r="G6" s="21" t="n">
        <v>600</v>
      </c>
      <c r="H6" s="21" t="n"/>
      <c r="I6" s="30" t="n">
        <v>45991</v>
      </c>
      <c r="J6" s="21" t="n">
        <v>2</v>
      </c>
      <c r="K6" s="21" t="n"/>
      <c r="L6" s="21" t="n">
        <v>0.1</v>
      </c>
      <c r="M6" s="21">
        <f>IF(E6&lt;&gt;"",E6,D6)</f>
        <v/>
      </c>
      <c r="N6" s="21">
        <f>IF(H6&lt;&gt;"",H6,F6)</f>
        <v/>
      </c>
      <c r="O6" s="21">
        <f>M6*N6</f>
        <v/>
      </c>
      <c r="P6" s="19" t="inlineStr">
        <is>
          <t>No</t>
        </is>
      </c>
      <c r="Q6" s="19" t="n"/>
      <c r="R6" s="21" t="n"/>
      <c r="S6" s="21" t="n"/>
      <c r="T6" s="21">
        <f>IF(OR(R6="",S6=""),"",S6-R6)</f>
        <v/>
      </c>
    </row>
    <row r="7">
      <c r="A7" s="18" t="inlineStr">
        <is>
          <t>A-003</t>
        </is>
      </c>
      <c r="B7" s="18" t="inlineStr">
        <is>
          <t>Arandela</t>
        </is>
      </c>
      <c r="C7" s="18" t="inlineStr">
        <is>
          <t>BOD1</t>
        </is>
      </c>
      <c r="D7" s="20" t="n">
        <v>2000</v>
      </c>
      <c r="E7" s="20" t="n">
        <v>2000</v>
      </c>
      <c r="F7" s="20" t="n">
        <v>0.5</v>
      </c>
      <c r="G7" s="20" t="n">
        <v>1000</v>
      </c>
      <c r="H7" s="20" t="n">
        <v>0.55</v>
      </c>
      <c r="I7" s="29" t="n">
        <v>46011</v>
      </c>
      <c r="J7" s="20" t="n">
        <v>0.9</v>
      </c>
      <c r="K7" s="20" t="n"/>
      <c r="L7" s="20" t="n"/>
      <c r="M7" s="20">
        <f>IF(E7&lt;&gt;"",E7,D7)</f>
        <v/>
      </c>
      <c r="N7" s="20">
        <f>IF(H7&lt;&gt;"",H7,F7)</f>
        <v/>
      </c>
      <c r="O7" s="20">
        <f>M7*N7</f>
        <v/>
      </c>
      <c r="P7" s="18" t="inlineStr">
        <is>
          <t>No</t>
        </is>
      </c>
      <c r="Q7" s="18" t="n"/>
      <c r="R7" s="20" t="n"/>
      <c r="S7" s="20" t="n"/>
      <c r="T7" s="20">
        <f>IF(OR(R7="",S7=""),"",S7-R7)</f>
        <v/>
      </c>
    </row>
    <row r="8">
      <c r="A8" s="19" t="inlineStr">
        <is>
          <t>B-010</t>
        </is>
      </c>
      <c r="B8" s="19" t="inlineStr">
        <is>
          <t>Motor 2 HP</t>
        </is>
      </c>
      <c r="C8" s="19" t="inlineStr">
        <is>
          <t>BOD2</t>
        </is>
      </c>
      <c r="D8" s="21" t="n">
        <v>10</v>
      </c>
      <c r="E8" s="21" t="n">
        <v>10</v>
      </c>
      <c r="F8" s="21" t="n">
        <v>350</v>
      </c>
      <c r="G8" s="21" t="n">
        <v>3600</v>
      </c>
      <c r="H8" s="21" t="n"/>
      <c r="I8" s="30" t="n">
        <v>45945</v>
      </c>
      <c r="J8" s="21" t="n">
        <v>300</v>
      </c>
      <c r="K8" s="21" t="n">
        <v>20</v>
      </c>
      <c r="L8" s="21" t="n">
        <v>15</v>
      </c>
      <c r="M8" s="21">
        <f>IF(E8&lt;&gt;"",E8,D8)</f>
        <v/>
      </c>
      <c r="N8" s="21">
        <f>IF(H8&lt;&gt;"",H8,F8)</f>
        <v/>
      </c>
      <c r="O8" s="21">
        <f>M8*N8</f>
        <v/>
      </c>
      <c r="P8" s="19" t="inlineStr">
        <is>
          <t>No</t>
        </is>
      </c>
      <c r="Q8" s="19" t="n"/>
      <c r="R8" s="21" t="n"/>
      <c r="S8" s="21" t="n"/>
      <c r="T8" s="21">
        <f>IF(OR(R8="",S8=""),"",S8-R8)</f>
        <v/>
      </c>
    </row>
    <row r="9">
      <c r="A9" s="18" t="inlineStr">
        <is>
          <t>B-011</t>
        </is>
      </c>
      <c r="B9" s="18" t="inlineStr">
        <is>
          <t>Bomba centrífuga</t>
        </is>
      </c>
      <c r="C9" s="18" t="inlineStr">
        <is>
          <t>BOD2</t>
        </is>
      </c>
      <c r="D9" s="20" t="n">
        <v>4</v>
      </c>
      <c r="E9" s="20" t="n">
        <v>4</v>
      </c>
      <c r="F9" s="20" t="n">
        <v>800</v>
      </c>
      <c r="G9" s="20" t="n">
        <v>3200</v>
      </c>
      <c r="H9" s="20" t="n"/>
      <c r="I9" s="29" t="n">
        <v>45717</v>
      </c>
      <c r="J9" s="20" t="n">
        <v>1200</v>
      </c>
      <c r="K9" s="20" t="n"/>
      <c r="L9" s="20" t="n">
        <v>50</v>
      </c>
      <c r="M9" s="20">
        <f>IF(E9&lt;&gt;"",E9,D9)</f>
        <v/>
      </c>
      <c r="N9" s="20">
        <f>IF(H9&lt;&gt;"",H9,F9)</f>
        <v/>
      </c>
      <c r="O9" s="20">
        <f>M9*N9</f>
        <v/>
      </c>
      <c r="P9" s="18" t="inlineStr">
        <is>
          <t>No</t>
        </is>
      </c>
      <c r="Q9" s="18" t="n"/>
      <c r="R9" s="20" t="n"/>
      <c r="S9" s="20" t="n"/>
      <c r="T9" s="20">
        <f>IF(OR(R9="",S9=""),"",S9-R9)</f>
        <v/>
      </c>
    </row>
    <row r="10">
      <c r="A10" s="19" t="inlineStr">
        <is>
          <t>B-012</t>
        </is>
      </c>
      <c r="B10" s="19" t="inlineStr">
        <is>
          <t>Válvula 2"</t>
        </is>
      </c>
      <c r="C10" s="19" t="inlineStr">
        <is>
          <t>BOD2</t>
        </is>
      </c>
      <c r="D10" s="21" t="n">
        <v>20</v>
      </c>
      <c r="E10" s="21" t="n"/>
      <c r="F10" s="21" t="n">
        <v>45</v>
      </c>
      <c r="G10" s="21" t="n">
        <v>900</v>
      </c>
      <c r="H10" s="21" t="n"/>
      <c r="I10" s="30" t="n">
        <v>45473</v>
      </c>
      <c r="J10" s="21" t="n">
        <v>70</v>
      </c>
      <c r="K10" s="21" t="n"/>
      <c r="L10" s="21" t="n"/>
      <c r="M10" s="21">
        <f>IF(E10&lt;&gt;"",E10,D10)</f>
        <v/>
      </c>
      <c r="N10" s="21">
        <f>IF(H10&lt;&gt;"",H10,F10)</f>
        <v/>
      </c>
      <c r="O10" s="21">
        <f>M10*N10</f>
        <v/>
      </c>
      <c r="P10" s="19" t="inlineStr">
        <is>
          <t>No</t>
        </is>
      </c>
      <c r="Q10" s="19" t="n"/>
      <c r="R10" s="21" t="n"/>
      <c r="S10" s="21" t="n"/>
      <c r="T10" s="21">
        <f>IF(OR(R10="",S10=""),"",S10-R10)</f>
        <v/>
      </c>
    </row>
    <row r="11">
      <c r="A11" s="18" t="inlineStr">
        <is>
          <t>C-100</t>
        </is>
      </c>
      <c r="B11" s="18" t="inlineStr">
        <is>
          <t>Repuesto modelo descontinuado</t>
        </is>
      </c>
      <c r="C11" s="18" t="inlineStr">
        <is>
          <t>BOD3</t>
        </is>
      </c>
      <c r="D11" s="20" t="n">
        <v>15</v>
      </c>
      <c r="E11" s="20" t="n">
        <v>15</v>
      </c>
      <c r="F11" s="20" t="n">
        <v>120</v>
      </c>
      <c r="G11" s="20" t="n">
        <v>1800</v>
      </c>
      <c r="H11" s="20" t="n"/>
      <c r="I11" s="29" t="n">
        <v>45077</v>
      </c>
      <c r="J11" s="20" t="n"/>
      <c r="K11" s="20" t="n"/>
      <c r="L11" s="20" t="n"/>
      <c r="M11" s="20">
        <f>IF(E11&lt;&gt;"",E11,D11)</f>
        <v/>
      </c>
      <c r="N11" s="20">
        <f>IF(H11&lt;&gt;"",H11,F11)</f>
        <v/>
      </c>
      <c r="O11" s="20">
        <f>M11*N11</f>
        <v/>
      </c>
      <c r="P11" s="18" t="inlineStr">
        <is>
          <t>No</t>
        </is>
      </c>
      <c r="Q11" s="18" t="n"/>
      <c r="R11" s="20" t="n"/>
      <c r="S11" s="20" t="n"/>
      <c r="T11" s="20">
        <f>IF(OR(R11="",S11=""),"",S11-R11)</f>
        <v/>
      </c>
    </row>
    <row r="12">
      <c r="A12" s="19" t="inlineStr">
        <is>
          <t>C-101</t>
        </is>
      </c>
      <c r="B12" s="19" t="inlineStr">
        <is>
          <t>Producto terminado X</t>
        </is>
      </c>
      <c r="C12" s="19" t="inlineStr">
        <is>
          <t>BOD3</t>
        </is>
      </c>
      <c r="D12" s="21" t="n">
        <v>300</v>
      </c>
      <c r="E12" s="21" t="n">
        <v>305</v>
      </c>
      <c r="F12" s="21" t="n">
        <v>18</v>
      </c>
      <c r="G12" s="21" t="n">
        <v>5400</v>
      </c>
      <c r="H12" s="21" t="n"/>
      <c r="I12" s="30" t="n">
        <v>46019</v>
      </c>
      <c r="J12" s="21" t="n">
        <v>25</v>
      </c>
      <c r="K12" s="21" t="n"/>
      <c r="L12" s="21" t="n">
        <v>2</v>
      </c>
      <c r="M12" s="21">
        <f>IF(E12&lt;&gt;"",E12,D12)</f>
        <v/>
      </c>
      <c r="N12" s="21">
        <f>IF(H12&lt;&gt;"",H12,F12)</f>
        <v/>
      </c>
      <c r="O12" s="21">
        <f>M12*N12</f>
        <v/>
      </c>
      <c r="P12" s="19" t="inlineStr">
        <is>
          <t>No</t>
        </is>
      </c>
      <c r="Q12" s="19" t="n"/>
      <c r="R12" s="21" t="n"/>
      <c r="S12" s="21" t="n"/>
      <c r="T12" s="21">
        <f>IF(OR(R12="",S12=""),"",S12-R12)</f>
        <v/>
      </c>
    </row>
    <row r="13">
      <c r="A13" s="18" t="inlineStr">
        <is>
          <t>C-102</t>
        </is>
      </c>
      <c r="B13" s="18" t="inlineStr">
        <is>
          <t>Producto terminado Y</t>
        </is>
      </c>
      <c r="C13" s="18" t="inlineStr">
        <is>
          <t>BOD3</t>
        </is>
      </c>
      <c r="D13" s="20" t="n">
        <v>150</v>
      </c>
      <c r="E13" s="20" t="n">
        <v>150</v>
      </c>
      <c r="F13" s="20" t="n">
        <v>30</v>
      </c>
      <c r="G13" s="20" t="n">
        <v>4500</v>
      </c>
      <c r="H13" s="20" t="n"/>
      <c r="I13" s="29" t="n">
        <v>46006</v>
      </c>
      <c r="J13" s="20" t="n">
        <v>28</v>
      </c>
      <c r="K13" s="20" t="n"/>
      <c r="L13" s="20" t="n">
        <v>1.5</v>
      </c>
      <c r="M13" s="20">
        <f>IF(E13&lt;&gt;"",E13,D13)</f>
        <v/>
      </c>
      <c r="N13" s="20">
        <f>IF(H13&lt;&gt;"",H13,F13)</f>
        <v/>
      </c>
      <c r="O13" s="20">
        <f>M13*N13</f>
        <v/>
      </c>
      <c r="P13" s="18" t="inlineStr">
        <is>
          <t>No</t>
        </is>
      </c>
      <c r="Q13" s="18" t="n"/>
      <c r="R13" s="20" t="n"/>
      <c r="S13" s="20" t="n"/>
      <c r="T13" s="20">
        <f>IF(OR(R13="",S13=""),"",S13-R13)</f>
        <v/>
      </c>
    </row>
    <row r="14">
      <c r="A14" s="19" t="inlineStr">
        <is>
          <t>D-200</t>
        </is>
      </c>
      <c r="B14" s="19" t="inlineStr">
        <is>
          <t>Materia prima Z</t>
        </is>
      </c>
      <c r="C14" s="19" t="inlineStr">
        <is>
          <t>BOD4</t>
        </is>
      </c>
      <c r="D14" s="21" t="n">
        <v>800</v>
      </c>
      <c r="E14" s="21" t="n">
        <v>790</v>
      </c>
      <c r="F14" s="21" t="n">
        <v>5</v>
      </c>
      <c r="G14" s="21" t="n">
        <v>4000</v>
      </c>
      <c r="H14" s="21" t="n"/>
      <c r="I14" s="30" t="n">
        <v>45996</v>
      </c>
      <c r="J14" s="21" t="n">
        <v>7</v>
      </c>
      <c r="K14" s="21" t="n">
        <v>1.5</v>
      </c>
      <c r="L14" s="21" t="n"/>
      <c r="M14" s="21">
        <f>IF(E14&lt;&gt;"",E14,D14)</f>
        <v/>
      </c>
      <c r="N14" s="21">
        <f>IF(H14&lt;&gt;"",H14,F14)</f>
        <v/>
      </c>
      <c r="O14" s="21">
        <f>M14*N14</f>
        <v/>
      </c>
      <c r="P14" s="19" t="inlineStr">
        <is>
          <t>Sí</t>
        </is>
      </c>
      <c r="Q14" s="19" t="inlineStr">
        <is>
          <t>Ensamble Z-1</t>
        </is>
      </c>
      <c r="R14" s="21" t="n">
        <v>60</v>
      </c>
      <c r="S14" s="21" t="n">
        <v>72</v>
      </c>
      <c r="T14" s="21">
        <f>IF(OR(R14="",S14=""),"",S14-R14)</f>
        <v/>
      </c>
    </row>
    <row r="15">
      <c r="A15" s="18" t="inlineStr">
        <is>
          <t>E-300</t>
        </is>
      </c>
      <c r="B15" s="18" t="inlineStr">
        <is>
          <t>Lámina de acero</t>
        </is>
      </c>
      <c r="C15" s="18" t="inlineStr">
        <is>
          <t>BOD4</t>
        </is>
      </c>
      <c r="D15" s="20" t="n">
        <v>200</v>
      </c>
      <c r="E15" s="20" t="n">
        <v>200</v>
      </c>
      <c r="F15" s="20" t="n">
        <v>40</v>
      </c>
      <c r="G15" s="20" t="n">
        <v>8000</v>
      </c>
      <c r="H15" s="20" t="n"/>
      <c r="I15" s="29" t="n">
        <v>45981</v>
      </c>
      <c r="J15" s="20" t="n">
        <v>34</v>
      </c>
      <c r="K15" s="20" t="n"/>
      <c r="L15" s="20" t="n">
        <v>1</v>
      </c>
      <c r="M15" s="20">
        <f>IF(E15&lt;&gt;"",E15,D15)</f>
        <v/>
      </c>
      <c r="N15" s="20">
        <f>IF(H15&lt;&gt;"",H15,F15)</f>
        <v/>
      </c>
      <c r="O15" s="20">
        <f>M15*N15</f>
        <v/>
      </c>
      <c r="P15" s="18" t="inlineStr">
        <is>
          <t>Sí</t>
        </is>
      </c>
      <c r="Q15" s="18" t="inlineStr">
        <is>
          <t>Tanque 200 L</t>
        </is>
      </c>
      <c r="R15" s="20" t="n">
        <v>300</v>
      </c>
      <c r="S15" s="20" t="n">
        <v>330</v>
      </c>
      <c r="T15" s="20">
        <f>IF(OR(R15="",S15=""),"",S15-R15)</f>
        <v/>
      </c>
    </row>
    <row r="16">
      <c r="A16" s="19" t="inlineStr">
        <is>
          <t>E-301</t>
        </is>
      </c>
      <c r="B16" s="19" t="inlineStr">
        <is>
          <t>Perfil de aluminio</t>
        </is>
      </c>
      <c r="C16" s="19" t="inlineStr">
        <is>
          <t>BOD4</t>
        </is>
      </c>
      <c r="D16" s="21" t="n">
        <v>100</v>
      </c>
      <c r="E16" s="21" t="n">
        <v>100</v>
      </c>
      <c r="F16" s="21" t="n">
        <v>25</v>
      </c>
      <c r="G16" s="21" t="n">
        <v>2500</v>
      </c>
      <c r="H16" s="21" t="n"/>
      <c r="I16" s="30" t="n">
        <v>45992</v>
      </c>
      <c r="J16" s="21" t="n">
        <v>20</v>
      </c>
      <c r="K16" s="21" t="n"/>
      <c r="L16" s="21" t="n"/>
      <c r="M16" s="21">
        <f>IF(E16&lt;&gt;"",E16,D16)</f>
        <v/>
      </c>
      <c r="N16" s="21">
        <f>IF(H16&lt;&gt;"",H16,F16)</f>
        <v/>
      </c>
      <c r="O16" s="21">
        <f>M16*N16</f>
        <v/>
      </c>
      <c r="P16" s="19" t="inlineStr">
        <is>
          <t>Sí</t>
        </is>
      </c>
      <c r="Q16" s="19" t="inlineStr">
        <is>
          <t>Estructura AL-2</t>
        </is>
      </c>
      <c r="R16" s="21" t="n">
        <v>600</v>
      </c>
      <c r="S16" s="21" t="n">
        <v>560</v>
      </c>
      <c r="T16" s="21">
        <f>IF(OR(R16="",S16=""),"",S16-R16)</f>
        <v/>
      </c>
    </row>
    <row r="17">
      <c r="A17" s="18" t="inlineStr">
        <is>
          <t>E-302</t>
        </is>
      </c>
      <c r="B17" s="18" t="inlineStr">
        <is>
          <t>Resina industrial</t>
        </is>
      </c>
      <c r="C17" s="18" t="inlineStr">
        <is>
          <t>BOD4</t>
        </is>
      </c>
      <c r="D17" s="20" t="n">
        <v>50</v>
      </c>
      <c r="E17" s="20" t="n">
        <v>50</v>
      </c>
      <c r="F17" s="20" t="n">
        <v>60</v>
      </c>
      <c r="G17" s="20" t="n">
        <v>3000</v>
      </c>
      <c r="H17" s="20" t="n"/>
      <c r="I17" s="29" t="n">
        <v>45999</v>
      </c>
      <c r="J17" s="20" t="n">
        <v>52</v>
      </c>
      <c r="K17" s="20" t="n"/>
      <c r="L17" s="20" t="n">
        <v>2</v>
      </c>
      <c r="M17" s="20">
        <f>IF(E17&lt;&gt;"",E17,D17)</f>
        <v/>
      </c>
      <c r="N17" s="20">
        <f>IF(H17&lt;&gt;"",H17,F17)</f>
        <v/>
      </c>
      <c r="O17" s="20">
        <f>M17*N17</f>
        <v/>
      </c>
      <c r="P17" s="18" t="inlineStr">
        <is>
          <t>Sí</t>
        </is>
      </c>
      <c r="Q17" s="18" t="inlineStr">
        <is>
          <t>Envase EX-9</t>
        </is>
      </c>
      <c r="R17" s="20" t="n"/>
      <c r="S17" s="20" t="n"/>
      <c r="T17" s="20">
        <f>IF(OR(R17="",S17=""),"",S17-R17)</f>
        <v/>
      </c>
    </row>
    <row r="18">
      <c r="A18" s="31" t="inlineStr">
        <is>
          <t>TOTAL</t>
        </is>
      </c>
      <c r="B18" s="31" t="inlineStr"/>
      <c r="C18" s="31" t="inlineStr"/>
      <c r="D18" s="32" t="n"/>
      <c r="E18" s="32" t="n"/>
      <c r="F18" s="32" t="n"/>
      <c r="G18" s="32">
        <f>SUM(G5:G17)</f>
        <v/>
      </c>
      <c r="H18" s="32" t="n"/>
      <c r="I18" s="33" t="n"/>
      <c r="J18" s="32" t="n"/>
      <c r="K18" s="32" t="n"/>
      <c r="L18" s="32" t="n"/>
      <c r="M18" s="32" t="n"/>
      <c r="N18" s="32" t="n"/>
      <c r="O18" s="32">
        <f>SUM(O5:O17)</f>
        <v/>
      </c>
      <c r="P18" s="31" t="inlineStr"/>
      <c r="Q18" s="31" t="inlineStr"/>
      <c r="R18" s="32" t="n"/>
      <c r="S18" s="32" t="n"/>
      <c r="T18" s="32" t="n"/>
    </row>
    <row r="20">
      <c r="A20" s="22" t="inlineStr">
        <is>
          <t>ⓘ  Cómo se calcula esta hoja</t>
        </is>
      </c>
    </row>
    <row r="21">
      <c r="A21" s="23" t="inlineStr">
        <is>
          <t>Columna</t>
        </is>
      </c>
      <c r="B21" s="23" t="inlineStr">
        <is>
          <t>Fórmula (Excel)</t>
        </is>
      </c>
      <c r="C21" s="23" t="inlineStr">
        <is>
          <t>Cómo se calcula (sencillo)</t>
        </is>
      </c>
      <c r="D21" s="23" t="inlineStr">
        <is>
          <t>Ejemplo con números reales</t>
        </is>
      </c>
      <c r="E21" s="23" t="inlineStr">
        <is>
          <t>De dónde viene</t>
        </is>
      </c>
      <c r="F21" s="23" t="inlineStr">
        <is>
          <t>Norma</t>
        </is>
      </c>
    </row>
    <row r="22">
      <c r="A22" s="24" t="inlineStr">
        <is>
          <t>Cantidad auditada</t>
        </is>
      </c>
      <c r="B22" s="25" t="inlineStr">
        <is>
          <t>'=IF(E5&lt;&gt;"",E5,D5)</t>
        </is>
      </c>
      <c r="C22" s="24" t="inlineStr">
        <is>
          <t>Usa la cantidad contada por el auditor; si el ítem no se contó (celda vacía), toma la cantidad del kardex.</t>
        </is>
      </c>
      <c r="D22" s="24" t="inlineStr">
        <is>
          <t>Fila 1: IF(1.000,00&lt;&gt;""; 1.000,00; 1.000,00) → 1.000,00</t>
        </is>
      </c>
      <c r="E22" s="24" t="inlineStr">
        <is>
          <t>«Cantidad contada» (esta hoja), «Cantidad kardex» (esta hoja)</t>
        </is>
      </c>
      <c r="F22" s="24" t="inlineStr">
        <is>
          <t>—</t>
        </is>
      </c>
    </row>
    <row r="23">
      <c r="A23" s="24" t="inlineStr">
        <is>
          <t>Costo unitario auditado</t>
        </is>
      </c>
      <c r="B23" s="25" t="inlineStr">
        <is>
          <t>'=IF(H5&lt;&gt;"",H5,F5)</t>
        </is>
      </c>
      <c r="C23" s="24" t="inlineStr">
        <is>
          <t>Usa el costo unitario soportado por el auditor (factura o costeo); si no hay soporte, toma el costo unitario registrado en el kardex.</t>
        </is>
      </c>
      <c r="D23" s="24" t="inlineStr">
        <is>
          <t>Fila 1: IF((vacío)&lt;&gt;""; (vacío); 2,50) → 2,50</t>
        </is>
      </c>
      <c r="E23" s="24" t="inlineStr">
        <is>
          <t>«Costo unitario soportado» (esta hoja), «Costo unitario» (esta hoja)</t>
        </is>
      </c>
      <c r="F23" s="24" t="inlineStr">
        <is>
          <t>—</t>
        </is>
      </c>
    </row>
    <row r="24">
      <c r="A24" s="24" t="inlineStr">
        <is>
          <t>Costo auditado</t>
        </is>
      </c>
      <c r="B24" s="25" t="inlineStr">
        <is>
          <t>'=M5*N5</t>
        </is>
      </c>
      <c r="C24" s="24" t="inlineStr">
        <is>
          <t>Multiplica la cantidad auditada por el costo unitario auditado: es el valor del ítem que el auditor acepta.</t>
        </is>
      </c>
      <c r="D24" s="24" t="inlineStr">
        <is>
          <t>Fila 1: 1.000,00*2,50 → 2.500,00</t>
        </is>
      </c>
      <c r="E24" s="24" t="inlineStr">
        <is>
          <t>«Cantidad auditada» (esta hoja), «Costo unitario auditado» (esta hoja)</t>
        </is>
      </c>
      <c r="F24" s="24" t="inlineStr">
        <is>
          <t>—</t>
        </is>
      </c>
    </row>
    <row r="25">
      <c r="A25" s="24" t="inlineStr">
        <is>
          <t>Margen esperado del producto terminado</t>
        </is>
      </c>
      <c r="B25" s="25" t="inlineStr">
        <is>
          <t>'=IF(OR(R5="",S5=""),"",S5-R5)</t>
        </is>
      </c>
      <c r="C25" s="24" t="inlineStr">
        <is>
          <t>Precio esperado menos costo esperado del producto terminado al que se incorpora la materia prima; queda en blanco si falta alguno de los dos datos.</t>
        </is>
      </c>
      <c r="D25" s="24" t="inlineStr">
        <is>
          <t>Fila 1: IF(OR((vacío)=""; (vacío)=""); ""; (vacío)-(vacío)) → (en blanco)</t>
        </is>
      </c>
      <c r="E25" s="24" t="inlineStr">
        <is>
          <t>«Costo esperado del producto terminado» (esta hoja), «Precio esperado del producto terminado» (esta hoja)</t>
        </is>
      </c>
      <c r="F25" s="24" t="inlineStr">
        <is>
          <t>—</t>
        </is>
      </c>
    </row>
  </sheetData>
  <mergeCells count="3">
    <mergeCell ref="A20:F20"/>
    <mergeCell ref="A2:F2"/>
    <mergeCell ref="A1:F1"/>
  </mergeCells>
  <hyperlinks>
    <hyperlink xmlns:r="http://schemas.openxmlformats.org/officeDocument/2006/relationships" ref="H1" r:id="rId1"/>
    <hyperlink xmlns:r="http://schemas.openxmlformats.org/officeDocument/2006/relationships" ref="I1" r:id="rId2"/>
    <hyperlink xmlns:r="http://schemas.openxmlformats.org/officeDocument/2006/relationships" ref="J1" r:id="rId3"/>
  </hyperlinks>
  <pageMargins left="0.75" right="0.75" top="1" bottom="1" header="0.5" footer="0.5"/>
  <pageSetup orientation="landscape" fitToHeight="0" fitToWidth="1"/>
  <headerFooter>
    <oddHeader/>
    <oddFooter>&amp;LAuditConsulting Auditores Cía. Ltda.&amp;C&amp;RPágina &amp;P de &amp;N</oddFooter>
    <evenHeader/>
    <evenFooter/>
    <firstHeader/>
    <firstFooter/>
  </headerFooter>
</worksheet>
</file>

<file path=xl/worksheets/sheet8.xml><?xml version="1.0" encoding="utf-8"?>
<worksheet xmlns="http://schemas.openxmlformats.org/spreadsheetml/2006/main">
  <sheetPr>
    <outlinePr summaryBelow="1" summaryRight="1"/>
    <pageSetUpPr fitToPage="1"/>
  </sheetPr>
  <dimension ref="A1:J26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2" customWidth="1" min="1" max="1"/>
    <col width="31" customWidth="1" min="2" max="2"/>
    <col width="12" customWidth="1" min="3" max="3"/>
    <col width="17" customWidth="1" min="4" max="4"/>
    <col width="18" customWidth="1" min="5" max="5"/>
    <col width="23" customWidth="1" min="6" max="6"/>
    <col width="16" customWidth="1" min="7" max="7"/>
    <col width="23" customWidth="1" min="8" max="8"/>
  </cols>
  <sheetData>
    <row r="1">
      <c r="A1" s="3" t="inlineStr">
        <is>
          <t>Existencia: conteo vs kardex</t>
        </is>
      </c>
      <c r="H1" s="14" t="inlineStr">
        <is>
          <t>⟵ Inicio</t>
        </is>
      </c>
      <c r="I1" s="14" t="inlineStr">
        <is>
          <t>◀ Anterior</t>
        </is>
      </c>
      <c r="J1" s="14" t="inlineStr">
        <is>
          <t>Siguiente ▶</t>
        </is>
      </c>
    </row>
    <row r="2">
      <c r="A2" s="15" t="inlineStr">
        <is>
          <t>Inventarios, producción y costo de ventas · Cliente de muestra S.A. · corte 2025-12-31</t>
        </is>
      </c>
      <c r="B2" s="16" t="n"/>
      <c r="C2" s="16" t="n"/>
      <c r="D2" s="16" t="n"/>
      <c r="E2" s="16" t="n"/>
      <c r="F2" s="16" t="n"/>
      <c r="G2" s="16" t="n"/>
      <c r="H2" s="16" t="n"/>
    </row>
    <row r="4" ht="30" customHeight="1">
      <c r="A4" s="17" t="inlineStr">
        <is>
          <t>Código</t>
        </is>
      </c>
      <c r="B4" s="17" t="inlineStr">
        <is>
          <t>Descripción</t>
        </is>
      </c>
      <c r="C4" s="17" t="inlineStr">
        <is>
          <t>Bodega</t>
        </is>
      </c>
      <c r="D4" s="17" t="inlineStr">
        <is>
          <t>Cantidad kardex</t>
        </is>
      </c>
      <c r="E4" s="17" t="inlineStr">
        <is>
          <t>Cantidad contada</t>
        </is>
      </c>
      <c r="F4" s="17" t="inlineStr">
        <is>
          <t>Diferencia (unidades)</t>
        </is>
      </c>
      <c r="G4" s="17" t="inlineStr">
        <is>
          <t>Costo unitario</t>
        </is>
      </c>
      <c r="H4" s="17" t="inlineStr">
        <is>
          <t>Diferencia valorizada</t>
        </is>
      </c>
    </row>
    <row r="5">
      <c r="A5" s="18" t="inlineStr">
        <is>
          <t>A-001</t>
        </is>
      </c>
      <c r="B5" s="18" t="inlineStr">
        <is>
          <t>Tornillo 1/4</t>
        </is>
      </c>
      <c r="C5" s="18" t="inlineStr">
        <is>
          <t>BOD1</t>
        </is>
      </c>
      <c r="D5" s="20">
        <f>'03_Inventario'!D5</f>
        <v/>
      </c>
      <c r="E5" s="20">
        <f>IF('03_Inventario'!E5="","",'03_Inventario'!E5)</f>
        <v/>
      </c>
      <c r="F5" s="20">
        <f>IF(E5="","",E5-D5)</f>
        <v/>
      </c>
      <c r="G5" s="20">
        <f>'03_Inventario'!F5</f>
        <v/>
      </c>
      <c r="H5" s="20">
        <f>IF(F5="","",F5*G5)</f>
        <v/>
      </c>
    </row>
    <row r="6">
      <c r="A6" s="19" t="inlineStr">
        <is>
          <t>A-002</t>
        </is>
      </c>
      <c r="B6" s="19" t="inlineStr">
        <is>
          <t>Tuerca 1/4</t>
        </is>
      </c>
      <c r="C6" s="19" t="inlineStr">
        <is>
          <t>BOD1</t>
        </is>
      </c>
      <c r="D6" s="21">
        <f>'03_Inventario'!D6</f>
        <v/>
      </c>
      <c r="E6" s="21">
        <f>IF('03_Inventario'!E6="","",'03_Inventario'!E6)</f>
        <v/>
      </c>
      <c r="F6" s="21">
        <f>IF(E6="","",E6-D6)</f>
        <v/>
      </c>
      <c r="G6" s="21">
        <f>'03_Inventario'!F6</f>
        <v/>
      </c>
      <c r="H6" s="21">
        <f>IF(F6="","",F6*G6)</f>
        <v/>
      </c>
    </row>
    <row r="7">
      <c r="A7" s="18" t="inlineStr">
        <is>
          <t>A-003</t>
        </is>
      </c>
      <c r="B7" s="18" t="inlineStr">
        <is>
          <t>Arandela</t>
        </is>
      </c>
      <c r="C7" s="18" t="inlineStr">
        <is>
          <t>BOD1</t>
        </is>
      </c>
      <c r="D7" s="20">
        <f>'03_Inventario'!D7</f>
        <v/>
      </c>
      <c r="E7" s="20">
        <f>IF('03_Inventario'!E7="","",'03_Inventario'!E7)</f>
        <v/>
      </c>
      <c r="F7" s="20">
        <f>IF(E7="","",E7-D7)</f>
        <v/>
      </c>
      <c r="G7" s="20">
        <f>'03_Inventario'!F7</f>
        <v/>
      </c>
      <c r="H7" s="20">
        <f>IF(F7="","",F7*G7)</f>
        <v/>
      </c>
    </row>
    <row r="8">
      <c r="A8" s="19" t="inlineStr">
        <is>
          <t>B-010</t>
        </is>
      </c>
      <c r="B8" s="19" t="inlineStr">
        <is>
          <t>Motor 2 HP</t>
        </is>
      </c>
      <c r="C8" s="19" t="inlineStr">
        <is>
          <t>BOD2</t>
        </is>
      </c>
      <c r="D8" s="21">
        <f>'03_Inventario'!D8</f>
        <v/>
      </c>
      <c r="E8" s="21">
        <f>IF('03_Inventario'!E8="","",'03_Inventario'!E8)</f>
        <v/>
      </c>
      <c r="F8" s="21">
        <f>IF(E8="","",E8-D8)</f>
        <v/>
      </c>
      <c r="G8" s="21">
        <f>'03_Inventario'!F8</f>
        <v/>
      </c>
      <c r="H8" s="21">
        <f>IF(F8="","",F8*G8)</f>
        <v/>
      </c>
    </row>
    <row r="9">
      <c r="A9" s="18" t="inlineStr">
        <is>
          <t>B-011</t>
        </is>
      </c>
      <c r="B9" s="18" t="inlineStr">
        <is>
          <t>Bomba centrífuga</t>
        </is>
      </c>
      <c r="C9" s="18" t="inlineStr">
        <is>
          <t>BOD2</t>
        </is>
      </c>
      <c r="D9" s="20">
        <f>'03_Inventario'!D9</f>
        <v/>
      </c>
      <c r="E9" s="20">
        <f>IF('03_Inventario'!E9="","",'03_Inventario'!E9)</f>
        <v/>
      </c>
      <c r="F9" s="20">
        <f>IF(E9="","",E9-D9)</f>
        <v/>
      </c>
      <c r="G9" s="20">
        <f>'03_Inventario'!F9</f>
        <v/>
      </c>
      <c r="H9" s="20">
        <f>IF(F9="","",F9*G9)</f>
        <v/>
      </c>
    </row>
    <row r="10">
      <c r="A10" s="19" t="inlineStr">
        <is>
          <t>B-012</t>
        </is>
      </c>
      <c r="B10" s="19" t="inlineStr">
        <is>
          <t>Válvula 2"</t>
        </is>
      </c>
      <c r="C10" s="19" t="inlineStr">
        <is>
          <t>BOD2</t>
        </is>
      </c>
      <c r="D10" s="21">
        <f>'03_Inventario'!D10</f>
        <v/>
      </c>
      <c r="E10" s="21">
        <f>IF('03_Inventario'!E10="","",'03_Inventario'!E10)</f>
        <v/>
      </c>
      <c r="F10" s="21">
        <f>IF(E10="","",E10-D10)</f>
        <v/>
      </c>
      <c r="G10" s="21">
        <f>'03_Inventario'!F10</f>
        <v/>
      </c>
      <c r="H10" s="21">
        <f>IF(F10="","",F10*G10)</f>
        <v/>
      </c>
    </row>
    <row r="11">
      <c r="A11" s="18" t="inlineStr">
        <is>
          <t>C-100</t>
        </is>
      </c>
      <c r="B11" s="18" t="inlineStr">
        <is>
          <t>Repuesto modelo descontinuado</t>
        </is>
      </c>
      <c r="C11" s="18" t="inlineStr">
        <is>
          <t>BOD3</t>
        </is>
      </c>
      <c r="D11" s="20">
        <f>'03_Inventario'!D11</f>
        <v/>
      </c>
      <c r="E11" s="20">
        <f>IF('03_Inventario'!E11="","",'03_Inventario'!E11)</f>
        <v/>
      </c>
      <c r="F11" s="20">
        <f>IF(E11="","",E11-D11)</f>
        <v/>
      </c>
      <c r="G11" s="20">
        <f>'03_Inventario'!F11</f>
        <v/>
      </c>
      <c r="H11" s="20">
        <f>IF(F11="","",F11*G11)</f>
        <v/>
      </c>
    </row>
    <row r="12">
      <c r="A12" s="19" t="inlineStr">
        <is>
          <t>C-101</t>
        </is>
      </c>
      <c r="B12" s="19" t="inlineStr">
        <is>
          <t>Producto terminado X</t>
        </is>
      </c>
      <c r="C12" s="19" t="inlineStr">
        <is>
          <t>BOD3</t>
        </is>
      </c>
      <c r="D12" s="21">
        <f>'03_Inventario'!D12</f>
        <v/>
      </c>
      <c r="E12" s="21">
        <f>IF('03_Inventario'!E12="","",'03_Inventario'!E12)</f>
        <v/>
      </c>
      <c r="F12" s="21">
        <f>IF(E12="","",E12-D12)</f>
        <v/>
      </c>
      <c r="G12" s="21">
        <f>'03_Inventario'!F12</f>
        <v/>
      </c>
      <c r="H12" s="21">
        <f>IF(F12="","",F12*G12)</f>
        <v/>
      </c>
    </row>
    <row r="13">
      <c r="A13" s="18" t="inlineStr">
        <is>
          <t>C-102</t>
        </is>
      </c>
      <c r="B13" s="18" t="inlineStr">
        <is>
          <t>Producto terminado Y</t>
        </is>
      </c>
      <c r="C13" s="18" t="inlineStr">
        <is>
          <t>BOD3</t>
        </is>
      </c>
      <c r="D13" s="20">
        <f>'03_Inventario'!D13</f>
        <v/>
      </c>
      <c r="E13" s="20">
        <f>IF('03_Inventario'!E13="","",'03_Inventario'!E13)</f>
        <v/>
      </c>
      <c r="F13" s="20">
        <f>IF(E13="","",E13-D13)</f>
        <v/>
      </c>
      <c r="G13" s="20">
        <f>'03_Inventario'!F13</f>
        <v/>
      </c>
      <c r="H13" s="20">
        <f>IF(F13="","",F13*G13)</f>
        <v/>
      </c>
    </row>
    <row r="14">
      <c r="A14" s="19" t="inlineStr">
        <is>
          <t>D-200</t>
        </is>
      </c>
      <c r="B14" s="19" t="inlineStr">
        <is>
          <t>Materia prima Z</t>
        </is>
      </c>
      <c r="C14" s="19" t="inlineStr">
        <is>
          <t>BOD4</t>
        </is>
      </c>
      <c r="D14" s="21">
        <f>'03_Inventario'!D14</f>
        <v/>
      </c>
      <c r="E14" s="21">
        <f>IF('03_Inventario'!E14="","",'03_Inventario'!E14)</f>
        <v/>
      </c>
      <c r="F14" s="21">
        <f>IF(E14="","",E14-D14)</f>
        <v/>
      </c>
      <c r="G14" s="21">
        <f>'03_Inventario'!F14</f>
        <v/>
      </c>
      <c r="H14" s="21">
        <f>IF(F14="","",F14*G14)</f>
        <v/>
      </c>
    </row>
    <row r="15">
      <c r="A15" s="18" t="inlineStr">
        <is>
          <t>E-300</t>
        </is>
      </c>
      <c r="B15" s="18" t="inlineStr">
        <is>
          <t>Lámina de acero</t>
        </is>
      </c>
      <c r="C15" s="18" t="inlineStr">
        <is>
          <t>BOD4</t>
        </is>
      </c>
      <c r="D15" s="20">
        <f>'03_Inventario'!D15</f>
        <v/>
      </c>
      <c r="E15" s="20">
        <f>IF('03_Inventario'!E15="","",'03_Inventario'!E15)</f>
        <v/>
      </c>
      <c r="F15" s="20">
        <f>IF(E15="","",E15-D15)</f>
        <v/>
      </c>
      <c r="G15" s="20">
        <f>'03_Inventario'!F15</f>
        <v/>
      </c>
      <c r="H15" s="20">
        <f>IF(F15="","",F15*G15)</f>
        <v/>
      </c>
    </row>
    <row r="16">
      <c r="A16" s="19" t="inlineStr">
        <is>
          <t>E-301</t>
        </is>
      </c>
      <c r="B16" s="19" t="inlineStr">
        <is>
          <t>Perfil de aluminio</t>
        </is>
      </c>
      <c r="C16" s="19" t="inlineStr">
        <is>
          <t>BOD4</t>
        </is>
      </c>
      <c r="D16" s="21">
        <f>'03_Inventario'!D16</f>
        <v/>
      </c>
      <c r="E16" s="21">
        <f>IF('03_Inventario'!E16="","",'03_Inventario'!E16)</f>
        <v/>
      </c>
      <c r="F16" s="21">
        <f>IF(E16="","",E16-D16)</f>
        <v/>
      </c>
      <c r="G16" s="21">
        <f>'03_Inventario'!F16</f>
        <v/>
      </c>
      <c r="H16" s="21">
        <f>IF(F16="","",F16*G16)</f>
        <v/>
      </c>
    </row>
    <row r="17">
      <c r="A17" s="18" t="inlineStr">
        <is>
          <t>E-302</t>
        </is>
      </c>
      <c r="B17" s="18" t="inlineStr">
        <is>
          <t>Resina industrial</t>
        </is>
      </c>
      <c r="C17" s="18" t="inlineStr">
        <is>
          <t>BOD4</t>
        </is>
      </c>
      <c r="D17" s="20">
        <f>'03_Inventario'!D17</f>
        <v/>
      </c>
      <c r="E17" s="20">
        <f>IF('03_Inventario'!E17="","",'03_Inventario'!E17)</f>
        <v/>
      </c>
      <c r="F17" s="20">
        <f>IF(E17="","",E17-D17)</f>
        <v/>
      </c>
      <c r="G17" s="20">
        <f>'03_Inventario'!F17</f>
        <v/>
      </c>
      <c r="H17" s="20">
        <f>IF(F17="","",F17*G17)</f>
        <v/>
      </c>
    </row>
    <row r="18">
      <c r="A18" s="31" t="inlineStr">
        <is>
          <t>TOTAL</t>
        </is>
      </c>
      <c r="B18" s="31" t="inlineStr"/>
      <c r="C18" s="31" t="inlineStr"/>
      <c r="D18" s="32" t="n"/>
      <c r="E18" s="32" t="n"/>
      <c r="F18" s="32" t="n"/>
      <c r="G18" s="32" t="n"/>
      <c r="H18" s="32">
        <f>SUM(H5:H17)</f>
        <v/>
      </c>
    </row>
    <row r="20">
      <c r="A20" s="22" t="inlineStr">
        <is>
          <t>ⓘ  Cómo se calcula esta hoja</t>
        </is>
      </c>
    </row>
    <row r="21">
      <c r="A21" s="23" t="inlineStr">
        <is>
          <t>Columna</t>
        </is>
      </c>
      <c r="B21" s="23" t="inlineStr">
        <is>
          <t>Fórmula (Excel)</t>
        </is>
      </c>
      <c r="C21" s="23" t="inlineStr">
        <is>
          <t>Cómo se calcula (sencillo)</t>
        </is>
      </c>
      <c r="D21" s="23" t="inlineStr">
        <is>
          <t>Ejemplo con números reales</t>
        </is>
      </c>
      <c r="E21" s="23" t="inlineStr">
        <is>
          <t>De dónde viene</t>
        </is>
      </c>
      <c r="F21" s="23" t="inlineStr">
        <is>
          <t>Norma</t>
        </is>
      </c>
    </row>
    <row r="22">
      <c r="A22" s="24" t="inlineStr">
        <is>
          <t>Cantidad kardex</t>
        </is>
      </c>
      <c r="B22" s="25" t="inlineStr">
        <is>
          <t>'='03_Inventario'!D5</t>
        </is>
      </c>
      <c r="C22" s="24" t="inlineStr">
        <is>
          <t>Trae la cantidad registrada en el kardex para este ítem desde la hoja 03 (Inventario valorado por ítem).</t>
        </is>
      </c>
      <c r="D22" s="24" t="inlineStr">
        <is>
          <t>Fila 1: 1.000,00 → 1.000,00</t>
        </is>
      </c>
      <c r="E22" s="24" t="inlineStr">
        <is>
          <t>hoja «Inventario valorado por ítem»</t>
        </is>
      </c>
      <c r="F22" s="24" t="inlineStr">
        <is>
          <t>—</t>
        </is>
      </c>
    </row>
    <row r="23">
      <c r="A23" s="24" t="inlineStr">
        <is>
          <t>Cantidad contada</t>
        </is>
      </c>
      <c r="B23" s="25" t="inlineStr">
        <is>
          <t>'=IF('03_Inventario'!E5="","",'03_Inventario'!E5)</t>
        </is>
      </c>
      <c r="C23" s="24" t="inlineStr">
        <is>
          <t>Trae la cantidad contada en la toma física desde la hoja 03 (Inventario valorado por ítem); si el ítem no se contó, queda en blanco.</t>
        </is>
      </c>
      <c r="D23" s="24" t="inlineStr">
        <is>
          <t>Fila 1: IF(1.000,00=""; ""; 1.000,00) → 1.000,00</t>
        </is>
      </c>
      <c r="E23" s="24" t="inlineStr">
        <is>
          <t>hoja «Inventario valorado por ítem»</t>
        </is>
      </c>
      <c r="F23" s="24" t="inlineStr">
        <is>
          <t>—</t>
        </is>
      </c>
    </row>
    <row r="24">
      <c r="A24" s="24" t="inlineStr">
        <is>
          <t>Diferencia (unidades)</t>
        </is>
      </c>
      <c r="B24" s="25" t="inlineStr">
        <is>
          <t>'=IF(E5="","",E5-D5)</t>
        </is>
      </c>
      <c r="C24" s="24" t="inlineStr">
        <is>
          <t>Cantidad contada menos cantidad del kardex: positivo es sobrante y negativo faltante. En blanco si el ítem no se contó.</t>
        </is>
      </c>
      <c r="D24" s="24" t="inlineStr">
        <is>
          <t>Fila 1: IF(1.000,00=""; ""; 1.000,00-1.000,00) → 0,00</t>
        </is>
      </c>
      <c r="E24" s="24" t="inlineStr">
        <is>
          <t>«Cantidad contada» (esta hoja), «Cantidad kardex» (esta hoja)</t>
        </is>
      </c>
      <c r="F24" s="24" t="inlineStr">
        <is>
          <t>—</t>
        </is>
      </c>
    </row>
    <row r="25">
      <c r="A25" s="24" t="inlineStr">
        <is>
          <t>Costo unitario</t>
        </is>
      </c>
      <c r="B25" s="25" t="inlineStr">
        <is>
          <t>'='03_Inventario'!F5</t>
        </is>
      </c>
      <c r="C25" s="24" t="inlineStr">
        <is>
          <t>Trae el costo unitario registrado en el kardex desde la hoja 03 (Inventario valorado por ítem).</t>
        </is>
      </c>
      <c r="D25" s="24" t="inlineStr">
        <is>
          <t>Fila 1: 2,50 → 2,50</t>
        </is>
      </c>
      <c r="E25" s="24" t="inlineStr">
        <is>
          <t>hoja «Inventario valorado por ítem»</t>
        </is>
      </c>
      <c r="F25" s="24" t="inlineStr">
        <is>
          <t>—</t>
        </is>
      </c>
    </row>
    <row r="26">
      <c r="A26" s="24" t="inlineStr">
        <is>
          <t>Diferencia valorizada</t>
        </is>
      </c>
      <c r="B26" s="25" t="inlineStr">
        <is>
          <t>'=IF(F5="","",F5*G5)</t>
        </is>
      </c>
      <c r="C26" s="24" t="inlineStr">
        <is>
          <t>Multiplica la diferencia en unidades por el costo unitario del kardex: es el efecto en dólares del sobrante o faltante. En blanco si el ítem no se contó.</t>
        </is>
      </c>
      <c r="D26" s="24" t="inlineStr">
        <is>
          <t>Fila 1: IF(0,00=""; ""; 0,00*2,50) → 0,00</t>
        </is>
      </c>
      <c r="E26" s="24" t="inlineStr">
        <is>
          <t>«Diferencia (unidades)» (esta hoja), «Costo unitario» (esta hoja)</t>
        </is>
      </c>
      <c r="F26" s="24" t="inlineStr">
        <is>
          <t>—</t>
        </is>
      </c>
    </row>
  </sheetData>
  <mergeCells count="3">
    <mergeCell ref="A20:F20"/>
    <mergeCell ref="A2:F2"/>
    <mergeCell ref="A1:F1"/>
  </mergeCells>
  <hyperlinks>
    <hyperlink xmlns:r="http://schemas.openxmlformats.org/officeDocument/2006/relationships" ref="H1" r:id="rId1"/>
    <hyperlink xmlns:r="http://schemas.openxmlformats.org/officeDocument/2006/relationships" ref="I1" r:id="rId2"/>
    <hyperlink xmlns:r="http://schemas.openxmlformats.org/officeDocument/2006/relationships" ref="J1" r:id="rId3"/>
  </hyperlinks>
  <pageMargins left="0.75" right="0.75" top="1" bottom="1" header="0.5" footer="0.5"/>
  <pageSetup orientation="landscape" fitToHeight="0" fitToWidth="1"/>
  <headerFooter>
    <oddHeader/>
    <oddFooter>&amp;LAuditConsulting Auditores Cía. Ltda.&amp;C&amp;RPágina &amp;P de &amp;N</oddFooter>
    <evenHeader/>
    <evenFooter/>
    <firstHeader/>
    <firstFooter/>
  </headerFooter>
</worksheet>
</file>

<file path=xl/worksheets/sheet9.xml><?xml version="1.0" encoding="utf-8"?>
<worksheet xmlns="http://schemas.openxmlformats.org/spreadsheetml/2006/main">
  <sheetPr>
    <outlinePr summaryBelow="1" summaryRight="1"/>
    <pageSetUpPr fitToPage="1"/>
  </sheetPr>
  <dimension ref="A1:J29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2" customWidth="1" min="1" max="1"/>
    <col width="31" customWidth="1" min="2" max="2"/>
    <col width="17" customWidth="1" min="3" max="3"/>
    <col width="16" customWidth="1" min="4" max="4"/>
    <col width="19" customWidth="1" min="5" max="5"/>
    <col width="14" customWidth="1" min="6" max="6"/>
    <col width="25" customWidth="1" min="7" max="7"/>
    <col width="26" customWidth="1" min="8" max="8"/>
    <col width="22" customWidth="1" min="9" max="9"/>
    <col width="29" customWidth="1" min="10" max="10"/>
  </cols>
  <sheetData>
    <row r="1">
      <c r="A1" s="3" t="inlineStr">
        <is>
          <t>Prueba de costo</t>
        </is>
      </c>
      <c r="H1" s="14" t="inlineStr">
        <is>
          <t>⟵ Inicio</t>
        </is>
      </c>
      <c r="I1" s="14" t="inlineStr">
        <is>
          <t>◀ Anterior</t>
        </is>
      </c>
      <c r="J1" s="14" t="inlineStr">
        <is>
          <t>Siguiente ▶</t>
        </is>
      </c>
    </row>
    <row r="2">
      <c r="A2" s="15" t="inlineStr">
        <is>
          <t>Inventarios, producción y costo de ventas · Cliente de muestra S.A. · corte 2025-12-31</t>
        </is>
      </c>
      <c r="B2" s="16" t="n"/>
      <c r="C2" s="16" t="n"/>
      <c r="D2" s="16" t="n"/>
      <c r="E2" s="16" t="n"/>
      <c r="F2" s="16" t="n"/>
      <c r="G2" s="16" t="n"/>
      <c r="H2" s="16" t="n"/>
      <c r="I2" s="16" t="n"/>
      <c r="J2" s="16" t="n"/>
    </row>
    <row r="4" ht="30" customHeight="1">
      <c r="A4" s="17" t="inlineStr">
        <is>
          <t>Código</t>
        </is>
      </c>
      <c r="B4" s="17" t="inlineStr">
        <is>
          <t>Descripción</t>
        </is>
      </c>
      <c r="C4" s="17" t="inlineStr">
        <is>
          <t>Cantidad kardex</t>
        </is>
      </c>
      <c r="D4" s="17" t="inlineStr">
        <is>
          <t>Costo unitario</t>
        </is>
      </c>
      <c r="E4" s="17" t="inlineStr">
        <is>
          <t>Valor recalculado</t>
        </is>
      </c>
      <c r="F4" s="17" t="inlineStr">
        <is>
          <t>Valor kardex</t>
        </is>
      </c>
      <c r="G4" s="17" t="inlineStr">
        <is>
          <t>Diferencia de extensión</t>
        </is>
      </c>
      <c r="H4" s="17" t="inlineStr">
        <is>
          <t>Costo unitario soportado</t>
        </is>
      </c>
      <c r="I4" s="17" t="inlineStr">
        <is>
          <t>Diferencia unitaria</t>
        </is>
      </c>
      <c r="J4" s="17" t="inlineStr">
        <is>
          <t>Efecto en el costo auditado</t>
        </is>
      </c>
    </row>
    <row r="5">
      <c r="A5" s="18" t="inlineStr">
        <is>
          <t>A-001</t>
        </is>
      </c>
      <c r="B5" s="18" t="inlineStr">
        <is>
          <t>Tornillo 1/4</t>
        </is>
      </c>
      <c r="C5" s="20">
        <f>'03_Inventario'!D5</f>
        <v/>
      </c>
      <c r="D5" s="20">
        <f>'03_Inventario'!F5</f>
        <v/>
      </c>
      <c r="E5" s="20">
        <f>C5*D5</f>
        <v/>
      </c>
      <c r="F5" s="20">
        <f>'03_Inventario'!G5</f>
        <v/>
      </c>
      <c r="G5" s="20">
        <f>E5-F5</f>
        <v/>
      </c>
      <c r="H5" s="20">
        <f>IF('03_Inventario'!H5="","",'03_Inventario'!H5)</f>
        <v/>
      </c>
      <c r="I5" s="20">
        <f>IF(H5="","",H5-D5)</f>
        <v/>
      </c>
      <c r="J5" s="20">
        <f>IF(I5="","",I5*'03_Inventario'!M5)</f>
        <v/>
      </c>
    </row>
    <row r="6">
      <c r="A6" s="19" t="inlineStr">
        <is>
          <t>A-002</t>
        </is>
      </c>
      <c r="B6" s="19" t="inlineStr">
        <is>
          <t>Tuerca 1/4</t>
        </is>
      </c>
      <c r="C6" s="21">
        <f>'03_Inventario'!D6</f>
        <v/>
      </c>
      <c r="D6" s="21">
        <f>'03_Inventario'!F6</f>
        <v/>
      </c>
      <c r="E6" s="21">
        <f>C6*D6</f>
        <v/>
      </c>
      <c r="F6" s="21">
        <f>'03_Inventario'!G6</f>
        <v/>
      </c>
      <c r="G6" s="21">
        <f>E6-F6</f>
        <v/>
      </c>
      <c r="H6" s="21">
        <f>IF('03_Inventario'!H6="","",'03_Inventario'!H6)</f>
        <v/>
      </c>
      <c r="I6" s="21">
        <f>IF(H6="","",H6-D6)</f>
        <v/>
      </c>
      <c r="J6" s="21">
        <f>IF(I6="","",I6*'03_Inventario'!M6)</f>
        <v/>
      </c>
    </row>
    <row r="7">
      <c r="A7" s="18" t="inlineStr">
        <is>
          <t>A-003</t>
        </is>
      </c>
      <c r="B7" s="18" t="inlineStr">
        <is>
          <t>Arandela</t>
        </is>
      </c>
      <c r="C7" s="20">
        <f>'03_Inventario'!D7</f>
        <v/>
      </c>
      <c r="D7" s="20">
        <f>'03_Inventario'!F7</f>
        <v/>
      </c>
      <c r="E7" s="20">
        <f>C7*D7</f>
        <v/>
      </c>
      <c r="F7" s="20">
        <f>'03_Inventario'!G7</f>
        <v/>
      </c>
      <c r="G7" s="20">
        <f>E7-F7</f>
        <v/>
      </c>
      <c r="H7" s="20">
        <f>IF('03_Inventario'!H7="","",'03_Inventario'!H7)</f>
        <v/>
      </c>
      <c r="I7" s="20">
        <f>IF(H7="","",H7-D7)</f>
        <v/>
      </c>
      <c r="J7" s="20">
        <f>IF(I7="","",I7*'03_Inventario'!M7)</f>
        <v/>
      </c>
    </row>
    <row r="8">
      <c r="A8" s="19" t="inlineStr">
        <is>
          <t>B-010</t>
        </is>
      </c>
      <c r="B8" s="19" t="inlineStr">
        <is>
          <t>Motor 2 HP</t>
        </is>
      </c>
      <c r="C8" s="21">
        <f>'03_Inventario'!D8</f>
        <v/>
      </c>
      <c r="D8" s="21">
        <f>'03_Inventario'!F8</f>
        <v/>
      </c>
      <c r="E8" s="21">
        <f>C8*D8</f>
        <v/>
      </c>
      <c r="F8" s="21">
        <f>'03_Inventario'!G8</f>
        <v/>
      </c>
      <c r="G8" s="21">
        <f>E8-F8</f>
        <v/>
      </c>
      <c r="H8" s="21">
        <f>IF('03_Inventario'!H8="","",'03_Inventario'!H8)</f>
        <v/>
      </c>
      <c r="I8" s="21">
        <f>IF(H8="","",H8-D8)</f>
        <v/>
      </c>
      <c r="J8" s="21">
        <f>IF(I8="","",I8*'03_Inventario'!M8)</f>
        <v/>
      </c>
    </row>
    <row r="9">
      <c r="A9" s="18" t="inlineStr">
        <is>
          <t>B-011</t>
        </is>
      </c>
      <c r="B9" s="18" t="inlineStr">
        <is>
          <t>Bomba centrífuga</t>
        </is>
      </c>
      <c r="C9" s="20">
        <f>'03_Inventario'!D9</f>
        <v/>
      </c>
      <c r="D9" s="20">
        <f>'03_Inventario'!F9</f>
        <v/>
      </c>
      <c r="E9" s="20">
        <f>C9*D9</f>
        <v/>
      </c>
      <c r="F9" s="20">
        <f>'03_Inventario'!G9</f>
        <v/>
      </c>
      <c r="G9" s="20">
        <f>E9-F9</f>
        <v/>
      </c>
      <c r="H9" s="20">
        <f>IF('03_Inventario'!H9="","",'03_Inventario'!H9)</f>
        <v/>
      </c>
      <c r="I9" s="20">
        <f>IF(H9="","",H9-D9)</f>
        <v/>
      </c>
      <c r="J9" s="20">
        <f>IF(I9="","",I9*'03_Inventario'!M9)</f>
        <v/>
      </c>
    </row>
    <row r="10">
      <c r="A10" s="19" t="inlineStr">
        <is>
          <t>B-012</t>
        </is>
      </c>
      <c r="B10" s="19" t="inlineStr">
        <is>
          <t>Válvula 2"</t>
        </is>
      </c>
      <c r="C10" s="21">
        <f>'03_Inventario'!D10</f>
        <v/>
      </c>
      <c r="D10" s="21">
        <f>'03_Inventario'!F10</f>
        <v/>
      </c>
      <c r="E10" s="21">
        <f>C10*D10</f>
        <v/>
      </c>
      <c r="F10" s="21">
        <f>'03_Inventario'!G10</f>
        <v/>
      </c>
      <c r="G10" s="21">
        <f>E10-F10</f>
        <v/>
      </c>
      <c r="H10" s="21">
        <f>IF('03_Inventario'!H10="","",'03_Inventario'!H10)</f>
        <v/>
      </c>
      <c r="I10" s="21">
        <f>IF(H10="","",H10-D10)</f>
        <v/>
      </c>
      <c r="J10" s="21">
        <f>IF(I10="","",I10*'03_Inventario'!M10)</f>
        <v/>
      </c>
    </row>
    <row r="11">
      <c r="A11" s="18" t="inlineStr">
        <is>
          <t>C-100</t>
        </is>
      </c>
      <c r="B11" s="18" t="inlineStr">
        <is>
          <t>Repuesto modelo descontinuado</t>
        </is>
      </c>
      <c r="C11" s="20">
        <f>'03_Inventario'!D11</f>
        <v/>
      </c>
      <c r="D11" s="20">
        <f>'03_Inventario'!F11</f>
        <v/>
      </c>
      <c r="E11" s="20">
        <f>C11*D11</f>
        <v/>
      </c>
      <c r="F11" s="20">
        <f>'03_Inventario'!G11</f>
        <v/>
      </c>
      <c r="G11" s="20">
        <f>E11-F11</f>
        <v/>
      </c>
      <c r="H11" s="20">
        <f>IF('03_Inventario'!H11="","",'03_Inventario'!H11)</f>
        <v/>
      </c>
      <c r="I11" s="20">
        <f>IF(H11="","",H11-D11)</f>
        <v/>
      </c>
      <c r="J11" s="20">
        <f>IF(I11="","",I11*'03_Inventario'!M11)</f>
        <v/>
      </c>
    </row>
    <row r="12">
      <c r="A12" s="19" t="inlineStr">
        <is>
          <t>C-101</t>
        </is>
      </c>
      <c r="B12" s="19" t="inlineStr">
        <is>
          <t>Producto terminado X</t>
        </is>
      </c>
      <c r="C12" s="21">
        <f>'03_Inventario'!D12</f>
        <v/>
      </c>
      <c r="D12" s="21">
        <f>'03_Inventario'!F12</f>
        <v/>
      </c>
      <c r="E12" s="21">
        <f>C12*D12</f>
        <v/>
      </c>
      <c r="F12" s="21">
        <f>'03_Inventario'!G12</f>
        <v/>
      </c>
      <c r="G12" s="21">
        <f>E12-F12</f>
        <v/>
      </c>
      <c r="H12" s="21">
        <f>IF('03_Inventario'!H12="","",'03_Inventario'!H12)</f>
        <v/>
      </c>
      <c r="I12" s="21">
        <f>IF(H12="","",H12-D12)</f>
        <v/>
      </c>
      <c r="J12" s="21">
        <f>IF(I12="","",I12*'03_Inventario'!M12)</f>
        <v/>
      </c>
    </row>
    <row r="13">
      <c r="A13" s="18" t="inlineStr">
        <is>
          <t>C-102</t>
        </is>
      </c>
      <c r="B13" s="18" t="inlineStr">
        <is>
          <t>Producto terminado Y</t>
        </is>
      </c>
      <c r="C13" s="20">
        <f>'03_Inventario'!D13</f>
        <v/>
      </c>
      <c r="D13" s="20">
        <f>'03_Inventario'!F13</f>
        <v/>
      </c>
      <c r="E13" s="20">
        <f>C13*D13</f>
        <v/>
      </c>
      <c r="F13" s="20">
        <f>'03_Inventario'!G13</f>
        <v/>
      </c>
      <c r="G13" s="20">
        <f>E13-F13</f>
        <v/>
      </c>
      <c r="H13" s="20">
        <f>IF('03_Inventario'!H13="","",'03_Inventario'!H13)</f>
        <v/>
      </c>
      <c r="I13" s="20">
        <f>IF(H13="","",H13-D13)</f>
        <v/>
      </c>
      <c r="J13" s="20">
        <f>IF(I13="","",I13*'03_Inventario'!M13)</f>
        <v/>
      </c>
    </row>
    <row r="14">
      <c r="A14" s="19" t="inlineStr">
        <is>
          <t>D-200</t>
        </is>
      </c>
      <c r="B14" s="19" t="inlineStr">
        <is>
          <t>Materia prima Z</t>
        </is>
      </c>
      <c r="C14" s="21">
        <f>'03_Inventario'!D14</f>
        <v/>
      </c>
      <c r="D14" s="21">
        <f>'03_Inventario'!F14</f>
        <v/>
      </c>
      <c r="E14" s="21">
        <f>C14*D14</f>
        <v/>
      </c>
      <c r="F14" s="21">
        <f>'03_Inventario'!G14</f>
        <v/>
      </c>
      <c r="G14" s="21">
        <f>E14-F14</f>
        <v/>
      </c>
      <c r="H14" s="21">
        <f>IF('03_Inventario'!H14="","",'03_Inventario'!H14)</f>
        <v/>
      </c>
      <c r="I14" s="21">
        <f>IF(H14="","",H14-D14)</f>
        <v/>
      </c>
      <c r="J14" s="21">
        <f>IF(I14="","",I14*'03_Inventario'!M14)</f>
        <v/>
      </c>
    </row>
    <row r="15">
      <c r="A15" s="18" t="inlineStr">
        <is>
          <t>E-300</t>
        </is>
      </c>
      <c r="B15" s="18" t="inlineStr">
        <is>
          <t>Lámina de acero</t>
        </is>
      </c>
      <c r="C15" s="20">
        <f>'03_Inventario'!D15</f>
        <v/>
      </c>
      <c r="D15" s="20">
        <f>'03_Inventario'!F15</f>
        <v/>
      </c>
      <c r="E15" s="20">
        <f>C15*D15</f>
        <v/>
      </c>
      <c r="F15" s="20">
        <f>'03_Inventario'!G15</f>
        <v/>
      </c>
      <c r="G15" s="20">
        <f>E15-F15</f>
        <v/>
      </c>
      <c r="H15" s="20">
        <f>IF('03_Inventario'!H15="","",'03_Inventario'!H15)</f>
        <v/>
      </c>
      <c r="I15" s="20">
        <f>IF(H15="","",H15-D15)</f>
        <v/>
      </c>
      <c r="J15" s="20">
        <f>IF(I15="","",I15*'03_Inventario'!M15)</f>
        <v/>
      </c>
    </row>
    <row r="16">
      <c r="A16" s="19" t="inlineStr">
        <is>
          <t>E-301</t>
        </is>
      </c>
      <c r="B16" s="19" t="inlineStr">
        <is>
          <t>Perfil de aluminio</t>
        </is>
      </c>
      <c r="C16" s="21">
        <f>'03_Inventario'!D16</f>
        <v/>
      </c>
      <c r="D16" s="21">
        <f>'03_Inventario'!F16</f>
        <v/>
      </c>
      <c r="E16" s="21">
        <f>C16*D16</f>
        <v/>
      </c>
      <c r="F16" s="21">
        <f>'03_Inventario'!G16</f>
        <v/>
      </c>
      <c r="G16" s="21">
        <f>E16-F16</f>
        <v/>
      </c>
      <c r="H16" s="21">
        <f>IF('03_Inventario'!H16="","",'03_Inventario'!H16)</f>
        <v/>
      </c>
      <c r="I16" s="21">
        <f>IF(H16="","",H16-D16)</f>
        <v/>
      </c>
      <c r="J16" s="21">
        <f>IF(I16="","",I16*'03_Inventario'!M16)</f>
        <v/>
      </c>
    </row>
    <row r="17">
      <c r="A17" s="18" t="inlineStr">
        <is>
          <t>E-302</t>
        </is>
      </c>
      <c r="B17" s="18" t="inlineStr">
        <is>
          <t>Resina industrial</t>
        </is>
      </c>
      <c r="C17" s="20">
        <f>'03_Inventario'!D17</f>
        <v/>
      </c>
      <c r="D17" s="20">
        <f>'03_Inventario'!F17</f>
        <v/>
      </c>
      <c r="E17" s="20">
        <f>C17*D17</f>
        <v/>
      </c>
      <c r="F17" s="20">
        <f>'03_Inventario'!G17</f>
        <v/>
      </c>
      <c r="G17" s="20">
        <f>E17-F17</f>
        <v/>
      </c>
      <c r="H17" s="20">
        <f>IF('03_Inventario'!H17="","",'03_Inventario'!H17)</f>
        <v/>
      </c>
      <c r="I17" s="20">
        <f>IF(H17="","",H17-D17)</f>
        <v/>
      </c>
      <c r="J17" s="20">
        <f>IF(I17="","",I17*'03_Inventario'!M17)</f>
        <v/>
      </c>
    </row>
    <row r="18">
      <c r="A18" s="31" t="inlineStr">
        <is>
          <t>TOTAL</t>
        </is>
      </c>
      <c r="B18" s="31" t="inlineStr"/>
      <c r="C18" s="32" t="n"/>
      <c r="D18" s="32" t="n"/>
      <c r="E18" s="32">
        <f>SUM(E5:E17)</f>
        <v/>
      </c>
      <c r="F18" s="32">
        <f>SUM(F5:F17)</f>
        <v/>
      </c>
      <c r="G18" s="32">
        <f>SUM(G5:G17)</f>
        <v/>
      </c>
      <c r="H18" s="32" t="n"/>
      <c r="I18" s="32" t="n"/>
      <c r="J18" s="32">
        <f>SUM(J5:J17)</f>
        <v/>
      </c>
    </row>
    <row r="20">
      <c r="A20" s="22" t="inlineStr">
        <is>
          <t>ⓘ  Cómo se calcula esta hoja</t>
        </is>
      </c>
    </row>
    <row r="21">
      <c r="A21" s="23" t="inlineStr">
        <is>
          <t>Columna</t>
        </is>
      </c>
      <c r="B21" s="23" t="inlineStr">
        <is>
          <t>Fórmula (Excel)</t>
        </is>
      </c>
      <c r="C21" s="23" t="inlineStr">
        <is>
          <t>Cómo se calcula (sencillo)</t>
        </is>
      </c>
      <c r="D21" s="23" t="inlineStr">
        <is>
          <t>Ejemplo con números reales</t>
        </is>
      </c>
      <c r="E21" s="23" t="inlineStr">
        <is>
          <t>De dónde viene</t>
        </is>
      </c>
      <c r="F21" s="23" t="inlineStr">
        <is>
          <t>Norma</t>
        </is>
      </c>
    </row>
    <row r="22">
      <c r="A22" s="24" t="inlineStr">
        <is>
          <t>Cantidad kardex</t>
        </is>
      </c>
      <c r="B22" s="25" t="inlineStr">
        <is>
          <t>'='03_Inventario'!D5</t>
        </is>
      </c>
      <c r="C22" s="24" t="inlineStr">
        <is>
          <t>Trae la cantidad del kardex del ítem desde la hoja 03 (Inventario valorado por ítem).</t>
        </is>
      </c>
      <c r="D22" s="24" t="inlineStr">
        <is>
          <t>Fila 1: 1.000,00 → 1.000,00</t>
        </is>
      </c>
      <c r="E22" s="24" t="inlineStr">
        <is>
          <t>hoja «Inventario valorado por ítem»</t>
        </is>
      </c>
      <c r="F22" s="24" t="inlineStr">
        <is>
          <t>—</t>
        </is>
      </c>
    </row>
    <row r="23">
      <c r="A23" s="24" t="inlineStr">
        <is>
          <t>Costo unitario</t>
        </is>
      </c>
      <c r="B23" s="25" t="inlineStr">
        <is>
          <t>'='03_Inventario'!F5</t>
        </is>
      </c>
      <c r="C23" s="24" t="inlineStr">
        <is>
          <t>Trae el costo unitario que registró el cliente en el kardex, desde la hoja 03 (Inventario valorado por ítem).</t>
        </is>
      </c>
      <c r="D23" s="24" t="inlineStr">
        <is>
          <t>Fila 1: 2,50 → 2,50</t>
        </is>
      </c>
      <c r="E23" s="24" t="inlineStr">
        <is>
          <t>hoja «Inventario valorado por ítem»</t>
        </is>
      </c>
      <c r="F23" s="24" t="inlineStr">
        <is>
          <t>—</t>
        </is>
      </c>
    </row>
    <row r="24">
      <c r="A24" s="24" t="inlineStr">
        <is>
          <t>Valor recalculado</t>
        </is>
      </c>
      <c r="B24" s="25" t="inlineStr">
        <is>
          <t>'=C5*D5</t>
        </is>
      </c>
      <c r="C24" s="24" t="inlineStr">
        <is>
          <t>Multiplica la cantidad del kardex por su costo unitario, para comprobar la extensión del valor.</t>
        </is>
      </c>
      <c r="D24" s="24" t="inlineStr">
        <is>
          <t>Fila 1: 1.000,00*2,50 → 2.500,00</t>
        </is>
      </c>
      <c r="E24" s="24" t="inlineStr">
        <is>
          <t>«Cantidad kardex» (esta hoja), «Costo unitario» (esta hoja)</t>
        </is>
      </c>
      <c r="F24" s="24" t="inlineStr">
        <is>
          <t>—</t>
        </is>
      </c>
    </row>
    <row r="25">
      <c r="A25" s="24" t="inlineStr">
        <is>
          <t>Valor kardex</t>
        </is>
      </c>
      <c r="B25" s="25" t="inlineStr">
        <is>
          <t>'='03_Inventario'!G5</t>
        </is>
      </c>
      <c r="C25" s="24" t="inlineStr">
        <is>
          <t>Trae el valor total que el kardex del cliente muestra para el ítem, desde la hoja 03 (Inventario valorado por ítem).</t>
        </is>
      </c>
      <c r="D25" s="24" t="inlineStr">
        <is>
          <t>Fila 1: 2.500,00 → 2.500,00</t>
        </is>
      </c>
      <c r="E25" s="24" t="inlineStr">
        <is>
          <t>hoja «Inventario valorado por ítem»</t>
        </is>
      </c>
      <c r="F25" s="24" t="inlineStr">
        <is>
          <t>—</t>
        </is>
      </c>
    </row>
    <row r="26">
      <c r="A26" s="24" t="inlineStr">
        <is>
          <t>Diferencia de extensión</t>
        </is>
      </c>
      <c r="B26" s="25" t="inlineStr">
        <is>
          <t>'=E5-F5</t>
        </is>
      </c>
      <c r="C26" s="24" t="inlineStr">
        <is>
          <t>Valor recalculado menos valor del kardex: si no es cero, el kardex tiene un error de multiplicación.</t>
        </is>
      </c>
      <c r="D26" s="24" t="inlineStr">
        <is>
          <t>Fila 1: 2.500,00-2.500,00 → 0,00</t>
        </is>
      </c>
      <c r="E26" s="24" t="inlineStr">
        <is>
          <t>«Valor recalculado» (esta hoja), «Valor kardex» (esta hoja)</t>
        </is>
      </c>
      <c r="F26" s="24" t="inlineStr">
        <is>
          <t>—</t>
        </is>
      </c>
    </row>
    <row r="27">
      <c r="A27" s="24" t="inlineStr">
        <is>
          <t>Costo unitario soportado</t>
        </is>
      </c>
      <c r="B27" s="25" t="inlineStr">
        <is>
          <t>'=IF('03_Inventario'!H5="","",'03_Inventario'!H5)</t>
        </is>
      </c>
      <c r="C27" s="24" t="inlineStr">
        <is>
          <t>Trae el costo unitario que el auditor verificó con factura o costeo, desde la hoja 03; si no hay soporte, queda en blanco.</t>
        </is>
      </c>
      <c r="D27" s="24" t="inlineStr">
        <is>
          <t>Fila 1: IF((vacío)=""; ""; (vacío)) → (en blanco)</t>
        </is>
      </c>
      <c r="E27" s="24" t="inlineStr">
        <is>
          <t>hoja «Inventario valorado por ítem»</t>
        </is>
      </c>
      <c r="F27" s="24" t="inlineStr">
        <is>
          <t>—</t>
        </is>
      </c>
    </row>
    <row r="28">
      <c r="A28" s="24" t="inlineStr">
        <is>
          <t>Diferencia unitaria</t>
        </is>
      </c>
      <c r="B28" s="25" t="inlineStr">
        <is>
          <t>'=IF(H5="","",H5-D5)</t>
        </is>
      </c>
      <c r="C28" s="24" t="inlineStr">
        <is>
          <t>Costo unitario soportado menos costo unitario del kardex; en blanco si no hay costo soportado.</t>
        </is>
      </c>
      <c r="D28" s="24" t="inlineStr">
        <is>
          <t>Fila 1: IF((vacío)=""; ""; (vacío)-2,50) → (en blanco)</t>
        </is>
      </c>
      <c r="E28" s="24" t="inlineStr">
        <is>
          <t>«Costo unitario soportado» (esta hoja), «Costo unitario» (esta hoja)</t>
        </is>
      </c>
      <c r="F28" s="24" t="inlineStr">
        <is>
          <t>—</t>
        </is>
      </c>
    </row>
    <row r="29">
      <c r="A29" s="24" t="inlineStr">
        <is>
          <t>Efecto en el costo auditado</t>
        </is>
      </c>
      <c r="B29" s="25" t="inlineStr">
        <is>
          <t>'=IF(I5="","",I5*'03_Inventario'!M5)</t>
        </is>
      </c>
      <c r="C29" s="24" t="inlineStr">
        <is>
          <t>Multiplica la diferencia unitaria por la cantidad auditada de la hoja 03: es cuánto cambia el valor del ítem por el costo soportado. En blanco si no hay soporte.</t>
        </is>
      </c>
      <c r="D29" s="24" t="inlineStr">
        <is>
          <t>Fila 1: IF((vacío)=""; ""; (vacío)*1.000,00) → (en blanco)</t>
        </is>
      </c>
      <c r="E29" s="24" t="inlineStr">
        <is>
          <t>«Diferencia unitaria» (esta hoja), hoja «Inventario valorado por ítem»</t>
        </is>
      </c>
      <c r="F29" s="24" t="inlineStr">
        <is>
          <t>—</t>
        </is>
      </c>
    </row>
  </sheetData>
  <mergeCells count="3">
    <mergeCell ref="A20:F20"/>
    <mergeCell ref="A2:F2"/>
    <mergeCell ref="A1:F1"/>
  </mergeCells>
  <hyperlinks>
    <hyperlink xmlns:r="http://schemas.openxmlformats.org/officeDocument/2006/relationships" ref="H1" r:id="rId1"/>
    <hyperlink xmlns:r="http://schemas.openxmlformats.org/officeDocument/2006/relationships" ref="I1" r:id="rId2"/>
    <hyperlink xmlns:r="http://schemas.openxmlformats.org/officeDocument/2006/relationships" ref="J1" r:id="rId3"/>
  </hyperlinks>
  <pageMargins left="0.75" right="0.75" top="1" bottom="1" header="0.5" footer="0.5"/>
  <pageSetup orientation="landscape" fitToHeight="0" fitToWidth="1"/>
  <headerFooter>
    <oddHeader/>
    <oddFooter>&amp;LAuditConsulting Auditores Cía. Ltda.&amp;C&amp;RPágina &amp;P de &amp;N</oddFooter>
    <evenHeader/>
    <evenFooter/>
    <firstHeader/>
    <firstFooter/>
  </headerFooter>
</worksheet>
</file>

<file path=xl/worksheets/sheet10.xml><?xml version="1.0" encoding="utf-8"?>
<worksheet xmlns="http://schemas.openxmlformats.org/spreadsheetml/2006/main">
  <sheetPr>
    <outlinePr summaryBelow="1" summaryRight="1"/>
    <pageSetUpPr fitToPage="1"/>
  </sheetPr>
  <dimension ref="A1:J20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54" customWidth="1" min="1" max="1"/>
    <col width="20" customWidth="1" min="2" max="2"/>
  </cols>
  <sheetData>
    <row r="1">
      <c r="A1" s="3" t="inlineStr">
        <is>
          <t>Conciliación kardex–mayor</t>
        </is>
      </c>
      <c r="H1" s="14" t="inlineStr">
        <is>
          <t>⟵ Inicio</t>
        </is>
      </c>
      <c r="I1" s="14" t="inlineStr">
        <is>
          <t>◀ Anterior</t>
        </is>
      </c>
      <c r="J1" s="14" t="inlineStr">
        <is>
          <t>Siguiente ▶</t>
        </is>
      </c>
    </row>
    <row r="2">
      <c r="A2" s="15" t="inlineStr">
        <is>
          <t>Inventarios, producción y costo de ventas · Cliente de muestra S.A. · corte 2025-12-31</t>
        </is>
      </c>
      <c r="B2" s="16" t="n"/>
      <c r="C2" s="16" t="n"/>
      <c r="D2" s="16" t="n"/>
      <c r="E2" s="16" t="n"/>
      <c r="F2" s="16" t="n"/>
    </row>
    <row r="4" ht="30" customHeight="1">
      <c r="A4" s="17" t="inlineStr">
        <is>
          <t>Concepto</t>
        </is>
      </c>
      <c r="B4" s="17" t="inlineStr">
        <is>
          <t>Importe</t>
        </is>
      </c>
    </row>
    <row r="5">
      <c r="A5" s="18" t="inlineStr">
        <is>
          <t>Valor según kardex (inventario valorado)</t>
        </is>
      </c>
      <c r="B5" s="20">
        <f>SUM('03_Inventario'!$G$5:$G$17)</f>
        <v/>
      </c>
    </row>
    <row r="6">
      <c r="A6" s="19" t="inlineStr">
        <is>
          <t>Saldo según el mayor</t>
        </is>
      </c>
      <c r="B6" s="21">
        <f>IF('02_Parametros'!$B$13="",SUM('03_Inventario'!$G$5:$G$17),'02_Parametros'!$B$13)</f>
        <v/>
      </c>
    </row>
    <row r="7">
      <c r="A7" s="18" t="inlineStr">
        <is>
          <t>Diferencia kardex − mayor</t>
        </is>
      </c>
      <c r="B7" s="20">
        <f>B5-B6</f>
        <v/>
      </c>
    </row>
    <row r="8">
      <c r="A8" s="19" t="inlineStr">
        <is>
          <t>(+) Diferencia de extensión (recalculado − kardex)</t>
        </is>
      </c>
      <c r="B8" s="21">
        <f>SUM('05_Prueba_costo'!$G$5:$G$17)</f>
        <v/>
      </c>
    </row>
    <row r="9">
      <c r="A9" s="18" t="inlineStr">
        <is>
          <t>(+) Diferencias físicas valorizadas</t>
        </is>
      </c>
      <c r="B9" s="20">
        <f>SUM('04_Conteo'!$H$5:$H$17)</f>
        <v/>
      </c>
    </row>
    <row r="10">
      <c r="A10" s="19" t="inlineStr">
        <is>
          <t>(+) Diferencias de costo unitario</t>
        </is>
      </c>
      <c r="B10" s="21">
        <f>SUM('05_Prueba_costo'!$J$5:$J$17)</f>
        <v/>
      </c>
    </row>
    <row r="11">
      <c r="A11" s="18" t="inlineStr">
        <is>
          <t>Inventario al costo auditado (puente desde el mayor)</t>
        </is>
      </c>
      <c r="B11" s="20">
        <f>B6+B7+B8+B9+B10</f>
        <v/>
      </c>
    </row>
    <row r="12">
      <c r="A12" s="19" t="inlineStr">
        <is>
          <t>Control: costo auditado según el detalle</t>
        </is>
      </c>
      <c r="B12" s="21">
        <f>SUM('03_Inventario'!$O$5:$O$17)</f>
        <v/>
      </c>
    </row>
    <row r="13">
      <c r="A13" s="18" t="inlineStr">
        <is>
          <t>Diferencia de control (debe ser 0)</t>
        </is>
      </c>
      <c r="B13" s="20">
        <f>B11-B12</f>
        <v/>
      </c>
    </row>
    <row r="14">
      <c r="A14" s="19" t="inlineStr">
        <is>
          <t>Costo de producción capitalizable recalculado (07)</t>
        </is>
      </c>
      <c r="B14" s="21">
        <f>SUM('07_Costo_produccion'!$L$5:$L$7)</f>
        <v/>
      </c>
    </row>
    <row r="15">
      <c r="A15" s="18" t="inlineStr">
        <is>
          <t>Costos de manufactura registrados (08)</t>
        </is>
      </c>
      <c r="B15" s="20">
        <f>SUM('08_Costo_ventas'!$G$5:$G$6)</f>
        <v/>
      </c>
    </row>
    <row r="16">
      <c r="A16" s="19" t="inlineStr">
        <is>
          <t>Producción no conciliada (registrado − recalculado)</t>
        </is>
      </c>
      <c r="B16" s="21">
        <f>B15-B14</f>
        <v/>
      </c>
    </row>
    <row r="18">
      <c r="A18" s="22" t="inlineStr">
        <is>
          <t>ⓘ  Cómo se calcula esta hoja</t>
        </is>
      </c>
    </row>
    <row r="19">
      <c r="A19" s="23" t="inlineStr">
        <is>
          <t>Columna</t>
        </is>
      </c>
      <c r="B19" s="23" t="inlineStr">
        <is>
          <t>Fórmula (Excel)</t>
        </is>
      </c>
      <c r="C19" s="23" t="inlineStr">
        <is>
          <t>Cómo se calcula (sencillo)</t>
        </is>
      </c>
      <c r="D19" s="23" t="inlineStr">
        <is>
          <t>Ejemplo con números reales</t>
        </is>
      </c>
      <c r="E19" s="23" t="inlineStr">
        <is>
          <t>De dónde viene</t>
        </is>
      </c>
      <c r="F19" s="23" t="inlineStr">
        <is>
          <t>Norma</t>
        </is>
      </c>
    </row>
    <row r="20">
      <c r="A20" s="24" t="inlineStr">
        <is>
          <t>Importe</t>
        </is>
      </c>
      <c r="B20" s="25" t="inlineStr">
        <is>
          <t>'=SUM('03_Inventario'!$G$5:$G$17)</t>
        </is>
      </c>
      <c r="C20" s="24" t="inlineStr">
        <is>
          <t>Parte del valor del kardex (suma de la hoja 03) y del mayor (hoja 02; si está vacío, el kardex), suma las diferencias de extensión y de costo de la hoja 05 y las físicas de la hoja 04 para llegar al costo auditado, lo controla contra la hoja 03 y compara la producción de las hojas 07 y 08.</t>
        </is>
      </c>
      <c r="D20" s="24" t="inlineStr">
        <is>
          <t>Fila 1: SUM([«Valor kardex» de «Inventario valorado por ítem», 13 filas]) → 41.000,00</t>
        </is>
      </c>
      <c r="E20" s="24" t="inlineStr">
        <is>
          <t>hoja «Inventario valorado por ítem»</t>
        </is>
      </c>
      <c r="F20" s="24" t="inlineStr">
        <is>
          <t>—</t>
        </is>
      </c>
    </row>
  </sheetData>
  <mergeCells count="3">
    <mergeCell ref="A2:F2"/>
    <mergeCell ref="A1:F1"/>
    <mergeCell ref="A18:F18"/>
  </mergeCells>
  <hyperlinks>
    <hyperlink xmlns:r="http://schemas.openxmlformats.org/officeDocument/2006/relationships" ref="H1" r:id="rId1"/>
    <hyperlink xmlns:r="http://schemas.openxmlformats.org/officeDocument/2006/relationships" ref="I1" r:id="rId2"/>
    <hyperlink xmlns:r="http://schemas.openxmlformats.org/officeDocument/2006/relationships" ref="J1" r:id="rId3"/>
  </hyperlinks>
  <pageMargins left="0.75" right="0.75" top="1" bottom="1" header="0.5" footer="0.5"/>
  <pageSetup orientation="landscape" fitToHeight="0" fitToWidth="1"/>
  <headerFooter>
    <oddHeader/>
    <oddFooter>&amp;LAuditConsulting Auditores Cía. Ltda.&amp;C&amp;RPágina &amp;P de &amp;N</oddFooter>
    <evenHeader/>
    <evenFooter/>
    <firstHeader/>
    <firstFooter/>
  </headerFooter>
</worksheet>
</file>

<file path=xl/worksheets/sheet11.xml><?xml version="1.0" encoding="utf-8"?>
<worksheet xmlns="http://schemas.openxmlformats.org/spreadsheetml/2006/main">
  <sheetPr>
    <outlinePr summaryBelow="1" summaryRight="1"/>
    <pageSetUpPr fitToPage="1"/>
  </sheetPr>
  <dimension ref="A1:O17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7" customWidth="1" min="1" max="1"/>
    <col width="15" customWidth="1" min="2" max="2"/>
    <col width="12" customWidth="1" min="3" max="3"/>
    <col width="14" customWidth="1" min="4" max="4"/>
    <col width="12" customWidth="1" min="5" max="5"/>
    <col width="21" customWidth="1" min="6" max="6"/>
    <col width="18" customWidth="1" min="7" max="7"/>
    <col width="21" customWidth="1" min="8" max="8"/>
    <col width="15" customWidth="1" min="9" max="9"/>
    <col width="20" customWidth="1" min="10" max="10"/>
    <col width="31" customWidth="1" min="11" max="11"/>
    <col width="21" customWidth="1" min="12" max="12"/>
    <col width="16" customWidth="1" min="13" max="13"/>
    <col width="33" customWidth="1" min="14" max="14"/>
    <col width="27" customWidth="1" min="15" max="15"/>
  </cols>
  <sheetData>
    <row r="1">
      <c r="A1" s="3" t="inlineStr">
        <is>
          <t>Costo de producción</t>
        </is>
      </c>
      <c r="H1" s="14" t="inlineStr">
        <is>
          <t>⟵ Inicio</t>
        </is>
      </c>
      <c r="I1" s="14" t="inlineStr">
        <is>
          <t>◀ Anterior</t>
        </is>
      </c>
      <c r="J1" s="14" t="inlineStr">
        <is>
          <t>Siguiente ▶</t>
        </is>
      </c>
    </row>
    <row r="2">
      <c r="A2" s="15" t="inlineStr">
        <is>
          <t>Inventarios, producción y costo de ventas · Cliente de muestra S.A. · corte 2025-12-31</t>
        </is>
      </c>
      <c r="B2" s="16" t="n"/>
      <c r="C2" s="16" t="n"/>
      <c r="D2" s="16" t="n"/>
      <c r="E2" s="16" t="n"/>
      <c r="F2" s="16" t="n"/>
      <c r="G2" s="16" t="n"/>
      <c r="H2" s="16" t="n"/>
      <c r="I2" s="16" t="n"/>
      <c r="J2" s="16" t="n"/>
      <c r="K2" s="16" t="n"/>
      <c r="L2" s="16" t="n"/>
      <c r="M2" s="16" t="n"/>
      <c r="N2" s="16" t="n"/>
      <c r="O2" s="16" t="n"/>
    </row>
    <row r="4" ht="30" customHeight="1">
      <c r="A4" s="17" t="inlineStr">
        <is>
          <t>Período / orden</t>
        </is>
      </c>
      <c r="B4" s="17" t="inlineStr">
        <is>
          <t>Materia prima</t>
        </is>
      </c>
      <c r="C4" s="17" t="inlineStr">
        <is>
          <t>MOD</t>
        </is>
      </c>
      <c r="D4" s="17" t="inlineStr">
        <is>
          <t>CIF variable</t>
        </is>
      </c>
      <c r="E4" s="17" t="inlineStr">
        <is>
          <t>CIF fijo</t>
        </is>
      </c>
      <c r="F4" s="17" t="inlineStr">
        <is>
          <t>Unidades producidas</t>
        </is>
      </c>
      <c r="G4" s="17" t="inlineStr">
        <is>
          <t>Capacidad normal</t>
        </is>
      </c>
      <c r="H4" s="17" t="inlineStr">
        <is>
          <t>Desperdicio anormal</t>
        </is>
      </c>
      <c r="I4" s="17" t="inlineStr">
        <is>
          <t>Tasa CIF fijo</t>
        </is>
      </c>
      <c r="J4" s="17" t="inlineStr">
        <is>
          <t>CIF fijo absorbido</t>
        </is>
      </c>
      <c r="K4" s="17" t="inlineStr">
        <is>
          <t>CIF fijo no absorbido (gasto)</t>
        </is>
      </c>
      <c r="L4" s="17" t="inlineStr">
        <is>
          <t>Costo capitalizable</t>
        </is>
      </c>
      <c r="M4" s="17" t="inlineStr">
        <is>
          <t>Costo unitario</t>
        </is>
      </c>
      <c r="N4" s="17" t="inlineStr">
        <is>
          <t>CIF fijo capitalizado (entidad)</t>
        </is>
      </c>
      <c r="O4" s="17" t="inlineStr">
        <is>
          <t>No absorbido capitalizado</t>
        </is>
      </c>
    </row>
    <row r="5">
      <c r="A5" s="18" t="inlineStr">
        <is>
          <t>OP-01</t>
        </is>
      </c>
      <c r="B5" s="20" t="n">
        <v>20000</v>
      </c>
      <c r="C5" s="20" t="n">
        <v>8000</v>
      </c>
      <c r="D5" s="20" t="n">
        <v>3000</v>
      </c>
      <c r="E5" s="20" t="n">
        <v>12000</v>
      </c>
      <c r="F5" s="20" t="n">
        <v>800</v>
      </c>
      <c r="G5" s="20" t="n">
        <v>1000</v>
      </c>
      <c r="H5" s="20" t="n"/>
      <c r="I5" s="27">
        <f>IF(OR(G5="",G5=0),"",E5/G5)</f>
        <v/>
      </c>
      <c r="J5" s="20">
        <f>IF(I5="","",MIN(E5,I5*F5))</f>
        <v/>
      </c>
      <c r="K5" s="20">
        <f>IF(J5="","",E5-J5)</f>
        <v/>
      </c>
      <c r="L5" s="20">
        <f>IF(J5="","",B5+C5+D5+J5-H5)</f>
        <v/>
      </c>
      <c r="M5" s="27">
        <f>IF(OR(L5="",F5=0),"",L5/F5)</f>
        <v/>
      </c>
      <c r="N5" s="20" t="n">
        <v>12000</v>
      </c>
      <c r="O5" s="20">
        <f>IF(OR(N5="",J5=""),"",MAX(0,N5-J5))</f>
        <v/>
      </c>
    </row>
    <row r="6">
      <c r="A6" s="19" t="inlineStr">
        <is>
          <t>OP-02</t>
        </is>
      </c>
      <c r="B6" s="21" t="n">
        <v>25000</v>
      </c>
      <c r="C6" s="21" t="n">
        <v>10000</v>
      </c>
      <c r="D6" s="21" t="n">
        <v>3750</v>
      </c>
      <c r="E6" s="21" t="n">
        <v>12000</v>
      </c>
      <c r="F6" s="21" t="n">
        <v>1000</v>
      </c>
      <c r="G6" s="21" t="n">
        <v>1000</v>
      </c>
      <c r="H6" s="21" t="n">
        <v>500</v>
      </c>
      <c r="I6" s="28">
        <f>IF(OR(G6="",G6=0),"",E6/G6)</f>
        <v/>
      </c>
      <c r="J6" s="21">
        <f>IF(I6="","",MIN(E6,I6*F6))</f>
        <v/>
      </c>
      <c r="K6" s="21">
        <f>IF(J6="","",E6-J6)</f>
        <v/>
      </c>
      <c r="L6" s="21">
        <f>IF(J6="","",B6+C6+D6+J6-H6)</f>
        <v/>
      </c>
      <c r="M6" s="28">
        <f>IF(OR(L6="",F6=0),"",L6/F6)</f>
        <v/>
      </c>
      <c r="N6" s="21" t="n">
        <v>12000</v>
      </c>
      <c r="O6" s="21">
        <f>IF(OR(N6="",J6=""),"",MAX(0,N6-J6))</f>
        <v/>
      </c>
    </row>
    <row r="7">
      <c r="A7" s="18" t="inlineStr">
        <is>
          <t>OP-03</t>
        </is>
      </c>
      <c r="B7" s="20" t="n">
        <v>30000</v>
      </c>
      <c r="C7" s="20" t="n">
        <v>12000</v>
      </c>
      <c r="D7" s="20" t="n">
        <v>4500</v>
      </c>
      <c r="E7" s="20" t="n">
        <v>12000</v>
      </c>
      <c r="F7" s="20" t="n">
        <v>1200</v>
      </c>
      <c r="G7" s="20" t="n">
        <v>1000</v>
      </c>
      <c r="H7" s="20" t="n"/>
      <c r="I7" s="27">
        <f>IF(OR(G7="",G7=0),"",E7/G7)</f>
        <v/>
      </c>
      <c r="J7" s="20">
        <f>IF(I7="","",MIN(E7,I7*F7))</f>
        <v/>
      </c>
      <c r="K7" s="20">
        <f>IF(J7="","",E7-J7)</f>
        <v/>
      </c>
      <c r="L7" s="20">
        <f>IF(J7="","",B7+C7+D7+J7-H7)</f>
        <v/>
      </c>
      <c r="M7" s="27">
        <f>IF(OR(L7="",F7=0),"",L7/F7)</f>
        <v/>
      </c>
      <c r="N7" s="20" t="n">
        <v>12000</v>
      </c>
      <c r="O7" s="20">
        <f>IF(OR(N7="",J7=""),"",MAX(0,N7-J7))</f>
        <v/>
      </c>
    </row>
    <row r="8">
      <c r="A8" s="31" t="inlineStr">
        <is>
          <t>TOTAL</t>
        </is>
      </c>
      <c r="B8" s="32">
        <f>SUM(B5:B7)</f>
        <v/>
      </c>
      <c r="C8" s="32">
        <f>SUM(C5:C7)</f>
        <v/>
      </c>
      <c r="D8" s="32">
        <f>SUM(D5:D7)</f>
        <v/>
      </c>
      <c r="E8" s="32">
        <f>SUM(E5:E7)</f>
        <v/>
      </c>
      <c r="F8" s="32" t="n"/>
      <c r="G8" s="32" t="n"/>
      <c r="H8" s="32" t="n"/>
      <c r="I8" s="31" t="n"/>
      <c r="J8" s="32">
        <f>SUM(J5:J7)</f>
        <v/>
      </c>
      <c r="K8" s="32">
        <f>SUM(K5:K7)</f>
        <v/>
      </c>
      <c r="L8" s="32">
        <f>SUM(L5:L7)</f>
        <v/>
      </c>
      <c r="M8" s="31" t="n"/>
      <c r="N8" s="32" t="n"/>
      <c r="O8" s="32">
        <f>SUM(O5:O7)</f>
        <v/>
      </c>
    </row>
    <row r="10">
      <c r="A10" s="22" t="inlineStr">
        <is>
          <t>ⓘ  Cómo se calcula esta hoja</t>
        </is>
      </c>
    </row>
    <row r="11">
      <c r="A11" s="23" t="inlineStr">
        <is>
          <t>Columna</t>
        </is>
      </c>
      <c r="B11" s="23" t="inlineStr">
        <is>
          <t>Fórmula (Excel)</t>
        </is>
      </c>
      <c r="C11" s="23" t="inlineStr">
        <is>
          <t>Cómo se calcula (sencillo)</t>
        </is>
      </c>
      <c r="D11" s="23" t="inlineStr">
        <is>
          <t>Ejemplo con números reales</t>
        </is>
      </c>
      <c r="E11" s="23" t="inlineStr">
        <is>
          <t>De dónde viene</t>
        </is>
      </c>
      <c r="F11" s="23" t="inlineStr">
        <is>
          <t>Norma</t>
        </is>
      </c>
    </row>
    <row r="12">
      <c r="A12" s="24" t="inlineStr">
        <is>
          <t>Tasa CIF fijo</t>
        </is>
      </c>
      <c r="B12" s="25" t="inlineStr">
        <is>
          <t>'=IF(OR(G5="",G5=0),"",E5/G5)</t>
        </is>
      </c>
      <c r="C12" s="24" t="inlineStr">
        <is>
          <t>Divide el CIF fijo del período para la capacidad normal: es el CIF fijo que corresponde a cada unidad. En blanco si no hay capacidad normal.</t>
        </is>
      </c>
      <c r="D12" s="24" t="inlineStr">
        <is>
          <t>Fila 1: IF(OR(1.000,00=""; 1.000,00=0); ""; 12.000,00/1.000,00) → 12,00</t>
        </is>
      </c>
      <c r="E12" s="24" t="inlineStr">
        <is>
          <t>«Capacidad normal» (esta hoja), «CIF fijo» (esta hoja)</t>
        </is>
      </c>
      <c r="F12" s="24" t="inlineStr">
        <is>
          <t>—</t>
        </is>
      </c>
    </row>
    <row r="13">
      <c r="A13" s="24" t="inlineStr">
        <is>
          <t>CIF fijo absorbido</t>
        </is>
      </c>
      <c r="B13" s="25" t="inlineStr">
        <is>
          <t>'=IF(I5="","",MIN(E5,I5*F5))</t>
        </is>
      </c>
      <c r="C13" s="24" t="inlineStr">
        <is>
          <t>Multiplica la tasa de CIF fijo por las unidades producidas, sin pasar del CIF fijo total: es la parte que puede ir al costo del inventario.</t>
        </is>
      </c>
      <c r="D13" s="24" t="inlineStr">
        <is>
          <t>Fila 1: IF(12,00=""; ""; MIN(12.000,00; 12,00*800,00)) → 9.600,00</t>
        </is>
      </c>
      <c r="E13" s="24" t="inlineStr">
        <is>
          <t>«Tasa CIF fijo» (esta hoja), «CIF fijo» (esta hoja), «Unidades producidas» (esta hoja)</t>
        </is>
      </c>
      <c r="F13" s="24" t="inlineStr">
        <is>
          <t>—</t>
        </is>
      </c>
    </row>
    <row r="14">
      <c r="A14" s="24" t="inlineStr">
        <is>
          <t>CIF fijo no absorbido (gasto)</t>
        </is>
      </c>
      <c r="B14" s="25" t="inlineStr">
        <is>
          <t>'=IF(J5="","",E5-J5)</t>
        </is>
      </c>
      <c r="C14" s="24" t="inlineStr">
        <is>
          <t>CIF fijo total menos el absorbido: es el costo de la capacidad ociosa, que va a gasto del período y no al inventario.</t>
        </is>
      </c>
      <c r="D14" s="24" t="inlineStr">
        <is>
          <t>Fila 1: IF(9.600,00=""; ""; 12.000,00-9.600,00) → 2.400,00</t>
        </is>
      </c>
      <c r="E14" s="24" t="inlineStr">
        <is>
          <t>«CIF fijo absorbido» (esta hoja), «CIF fijo» (esta hoja)</t>
        </is>
      </c>
      <c r="F14" s="24" t="inlineStr">
        <is>
          <t>—</t>
        </is>
      </c>
    </row>
    <row r="15">
      <c r="A15" s="24" t="inlineStr">
        <is>
          <t>Costo capitalizable</t>
        </is>
      </c>
      <c r="B15" s="25" t="inlineStr">
        <is>
          <t>'=IF(J5="","",B5+C5+D5+J5-H5)</t>
        </is>
      </c>
      <c r="C15" s="24" t="inlineStr">
        <is>
          <t>Suma materia prima, mano de obra directa, CIF variable y CIF fijo absorbido, y resta el desperdicio anormal: es el costo que puede quedar en el inventario (en blanco si no hay tasa de CIF fijo).</t>
        </is>
      </c>
      <c r="D15" s="24" t="inlineStr">
        <is>
          <t>Fila 1: IF(9.600,00=""; ""; 20.000,00+8.000,00+3.000,00+9.600,00-(vacío)) → 40.600,00</t>
        </is>
      </c>
      <c r="E15" s="24" t="inlineStr">
        <is>
          <t>«CIF fijo absorbido» (esta hoja), «Materia prima» (esta hoja), «MOD» (esta hoja), «CIF variable» (esta hoja), «Desperdicio anormal» (esta hoja)</t>
        </is>
      </c>
      <c r="F15" s="24" t="inlineStr">
        <is>
          <t>—</t>
        </is>
      </c>
    </row>
    <row r="16">
      <c r="A16" s="24" t="inlineStr">
        <is>
          <t>Costo unitario</t>
        </is>
      </c>
      <c r="B16" s="25" t="inlineStr">
        <is>
          <t>'=IF(OR(L5="",F5=0),"",L5/F5)</t>
        </is>
      </c>
      <c r="C16" s="24" t="inlineStr">
        <is>
          <t>Divide el costo capitalizable para las unidades producidas; en blanco si no hubo producción.</t>
        </is>
      </c>
      <c r="D16" s="24" t="inlineStr">
        <is>
          <t>Fila 1: IF(OR(40.600,00=""; 800,00=0); ""; 40.600,00/800,00) → 50,75</t>
        </is>
      </c>
      <c r="E16" s="24" t="inlineStr">
        <is>
          <t>«Costo capitalizable» (esta hoja), «Unidades producidas» (esta hoja)</t>
        </is>
      </c>
      <c r="F16" s="24" t="inlineStr">
        <is>
          <t>—</t>
        </is>
      </c>
    </row>
    <row r="17">
      <c r="A17" s="24" t="inlineStr">
        <is>
          <t>No absorbido capitalizado</t>
        </is>
      </c>
      <c r="B17" s="25" t="inlineStr">
        <is>
          <t>'=IF(OR(N5="",J5=""),"",MAX(0,N5-J5))</t>
        </is>
      </c>
      <c r="C17" s="24" t="inlineStr">
        <is>
          <t>Compara el CIF fijo que la entidad capitalizó con el absorbido recalculado: el exceso (nunca negativo) es CIF que debió ir a gasto. En blanco si falta el dato de la entidad.</t>
        </is>
      </c>
      <c r="D17" s="24" t="inlineStr">
        <is>
          <t>Fila 1: IF(OR(12.000,00=""; 9.600,00=""); ""; MAX(0; 12.000,00-9.600,00)) → 2.400,00</t>
        </is>
      </c>
      <c r="E17" s="24" t="inlineStr">
        <is>
          <t>«CIF fijo capitalizado (entidad)» (esta hoja), «CIF fijo absorbido» (esta hoja)</t>
        </is>
      </c>
      <c r="F17" s="24" t="inlineStr">
        <is>
          <t>—</t>
        </is>
      </c>
    </row>
  </sheetData>
  <mergeCells count="3">
    <mergeCell ref="A2:F2"/>
    <mergeCell ref="A1:F1"/>
    <mergeCell ref="A10:F10"/>
  </mergeCells>
  <hyperlinks>
    <hyperlink xmlns:r="http://schemas.openxmlformats.org/officeDocument/2006/relationships" ref="H1" r:id="rId1"/>
    <hyperlink xmlns:r="http://schemas.openxmlformats.org/officeDocument/2006/relationships" ref="I1" r:id="rId2"/>
    <hyperlink xmlns:r="http://schemas.openxmlformats.org/officeDocument/2006/relationships" ref="J1" r:id="rId3"/>
  </hyperlinks>
  <pageMargins left="0.75" right="0.75" top="1" bottom="1" header="0.5" footer="0.5"/>
  <pageSetup orientation="landscape" fitToHeight="0" fitToWidth="1"/>
  <headerFooter>
    <oddHeader/>
    <oddFooter>&amp;LAuditConsulting Auditores Cía. Ltda.&amp;C&amp;RPágina &amp;P de &amp;N</oddFooter>
    <evenHeader/>
    <evenFooter/>
    <firstHeader/>
    <firstFooter/>
  </headerFooter>
</worksheet>
</file>

<file path=xl/worksheets/sheet12.xml><?xml version="1.0" encoding="utf-8"?>
<worksheet xmlns="http://schemas.openxmlformats.org/spreadsheetml/2006/main">
  <sheetPr>
    <outlinePr summaryBelow="1" summaryRight="1"/>
    <pageSetUpPr fitToPage="1"/>
  </sheetPr>
  <dimension ref="A1:M14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2" customWidth="1" min="1" max="1"/>
    <col width="20" customWidth="1" min="2" max="2"/>
    <col width="26" customWidth="1" min="3" max="3"/>
    <col width="24" customWidth="1" min="4" max="4"/>
    <col width="15" customWidth="1" min="5" max="5"/>
    <col width="13" customWidth="1" min="6" max="6"/>
    <col width="23" customWidth="1" min="7" max="7"/>
    <col width="12" customWidth="1" min="8" max="8"/>
    <col width="38" customWidth="1" min="9" max="9"/>
    <col width="18" customWidth="1" min="10" max="10"/>
    <col width="29" customWidth="1" min="11" max="11"/>
    <col width="26" customWidth="1" min="12" max="12"/>
    <col width="12" customWidth="1" min="13" max="13"/>
  </cols>
  <sheetData>
    <row r="1">
      <c r="A1" s="3" t="inlineStr">
        <is>
          <t>Costo de ventas</t>
        </is>
      </c>
      <c r="H1" s="14" t="inlineStr">
        <is>
          <t>⟵ Inicio</t>
        </is>
      </c>
      <c r="I1" s="14" t="inlineStr">
        <is>
          <t>◀ Anterior</t>
        </is>
      </c>
      <c r="J1" s="14" t="inlineStr">
        <is>
          <t>Siguiente ▶</t>
        </is>
      </c>
    </row>
    <row r="2">
      <c r="A2" s="15" t="inlineStr">
        <is>
          <t>Inventarios, producción y costo de ventas · Cliente de muestra S.A. · corte 2025-12-31</t>
        </is>
      </c>
      <c r="B2" s="16" t="n"/>
      <c r="C2" s="16" t="n"/>
      <c r="D2" s="16" t="n"/>
      <c r="E2" s="16" t="n"/>
      <c r="F2" s="16" t="n"/>
      <c r="G2" s="16" t="n"/>
      <c r="H2" s="16" t="n"/>
      <c r="I2" s="16" t="n"/>
      <c r="J2" s="16" t="n"/>
      <c r="K2" s="16" t="n"/>
      <c r="L2" s="16" t="n"/>
      <c r="M2" s="16" t="n"/>
    </row>
    <row r="4" ht="30" customHeight="1">
      <c r="A4" s="17" t="inlineStr">
        <is>
          <t>Línea</t>
        </is>
      </c>
      <c r="B4" s="17" t="inlineStr">
        <is>
          <t>Inventario inicial</t>
        </is>
      </c>
      <c r="C4" s="17" t="inlineStr">
        <is>
          <t>Cierre auditado anterior</t>
        </is>
      </c>
      <c r="D4" s="17" t="inlineStr">
        <is>
          <t>Diferencia de apertura</t>
        </is>
      </c>
      <c r="E4" s="17" t="inlineStr">
        <is>
          <t>Compras netas</t>
        </is>
      </c>
      <c r="F4" s="17" t="inlineStr">
        <is>
          <t>WIP inicial</t>
        </is>
      </c>
      <c r="G4" s="17" t="inlineStr">
        <is>
          <t>Costos de manufactura</t>
        </is>
      </c>
      <c r="H4" s="17" t="inlineStr">
        <is>
          <t>WIP final</t>
        </is>
      </c>
      <c r="I4" s="17" t="inlineStr">
        <is>
          <t>Costo de producción terminada (COGM)</t>
        </is>
      </c>
      <c r="J4" s="17" t="inlineStr">
        <is>
          <t>Inventario final</t>
        </is>
      </c>
      <c r="K4" s="17" t="inlineStr">
        <is>
          <t>Costo de ventas recalculado</t>
        </is>
      </c>
      <c r="L4" s="17" t="inlineStr">
        <is>
          <t>Costo de ventas contable</t>
        </is>
      </c>
      <c r="M4" s="17" t="inlineStr">
        <is>
          <t>Diferencia</t>
        </is>
      </c>
    </row>
    <row r="5">
      <c r="A5" s="18" t="inlineStr">
        <is>
          <t>Mercaderías</t>
        </is>
      </c>
      <c r="B5" s="20" t="n">
        <v>10000</v>
      </c>
      <c r="C5" s="20" t="n">
        <v>10000</v>
      </c>
      <c r="D5" s="20">
        <f>IF(C5="","",B5-C5)</f>
        <v/>
      </c>
      <c r="E5" s="20" t="n">
        <v>60000</v>
      </c>
      <c r="F5" s="20" t="n"/>
      <c r="G5" s="20" t="n"/>
      <c r="H5" s="20" t="n"/>
      <c r="I5" s="20">
        <f>IF(G5="","",F5+G5-H5)</f>
        <v/>
      </c>
      <c r="J5" s="20" t="n">
        <v>12000</v>
      </c>
      <c r="K5" s="20">
        <f>B5+E5+IF(I5="",0,I5)-J5</f>
        <v/>
      </c>
      <c r="L5" s="20" t="n">
        <v>58000</v>
      </c>
      <c r="M5" s="20">
        <f>K5-L5</f>
        <v/>
      </c>
    </row>
    <row r="6">
      <c r="A6" s="19" t="inlineStr">
        <is>
          <t>Productos terminados</t>
        </is>
      </c>
      <c r="B6" s="21" t="n">
        <v>9000</v>
      </c>
      <c r="C6" s="21" t="n">
        <v>8500</v>
      </c>
      <c r="D6" s="21">
        <f>IF(C6="","",B6-C6)</f>
        <v/>
      </c>
      <c r="E6" s="21" t="n">
        <v>0</v>
      </c>
      <c r="F6" s="21" t="n">
        <v>3000</v>
      </c>
      <c r="G6" s="21" t="n">
        <v>151750</v>
      </c>
      <c r="H6" s="21" t="n">
        <v>4000</v>
      </c>
      <c r="I6" s="21">
        <f>IF(G6="","",F6+G6-H6)</f>
        <v/>
      </c>
      <c r="J6" s="21" t="n">
        <v>9900</v>
      </c>
      <c r="K6" s="21">
        <f>B6+E6+IF(I6="",0,I6)-J6</f>
        <v/>
      </c>
      <c r="L6" s="21" t="n">
        <v>148000</v>
      </c>
      <c r="M6" s="21">
        <f>K6-L6</f>
        <v/>
      </c>
    </row>
    <row r="7">
      <c r="A7" s="31" t="inlineStr">
        <is>
          <t>TOTAL</t>
        </is>
      </c>
      <c r="B7" s="32" t="n"/>
      <c r="C7" s="32" t="n"/>
      <c r="D7" s="32" t="n"/>
      <c r="E7" s="32" t="n"/>
      <c r="F7" s="32" t="n"/>
      <c r="G7" s="32" t="n"/>
      <c r="H7" s="32" t="n"/>
      <c r="I7" s="32" t="n"/>
      <c r="J7" s="32" t="n"/>
      <c r="K7" s="32">
        <f>SUM(K5:K6)</f>
        <v/>
      </c>
      <c r="L7" s="32">
        <f>SUM(L5:L6)</f>
        <v/>
      </c>
      <c r="M7" s="32">
        <f>SUM(M5:M6)</f>
        <v/>
      </c>
    </row>
    <row r="9">
      <c r="A9" s="22" t="inlineStr">
        <is>
          <t>ⓘ  Cómo se calcula esta hoja</t>
        </is>
      </c>
    </row>
    <row r="10">
      <c r="A10" s="23" t="inlineStr">
        <is>
          <t>Columna</t>
        </is>
      </c>
      <c r="B10" s="23" t="inlineStr">
        <is>
          <t>Fórmula (Excel)</t>
        </is>
      </c>
      <c r="C10" s="23" t="inlineStr">
        <is>
          <t>Cómo se calcula (sencillo)</t>
        </is>
      </c>
      <c r="D10" s="23" t="inlineStr">
        <is>
          <t>Ejemplo con números reales</t>
        </is>
      </c>
      <c r="E10" s="23" t="inlineStr">
        <is>
          <t>De dónde viene</t>
        </is>
      </c>
      <c r="F10" s="23" t="inlineStr">
        <is>
          <t>Norma</t>
        </is>
      </c>
    </row>
    <row r="11">
      <c r="A11" s="24" t="inlineStr">
        <is>
          <t>Diferencia de apertura</t>
        </is>
      </c>
      <c r="B11" s="25" t="inlineStr">
        <is>
          <t>'=IF(C5="","",B5-C5)</t>
        </is>
      </c>
      <c r="C11" s="24" t="inlineStr">
        <is>
          <t>Inventario inicial menos el cierre auditado del año anterior: debe ser cero. En blanco si no se informó el cierre anterior.</t>
        </is>
      </c>
      <c r="D11" s="24" t="inlineStr">
        <is>
          <t>Fila 1: IF(10.000,00=""; ""; 10.000,00-10.000,00) → 0,00</t>
        </is>
      </c>
      <c r="E11" s="24" t="inlineStr">
        <is>
          <t>«Cierre auditado anterior» (esta hoja), «Inventario inicial» (esta hoja)</t>
        </is>
      </c>
      <c r="F11" s="24" t="inlineStr">
        <is>
          <t>—</t>
        </is>
      </c>
    </row>
    <row r="12">
      <c r="A12" s="24" t="inlineStr">
        <is>
          <t>Costo de producción terminada (COGM)</t>
        </is>
      </c>
      <c r="B12" s="25" t="inlineStr">
        <is>
          <t>'=IF(G5="","",F5+G5-H5)</t>
        </is>
      </c>
      <c r="C12" s="24" t="inlineStr">
        <is>
          <t>WIP inicial más costos de manufactura menos WIP final: es el costo de lo que se terminó de producir. En blanco si no hay costos de manufactura.</t>
        </is>
      </c>
      <c r="D12" s="24" t="inlineStr">
        <is>
          <t>Fila 1: IF((vacío)=""; ""; (vacío)+(vacío)-(vacío)) → (en blanco)</t>
        </is>
      </c>
      <c r="E12" s="24" t="inlineStr">
        <is>
          <t>«Costos de manufactura» (esta hoja), «WIP inicial» (esta hoja), «WIP final» (esta hoja)</t>
        </is>
      </c>
      <c r="F12" s="24" t="inlineStr">
        <is>
          <t>—</t>
        </is>
      </c>
    </row>
    <row r="13">
      <c r="A13" s="24" t="inlineStr">
        <is>
          <t>Costo de ventas recalculado</t>
        </is>
      </c>
      <c r="B13" s="25" t="inlineStr">
        <is>
          <t>'=B5+E5+IF(I5="",0,I5)-J5</t>
        </is>
      </c>
      <c r="C13" s="24" t="inlineStr">
        <is>
          <t>Inventario inicial más compras netas más el costo de producción terminada (cero si no hay) menos inventario final.</t>
        </is>
      </c>
      <c r="D13" s="24" t="inlineStr">
        <is>
          <t>Fila 1: 10.000,00+60.000,00+IF((vacío)=""; 0; (vacío))-12.000,00 → 58.000,00</t>
        </is>
      </c>
      <c r="E13" s="24" t="inlineStr">
        <is>
          <t>«Inventario inicial» (esta hoja), «Compras netas» (esta hoja), «Costo de producción terminada (COGM)» (esta hoja), «Inventario final» (esta hoja)</t>
        </is>
      </c>
      <c r="F13" s="24" t="inlineStr">
        <is>
          <t>—</t>
        </is>
      </c>
    </row>
    <row r="14">
      <c r="A14" s="24" t="inlineStr">
        <is>
          <t>Diferencia</t>
        </is>
      </c>
      <c r="B14" s="25" t="inlineStr">
        <is>
          <t>'=K5-L5</t>
        </is>
      </c>
      <c r="C14" s="24" t="inlineStr">
        <is>
          <t>Costo de ventas recalculado menos el costo de ventas contable del cliente para la misma línea.</t>
        </is>
      </c>
      <c r="D14" s="24" t="inlineStr">
        <is>
          <t>Fila 1: 58.000,00-58.000,00 → 0,00</t>
        </is>
      </c>
      <c r="E14" s="24" t="inlineStr">
        <is>
          <t>«Costo de ventas recalculado» (esta hoja), «Costo de ventas contable» (esta hoja)</t>
        </is>
      </c>
      <c r="F14" s="24" t="inlineStr">
        <is>
          <t>—</t>
        </is>
      </c>
    </row>
  </sheetData>
  <mergeCells count="3">
    <mergeCell ref="A2:F2"/>
    <mergeCell ref="A1:F1"/>
    <mergeCell ref="A9:F9"/>
  </mergeCells>
  <hyperlinks>
    <hyperlink xmlns:r="http://schemas.openxmlformats.org/officeDocument/2006/relationships" ref="H1" r:id="rId1"/>
    <hyperlink xmlns:r="http://schemas.openxmlformats.org/officeDocument/2006/relationships" ref="I1" r:id="rId2"/>
    <hyperlink xmlns:r="http://schemas.openxmlformats.org/officeDocument/2006/relationships" ref="J1" r:id="rId3"/>
  </hyperlinks>
  <pageMargins left="0.75" right="0.75" top="1" bottom="1" header="0.5" footer="0.5"/>
  <pageSetup orientation="landscape" fitToHeight="0" fitToWidth="1"/>
  <headerFooter>
    <oddHeader/>
    <oddFooter>&amp;LAuditConsulting Auditores Cía. Ltda.&amp;C&amp;RPágina &amp;P de &amp;N</oddFooter>
    <evenHeader/>
    <evenFooter/>
    <firstHeader/>
    <firstFooter/>
  </headerFooter>
</worksheet>
</file>

<file path=xl/worksheets/sheet13.xml><?xml version="1.0" encoding="utf-8"?>
<worksheet xmlns="http://schemas.openxmlformats.org/spreadsheetml/2006/main">
  <sheetPr>
    <outlinePr summaryBelow="1" summaryRight="1"/>
    <pageSetUpPr fitToPage="1"/>
  </sheetPr>
  <dimension ref="A1:J29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2" customWidth="1" min="1" max="1"/>
    <col width="31" customWidth="1" min="2" max="2"/>
    <col width="19" customWidth="1" min="3" max="3"/>
    <col width="25" customWidth="1" min="4" max="4"/>
    <col width="26" customWidth="1" min="5" max="5"/>
    <col width="23" customWidth="1" min="6" max="6"/>
    <col width="17" customWidth="1" min="7" max="7"/>
    <col width="14" customWidth="1" min="8" max="8"/>
    <col width="14" customWidth="1" min="9" max="9"/>
    <col width="12" customWidth="1" min="10" max="10"/>
  </cols>
  <sheetData>
    <row r="1">
      <c r="A1" s="3" t="inlineStr">
        <is>
          <t>Valor realizable neto</t>
        </is>
      </c>
      <c r="H1" s="14" t="inlineStr">
        <is>
          <t>⟵ Inicio</t>
        </is>
      </c>
      <c r="I1" s="14" t="inlineStr">
        <is>
          <t>◀ Anterior</t>
        </is>
      </c>
      <c r="J1" s="14" t="inlineStr">
        <is>
          <t>Siguiente ▶</t>
        </is>
      </c>
    </row>
    <row r="2">
      <c r="A2" s="15" t="inlineStr">
        <is>
          <t>Inventarios, producción y costo de ventas · Cliente de muestra S.A. · corte 2025-12-31</t>
        </is>
      </c>
      <c r="B2" s="16" t="n"/>
      <c r="C2" s="16" t="n"/>
      <c r="D2" s="16" t="n"/>
      <c r="E2" s="16" t="n"/>
      <c r="F2" s="16" t="n"/>
      <c r="G2" s="16" t="n"/>
      <c r="H2" s="16" t="n"/>
      <c r="I2" s="16" t="n"/>
      <c r="J2" s="16" t="n"/>
    </row>
    <row r="4" ht="30" customHeight="1">
      <c r="A4" s="17" t="inlineStr">
        <is>
          <t>Código</t>
        </is>
      </c>
      <c r="B4" s="17" t="inlineStr">
        <is>
          <t>Descripción</t>
        </is>
      </c>
      <c r="C4" s="17" t="inlineStr">
        <is>
          <t>Cantidad auditada</t>
        </is>
      </c>
      <c r="D4" s="17" t="inlineStr">
        <is>
          <t>Costo unitario auditado</t>
        </is>
      </c>
      <c r="E4" s="17" t="inlineStr">
        <is>
          <t>Precio estimado de venta</t>
        </is>
      </c>
      <c r="F4" s="17" t="inlineStr">
        <is>
          <t>Costos de terminación</t>
        </is>
      </c>
      <c r="G4" s="17" t="inlineStr">
        <is>
          <t>Costos de venta</t>
        </is>
      </c>
      <c r="H4" s="17" t="inlineStr">
        <is>
          <t>VNR unitario</t>
        </is>
      </c>
      <c r="I4" s="17" t="inlineStr">
        <is>
          <t>Rebaja a VNR</t>
        </is>
      </c>
      <c r="J4" s="17" t="inlineStr">
        <is>
          <t>Medición</t>
        </is>
      </c>
    </row>
    <row r="5">
      <c r="A5" s="18" t="inlineStr">
        <is>
          <t>A-001</t>
        </is>
      </c>
      <c r="B5" s="18" t="inlineStr">
        <is>
          <t>Tornillo 1/4</t>
        </is>
      </c>
      <c r="C5" s="20">
        <f>'03_Inventario'!M5</f>
        <v/>
      </c>
      <c r="D5" s="20">
        <f>'03_Inventario'!N5</f>
        <v/>
      </c>
      <c r="E5" s="20">
        <f>IF('03_Inventario'!J5="","",'03_Inventario'!J5)</f>
        <v/>
      </c>
      <c r="F5" s="20">
        <f>'03_Inventario'!K5</f>
        <v/>
      </c>
      <c r="G5" s="20">
        <f>'03_Inventario'!L5</f>
        <v/>
      </c>
      <c r="H5" s="20">
        <f>IF(E5="","",E5-F5-G5)</f>
        <v/>
      </c>
      <c r="I5" s="20">
        <f>IF(H5="","",MIN(C5*D5,MAX(0,D5-H5)*C5))</f>
        <v/>
      </c>
      <c r="J5" s="18">
        <f>IF(H5="","Sin precio",IF(H5&lt;D5,"VNR","Costo"))</f>
        <v/>
      </c>
    </row>
    <row r="6">
      <c r="A6" s="19" t="inlineStr">
        <is>
          <t>A-002</t>
        </is>
      </c>
      <c r="B6" s="19" t="inlineStr">
        <is>
          <t>Tuerca 1/4</t>
        </is>
      </c>
      <c r="C6" s="21">
        <f>'03_Inventario'!M6</f>
        <v/>
      </c>
      <c r="D6" s="21">
        <f>'03_Inventario'!N6</f>
        <v/>
      </c>
      <c r="E6" s="21">
        <f>IF('03_Inventario'!J6="","",'03_Inventario'!J6)</f>
        <v/>
      </c>
      <c r="F6" s="21">
        <f>'03_Inventario'!K6</f>
        <v/>
      </c>
      <c r="G6" s="21">
        <f>'03_Inventario'!L6</f>
        <v/>
      </c>
      <c r="H6" s="21">
        <f>IF(E6="","",E6-F6-G6)</f>
        <v/>
      </c>
      <c r="I6" s="21">
        <f>IF(H6="","",MIN(C6*D6,MAX(0,D6-H6)*C6))</f>
        <v/>
      </c>
      <c r="J6" s="19">
        <f>IF(H6="","Sin precio",IF(H6&lt;D6,"VNR","Costo"))</f>
        <v/>
      </c>
    </row>
    <row r="7">
      <c r="A7" s="18" t="inlineStr">
        <is>
          <t>A-003</t>
        </is>
      </c>
      <c r="B7" s="18" t="inlineStr">
        <is>
          <t>Arandela</t>
        </is>
      </c>
      <c r="C7" s="20">
        <f>'03_Inventario'!M7</f>
        <v/>
      </c>
      <c r="D7" s="20">
        <f>'03_Inventario'!N7</f>
        <v/>
      </c>
      <c r="E7" s="20">
        <f>IF('03_Inventario'!J7="","",'03_Inventario'!J7)</f>
        <v/>
      </c>
      <c r="F7" s="20">
        <f>'03_Inventario'!K7</f>
        <v/>
      </c>
      <c r="G7" s="20">
        <f>'03_Inventario'!L7</f>
        <v/>
      </c>
      <c r="H7" s="20">
        <f>IF(E7="","",E7-F7-G7)</f>
        <v/>
      </c>
      <c r="I7" s="20">
        <f>IF(H7="","",MIN(C7*D7,MAX(0,D7-H7)*C7))</f>
        <v/>
      </c>
      <c r="J7" s="18">
        <f>IF(H7="","Sin precio",IF(H7&lt;D7,"VNR","Costo"))</f>
        <v/>
      </c>
    </row>
    <row r="8">
      <c r="A8" s="19" t="inlineStr">
        <is>
          <t>B-010</t>
        </is>
      </c>
      <c r="B8" s="19" t="inlineStr">
        <is>
          <t>Motor 2 HP</t>
        </is>
      </c>
      <c r="C8" s="21">
        <f>'03_Inventario'!M8</f>
        <v/>
      </c>
      <c r="D8" s="21">
        <f>'03_Inventario'!N8</f>
        <v/>
      </c>
      <c r="E8" s="21">
        <f>IF('03_Inventario'!J8="","",'03_Inventario'!J8)</f>
        <v/>
      </c>
      <c r="F8" s="21">
        <f>'03_Inventario'!K8</f>
        <v/>
      </c>
      <c r="G8" s="21">
        <f>'03_Inventario'!L8</f>
        <v/>
      </c>
      <c r="H8" s="21">
        <f>IF(E8="","",E8-F8-G8)</f>
        <v/>
      </c>
      <c r="I8" s="21">
        <f>IF(H8="","",MIN(C8*D8,MAX(0,D8-H8)*C8))</f>
        <v/>
      </c>
      <c r="J8" s="19">
        <f>IF(H8="","Sin precio",IF(H8&lt;D8,"VNR","Costo"))</f>
        <v/>
      </c>
    </row>
    <row r="9">
      <c r="A9" s="18" t="inlineStr">
        <is>
          <t>B-011</t>
        </is>
      </c>
      <c r="B9" s="18" t="inlineStr">
        <is>
          <t>Bomba centrífuga</t>
        </is>
      </c>
      <c r="C9" s="20">
        <f>'03_Inventario'!M9</f>
        <v/>
      </c>
      <c r="D9" s="20">
        <f>'03_Inventario'!N9</f>
        <v/>
      </c>
      <c r="E9" s="20">
        <f>IF('03_Inventario'!J9="","",'03_Inventario'!J9)</f>
        <v/>
      </c>
      <c r="F9" s="20">
        <f>'03_Inventario'!K9</f>
        <v/>
      </c>
      <c r="G9" s="20">
        <f>'03_Inventario'!L9</f>
        <v/>
      </c>
      <c r="H9" s="20">
        <f>IF(E9="","",E9-F9-G9)</f>
        <v/>
      </c>
      <c r="I9" s="20">
        <f>IF(H9="","",MIN(C9*D9,MAX(0,D9-H9)*C9))</f>
        <v/>
      </c>
      <c r="J9" s="18">
        <f>IF(H9="","Sin precio",IF(H9&lt;D9,"VNR","Costo"))</f>
        <v/>
      </c>
    </row>
    <row r="10">
      <c r="A10" s="19" t="inlineStr">
        <is>
          <t>B-012</t>
        </is>
      </c>
      <c r="B10" s="19" t="inlineStr">
        <is>
          <t>Válvula 2"</t>
        </is>
      </c>
      <c r="C10" s="21">
        <f>'03_Inventario'!M10</f>
        <v/>
      </c>
      <c r="D10" s="21">
        <f>'03_Inventario'!N10</f>
        <v/>
      </c>
      <c r="E10" s="21">
        <f>IF('03_Inventario'!J10="","",'03_Inventario'!J10)</f>
        <v/>
      </c>
      <c r="F10" s="21">
        <f>'03_Inventario'!K10</f>
        <v/>
      </c>
      <c r="G10" s="21">
        <f>'03_Inventario'!L10</f>
        <v/>
      </c>
      <c r="H10" s="21">
        <f>IF(E10="","",E10-F10-G10)</f>
        <v/>
      </c>
      <c r="I10" s="21">
        <f>IF(H10="","",MIN(C10*D10,MAX(0,D10-H10)*C10))</f>
        <v/>
      </c>
      <c r="J10" s="19">
        <f>IF(H10="","Sin precio",IF(H10&lt;D10,"VNR","Costo"))</f>
        <v/>
      </c>
    </row>
    <row r="11">
      <c r="A11" s="18" t="inlineStr">
        <is>
          <t>C-100</t>
        </is>
      </c>
      <c r="B11" s="18" t="inlineStr">
        <is>
          <t>Repuesto modelo descontinuado</t>
        </is>
      </c>
      <c r="C11" s="20">
        <f>'03_Inventario'!M11</f>
        <v/>
      </c>
      <c r="D11" s="20">
        <f>'03_Inventario'!N11</f>
        <v/>
      </c>
      <c r="E11" s="20">
        <f>IF('03_Inventario'!J11="","",'03_Inventario'!J11)</f>
        <v/>
      </c>
      <c r="F11" s="20">
        <f>'03_Inventario'!K11</f>
        <v/>
      </c>
      <c r="G11" s="20">
        <f>'03_Inventario'!L11</f>
        <v/>
      </c>
      <c r="H11" s="20">
        <f>IF(E11="","",E11-F11-G11)</f>
        <v/>
      </c>
      <c r="I11" s="20">
        <f>IF(H11="","",MIN(C11*D11,MAX(0,D11-H11)*C11))</f>
        <v/>
      </c>
      <c r="J11" s="18">
        <f>IF(H11="","Sin precio",IF(H11&lt;D11,"VNR","Costo"))</f>
        <v/>
      </c>
    </row>
    <row r="12">
      <c r="A12" s="19" t="inlineStr">
        <is>
          <t>C-101</t>
        </is>
      </c>
      <c r="B12" s="19" t="inlineStr">
        <is>
          <t>Producto terminado X</t>
        </is>
      </c>
      <c r="C12" s="21">
        <f>'03_Inventario'!M12</f>
        <v/>
      </c>
      <c r="D12" s="21">
        <f>'03_Inventario'!N12</f>
        <v/>
      </c>
      <c r="E12" s="21">
        <f>IF('03_Inventario'!J12="","",'03_Inventario'!J12)</f>
        <v/>
      </c>
      <c r="F12" s="21">
        <f>'03_Inventario'!K12</f>
        <v/>
      </c>
      <c r="G12" s="21">
        <f>'03_Inventario'!L12</f>
        <v/>
      </c>
      <c r="H12" s="21">
        <f>IF(E12="","",E12-F12-G12)</f>
        <v/>
      </c>
      <c r="I12" s="21">
        <f>IF(H12="","",MIN(C12*D12,MAX(0,D12-H12)*C12))</f>
        <v/>
      </c>
      <c r="J12" s="19">
        <f>IF(H12="","Sin precio",IF(H12&lt;D12,"VNR","Costo"))</f>
        <v/>
      </c>
    </row>
    <row r="13">
      <c r="A13" s="18" t="inlineStr">
        <is>
          <t>C-102</t>
        </is>
      </c>
      <c r="B13" s="18" t="inlineStr">
        <is>
          <t>Producto terminado Y</t>
        </is>
      </c>
      <c r="C13" s="20">
        <f>'03_Inventario'!M13</f>
        <v/>
      </c>
      <c r="D13" s="20">
        <f>'03_Inventario'!N13</f>
        <v/>
      </c>
      <c r="E13" s="20">
        <f>IF('03_Inventario'!J13="","",'03_Inventario'!J13)</f>
        <v/>
      </c>
      <c r="F13" s="20">
        <f>'03_Inventario'!K13</f>
        <v/>
      </c>
      <c r="G13" s="20">
        <f>'03_Inventario'!L13</f>
        <v/>
      </c>
      <c r="H13" s="20">
        <f>IF(E13="","",E13-F13-G13)</f>
        <v/>
      </c>
      <c r="I13" s="20">
        <f>IF(H13="","",MIN(C13*D13,MAX(0,D13-H13)*C13))</f>
        <v/>
      </c>
      <c r="J13" s="18">
        <f>IF(H13="","Sin precio",IF(H13&lt;D13,"VNR","Costo"))</f>
        <v/>
      </c>
    </row>
    <row r="14">
      <c r="A14" s="19" t="inlineStr">
        <is>
          <t>D-200</t>
        </is>
      </c>
      <c r="B14" s="19" t="inlineStr">
        <is>
          <t>Materia prima Z</t>
        </is>
      </c>
      <c r="C14" s="21">
        <f>'03_Inventario'!M14</f>
        <v/>
      </c>
      <c r="D14" s="21">
        <f>'03_Inventario'!N14</f>
        <v/>
      </c>
      <c r="E14" s="21">
        <f>IF('03_Inventario'!J14="","",'03_Inventario'!J14)</f>
        <v/>
      </c>
      <c r="F14" s="21">
        <f>'03_Inventario'!K14</f>
        <v/>
      </c>
      <c r="G14" s="21">
        <f>'03_Inventario'!L14</f>
        <v/>
      </c>
      <c r="H14" s="21">
        <f>IF(E14="","",E14-F14-G14)</f>
        <v/>
      </c>
      <c r="I14" s="21">
        <f>IF(H14="","",MIN(C14*D14,MAX(0,D14-H14)*C14))</f>
        <v/>
      </c>
      <c r="J14" s="19">
        <f>IF(H14="","Sin precio",IF(H14&lt;D14,"VNR","Costo"))</f>
        <v/>
      </c>
    </row>
    <row r="15">
      <c r="A15" s="18" t="inlineStr">
        <is>
          <t>E-300</t>
        </is>
      </c>
      <c r="B15" s="18" t="inlineStr">
        <is>
          <t>Lámina de acero</t>
        </is>
      </c>
      <c r="C15" s="20">
        <f>'03_Inventario'!M15</f>
        <v/>
      </c>
      <c r="D15" s="20">
        <f>'03_Inventario'!N15</f>
        <v/>
      </c>
      <c r="E15" s="20">
        <f>IF('03_Inventario'!J15="","",'03_Inventario'!J15)</f>
        <v/>
      </c>
      <c r="F15" s="20">
        <f>'03_Inventario'!K15</f>
        <v/>
      </c>
      <c r="G15" s="20">
        <f>'03_Inventario'!L15</f>
        <v/>
      </c>
      <c r="H15" s="20">
        <f>IF(E15="","",E15-F15-G15)</f>
        <v/>
      </c>
      <c r="I15" s="20">
        <f>IF(H15="","",MIN(C15*D15,MAX(0,D15-H15)*C15))</f>
        <v/>
      </c>
      <c r="J15" s="18">
        <f>IF(H15="","Sin precio",IF(H15&lt;D15,"VNR","Costo"))</f>
        <v/>
      </c>
    </row>
    <row r="16">
      <c r="A16" s="19" t="inlineStr">
        <is>
          <t>E-301</t>
        </is>
      </c>
      <c r="B16" s="19" t="inlineStr">
        <is>
          <t>Perfil de aluminio</t>
        </is>
      </c>
      <c r="C16" s="21">
        <f>'03_Inventario'!M16</f>
        <v/>
      </c>
      <c r="D16" s="21">
        <f>'03_Inventario'!N16</f>
        <v/>
      </c>
      <c r="E16" s="21">
        <f>IF('03_Inventario'!J16="","",'03_Inventario'!J16)</f>
        <v/>
      </c>
      <c r="F16" s="21">
        <f>'03_Inventario'!K16</f>
        <v/>
      </c>
      <c r="G16" s="21">
        <f>'03_Inventario'!L16</f>
        <v/>
      </c>
      <c r="H16" s="21">
        <f>IF(E16="","",E16-F16-G16)</f>
        <v/>
      </c>
      <c r="I16" s="21">
        <f>IF(H16="","",MIN(C16*D16,MAX(0,D16-H16)*C16))</f>
        <v/>
      </c>
      <c r="J16" s="19">
        <f>IF(H16="","Sin precio",IF(H16&lt;D16,"VNR","Costo"))</f>
        <v/>
      </c>
    </row>
    <row r="17">
      <c r="A17" s="18" t="inlineStr">
        <is>
          <t>E-302</t>
        </is>
      </c>
      <c r="B17" s="18" t="inlineStr">
        <is>
          <t>Resina industrial</t>
        </is>
      </c>
      <c r="C17" s="20">
        <f>'03_Inventario'!M17</f>
        <v/>
      </c>
      <c r="D17" s="20">
        <f>'03_Inventario'!N17</f>
        <v/>
      </c>
      <c r="E17" s="20">
        <f>IF('03_Inventario'!J17="","",'03_Inventario'!J17)</f>
        <v/>
      </c>
      <c r="F17" s="20">
        <f>'03_Inventario'!K17</f>
        <v/>
      </c>
      <c r="G17" s="20">
        <f>'03_Inventario'!L17</f>
        <v/>
      </c>
      <c r="H17" s="20">
        <f>IF(E17="","",E17-F17-G17)</f>
        <v/>
      </c>
      <c r="I17" s="20">
        <f>IF(H17="","",MIN(C17*D17,MAX(0,D17-H17)*C17))</f>
        <v/>
      </c>
      <c r="J17" s="18">
        <f>IF(H17="","Sin precio",IF(H17&lt;D17,"VNR","Costo"))</f>
        <v/>
      </c>
    </row>
    <row r="18">
      <c r="A18" s="31" t="inlineStr">
        <is>
          <t>TOTAL</t>
        </is>
      </c>
      <c r="B18" s="31" t="inlineStr"/>
      <c r="C18" s="32" t="n"/>
      <c r="D18" s="32" t="n"/>
      <c r="E18" s="32" t="n"/>
      <c r="F18" s="32" t="n"/>
      <c r="G18" s="32" t="n"/>
      <c r="H18" s="32" t="n"/>
      <c r="I18" s="32">
        <f>SUM(I5:I17)</f>
        <v/>
      </c>
      <c r="J18" s="31" t="inlineStr"/>
    </row>
    <row r="20">
      <c r="A20" s="22" t="inlineStr">
        <is>
          <t>ⓘ  Cómo se calcula esta hoja</t>
        </is>
      </c>
    </row>
    <row r="21">
      <c r="A21" s="23" t="inlineStr">
        <is>
          <t>Columna</t>
        </is>
      </c>
      <c r="B21" s="23" t="inlineStr">
        <is>
          <t>Fórmula (Excel)</t>
        </is>
      </c>
      <c r="C21" s="23" t="inlineStr">
        <is>
          <t>Cómo se calcula (sencillo)</t>
        </is>
      </c>
      <c r="D21" s="23" t="inlineStr">
        <is>
          <t>Ejemplo con números reales</t>
        </is>
      </c>
      <c r="E21" s="23" t="inlineStr">
        <is>
          <t>De dónde viene</t>
        </is>
      </c>
      <c r="F21" s="23" t="inlineStr">
        <is>
          <t>Norma</t>
        </is>
      </c>
    </row>
    <row r="22">
      <c r="A22" s="24" t="inlineStr">
        <is>
          <t>Cantidad auditada</t>
        </is>
      </c>
      <c r="B22" s="25" t="inlineStr">
        <is>
          <t>'='03_Inventario'!M5</t>
        </is>
      </c>
      <c r="C22" s="24" t="inlineStr">
        <is>
          <t>Trae la cantidad auditada del ítem (contada o, si no se contó, la del kardex) desde la hoja 03.</t>
        </is>
      </c>
      <c r="D22" s="24" t="inlineStr">
        <is>
          <t>Fila 1: 1.000,00 → 1.000,00</t>
        </is>
      </c>
      <c r="E22" s="24" t="inlineStr">
        <is>
          <t>hoja «Inventario valorado por ítem»</t>
        </is>
      </c>
      <c r="F22" s="24" t="inlineStr">
        <is>
          <t>—</t>
        </is>
      </c>
    </row>
    <row r="23">
      <c r="A23" s="24" t="inlineStr">
        <is>
          <t>Costo unitario auditado</t>
        </is>
      </c>
      <c r="B23" s="25" t="inlineStr">
        <is>
          <t>'='03_Inventario'!N5</t>
        </is>
      </c>
      <c r="C23" s="24" t="inlineStr">
        <is>
          <t>Trae el costo unitario auditado (soportado o, sin soporte, el del kardex) desde la hoja 03.</t>
        </is>
      </c>
      <c r="D23" s="24" t="inlineStr">
        <is>
          <t>Fila 1: 2,50 → 2,50</t>
        </is>
      </c>
      <c r="E23" s="24" t="inlineStr">
        <is>
          <t>hoja «Inventario valorado por ítem»</t>
        </is>
      </c>
      <c r="F23" s="24" t="inlineStr">
        <is>
          <t>—</t>
        </is>
      </c>
    </row>
    <row r="24">
      <c r="A24" s="24" t="inlineStr">
        <is>
          <t>Precio estimado de venta</t>
        </is>
      </c>
      <c r="B24" s="25" t="inlineStr">
        <is>
          <t>'=IF('03_Inventario'!J5="","",'03_Inventario'!J5)</t>
        </is>
      </c>
      <c r="C24" s="24" t="inlineStr">
        <is>
          <t>Trae el precio de venta unitario informado en la hoja 03 (Inventario valorado por ítem); si no se informó, queda en blanco.</t>
        </is>
      </c>
      <c r="D24" s="24" t="inlineStr">
        <is>
          <t>Fila 1: IF(4,00=""; ""; 4,00) → 4,00</t>
        </is>
      </c>
      <c r="E24" s="24" t="inlineStr">
        <is>
          <t>hoja «Inventario valorado por ítem»</t>
        </is>
      </c>
      <c r="F24" s="24" t="inlineStr">
        <is>
          <t>—</t>
        </is>
      </c>
    </row>
    <row r="25">
      <c r="A25" s="24" t="inlineStr">
        <is>
          <t>Costos de terminación</t>
        </is>
      </c>
      <c r="B25" s="25" t="inlineStr">
        <is>
          <t>'='03_Inventario'!K5</t>
        </is>
      </c>
      <c r="C25" s="24" t="inlineStr">
        <is>
          <t>Trae los costos unitarios que faltan para terminar el producto, desde la hoja 03 (Inventario valorado por ítem).</t>
        </is>
      </c>
      <c r="D25" s="24" t="inlineStr">
        <is>
          <t>Fila 1: (vacío) → 0,00</t>
        </is>
      </c>
      <c r="E25" s="24" t="inlineStr">
        <is>
          <t>hoja «Inventario valorado por ítem»</t>
        </is>
      </c>
      <c r="F25" s="24" t="inlineStr">
        <is>
          <t>—</t>
        </is>
      </c>
    </row>
    <row r="26">
      <c r="A26" s="24" t="inlineStr">
        <is>
          <t>Costos de venta</t>
        </is>
      </c>
      <c r="B26" s="25" t="inlineStr">
        <is>
          <t>'='03_Inventario'!L5</t>
        </is>
      </c>
      <c r="C26" s="24" t="inlineStr">
        <is>
          <t>Trae los costos unitarios necesarios para vender el producto, desde la hoja 03 (Inventario valorado por ítem).</t>
        </is>
      </c>
      <c r="D26" s="24" t="inlineStr">
        <is>
          <t>Fila 1: 0,30 → 0,30</t>
        </is>
      </c>
      <c r="E26" s="24" t="inlineStr">
        <is>
          <t>hoja «Inventario valorado por ítem»</t>
        </is>
      </c>
      <c r="F26" s="24" t="inlineStr">
        <is>
          <t>—</t>
        </is>
      </c>
    </row>
    <row r="27">
      <c r="A27" s="24" t="inlineStr">
        <is>
          <t>VNR unitario</t>
        </is>
      </c>
      <c r="B27" s="25" t="inlineStr">
        <is>
          <t>'=IF(E5="","",E5-F5-G5)</t>
        </is>
      </c>
      <c r="C27" s="24" t="inlineStr">
        <is>
          <t>Precio estimado de venta menos costos de terminación y de venta; en blanco si no hay precio de venta.</t>
        </is>
      </c>
      <c r="D27" s="24" t="inlineStr">
        <is>
          <t>Fila 1: IF(4,00=""; ""; 4,00-0,00-0,30) → 3,70</t>
        </is>
      </c>
      <c r="E27" s="24" t="inlineStr">
        <is>
          <t>«Precio estimado de venta» (esta hoja), «Costos de terminación» (esta hoja), «Costos de venta» (esta hoja)</t>
        </is>
      </c>
      <c r="F27" s="24" t="inlineStr">
        <is>
          <t>—</t>
        </is>
      </c>
    </row>
    <row r="28">
      <c r="A28" s="24" t="inlineStr">
        <is>
          <t>Rebaja a VNR</t>
        </is>
      </c>
      <c r="B28" s="25" t="inlineStr">
        <is>
          <t>'=IF(H5="","",MIN(C5*D5,MAX(0,D5-H5)*C5))</t>
        </is>
      </c>
      <c r="C28" s="24" t="inlineStr">
        <is>
          <t>Si el VNR unitario es menor que el costo unitario auditado, multiplica la diferencia por la cantidad auditada, sin pasar del costo total del ítem; si no, es cero. En blanco si no hay precio.</t>
        </is>
      </c>
      <c r="D28" s="24" t="inlineStr">
        <is>
          <t>Fila 1: IF(3,70=""; ""; MIN(1.000,00*2,50; MAX(0; 2,50-3,70)*1.000,00)) → 0,00</t>
        </is>
      </c>
      <c r="E28" s="24" t="inlineStr">
        <is>
          <t>«VNR unitario» (esta hoja), «Cantidad auditada» (esta hoja), «Costo unitario auditado» (esta hoja)</t>
        </is>
      </c>
      <c r="F28" s="24" t="inlineStr">
        <is>
          <t>—</t>
        </is>
      </c>
    </row>
    <row r="29">
      <c r="A29" s="24" t="inlineStr">
        <is>
          <t>Medición</t>
        </is>
      </c>
      <c r="B29" s="25" t="inlineStr">
        <is>
          <t>'=IF(H5="","Sin precio",IF(H5&lt;D5,"VNR","Costo"))</t>
        </is>
      </c>
      <c r="C29" s="24" t="inlineStr">
        <is>
          <t>Indica con qué valor queda el ítem: «VNR» si el VNR es menor que el costo, «Costo» si no lo es y «Sin precio» si no se informó precio de venta.</t>
        </is>
      </c>
      <c r="D29" s="24" t="inlineStr">
        <is>
          <t>Fila 1: IF(3,70=""; "Sin precio"; IF(3,70&lt;2,50; "VNR"; "Costo")) → Costo</t>
        </is>
      </c>
      <c r="E29" s="24" t="inlineStr">
        <is>
          <t>«VNR unitario» (esta hoja), «Costo unitario auditado» (esta hoja)</t>
        </is>
      </c>
      <c r="F29" s="24" t="inlineStr">
        <is>
          <t>—</t>
        </is>
      </c>
    </row>
  </sheetData>
  <mergeCells count="3">
    <mergeCell ref="A20:F20"/>
    <mergeCell ref="A2:F2"/>
    <mergeCell ref="A1:F1"/>
  </mergeCells>
  <hyperlinks>
    <hyperlink xmlns:r="http://schemas.openxmlformats.org/officeDocument/2006/relationships" ref="H1" r:id="rId1"/>
    <hyperlink xmlns:r="http://schemas.openxmlformats.org/officeDocument/2006/relationships" ref="I1" r:id="rId2"/>
    <hyperlink xmlns:r="http://schemas.openxmlformats.org/officeDocument/2006/relationships" ref="J1" r:id="rId3"/>
  </hyperlinks>
  <pageMargins left="0.75" right="0.75" top="1" bottom="1" header="0.5" footer="0.5"/>
  <pageSetup orientation="landscape" fitToHeight="0" fitToWidth="1"/>
  <headerFooter>
    <oddHeader/>
    <oddFooter>&amp;LAuditConsulting Auditores Cía. Ltda.&amp;C&amp;RPágina &amp;P de &amp;N</oddFooter>
    <evenHeader/>
    <evenFooter/>
    <firstHeader/>
    <firstFooter/>
  </headerFooter>
</worksheet>
</file>

<file path=xl/worksheets/sheet14.xml><?xml version="1.0" encoding="utf-8"?>
<worksheet xmlns="http://schemas.openxmlformats.org/spreadsheetml/2006/main">
  <sheetPr>
    <outlinePr summaryBelow="1" summaryRight="1"/>
    <pageSetUpPr fitToPage="1"/>
  </sheetPr>
  <dimension ref="A1:J28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2" customWidth="1" min="1" max="1"/>
    <col width="31" customWidth="1" min="2" max="2"/>
    <col width="16" customWidth="1" min="3" max="3"/>
    <col width="19" customWidth="1" min="4" max="4"/>
    <col width="21" customWidth="1" min="5" max="5"/>
    <col width="16" customWidth="1" min="6" max="6"/>
    <col width="29" customWidth="1" min="7" max="7"/>
    <col width="14" customWidth="1" min="8" max="8"/>
    <col width="60" customWidth="1" min="9" max="9"/>
    <col width="52" customWidth="1" min="10" max="10"/>
  </cols>
  <sheetData>
    <row r="1">
      <c r="A1" s="3" t="inlineStr">
        <is>
          <t>Obsolescencia y lenta rotación</t>
        </is>
      </c>
      <c r="H1" s="14" t="inlineStr">
        <is>
          <t>⟵ Inicio</t>
        </is>
      </c>
      <c r="I1" s="14" t="inlineStr">
        <is>
          <t>◀ Anterior</t>
        </is>
      </c>
      <c r="J1" s="14" t="inlineStr">
        <is>
          <t>Siguiente ▶</t>
        </is>
      </c>
    </row>
    <row r="2">
      <c r="A2" s="15" t="inlineStr">
        <is>
          <t>Inventarios, producción y costo de ventas · Cliente de muestra S.A. · corte 2025-12-31</t>
        </is>
      </c>
      <c r="B2" s="16" t="n"/>
      <c r="C2" s="16" t="n"/>
      <c r="D2" s="16" t="n"/>
      <c r="E2" s="16" t="n"/>
      <c r="F2" s="16" t="n"/>
      <c r="G2" s="16" t="n"/>
      <c r="H2" s="16" t="n"/>
      <c r="I2" s="16" t="n"/>
      <c r="J2" s="16" t="n"/>
    </row>
    <row r="4" ht="30" customHeight="1">
      <c r="A4" s="17" t="inlineStr">
        <is>
          <t>Código</t>
        </is>
      </c>
      <c r="B4" s="17" t="inlineStr">
        <is>
          <t>Descripción</t>
        </is>
      </c>
      <c r="C4" s="17" t="inlineStr">
        <is>
          <t>Costo auditado</t>
        </is>
      </c>
      <c r="D4" s="17" t="inlineStr">
        <is>
          <t>Último movimiento</t>
        </is>
      </c>
      <c r="E4" s="17" t="inlineStr">
        <is>
          <t>Días sin movimiento</t>
        </is>
      </c>
      <c r="F4" s="17" t="inlineStr">
        <is>
          <t>% de provisión</t>
        </is>
      </c>
      <c r="G4" s="17" t="inlineStr">
        <is>
          <t>Provisión por obsolescencia</t>
        </is>
      </c>
      <c r="H4" s="17" t="inlineStr">
        <is>
          <t>Rebaja a VNR</t>
        </is>
      </c>
      <c r="I4" s="17" t="inlineStr">
        <is>
          <t>Provisión antes de la excepción (VNR; el tramo solo si no hay precio)</t>
        </is>
      </c>
      <c r="J4" s="17" t="inlineStr">
        <is>
          <t>Provisión estimada (neta de la excepción NIC 2.32)</t>
        </is>
      </c>
    </row>
    <row r="5">
      <c r="A5" s="18" t="inlineStr">
        <is>
          <t>A-001</t>
        </is>
      </c>
      <c r="B5" s="18" t="inlineStr">
        <is>
          <t>Tornillo 1/4</t>
        </is>
      </c>
      <c r="C5" s="20">
        <f>'03_Inventario'!O5</f>
        <v/>
      </c>
      <c r="D5" s="29" t="n">
        <v>46001</v>
      </c>
      <c r="E5" s="34">
        <f>IF(D5="","",'02_Parametros'!$B$5-D5)</f>
        <v/>
      </c>
      <c r="F5" s="35">
        <f>IF(E5="","",IF(E5&gt;'02_Parametros'!$B$11,'02_Parametros'!$B$12/100,IF(E5&gt;'02_Parametros'!$B$9,'02_Parametros'!$B$10/100,IF(E5&gt;'02_Parametros'!$B$7,'02_Parametros'!$B$8/100,0))))</f>
        <v/>
      </c>
      <c r="G5" s="20">
        <f>IF(F5="","",C5*F5)</f>
        <v/>
      </c>
      <c r="H5" s="20">
        <f>IF('09_VNR'!I5="","",'09_VNR'!I5)</f>
        <v/>
      </c>
      <c r="I5" s="20">
        <f>IF(H5&lt;&gt;"",H5,G5)</f>
        <v/>
      </c>
      <c r="J5" s="20">
        <f>IF('11_Excepcion_MP'!H5="Sí",0,IF(I5="","",I5))</f>
        <v/>
      </c>
    </row>
    <row r="6">
      <c r="A6" s="19" t="inlineStr">
        <is>
          <t>A-002</t>
        </is>
      </c>
      <c r="B6" s="19" t="inlineStr">
        <is>
          <t>Tuerca 1/4</t>
        </is>
      </c>
      <c r="C6" s="21">
        <f>'03_Inventario'!O6</f>
        <v/>
      </c>
      <c r="D6" s="30" t="n">
        <v>45991</v>
      </c>
      <c r="E6" s="36">
        <f>IF(D6="","",'02_Parametros'!$B$5-D6)</f>
        <v/>
      </c>
      <c r="F6" s="37">
        <f>IF(E6="","",IF(E6&gt;'02_Parametros'!$B$11,'02_Parametros'!$B$12/100,IF(E6&gt;'02_Parametros'!$B$9,'02_Parametros'!$B$10/100,IF(E6&gt;'02_Parametros'!$B$7,'02_Parametros'!$B$8/100,0))))</f>
        <v/>
      </c>
      <c r="G6" s="21">
        <f>IF(F6="","",C6*F6)</f>
        <v/>
      </c>
      <c r="H6" s="21">
        <f>IF('09_VNR'!I6="","",'09_VNR'!I6)</f>
        <v/>
      </c>
      <c r="I6" s="21">
        <f>IF(H6&lt;&gt;"",H6,G6)</f>
        <v/>
      </c>
      <c r="J6" s="21">
        <f>IF('11_Excepcion_MP'!H6="Sí",0,IF(I6="","",I6))</f>
        <v/>
      </c>
    </row>
    <row r="7">
      <c r="A7" s="18" t="inlineStr">
        <is>
          <t>A-003</t>
        </is>
      </c>
      <c r="B7" s="18" t="inlineStr">
        <is>
          <t>Arandela</t>
        </is>
      </c>
      <c r="C7" s="20">
        <f>'03_Inventario'!O7</f>
        <v/>
      </c>
      <c r="D7" s="29" t="n">
        <v>46011</v>
      </c>
      <c r="E7" s="34">
        <f>IF(D7="","",'02_Parametros'!$B$5-D7)</f>
        <v/>
      </c>
      <c r="F7" s="35">
        <f>IF(E7="","",IF(E7&gt;'02_Parametros'!$B$11,'02_Parametros'!$B$12/100,IF(E7&gt;'02_Parametros'!$B$9,'02_Parametros'!$B$10/100,IF(E7&gt;'02_Parametros'!$B$7,'02_Parametros'!$B$8/100,0))))</f>
        <v/>
      </c>
      <c r="G7" s="20">
        <f>IF(F7="","",C7*F7)</f>
        <v/>
      </c>
      <c r="H7" s="20">
        <f>IF('09_VNR'!I7="","",'09_VNR'!I7)</f>
        <v/>
      </c>
      <c r="I7" s="20">
        <f>IF(H7&lt;&gt;"",H7,G7)</f>
        <v/>
      </c>
      <c r="J7" s="20">
        <f>IF('11_Excepcion_MP'!H7="Sí",0,IF(I7="","",I7))</f>
        <v/>
      </c>
    </row>
    <row r="8">
      <c r="A8" s="19" t="inlineStr">
        <is>
          <t>B-010</t>
        </is>
      </c>
      <c r="B8" s="19" t="inlineStr">
        <is>
          <t>Motor 2 HP</t>
        </is>
      </c>
      <c r="C8" s="21">
        <f>'03_Inventario'!O8</f>
        <v/>
      </c>
      <c r="D8" s="30" t="n">
        <v>45945</v>
      </c>
      <c r="E8" s="36">
        <f>IF(D8="","",'02_Parametros'!$B$5-D8)</f>
        <v/>
      </c>
      <c r="F8" s="37">
        <f>IF(E8="","",IF(E8&gt;'02_Parametros'!$B$11,'02_Parametros'!$B$12/100,IF(E8&gt;'02_Parametros'!$B$9,'02_Parametros'!$B$10/100,IF(E8&gt;'02_Parametros'!$B$7,'02_Parametros'!$B$8/100,0))))</f>
        <v/>
      </c>
      <c r="G8" s="21">
        <f>IF(F8="","",C8*F8)</f>
        <v/>
      </c>
      <c r="H8" s="21">
        <f>IF('09_VNR'!I8="","",'09_VNR'!I8)</f>
        <v/>
      </c>
      <c r="I8" s="21">
        <f>IF(H8&lt;&gt;"",H8,G8)</f>
        <v/>
      </c>
      <c r="J8" s="21">
        <f>IF('11_Excepcion_MP'!H8="Sí",0,IF(I8="","",I8))</f>
        <v/>
      </c>
    </row>
    <row r="9">
      <c r="A9" s="18" t="inlineStr">
        <is>
          <t>B-011</t>
        </is>
      </c>
      <c r="B9" s="18" t="inlineStr">
        <is>
          <t>Bomba centrífuga</t>
        </is>
      </c>
      <c r="C9" s="20">
        <f>'03_Inventario'!O9</f>
        <v/>
      </c>
      <c r="D9" s="29" t="n">
        <v>45717</v>
      </c>
      <c r="E9" s="34">
        <f>IF(D9="","",'02_Parametros'!$B$5-D9)</f>
        <v/>
      </c>
      <c r="F9" s="35">
        <f>IF(E9="","",IF(E9&gt;'02_Parametros'!$B$11,'02_Parametros'!$B$12/100,IF(E9&gt;'02_Parametros'!$B$9,'02_Parametros'!$B$10/100,IF(E9&gt;'02_Parametros'!$B$7,'02_Parametros'!$B$8/100,0))))</f>
        <v/>
      </c>
      <c r="G9" s="20">
        <f>IF(F9="","",C9*F9)</f>
        <v/>
      </c>
      <c r="H9" s="20">
        <f>IF('09_VNR'!I9="","",'09_VNR'!I9)</f>
        <v/>
      </c>
      <c r="I9" s="20">
        <f>IF(H9&lt;&gt;"",H9,G9)</f>
        <v/>
      </c>
      <c r="J9" s="20">
        <f>IF('11_Excepcion_MP'!H9="Sí",0,IF(I9="","",I9))</f>
        <v/>
      </c>
    </row>
    <row r="10">
      <c r="A10" s="19" t="inlineStr">
        <is>
          <t>B-012</t>
        </is>
      </c>
      <c r="B10" s="19" t="inlineStr">
        <is>
          <t>Válvula 2"</t>
        </is>
      </c>
      <c r="C10" s="21">
        <f>'03_Inventario'!O10</f>
        <v/>
      </c>
      <c r="D10" s="30" t="n">
        <v>45473</v>
      </c>
      <c r="E10" s="36">
        <f>IF(D10="","",'02_Parametros'!$B$5-D10)</f>
        <v/>
      </c>
      <c r="F10" s="37">
        <f>IF(E10="","",IF(E10&gt;'02_Parametros'!$B$11,'02_Parametros'!$B$12/100,IF(E10&gt;'02_Parametros'!$B$9,'02_Parametros'!$B$10/100,IF(E10&gt;'02_Parametros'!$B$7,'02_Parametros'!$B$8/100,0))))</f>
        <v/>
      </c>
      <c r="G10" s="21">
        <f>IF(F10="","",C10*F10)</f>
        <v/>
      </c>
      <c r="H10" s="21">
        <f>IF('09_VNR'!I10="","",'09_VNR'!I10)</f>
        <v/>
      </c>
      <c r="I10" s="21">
        <f>IF(H10&lt;&gt;"",H10,G10)</f>
        <v/>
      </c>
      <c r="J10" s="21">
        <f>IF('11_Excepcion_MP'!H10="Sí",0,IF(I10="","",I10))</f>
        <v/>
      </c>
    </row>
    <row r="11">
      <c r="A11" s="18" t="inlineStr">
        <is>
          <t>C-100</t>
        </is>
      </c>
      <c r="B11" s="18" t="inlineStr">
        <is>
          <t>Repuesto modelo descontinuado</t>
        </is>
      </c>
      <c r="C11" s="20">
        <f>'03_Inventario'!O11</f>
        <v/>
      </c>
      <c r="D11" s="29" t="n">
        <v>45077</v>
      </c>
      <c r="E11" s="34">
        <f>IF(D11="","",'02_Parametros'!$B$5-D11)</f>
        <v/>
      </c>
      <c r="F11" s="35">
        <f>IF(E11="","",IF(E11&gt;'02_Parametros'!$B$11,'02_Parametros'!$B$12/100,IF(E11&gt;'02_Parametros'!$B$9,'02_Parametros'!$B$10/100,IF(E11&gt;'02_Parametros'!$B$7,'02_Parametros'!$B$8/100,0))))</f>
        <v/>
      </c>
      <c r="G11" s="20">
        <f>IF(F11="","",C11*F11)</f>
        <v/>
      </c>
      <c r="H11" s="20">
        <f>IF('09_VNR'!I11="","",'09_VNR'!I11)</f>
        <v/>
      </c>
      <c r="I11" s="20">
        <f>IF(H11&lt;&gt;"",H11,G11)</f>
        <v/>
      </c>
      <c r="J11" s="20">
        <f>IF('11_Excepcion_MP'!H11="Sí",0,IF(I11="","",I11))</f>
        <v/>
      </c>
    </row>
    <row r="12">
      <c r="A12" s="19" t="inlineStr">
        <is>
          <t>C-101</t>
        </is>
      </c>
      <c r="B12" s="19" t="inlineStr">
        <is>
          <t>Producto terminado X</t>
        </is>
      </c>
      <c r="C12" s="21">
        <f>'03_Inventario'!O12</f>
        <v/>
      </c>
      <c r="D12" s="30" t="n">
        <v>46019</v>
      </c>
      <c r="E12" s="36">
        <f>IF(D12="","",'02_Parametros'!$B$5-D12)</f>
        <v/>
      </c>
      <c r="F12" s="37">
        <f>IF(E12="","",IF(E12&gt;'02_Parametros'!$B$11,'02_Parametros'!$B$12/100,IF(E12&gt;'02_Parametros'!$B$9,'02_Parametros'!$B$10/100,IF(E12&gt;'02_Parametros'!$B$7,'02_Parametros'!$B$8/100,0))))</f>
        <v/>
      </c>
      <c r="G12" s="21">
        <f>IF(F12="","",C12*F12)</f>
        <v/>
      </c>
      <c r="H12" s="21">
        <f>IF('09_VNR'!I12="","",'09_VNR'!I12)</f>
        <v/>
      </c>
      <c r="I12" s="21">
        <f>IF(H12&lt;&gt;"",H12,G12)</f>
        <v/>
      </c>
      <c r="J12" s="21">
        <f>IF('11_Excepcion_MP'!H12="Sí",0,IF(I12="","",I12))</f>
        <v/>
      </c>
    </row>
    <row r="13">
      <c r="A13" s="18" t="inlineStr">
        <is>
          <t>C-102</t>
        </is>
      </c>
      <c r="B13" s="18" t="inlineStr">
        <is>
          <t>Producto terminado Y</t>
        </is>
      </c>
      <c r="C13" s="20">
        <f>'03_Inventario'!O13</f>
        <v/>
      </c>
      <c r="D13" s="29" t="n">
        <v>46006</v>
      </c>
      <c r="E13" s="34">
        <f>IF(D13="","",'02_Parametros'!$B$5-D13)</f>
        <v/>
      </c>
      <c r="F13" s="35">
        <f>IF(E13="","",IF(E13&gt;'02_Parametros'!$B$11,'02_Parametros'!$B$12/100,IF(E13&gt;'02_Parametros'!$B$9,'02_Parametros'!$B$10/100,IF(E13&gt;'02_Parametros'!$B$7,'02_Parametros'!$B$8/100,0))))</f>
        <v/>
      </c>
      <c r="G13" s="20">
        <f>IF(F13="","",C13*F13)</f>
        <v/>
      </c>
      <c r="H13" s="20">
        <f>IF('09_VNR'!I13="","",'09_VNR'!I13)</f>
        <v/>
      </c>
      <c r="I13" s="20">
        <f>IF(H13&lt;&gt;"",H13,G13)</f>
        <v/>
      </c>
      <c r="J13" s="20">
        <f>IF('11_Excepcion_MP'!H13="Sí",0,IF(I13="","",I13))</f>
        <v/>
      </c>
    </row>
    <row r="14">
      <c r="A14" s="19" t="inlineStr">
        <is>
          <t>D-200</t>
        </is>
      </c>
      <c r="B14" s="19" t="inlineStr">
        <is>
          <t>Materia prima Z</t>
        </is>
      </c>
      <c r="C14" s="21">
        <f>'03_Inventario'!O14</f>
        <v/>
      </c>
      <c r="D14" s="30" t="n">
        <v>45996</v>
      </c>
      <c r="E14" s="36">
        <f>IF(D14="","",'02_Parametros'!$B$5-D14)</f>
        <v/>
      </c>
      <c r="F14" s="37">
        <f>IF(E14="","",IF(E14&gt;'02_Parametros'!$B$11,'02_Parametros'!$B$12/100,IF(E14&gt;'02_Parametros'!$B$9,'02_Parametros'!$B$10/100,IF(E14&gt;'02_Parametros'!$B$7,'02_Parametros'!$B$8/100,0))))</f>
        <v/>
      </c>
      <c r="G14" s="21">
        <f>IF(F14="","",C14*F14)</f>
        <v/>
      </c>
      <c r="H14" s="21">
        <f>IF('09_VNR'!I14="","",'09_VNR'!I14)</f>
        <v/>
      </c>
      <c r="I14" s="21">
        <f>IF(H14&lt;&gt;"",H14,G14)</f>
        <v/>
      </c>
      <c r="J14" s="21">
        <f>IF('11_Excepcion_MP'!H14="Sí",0,IF(I14="","",I14))</f>
        <v/>
      </c>
    </row>
    <row r="15">
      <c r="A15" s="18" t="inlineStr">
        <is>
          <t>E-300</t>
        </is>
      </c>
      <c r="B15" s="18" t="inlineStr">
        <is>
          <t>Lámina de acero</t>
        </is>
      </c>
      <c r="C15" s="20">
        <f>'03_Inventario'!O15</f>
        <v/>
      </c>
      <c r="D15" s="29" t="n">
        <v>45981</v>
      </c>
      <c r="E15" s="34">
        <f>IF(D15="","",'02_Parametros'!$B$5-D15)</f>
        <v/>
      </c>
      <c r="F15" s="35">
        <f>IF(E15="","",IF(E15&gt;'02_Parametros'!$B$11,'02_Parametros'!$B$12/100,IF(E15&gt;'02_Parametros'!$B$9,'02_Parametros'!$B$10/100,IF(E15&gt;'02_Parametros'!$B$7,'02_Parametros'!$B$8/100,0))))</f>
        <v/>
      </c>
      <c r="G15" s="20">
        <f>IF(F15="","",C15*F15)</f>
        <v/>
      </c>
      <c r="H15" s="20">
        <f>IF('09_VNR'!I15="","",'09_VNR'!I15)</f>
        <v/>
      </c>
      <c r="I15" s="20">
        <f>IF(H15&lt;&gt;"",H15,G15)</f>
        <v/>
      </c>
      <c r="J15" s="20">
        <f>IF('11_Excepcion_MP'!H15="Sí",0,IF(I15="","",I15))</f>
        <v/>
      </c>
    </row>
    <row r="16">
      <c r="A16" s="19" t="inlineStr">
        <is>
          <t>E-301</t>
        </is>
      </c>
      <c r="B16" s="19" t="inlineStr">
        <is>
          <t>Perfil de aluminio</t>
        </is>
      </c>
      <c r="C16" s="21">
        <f>'03_Inventario'!O16</f>
        <v/>
      </c>
      <c r="D16" s="30" t="n">
        <v>45992</v>
      </c>
      <c r="E16" s="36">
        <f>IF(D16="","",'02_Parametros'!$B$5-D16)</f>
        <v/>
      </c>
      <c r="F16" s="37">
        <f>IF(E16="","",IF(E16&gt;'02_Parametros'!$B$11,'02_Parametros'!$B$12/100,IF(E16&gt;'02_Parametros'!$B$9,'02_Parametros'!$B$10/100,IF(E16&gt;'02_Parametros'!$B$7,'02_Parametros'!$B$8/100,0))))</f>
        <v/>
      </c>
      <c r="G16" s="21">
        <f>IF(F16="","",C16*F16)</f>
        <v/>
      </c>
      <c r="H16" s="21">
        <f>IF('09_VNR'!I16="","",'09_VNR'!I16)</f>
        <v/>
      </c>
      <c r="I16" s="21">
        <f>IF(H16&lt;&gt;"",H16,G16)</f>
        <v/>
      </c>
      <c r="J16" s="21">
        <f>IF('11_Excepcion_MP'!H16="Sí",0,IF(I16="","",I16))</f>
        <v/>
      </c>
    </row>
    <row r="17">
      <c r="A17" s="18" t="inlineStr">
        <is>
          <t>E-302</t>
        </is>
      </c>
      <c r="B17" s="18" t="inlineStr">
        <is>
          <t>Resina industrial</t>
        </is>
      </c>
      <c r="C17" s="20">
        <f>'03_Inventario'!O17</f>
        <v/>
      </c>
      <c r="D17" s="29" t="n">
        <v>45999</v>
      </c>
      <c r="E17" s="34">
        <f>IF(D17="","",'02_Parametros'!$B$5-D17)</f>
        <v/>
      </c>
      <c r="F17" s="35">
        <f>IF(E17="","",IF(E17&gt;'02_Parametros'!$B$11,'02_Parametros'!$B$12/100,IF(E17&gt;'02_Parametros'!$B$9,'02_Parametros'!$B$10/100,IF(E17&gt;'02_Parametros'!$B$7,'02_Parametros'!$B$8/100,0))))</f>
        <v/>
      </c>
      <c r="G17" s="20">
        <f>IF(F17="","",C17*F17)</f>
        <v/>
      </c>
      <c r="H17" s="20">
        <f>IF('09_VNR'!I17="","",'09_VNR'!I17)</f>
        <v/>
      </c>
      <c r="I17" s="20">
        <f>IF(H17&lt;&gt;"",H17,G17)</f>
        <v/>
      </c>
      <c r="J17" s="20">
        <f>IF('11_Excepcion_MP'!H17="Sí",0,IF(I17="","",I17))</f>
        <v/>
      </c>
    </row>
    <row r="18">
      <c r="A18" s="31" t="inlineStr">
        <is>
          <t>TOTAL</t>
        </is>
      </c>
      <c r="B18" s="31" t="inlineStr"/>
      <c r="C18" s="32">
        <f>SUM(C5:C17)</f>
        <v/>
      </c>
      <c r="D18" s="33" t="n"/>
      <c r="E18" s="38" t="n"/>
      <c r="F18" s="39" t="n"/>
      <c r="G18" s="32">
        <f>SUM(G5:G17)</f>
        <v/>
      </c>
      <c r="H18" s="32">
        <f>SUM(H5:H17)</f>
        <v/>
      </c>
      <c r="I18" s="32">
        <f>SUM(I5:I17)</f>
        <v/>
      </c>
      <c r="J18" s="32">
        <f>SUM(J5:J17)</f>
        <v/>
      </c>
    </row>
    <row r="20">
      <c r="A20" s="22" t="inlineStr">
        <is>
          <t>ⓘ  Cómo se calcula esta hoja</t>
        </is>
      </c>
    </row>
    <row r="21">
      <c r="A21" s="23" t="inlineStr">
        <is>
          <t>Columna</t>
        </is>
      </c>
      <c r="B21" s="23" t="inlineStr">
        <is>
          <t>Fórmula (Excel)</t>
        </is>
      </c>
      <c r="C21" s="23" t="inlineStr">
        <is>
          <t>Cómo se calcula (sencillo)</t>
        </is>
      </c>
      <c r="D21" s="23" t="inlineStr">
        <is>
          <t>Ejemplo con números reales</t>
        </is>
      </c>
      <c r="E21" s="23" t="inlineStr">
        <is>
          <t>De dónde viene</t>
        </is>
      </c>
      <c r="F21" s="23" t="inlineStr">
        <is>
          <t>Norma</t>
        </is>
      </c>
    </row>
    <row r="22">
      <c r="A22" s="24" t="inlineStr">
        <is>
          <t>Costo auditado</t>
        </is>
      </c>
      <c r="B22" s="25" t="inlineStr">
        <is>
          <t>'='03_Inventario'!O5</t>
        </is>
      </c>
      <c r="C22" s="24" t="inlineStr">
        <is>
          <t>Trae el costo auditado del ítem (cantidad × costo unitario auditados) desde la hoja 03.</t>
        </is>
      </c>
      <c r="D22" s="24" t="inlineStr">
        <is>
          <t>Fila 1: 2.500,00 → 2.500,00</t>
        </is>
      </c>
      <c r="E22" s="24" t="inlineStr">
        <is>
          <t>hoja «Inventario valorado por ítem»</t>
        </is>
      </c>
      <c r="F22" s="24" t="inlineStr">
        <is>
          <t>—</t>
        </is>
      </c>
    </row>
    <row r="23">
      <c r="A23" s="24" t="inlineStr">
        <is>
          <t>Días sin movimiento</t>
        </is>
      </c>
      <c r="B23" s="25" t="inlineStr">
        <is>
          <t>'=IF(D5="","",'02_Parametros'!$B$5-D5)</t>
        </is>
      </c>
      <c r="C23" s="24" t="inlineStr">
        <is>
          <t>Resta la fecha del último movimiento de la fecha de corte de la hoja 02 (Parámetros); en blanco si no hay fecha de movimiento.</t>
        </is>
      </c>
      <c r="D23" s="24" t="inlineStr">
        <is>
          <t>Fila 1: IF(«2025-12-10»=""; ""; «2025-12-31»-«2025-12-10») → 21</t>
        </is>
      </c>
      <c r="E23" s="24" t="inlineStr">
        <is>
          <t>«Último movimiento» (esta hoja), hoja «Parámetros»</t>
        </is>
      </c>
      <c r="F23" s="24" t="inlineStr">
        <is>
          <t>—</t>
        </is>
      </c>
    </row>
    <row r="24">
      <c r="A24" s="24" t="inlineStr">
        <is>
          <t>% de provisión</t>
        </is>
      </c>
      <c r="B24" s="25" t="inlineStr">
        <is>
          <t>'=IF(E5="","",IF(E5&gt;'02_Parametros'!$B$11,'02_Parametros'!$B$12/100,IF(E5&gt;'02_Parametros'!$B$9,'02_Parametros'!$B$10/100,IF(E5&gt;'02_Parametros'!$B$7,'02_Parametros'!$B$8/100,0))))</t>
        </is>
      </c>
      <c r="C24" s="24" t="inlineStr">
        <is>
          <t>Busca en la hoja 02 (Parámetros) el tramo de días sin movimiento que supera el ítem y toma su porcentaje (el tramo más alto que alcanza); si no pasa del primer tramo, es 0 %.</t>
        </is>
      </c>
      <c r="D24" s="24" t="inlineStr">
        <is>
          <t>Fila 1: IF(21=""; ""; IF(21&gt;730,00; 100,00/100; IF(21&gt;365,00; 50,00/100; IF(21&gt;180,00; 25,00/100; 0)))) → 0,00 %</t>
        </is>
      </c>
      <c r="E24" s="24" t="inlineStr">
        <is>
          <t>«Días sin movimiento» (esta hoja), hoja «Parámetros»</t>
        </is>
      </c>
      <c r="F24" s="24" t="inlineStr">
        <is>
          <t>—</t>
        </is>
      </c>
    </row>
    <row r="25">
      <c r="A25" s="24" t="inlineStr">
        <is>
          <t>Provisión por obsolescencia</t>
        </is>
      </c>
      <c r="B25" s="25" t="inlineStr">
        <is>
          <t>'=IF(F5="","",C5*F5)</t>
        </is>
      </c>
      <c r="C25" s="24" t="inlineStr">
        <is>
          <t>Multiplica el costo auditado por el % de provisión del tramo; en blanco si no hay fecha de movimiento.</t>
        </is>
      </c>
      <c r="D25" s="24" t="inlineStr">
        <is>
          <t>Fila 1: IF(0,00 %=""; ""; 2.500,00*0,00 %) → 0,00</t>
        </is>
      </c>
      <c r="E25" s="24" t="inlineStr">
        <is>
          <t>«% de provisión» (esta hoja), «Costo auditado» (esta hoja)</t>
        </is>
      </c>
      <c r="F25" s="24" t="inlineStr">
        <is>
          <t>—</t>
        </is>
      </c>
    </row>
    <row r="26">
      <c r="A26" s="24" t="inlineStr">
        <is>
          <t>Rebaja a VNR</t>
        </is>
      </c>
      <c r="B26" s="25" t="inlineStr">
        <is>
          <t>'=IF('09_VNR'!I5="","",'09_VNR'!I5)</t>
        </is>
      </c>
      <c r="C26" s="24" t="inlineStr">
        <is>
          <t>Trae la rebaja a VNR del ítem desde la hoja 09 (Valor realizable neto); en blanco si el ítem no tiene precio de venta.</t>
        </is>
      </c>
      <c r="D26" s="24" t="inlineStr">
        <is>
          <t>Fila 1: IF(0,00=""; ""; 0,00) → 0,00</t>
        </is>
      </c>
      <c r="E26" s="24" t="inlineStr">
        <is>
          <t>hoja «Valor realizable neto»</t>
        </is>
      </c>
      <c r="F26" s="24" t="inlineStr">
        <is>
          <t>—</t>
        </is>
      </c>
    </row>
    <row r="27">
      <c r="A27" s="24" t="inlineStr">
        <is>
          <t>Provisión antes de la excepción (VNR; el tramo solo si no hay precio)</t>
        </is>
      </c>
      <c r="B27" s="25" t="inlineStr">
        <is>
          <t>'=IF(H5&lt;&gt;"",H5,G5)</t>
        </is>
      </c>
      <c r="C27" s="24" t="inlineStr">
        <is>
          <t>Si el ítem tiene precio de venta usa la rebaja a VNR; solo cuando no hay precio usa la provisión por obsolescencia del tramo como estimación.</t>
        </is>
      </c>
      <c r="D27" s="24" t="inlineStr">
        <is>
          <t>Fila 1: IF(0,00&lt;&gt;""; 0,00; 0,00) → 0,00</t>
        </is>
      </c>
      <c r="E27" s="24" t="inlineStr">
        <is>
          <t>«Rebaja a VNR» (esta hoja), «Provisión por obsolescencia» (esta hoja)</t>
        </is>
      </c>
      <c r="F27" s="24" t="inlineStr">
        <is>
          <t>—</t>
        </is>
      </c>
    </row>
    <row r="28">
      <c r="A28" s="24" t="inlineStr">
        <is>
          <t>Provisión estimada (neta de la excepción NIC 2.32)</t>
        </is>
      </c>
      <c r="B28" s="25" t="inlineStr">
        <is>
          <t>'=IF('11_Excepcion_MP'!H5="Sí",0,IF(I5="","",I5))</t>
        </is>
      </c>
      <c r="C28" s="24" t="inlineStr">
        <is>
          <t>Toma la provisión antes de la excepción, salvo que la hoja 11 (Materias primas) diga que aplica la excepción de NIC 2.32: en ese caso pone cero.</t>
        </is>
      </c>
      <c r="D28" s="24" t="inlineStr">
        <is>
          <t>Fila 1: IF(«No»="Sí"; 0; IF(0,00=""; ""; 0,00)) → 0,00</t>
        </is>
      </c>
      <c r="E28" s="24" t="inlineStr">
        <is>
          <t>«Provisión antes de la excepción (VNR; el tramo solo si no hay precio)» (esta hoja), hoja «Materias primas: excepción de NIC 2.32»</t>
        </is>
      </c>
      <c r="F28" s="24" t="inlineStr">
        <is>
          <t>—</t>
        </is>
      </c>
    </row>
  </sheetData>
  <mergeCells count="3">
    <mergeCell ref="A20:F20"/>
    <mergeCell ref="A2:F2"/>
    <mergeCell ref="A1:F1"/>
  </mergeCells>
  <hyperlinks>
    <hyperlink xmlns:r="http://schemas.openxmlformats.org/officeDocument/2006/relationships" ref="H1" r:id="rId1"/>
    <hyperlink xmlns:r="http://schemas.openxmlformats.org/officeDocument/2006/relationships" ref="I1" r:id="rId2"/>
    <hyperlink xmlns:r="http://schemas.openxmlformats.org/officeDocument/2006/relationships" ref="J1" r:id="rId3"/>
  </hyperlinks>
  <pageMargins left="0.75" right="0.75" top="1" bottom="1" header="0.5" footer="0.5"/>
  <pageSetup orientation="landscape" fitToHeight="0" fitToWidth="1"/>
  <headerFooter>
    <oddHeader/>
    <oddFooter>&amp;LAuditConsulting Auditores Cía. Ltda.&amp;C&amp;RPágina &amp;P de &amp;N</oddFooter>
    <evenHeader/>
    <evenFooter/>
    <firstHeader/>
    <firstFooter/>
  </headerFooter>
</worksheet>
</file>

<file path=xl/worksheets/sheet15.xml><?xml version="1.0" encoding="utf-8"?>
<worksheet xmlns="http://schemas.openxmlformats.org/spreadsheetml/2006/main">
  <sheetPr>
    <outlinePr summaryBelow="1" summaryRight="1"/>
    <pageSetUpPr fitToPage="1"/>
  </sheetPr>
  <dimension ref="A1:K30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2" customWidth="1" min="1" max="1"/>
    <col width="31" customWidth="1" min="2" max="2"/>
    <col width="17" customWidth="1" min="3" max="3"/>
    <col width="29" customWidth="1" min="4" max="4"/>
    <col width="39" customWidth="1" min="5" max="5"/>
    <col width="40" customWidth="1" min="6" max="6"/>
    <col width="17" customWidth="1" min="7" max="7"/>
    <col width="35" customWidth="1" min="8" max="8"/>
    <col width="60" customWidth="1" min="9" max="9"/>
    <col width="33" customWidth="1" min="10" max="10"/>
    <col width="33" customWidth="1" min="11" max="11"/>
  </cols>
  <sheetData>
    <row r="1">
      <c r="A1" s="3" t="inlineStr">
        <is>
          <t>Materias primas: excepción de NIC 2.32</t>
        </is>
      </c>
      <c r="H1" s="14" t="inlineStr">
        <is>
          <t>⟵ Inicio</t>
        </is>
      </c>
      <c r="I1" s="14" t="inlineStr">
        <is>
          <t>◀ Anterior</t>
        </is>
      </c>
      <c r="J1" s="14" t="inlineStr">
        <is>
          <t>Siguiente ▶</t>
        </is>
      </c>
    </row>
    <row r="2">
      <c r="A2" s="15" t="inlineStr">
        <is>
          <t>Inventarios, producción y costo de ventas · Cliente de muestra S.A. · corte 2025-12-31</t>
        </is>
      </c>
      <c r="B2" s="16" t="n"/>
      <c r="C2" s="16" t="n"/>
      <c r="D2" s="16" t="n"/>
      <c r="E2" s="16" t="n"/>
      <c r="F2" s="16" t="n"/>
      <c r="G2" s="16" t="n"/>
      <c r="H2" s="16" t="n"/>
      <c r="I2" s="16" t="n"/>
      <c r="J2" s="16" t="n"/>
      <c r="K2" s="16" t="n"/>
    </row>
    <row r="4" ht="30" customHeight="1">
      <c r="A4" s="17" t="inlineStr">
        <is>
          <t>Código</t>
        </is>
      </c>
      <c r="B4" s="17" t="inlineStr">
        <is>
          <t>Descripción</t>
        </is>
      </c>
      <c r="C4" s="17" t="inlineStr">
        <is>
          <t>¿Materia prima?</t>
        </is>
      </c>
      <c r="D4" s="17" t="inlineStr">
        <is>
          <t>Producto terminado asociado</t>
        </is>
      </c>
      <c r="E4" s="17" t="inlineStr">
        <is>
          <t>Costo esperado del producto terminado</t>
        </is>
      </c>
      <c r="F4" s="17" t="inlineStr">
        <is>
          <t>Precio esperado del producto terminado</t>
        </is>
      </c>
      <c r="G4" s="17" t="inlineStr">
        <is>
          <t>Margen esperado</t>
        </is>
      </c>
      <c r="H4" s="17" t="inlineStr">
        <is>
          <t>¿Aplica la excepción de NIC 2.32?</t>
        </is>
      </c>
      <c r="I4" s="17" t="inlineStr">
        <is>
          <t>Motivo</t>
        </is>
      </c>
      <c r="J4" s="17" t="inlineStr">
        <is>
          <t>Provisión antes de la excepción</t>
        </is>
      </c>
      <c r="K4" s="17" t="inlineStr">
        <is>
          <t>Efecto: provisión no reconocida</t>
        </is>
      </c>
    </row>
    <row r="5">
      <c r="A5" s="18" t="inlineStr">
        <is>
          <t>A-001</t>
        </is>
      </c>
      <c r="B5" s="18" t="inlineStr">
        <is>
          <t>Tornillo 1/4</t>
        </is>
      </c>
      <c r="C5" s="18">
        <f>IF('03_Inventario'!P5="Sí","Sí","No")</f>
        <v/>
      </c>
      <c r="D5" s="18">
        <f>IF('03_Inventario'!Q5="","",'03_Inventario'!Q5)</f>
        <v/>
      </c>
      <c r="E5" s="20">
        <f>IF('03_Inventario'!R5="","",'03_Inventario'!R5)</f>
        <v/>
      </c>
      <c r="F5" s="20">
        <f>IF('03_Inventario'!S5="","",'03_Inventario'!S5)</f>
        <v/>
      </c>
      <c r="G5" s="20">
        <f>IF('03_Inventario'!T5="","",'03_Inventario'!T5)</f>
        <v/>
      </c>
      <c r="H5" s="18">
        <f>IF(AND(C5="Sí",NOT(ISNUMBER(SEARCH("PYMES",'02_Parametros'!$B$6))),G5&lt;&gt;"",G5&gt;=0),"Sí","No")</f>
        <v/>
      </c>
      <c r="I5" s="18">
        <f>IF(C5&lt;&gt;"Sí","No es materia prima",IF(ISNUMBER(SEARCH("PYMES",'02_Parametros'!$B$6)),"La NIIF para las PYMES no recoge la excepción de la NIC 2.32: se mide al menor entre costo y precio de venta menos costos (27.2)",IF(G5="","Faltan el costo o el precio esperados del producto terminado",IF(G5&gt;=0,"El producto terminado se vendería al costo o por encima (NIC 2.32)","Margen esperado negativo: el costo del producto terminado excedería su valor realizable neto (NIC 2.32)"))))</f>
        <v/>
      </c>
      <c r="J5" s="20">
        <f>IF('10_Obsolescencia'!I5="","",'10_Obsolescencia'!I5)</f>
        <v/>
      </c>
      <c r="K5" s="20">
        <f>IF(AND(H5="Sí",J5&lt;&gt;""),J5,0)</f>
        <v/>
      </c>
    </row>
    <row r="6">
      <c r="A6" s="19" t="inlineStr">
        <is>
          <t>A-002</t>
        </is>
      </c>
      <c r="B6" s="19" t="inlineStr">
        <is>
          <t>Tuerca 1/4</t>
        </is>
      </c>
      <c r="C6" s="19">
        <f>IF('03_Inventario'!P6="Sí","Sí","No")</f>
        <v/>
      </c>
      <c r="D6" s="19">
        <f>IF('03_Inventario'!Q6="","",'03_Inventario'!Q6)</f>
        <v/>
      </c>
      <c r="E6" s="21">
        <f>IF('03_Inventario'!R6="","",'03_Inventario'!R6)</f>
        <v/>
      </c>
      <c r="F6" s="21">
        <f>IF('03_Inventario'!S6="","",'03_Inventario'!S6)</f>
        <v/>
      </c>
      <c r="G6" s="21">
        <f>IF('03_Inventario'!T6="","",'03_Inventario'!T6)</f>
        <v/>
      </c>
      <c r="H6" s="19">
        <f>IF(AND(C6="Sí",NOT(ISNUMBER(SEARCH("PYMES",'02_Parametros'!$B$6))),G6&lt;&gt;"",G6&gt;=0),"Sí","No")</f>
        <v/>
      </c>
      <c r="I6" s="19">
        <f>IF(C6&lt;&gt;"Sí","No es materia prima",IF(ISNUMBER(SEARCH("PYMES",'02_Parametros'!$B$6)),"La NIIF para las PYMES no recoge la excepción de la NIC 2.32: se mide al menor entre costo y precio de venta menos costos (27.2)",IF(G6="","Faltan el costo o el precio esperados del producto terminado",IF(G6&gt;=0,"El producto terminado se vendería al costo o por encima (NIC 2.32)","Margen esperado negativo: el costo del producto terminado excedería su valor realizable neto (NIC 2.32)"))))</f>
        <v/>
      </c>
      <c r="J6" s="21">
        <f>IF('10_Obsolescencia'!I6="","",'10_Obsolescencia'!I6)</f>
        <v/>
      </c>
      <c r="K6" s="21">
        <f>IF(AND(H6="Sí",J6&lt;&gt;""),J6,0)</f>
        <v/>
      </c>
    </row>
    <row r="7">
      <c r="A7" s="18" t="inlineStr">
        <is>
          <t>A-003</t>
        </is>
      </c>
      <c r="B7" s="18" t="inlineStr">
        <is>
          <t>Arandela</t>
        </is>
      </c>
      <c r="C7" s="18">
        <f>IF('03_Inventario'!P7="Sí","Sí","No")</f>
        <v/>
      </c>
      <c r="D7" s="18">
        <f>IF('03_Inventario'!Q7="","",'03_Inventario'!Q7)</f>
        <v/>
      </c>
      <c r="E7" s="20">
        <f>IF('03_Inventario'!R7="","",'03_Inventario'!R7)</f>
        <v/>
      </c>
      <c r="F7" s="20">
        <f>IF('03_Inventario'!S7="","",'03_Inventario'!S7)</f>
        <v/>
      </c>
      <c r="G7" s="20">
        <f>IF('03_Inventario'!T7="","",'03_Inventario'!T7)</f>
        <v/>
      </c>
      <c r="H7" s="18">
        <f>IF(AND(C7="Sí",NOT(ISNUMBER(SEARCH("PYMES",'02_Parametros'!$B$6))),G7&lt;&gt;"",G7&gt;=0),"Sí","No")</f>
        <v/>
      </c>
      <c r="I7" s="18">
        <f>IF(C7&lt;&gt;"Sí","No es materia prima",IF(ISNUMBER(SEARCH("PYMES",'02_Parametros'!$B$6)),"La NIIF para las PYMES no recoge la excepción de la NIC 2.32: se mide al menor entre costo y precio de venta menos costos (27.2)",IF(G7="","Faltan el costo o el precio esperados del producto terminado",IF(G7&gt;=0,"El producto terminado se vendería al costo o por encima (NIC 2.32)","Margen esperado negativo: el costo del producto terminado excedería su valor realizable neto (NIC 2.32)"))))</f>
        <v/>
      </c>
      <c r="J7" s="20">
        <f>IF('10_Obsolescencia'!I7="","",'10_Obsolescencia'!I7)</f>
        <v/>
      </c>
      <c r="K7" s="20">
        <f>IF(AND(H7="Sí",J7&lt;&gt;""),J7,0)</f>
        <v/>
      </c>
    </row>
    <row r="8">
      <c r="A8" s="19" t="inlineStr">
        <is>
          <t>B-010</t>
        </is>
      </c>
      <c r="B8" s="19" t="inlineStr">
        <is>
          <t>Motor 2 HP</t>
        </is>
      </c>
      <c r="C8" s="19">
        <f>IF('03_Inventario'!P8="Sí","Sí","No")</f>
        <v/>
      </c>
      <c r="D8" s="19">
        <f>IF('03_Inventario'!Q8="","",'03_Inventario'!Q8)</f>
        <v/>
      </c>
      <c r="E8" s="21">
        <f>IF('03_Inventario'!R8="","",'03_Inventario'!R8)</f>
        <v/>
      </c>
      <c r="F8" s="21">
        <f>IF('03_Inventario'!S8="","",'03_Inventario'!S8)</f>
        <v/>
      </c>
      <c r="G8" s="21">
        <f>IF('03_Inventario'!T8="","",'03_Inventario'!T8)</f>
        <v/>
      </c>
      <c r="H8" s="19">
        <f>IF(AND(C8="Sí",NOT(ISNUMBER(SEARCH("PYMES",'02_Parametros'!$B$6))),G8&lt;&gt;"",G8&gt;=0),"Sí","No")</f>
        <v/>
      </c>
      <c r="I8" s="19">
        <f>IF(C8&lt;&gt;"Sí","No es materia prima",IF(ISNUMBER(SEARCH("PYMES",'02_Parametros'!$B$6)),"La NIIF para las PYMES no recoge la excepción de la NIC 2.32: se mide al menor entre costo y precio de venta menos costos (27.2)",IF(G8="","Faltan el costo o el precio esperados del producto terminado",IF(G8&gt;=0,"El producto terminado se vendería al costo o por encima (NIC 2.32)","Margen esperado negativo: el costo del producto terminado excedería su valor realizable neto (NIC 2.32)"))))</f>
        <v/>
      </c>
      <c r="J8" s="21">
        <f>IF('10_Obsolescencia'!I8="","",'10_Obsolescencia'!I8)</f>
        <v/>
      </c>
      <c r="K8" s="21">
        <f>IF(AND(H8="Sí",J8&lt;&gt;""),J8,0)</f>
        <v/>
      </c>
    </row>
    <row r="9">
      <c r="A9" s="18" t="inlineStr">
        <is>
          <t>B-011</t>
        </is>
      </c>
      <c r="B9" s="18" t="inlineStr">
        <is>
          <t>Bomba centrífuga</t>
        </is>
      </c>
      <c r="C9" s="18">
        <f>IF('03_Inventario'!P9="Sí","Sí","No")</f>
        <v/>
      </c>
      <c r="D9" s="18">
        <f>IF('03_Inventario'!Q9="","",'03_Inventario'!Q9)</f>
        <v/>
      </c>
      <c r="E9" s="20">
        <f>IF('03_Inventario'!R9="","",'03_Inventario'!R9)</f>
        <v/>
      </c>
      <c r="F9" s="20">
        <f>IF('03_Inventario'!S9="","",'03_Inventario'!S9)</f>
        <v/>
      </c>
      <c r="G9" s="20">
        <f>IF('03_Inventario'!T9="","",'03_Inventario'!T9)</f>
        <v/>
      </c>
      <c r="H9" s="18">
        <f>IF(AND(C9="Sí",NOT(ISNUMBER(SEARCH("PYMES",'02_Parametros'!$B$6))),G9&lt;&gt;"",G9&gt;=0),"Sí","No")</f>
        <v/>
      </c>
      <c r="I9" s="18">
        <f>IF(C9&lt;&gt;"Sí","No es materia prima",IF(ISNUMBER(SEARCH("PYMES",'02_Parametros'!$B$6)),"La NIIF para las PYMES no recoge la excepción de la NIC 2.32: se mide al menor entre costo y precio de venta menos costos (27.2)",IF(G9="","Faltan el costo o el precio esperados del producto terminado",IF(G9&gt;=0,"El producto terminado se vendería al costo o por encima (NIC 2.32)","Margen esperado negativo: el costo del producto terminado excedería su valor realizable neto (NIC 2.32)"))))</f>
        <v/>
      </c>
      <c r="J9" s="20">
        <f>IF('10_Obsolescencia'!I9="","",'10_Obsolescencia'!I9)</f>
        <v/>
      </c>
      <c r="K9" s="20">
        <f>IF(AND(H9="Sí",J9&lt;&gt;""),J9,0)</f>
        <v/>
      </c>
    </row>
    <row r="10">
      <c r="A10" s="19" t="inlineStr">
        <is>
          <t>B-012</t>
        </is>
      </c>
      <c r="B10" s="19" t="inlineStr">
        <is>
          <t>Válvula 2"</t>
        </is>
      </c>
      <c r="C10" s="19">
        <f>IF('03_Inventario'!P10="Sí","Sí","No")</f>
        <v/>
      </c>
      <c r="D10" s="19">
        <f>IF('03_Inventario'!Q10="","",'03_Inventario'!Q10)</f>
        <v/>
      </c>
      <c r="E10" s="21">
        <f>IF('03_Inventario'!R10="","",'03_Inventario'!R10)</f>
        <v/>
      </c>
      <c r="F10" s="21">
        <f>IF('03_Inventario'!S10="","",'03_Inventario'!S10)</f>
        <v/>
      </c>
      <c r="G10" s="21">
        <f>IF('03_Inventario'!T10="","",'03_Inventario'!T10)</f>
        <v/>
      </c>
      <c r="H10" s="19">
        <f>IF(AND(C10="Sí",NOT(ISNUMBER(SEARCH("PYMES",'02_Parametros'!$B$6))),G10&lt;&gt;"",G10&gt;=0),"Sí","No")</f>
        <v/>
      </c>
      <c r="I10" s="19">
        <f>IF(C10&lt;&gt;"Sí","No es materia prima",IF(ISNUMBER(SEARCH("PYMES",'02_Parametros'!$B$6)),"La NIIF para las PYMES no recoge la excepción de la NIC 2.32: se mide al menor entre costo y precio de venta menos costos (27.2)",IF(G10="","Faltan el costo o el precio esperados del producto terminado",IF(G10&gt;=0,"El producto terminado se vendería al costo o por encima (NIC 2.32)","Margen esperado negativo: el costo del producto terminado excedería su valor realizable neto (NIC 2.32)"))))</f>
        <v/>
      </c>
      <c r="J10" s="21">
        <f>IF('10_Obsolescencia'!I10="","",'10_Obsolescencia'!I10)</f>
        <v/>
      </c>
      <c r="K10" s="21">
        <f>IF(AND(H10="Sí",J10&lt;&gt;""),J10,0)</f>
        <v/>
      </c>
    </row>
    <row r="11">
      <c r="A11" s="18" t="inlineStr">
        <is>
          <t>C-100</t>
        </is>
      </c>
      <c r="B11" s="18" t="inlineStr">
        <is>
          <t>Repuesto modelo descontinuado</t>
        </is>
      </c>
      <c r="C11" s="18">
        <f>IF('03_Inventario'!P11="Sí","Sí","No")</f>
        <v/>
      </c>
      <c r="D11" s="18">
        <f>IF('03_Inventario'!Q11="","",'03_Inventario'!Q11)</f>
        <v/>
      </c>
      <c r="E11" s="20">
        <f>IF('03_Inventario'!R11="","",'03_Inventario'!R11)</f>
        <v/>
      </c>
      <c r="F11" s="20">
        <f>IF('03_Inventario'!S11="","",'03_Inventario'!S11)</f>
        <v/>
      </c>
      <c r="G11" s="20">
        <f>IF('03_Inventario'!T11="","",'03_Inventario'!T11)</f>
        <v/>
      </c>
      <c r="H11" s="18">
        <f>IF(AND(C11="Sí",NOT(ISNUMBER(SEARCH("PYMES",'02_Parametros'!$B$6))),G11&lt;&gt;"",G11&gt;=0),"Sí","No")</f>
        <v/>
      </c>
      <c r="I11" s="18">
        <f>IF(C11&lt;&gt;"Sí","No es materia prima",IF(ISNUMBER(SEARCH("PYMES",'02_Parametros'!$B$6)),"La NIIF para las PYMES no recoge la excepción de la NIC 2.32: se mide al menor entre costo y precio de venta menos costos (27.2)",IF(G11="","Faltan el costo o el precio esperados del producto terminado",IF(G11&gt;=0,"El producto terminado se vendería al costo o por encima (NIC 2.32)","Margen esperado negativo: el costo del producto terminado excedería su valor realizable neto (NIC 2.32)"))))</f>
        <v/>
      </c>
      <c r="J11" s="20">
        <f>IF('10_Obsolescencia'!I11="","",'10_Obsolescencia'!I11)</f>
        <v/>
      </c>
      <c r="K11" s="20">
        <f>IF(AND(H11="Sí",J11&lt;&gt;""),J11,0)</f>
        <v/>
      </c>
    </row>
    <row r="12">
      <c r="A12" s="19" t="inlineStr">
        <is>
          <t>C-101</t>
        </is>
      </c>
      <c r="B12" s="19" t="inlineStr">
        <is>
          <t>Producto terminado X</t>
        </is>
      </c>
      <c r="C12" s="19">
        <f>IF('03_Inventario'!P12="Sí","Sí","No")</f>
        <v/>
      </c>
      <c r="D12" s="19">
        <f>IF('03_Inventario'!Q12="","",'03_Inventario'!Q12)</f>
        <v/>
      </c>
      <c r="E12" s="21">
        <f>IF('03_Inventario'!R12="","",'03_Inventario'!R12)</f>
        <v/>
      </c>
      <c r="F12" s="21">
        <f>IF('03_Inventario'!S12="","",'03_Inventario'!S12)</f>
        <v/>
      </c>
      <c r="G12" s="21">
        <f>IF('03_Inventario'!T12="","",'03_Inventario'!T12)</f>
        <v/>
      </c>
      <c r="H12" s="19">
        <f>IF(AND(C12="Sí",NOT(ISNUMBER(SEARCH("PYMES",'02_Parametros'!$B$6))),G12&lt;&gt;"",G12&gt;=0),"Sí","No")</f>
        <v/>
      </c>
      <c r="I12" s="19">
        <f>IF(C12&lt;&gt;"Sí","No es materia prima",IF(ISNUMBER(SEARCH("PYMES",'02_Parametros'!$B$6)),"La NIIF para las PYMES no recoge la excepción de la NIC 2.32: se mide al menor entre costo y precio de venta menos costos (27.2)",IF(G12="","Faltan el costo o el precio esperados del producto terminado",IF(G12&gt;=0,"El producto terminado se vendería al costo o por encima (NIC 2.32)","Margen esperado negativo: el costo del producto terminado excedería su valor realizable neto (NIC 2.32)"))))</f>
        <v/>
      </c>
      <c r="J12" s="21">
        <f>IF('10_Obsolescencia'!I12="","",'10_Obsolescencia'!I12)</f>
        <v/>
      </c>
      <c r="K12" s="21">
        <f>IF(AND(H12="Sí",J12&lt;&gt;""),J12,0)</f>
        <v/>
      </c>
    </row>
    <row r="13">
      <c r="A13" s="18" t="inlineStr">
        <is>
          <t>C-102</t>
        </is>
      </c>
      <c r="B13" s="18" t="inlineStr">
        <is>
          <t>Producto terminado Y</t>
        </is>
      </c>
      <c r="C13" s="18">
        <f>IF('03_Inventario'!P13="Sí","Sí","No")</f>
        <v/>
      </c>
      <c r="D13" s="18">
        <f>IF('03_Inventario'!Q13="","",'03_Inventario'!Q13)</f>
        <v/>
      </c>
      <c r="E13" s="20">
        <f>IF('03_Inventario'!R13="","",'03_Inventario'!R13)</f>
        <v/>
      </c>
      <c r="F13" s="20">
        <f>IF('03_Inventario'!S13="","",'03_Inventario'!S13)</f>
        <v/>
      </c>
      <c r="G13" s="20">
        <f>IF('03_Inventario'!T13="","",'03_Inventario'!T13)</f>
        <v/>
      </c>
      <c r="H13" s="18">
        <f>IF(AND(C13="Sí",NOT(ISNUMBER(SEARCH("PYMES",'02_Parametros'!$B$6))),G13&lt;&gt;"",G13&gt;=0),"Sí","No")</f>
        <v/>
      </c>
      <c r="I13" s="18">
        <f>IF(C13&lt;&gt;"Sí","No es materia prima",IF(ISNUMBER(SEARCH("PYMES",'02_Parametros'!$B$6)),"La NIIF para las PYMES no recoge la excepción de la NIC 2.32: se mide al menor entre costo y precio de venta menos costos (27.2)",IF(G13="","Faltan el costo o el precio esperados del producto terminado",IF(G13&gt;=0,"El producto terminado se vendería al costo o por encima (NIC 2.32)","Margen esperado negativo: el costo del producto terminado excedería su valor realizable neto (NIC 2.32)"))))</f>
        <v/>
      </c>
      <c r="J13" s="20">
        <f>IF('10_Obsolescencia'!I13="","",'10_Obsolescencia'!I13)</f>
        <v/>
      </c>
      <c r="K13" s="20">
        <f>IF(AND(H13="Sí",J13&lt;&gt;""),J13,0)</f>
        <v/>
      </c>
    </row>
    <row r="14">
      <c r="A14" s="19" t="inlineStr">
        <is>
          <t>D-200</t>
        </is>
      </c>
      <c r="B14" s="19" t="inlineStr">
        <is>
          <t>Materia prima Z</t>
        </is>
      </c>
      <c r="C14" s="19">
        <f>IF('03_Inventario'!P14="Sí","Sí","No")</f>
        <v/>
      </c>
      <c r="D14" s="19">
        <f>IF('03_Inventario'!Q14="","",'03_Inventario'!Q14)</f>
        <v/>
      </c>
      <c r="E14" s="21">
        <f>IF('03_Inventario'!R14="","",'03_Inventario'!R14)</f>
        <v/>
      </c>
      <c r="F14" s="21">
        <f>IF('03_Inventario'!S14="","",'03_Inventario'!S14)</f>
        <v/>
      </c>
      <c r="G14" s="21">
        <f>IF('03_Inventario'!T14="","",'03_Inventario'!T14)</f>
        <v/>
      </c>
      <c r="H14" s="19">
        <f>IF(AND(C14="Sí",NOT(ISNUMBER(SEARCH("PYMES",'02_Parametros'!$B$6))),G14&lt;&gt;"",G14&gt;=0),"Sí","No")</f>
        <v/>
      </c>
      <c r="I14" s="19">
        <f>IF(C14&lt;&gt;"Sí","No es materia prima",IF(ISNUMBER(SEARCH("PYMES",'02_Parametros'!$B$6)),"La NIIF para las PYMES no recoge la excepción de la NIC 2.32: se mide al menor entre costo y precio de venta menos costos (27.2)",IF(G14="","Faltan el costo o el precio esperados del producto terminado",IF(G14&gt;=0,"El producto terminado se vendería al costo o por encima (NIC 2.32)","Margen esperado negativo: el costo del producto terminado excedería su valor realizable neto (NIC 2.32)"))))</f>
        <v/>
      </c>
      <c r="J14" s="21">
        <f>IF('10_Obsolescencia'!I14="","",'10_Obsolescencia'!I14)</f>
        <v/>
      </c>
      <c r="K14" s="21">
        <f>IF(AND(H14="Sí",J14&lt;&gt;""),J14,0)</f>
        <v/>
      </c>
    </row>
    <row r="15">
      <c r="A15" s="18" t="inlineStr">
        <is>
          <t>E-300</t>
        </is>
      </c>
      <c r="B15" s="18" t="inlineStr">
        <is>
          <t>Lámina de acero</t>
        </is>
      </c>
      <c r="C15" s="18">
        <f>IF('03_Inventario'!P15="Sí","Sí","No")</f>
        <v/>
      </c>
      <c r="D15" s="18">
        <f>IF('03_Inventario'!Q15="","",'03_Inventario'!Q15)</f>
        <v/>
      </c>
      <c r="E15" s="20">
        <f>IF('03_Inventario'!R15="","",'03_Inventario'!R15)</f>
        <v/>
      </c>
      <c r="F15" s="20">
        <f>IF('03_Inventario'!S15="","",'03_Inventario'!S15)</f>
        <v/>
      </c>
      <c r="G15" s="20">
        <f>IF('03_Inventario'!T15="","",'03_Inventario'!T15)</f>
        <v/>
      </c>
      <c r="H15" s="18">
        <f>IF(AND(C15="Sí",NOT(ISNUMBER(SEARCH("PYMES",'02_Parametros'!$B$6))),G15&lt;&gt;"",G15&gt;=0),"Sí","No")</f>
        <v/>
      </c>
      <c r="I15" s="18">
        <f>IF(C15&lt;&gt;"Sí","No es materia prima",IF(ISNUMBER(SEARCH("PYMES",'02_Parametros'!$B$6)),"La NIIF para las PYMES no recoge la excepción de la NIC 2.32: se mide al menor entre costo y precio de venta menos costos (27.2)",IF(G15="","Faltan el costo o el precio esperados del producto terminado",IF(G15&gt;=0,"El producto terminado se vendería al costo o por encima (NIC 2.32)","Margen esperado negativo: el costo del producto terminado excedería su valor realizable neto (NIC 2.32)"))))</f>
        <v/>
      </c>
      <c r="J15" s="20">
        <f>IF('10_Obsolescencia'!I15="","",'10_Obsolescencia'!I15)</f>
        <v/>
      </c>
      <c r="K15" s="20">
        <f>IF(AND(H15="Sí",J15&lt;&gt;""),J15,0)</f>
        <v/>
      </c>
    </row>
    <row r="16">
      <c r="A16" s="19" t="inlineStr">
        <is>
          <t>E-301</t>
        </is>
      </c>
      <c r="B16" s="19" t="inlineStr">
        <is>
          <t>Perfil de aluminio</t>
        </is>
      </c>
      <c r="C16" s="19">
        <f>IF('03_Inventario'!P16="Sí","Sí","No")</f>
        <v/>
      </c>
      <c r="D16" s="19">
        <f>IF('03_Inventario'!Q16="","",'03_Inventario'!Q16)</f>
        <v/>
      </c>
      <c r="E16" s="21">
        <f>IF('03_Inventario'!R16="","",'03_Inventario'!R16)</f>
        <v/>
      </c>
      <c r="F16" s="21">
        <f>IF('03_Inventario'!S16="","",'03_Inventario'!S16)</f>
        <v/>
      </c>
      <c r="G16" s="21">
        <f>IF('03_Inventario'!T16="","",'03_Inventario'!T16)</f>
        <v/>
      </c>
      <c r="H16" s="19">
        <f>IF(AND(C16="Sí",NOT(ISNUMBER(SEARCH("PYMES",'02_Parametros'!$B$6))),G16&lt;&gt;"",G16&gt;=0),"Sí","No")</f>
        <v/>
      </c>
      <c r="I16" s="19">
        <f>IF(C16&lt;&gt;"Sí","No es materia prima",IF(ISNUMBER(SEARCH("PYMES",'02_Parametros'!$B$6)),"La NIIF para las PYMES no recoge la excepción de la NIC 2.32: se mide al menor entre costo y precio de venta menos costos (27.2)",IF(G16="","Faltan el costo o el precio esperados del producto terminado",IF(G16&gt;=0,"El producto terminado se vendería al costo o por encima (NIC 2.32)","Margen esperado negativo: el costo del producto terminado excedería su valor realizable neto (NIC 2.32)"))))</f>
        <v/>
      </c>
      <c r="J16" s="21">
        <f>IF('10_Obsolescencia'!I16="","",'10_Obsolescencia'!I16)</f>
        <v/>
      </c>
      <c r="K16" s="21">
        <f>IF(AND(H16="Sí",J16&lt;&gt;""),J16,0)</f>
        <v/>
      </c>
    </row>
    <row r="17">
      <c r="A17" s="18" t="inlineStr">
        <is>
          <t>E-302</t>
        </is>
      </c>
      <c r="B17" s="18" t="inlineStr">
        <is>
          <t>Resina industrial</t>
        </is>
      </c>
      <c r="C17" s="18">
        <f>IF('03_Inventario'!P17="Sí","Sí","No")</f>
        <v/>
      </c>
      <c r="D17" s="18">
        <f>IF('03_Inventario'!Q17="","",'03_Inventario'!Q17)</f>
        <v/>
      </c>
      <c r="E17" s="20">
        <f>IF('03_Inventario'!R17="","",'03_Inventario'!R17)</f>
        <v/>
      </c>
      <c r="F17" s="20">
        <f>IF('03_Inventario'!S17="","",'03_Inventario'!S17)</f>
        <v/>
      </c>
      <c r="G17" s="20">
        <f>IF('03_Inventario'!T17="","",'03_Inventario'!T17)</f>
        <v/>
      </c>
      <c r="H17" s="18">
        <f>IF(AND(C17="Sí",NOT(ISNUMBER(SEARCH("PYMES",'02_Parametros'!$B$6))),G17&lt;&gt;"",G17&gt;=0),"Sí","No")</f>
        <v/>
      </c>
      <c r="I17" s="18">
        <f>IF(C17&lt;&gt;"Sí","No es materia prima",IF(ISNUMBER(SEARCH("PYMES",'02_Parametros'!$B$6)),"La NIIF para las PYMES no recoge la excepción de la NIC 2.32: se mide al menor entre costo y precio de venta menos costos (27.2)",IF(G17="","Faltan el costo o el precio esperados del producto terminado",IF(G17&gt;=0,"El producto terminado se vendería al costo o por encima (NIC 2.32)","Margen esperado negativo: el costo del producto terminado excedería su valor realizable neto (NIC 2.32)"))))</f>
        <v/>
      </c>
      <c r="J17" s="20">
        <f>IF('10_Obsolescencia'!I17="","",'10_Obsolescencia'!I17)</f>
        <v/>
      </c>
      <c r="K17" s="20">
        <f>IF(AND(H17="Sí",J17&lt;&gt;""),J17,0)</f>
        <v/>
      </c>
    </row>
    <row r="18">
      <c r="A18" s="31" t="inlineStr">
        <is>
          <t>TOTAL</t>
        </is>
      </c>
      <c r="B18" s="31" t="inlineStr"/>
      <c r="C18" s="31" t="inlineStr"/>
      <c r="D18" s="31" t="inlineStr"/>
      <c r="E18" s="32" t="n"/>
      <c r="F18" s="32" t="n"/>
      <c r="G18" s="32" t="n"/>
      <c r="H18" s="31" t="inlineStr"/>
      <c r="I18" s="31" t="inlineStr"/>
      <c r="J18" s="32">
        <f>SUM(J5:J17)</f>
        <v/>
      </c>
      <c r="K18" s="32">
        <f>SUM(K5:K17)</f>
        <v/>
      </c>
    </row>
    <row r="20">
      <c r="A20" s="22" t="inlineStr">
        <is>
          <t>ⓘ  Cómo se calcula esta hoja</t>
        </is>
      </c>
    </row>
    <row r="21">
      <c r="A21" s="23" t="inlineStr">
        <is>
          <t>Columna</t>
        </is>
      </c>
      <c r="B21" s="23" t="inlineStr">
        <is>
          <t>Fórmula (Excel)</t>
        </is>
      </c>
      <c r="C21" s="23" t="inlineStr">
        <is>
          <t>Cómo se calcula (sencillo)</t>
        </is>
      </c>
      <c r="D21" s="23" t="inlineStr">
        <is>
          <t>Ejemplo con números reales</t>
        </is>
      </c>
      <c r="E21" s="23" t="inlineStr">
        <is>
          <t>De dónde viene</t>
        </is>
      </c>
      <c r="F21" s="23" t="inlineStr">
        <is>
          <t>Norma</t>
        </is>
      </c>
    </row>
    <row r="22">
      <c r="A22" s="24" t="inlineStr">
        <is>
          <t>¿Materia prima?</t>
        </is>
      </c>
      <c r="B22" s="25" t="inlineStr">
        <is>
          <t>'=IF('03_Inventario'!P5="Sí","Sí","No")</t>
        </is>
      </c>
      <c r="C22" s="24" t="inlineStr">
        <is>
          <t>Responde «Sí» si en la hoja 03 (Inventario valorado por ítem) el ítem está marcado como materia prima y «No» en cualquier otro caso.</t>
        </is>
      </c>
      <c r="D22" s="24" t="inlineStr">
        <is>
          <t>Fila 1: IF(«No»="Sí"; "Sí"; "No") → No</t>
        </is>
      </c>
      <c r="E22" s="24" t="inlineStr">
        <is>
          <t>hoja «Inventario valorado por ítem»</t>
        </is>
      </c>
      <c r="F22" s="24" t="inlineStr">
        <is>
          <t>—</t>
        </is>
      </c>
    </row>
    <row r="23">
      <c r="A23" s="24" t="inlineStr">
        <is>
          <t>Producto terminado asociado</t>
        </is>
      </c>
      <c r="B23" s="25" t="inlineStr">
        <is>
          <t>'=IF('03_Inventario'!Q5="","",'03_Inventario'!Q5)</t>
        </is>
      </c>
      <c r="C23" s="24" t="inlineStr">
        <is>
          <t>Trae de la hoja 03 el producto terminado al que se incorpora la materia prima; en blanco si no se informó.</t>
        </is>
      </c>
      <c r="D23" s="24" t="inlineStr">
        <is>
          <t>Fila 1: IF((vacío)=""; ""; (vacío)) → (en blanco)</t>
        </is>
      </c>
      <c r="E23" s="24" t="inlineStr">
        <is>
          <t>hoja «Inventario valorado por ítem»</t>
        </is>
      </c>
      <c r="F23" s="24" t="inlineStr">
        <is>
          <t>—</t>
        </is>
      </c>
    </row>
    <row r="24">
      <c r="A24" s="24" t="inlineStr">
        <is>
          <t>Costo esperado del producto terminado</t>
        </is>
      </c>
      <c r="B24" s="25" t="inlineStr">
        <is>
          <t>'=IF('03_Inventario'!R5="","",'03_Inventario'!R5)</t>
        </is>
      </c>
      <c r="C24" s="24" t="inlineStr">
        <is>
          <t>Trae de la hoja 03 el costo esperado del producto terminado asociado; en blanco si no se informó.</t>
        </is>
      </c>
      <c r="D24" s="24" t="inlineStr">
        <is>
          <t>Fila 1: IF((vacío)=""; ""; (vacío)) → (en blanco)</t>
        </is>
      </c>
      <c r="E24" s="24" t="inlineStr">
        <is>
          <t>hoja «Inventario valorado por ítem»</t>
        </is>
      </c>
      <c r="F24" s="24" t="inlineStr">
        <is>
          <t>—</t>
        </is>
      </c>
    </row>
    <row r="25">
      <c r="A25" s="24" t="inlineStr">
        <is>
          <t>Precio esperado del producto terminado</t>
        </is>
      </c>
      <c r="B25" s="25" t="inlineStr">
        <is>
          <t>'=IF('03_Inventario'!S5="","",'03_Inventario'!S5)</t>
        </is>
      </c>
      <c r="C25" s="24" t="inlineStr">
        <is>
          <t>Trae de la hoja 03 el precio de venta esperado del producto terminado asociado; en blanco si no se informó.</t>
        </is>
      </c>
      <c r="D25" s="24" t="inlineStr">
        <is>
          <t>Fila 1: IF((vacío)=""; ""; (vacío)) → (en blanco)</t>
        </is>
      </c>
      <c r="E25" s="24" t="inlineStr">
        <is>
          <t>hoja «Inventario valorado por ítem»</t>
        </is>
      </c>
      <c r="F25" s="24" t="inlineStr">
        <is>
          <t>—</t>
        </is>
      </c>
    </row>
    <row r="26">
      <c r="A26" s="24" t="inlineStr">
        <is>
          <t>Margen esperado</t>
        </is>
      </c>
      <c r="B26" s="25" t="inlineStr">
        <is>
          <t>'=IF('03_Inventario'!T5="","",'03_Inventario'!T5)</t>
        </is>
      </c>
      <c r="C26" s="24" t="inlineStr">
        <is>
          <t>Trae de la hoja 03 el margen esperado (precio menos costo) del producto terminado; en blanco si falta el costo o el precio.</t>
        </is>
      </c>
      <c r="D26" s="24" t="inlineStr">
        <is>
          <t>Fila 1: IF((vacío)=""; ""; (vacío)) → (en blanco)</t>
        </is>
      </c>
      <c r="E26" s="24" t="inlineStr">
        <is>
          <t>hoja «Inventario valorado por ítem»</t>
        </is>
      </c>
      <c r="F26" s="24" t="inlineStr">
        <is>
          <t>—</t>
        </is>
      </c>
    </row>
    <row r="27">
      <c r="A27" s="24" t="inlineStr">
        <is>
          <t>¿Aplica la excepción de NIC 2.32?</t>
        </is>
      </c>
      <c r="B27" s="25" t="inlineStr">
        <is>
          <t>'=IF(AND(C5="Sí",NOT(ISNUMBER(SEARCH("PYMES",'02_Parametros'!$B$6))),G5&lt;&gt;"",G5&gt;=0),"Sí","No")</t>
        </is>
      </c>
      <c r="C27" s="24" t="inlineStr">
        <is>
          <t>«Sí» solo cuando el ítem es materia prima, el marco de la hoja 02 no es PYMES y el margen esperado está informado y es cero o positivo; en cualquier otro caso «No».</t>
        </is>
      </c>
      <c r="D27" s="24" t="inlineStr">
        <is>
          <t>Fila 1: IF(AND(«No»="Sí"; NOT(ISNUMBER(SEARCH("PYMES"; «NIIF completas · NIC 2»))); (vacío)&lt;&gt;""; (vacío)&gt;=0); "Sí"; "No") → No</t>
        </is>
      </c>
      <c r="E27" s="24" t="inlineStr">
        <is>
          <t>«¿Materia prima?» (esta hoja), «Margen esperado» (esta hoja), hoja «Parámetros»</t>
        </is>
      </c>
      <c r="F27" s="24" t="inlineStr">
        <is>
          <t>—</t>
        </is>
      </c>
    </row>
    <row r="28">
      <c r="A28" s="24" t="inlineStr">
        <is>
          <t>Motivo</t>
        </is>
      </c>
      <c r="B28" s="25" t="inlineStr">
        <is>
          <t>'=IF(C5&lt;&gt;"Sí","No es materia prima",IF(ISNUMBER(SEARCH("PYMES",'02_Parametros'!$B$6)),"La NIIF para las PYMES no recoge la excepción de la NIC 2.32: se mide al menor entre costo y precio de venta menos costos (27.2)",IF(G5="","Faltan el costo o el precio esperados del producto terminado",IF(G5&gt;=0,"El producto terminado se vendería al costo o por encima (NIC 2.32)","Margen esperado negativo: el costo del producto terminado excedería su valor realizable neto (NIC 2.32)"))))</t>
        </is>
      </c>
      <c r="C28" s="24" t="inlineStr">
        <is>
          <t>Explica la decisión anterior: no es materia prima, el marco es PYMES (no tiene la excepción), faltan datos del producto terminado, o el margen esperado es positivo o negativo.</t>
        </is>
      </c>
      <c r="D28" s="24" t="inlineStr">
        <is>
          <t>Fila 1: IF(«No»&lt;&gt;"Sí"; "No es materia prima"; IF(ISNUMBER(SEARCH("PYMES"; «NIIF completas · NIC 2»)); "La NIIF para las PYMES no recoge la excepción de la NIC 2.32: se mide al menor entre costo y precio de venta menos costos (27.2)"; IF((vacío)=""; "Faltan el costo o el precio esperados del producto terminado"; IF((vacío)&gt;=0; "El producto terminado se vendería al costo o por encima (NIC 2.32)"; "Margen esperado negativo: el costo del producto terminado excedería su valor realizable neto (NIC 2.32)")))) → No es materia prima</t>
        </is>
      </c>
      <c r="E28" s="24" t="inlineStr">
        <is>
          <t>«¿Materia prima?» (esta hoja), «Margen esperado» (esta hoja), hoja «Parámetros»</t>
        </is>
      </c>
      <c r="F28" s="24" t="inlineStr">
        <is>
          <t>—</t>
        </is>
      </c>
    </row>
    <row r="29">
      <c r="A29" s="24" t="inlineStr">
        <is>
          <t>Provisión antes de la excepción</t>
        </is>
      </c>
      <c r="B29" s="25" t="inlineStr">
        <is>
          <t>'=IF('10_Obsolescencia'!I5="","",'10_Obsolescencia'!I5)</t>
        </is>
      </c>
      <c r="C29" s="24" t="inlineStr">
        <is>
          <t>Trae la provisión del ítem antes de la excepción desde la hoja 10 (Obsolescencia y lenta rotación); en blanco si no se pudo calcular.</t>
        </is>
      </c>
      <c r="D29" s="24" t="inlineStr">
        <is>
          <t>Fila 1: IF(0,00=""; ""; 0,00) → 0,00</t>
        </is>
      </c>
      <c r="E29" s="24" t="inlineStr">
        <is>
          <t>hoja «Obsolescencia y lenta rotación»</t>
        </is>
      </c>
      <c r="F29" s="24" t="inlineStr">
        <is>
          <t>—</t>
        </is>
      </c>
    </row>
    <row r="30">
      <c r="A30" s="24" t="inlineStr">
        <is>
          <t>Efecto: provisión no reconocida</t>
        </is>
      </c>
      <c r="B30" s="25" t="inlineStr">
        <is>
          <t>'=IF(AND(H5="Sí",J5&lt;&gt;""),J5,0)</t>
        </is>
      </c>
      <c r="C30" s="24" t="inlineStr">
        <is>
          <t>Si la excepción aplica, es la provisión antes de la excepción que se deja de reconocer; si no aplica, es cero.</t>
        </is>
      </c>
      <c r="D30" s="24" t="inlineStr">
        <is>
          <t>Fila 1: IF(AND(«No»="Sí"; 0,00&lt;&gt;""); 0,00; 0) → 0,00</t>
        </is>
      </c>
      <c r="E30" s="24" t="inlineStr">
        <is>
          <t>«¿Aplica la excepción de NIC 2.32?» (esta hoja), «Provisión antes de la excepción» (esta hoja)</t>
        </is>
      </c>
      <c r="F30" s="24" t="inlineStr">
        <is>
          <t>—</t>
        </is>
      </c>
    </row>
  </sheetData>
  <mergeCells count="3">
    <mergeCell ref="A20:F20"/>
    <mergeCell ref="A2:F2"/>
    <mergeCell ref="A1:F1"/>
  </mergeCells>
  <hyperlinks>
    <hyperlink xmlns:r="http://schemas.openxmlformats.org/officeDocument/2006/relationships" ref="H1" r:id="rId1"/>
    <hyperlink xmlns:r="http://schemas.openxmlformats.org/officeDocument/2006/relationships" ref="I1" r:id="rId2"/>
    <hyperlink xmlns:r="http://schemas.openxmlformats.org/officeDocument/2006/relationships" ref="J1" r:id="rId3"/>
  </hyperlinks>
  <pageMargins left="0.75" right="0.75" top="1" bottom="1" header="0.5" footer="0.5"/>
  <pageSetup orientation="landscape" fitToHeight="0" fitToWidth="1"/>
  <headerFooter>
    <oddHeader/>
    <oddFooter>&amp;LAuditConsulting Auditores Cía. Ltda.&amp;C&amp;RPágina &amp;P de &amp;N</oddFooter>
    <evenHeader/>
    <evenFooter/>
    <firstHeader/>
    <firstFooter/>
  </headerFooter>
</worksheet>
</file>

<file path=xl/worksheets/sheet16.xml><?xml version="1.0" encoding="utf-8"?>
<worksheet xmlns="http://schemas.openxmlformats.org/spreadsheetml/2006/main">
  <sheetPr>
    <outlinePr summaryBelow="1" summaryRight="1"/>
    <pageSetUpPr fitToPage="1"/>
  </sheetPr>
  <dimension ref="A1:J18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22" customWidth="1" min="3" max="3"/>
    <col width="19" customWidth="1" min="4" max="4"/>
    <col width="12" customWidth="1" min="5" max="5"/>
    <col width="19" customWidth="1" min="6" max="6"/>
    <col width="22" customWidth="1" min="7" max="7"/>
    <col width="16" customWidth="1" min="8" max="8"/>
    <col width="21" customWidth="1" min="9" max="9"/>
    <col width="47" customWidth="1" min="10" max="10"/>
  </cols>
  <sheetData>
    <row r="1">
      <c r="A1" s="3" t="inlineStr">
        <is>
          <t>Prueba de corte</t>
        </is>
      </c>
      <c r="H1" s="14" t="inlineStr">
        <is>
          <t>⟵ Inicio</t>
        </is>
      </c>
      <c r="I1" s="14" t="inlineStr">
        <is>
          <t>◀ Anterior</t>
        </is>
      </c>
      <c r="J1" s="14" t="inlineStr">
        <is>
          <t>Siguiente ▶</t>
        </is>
      </c>
    </row>
    <row r="2">
      <c r="A2" s="15" t="inlineStr">
        <is>
          <t>Inventarios, producción y costo de ventas · Cliente de muestra S.A. · corte 2025-12-31</t>
        </is>
      </c>
      <c r="B2" s="16" t="n"/>
      <c r="C2" s="16" t="n"/>
      <c r="D2" s="16" t="n"/>
      <c r="E2" s="16" t="n"/>
      <c r="F2" s="16" t="n"/>
      <c r="G2" s="16" t="n"/>
      <c r="H2" s="16" t="n"/>
      <c r="I2" s="16" t="n"/>
      <c r="J2" s="16" t="n"/>
    </row>
    <row r="4" ht="30" customHeight="1">
      <c r="A4" s="17" t="inlineStr">
        <is>
          <t>Documento</t>
        </is>
      </c>
      <c r="B4" s="17" t="inlineStr">
        <is>
          <t>Tipo</t>
        </is>
      </c>
      <c r="C4" s="17" t="inlineStr">
        <is>
          <t>Recepción / despacho</t>
        </is>
      </c>
      <c r="D4" s="17" t="inlineStr">
        <is>
          <t>Registro contable</t>
        </is>
      </c>
      <c r="E4" s="17" t="inlineStr">
        <is>
          <t>Importe</t>
        </is>
      </c>
      <c r="F4" s="17" t="inlineStr">
        <is>
          <t>Período del hecho</t>
        </is>
      </c>
      <c r="G4" s="17" t="inlineStr">
        <is>
          <t>Período del registro</t>
        </is>
      </c>
      <c r="H4" s="17" t="inlineStr">
        <is>
          <t>Error de corte</t>
        </is>
      </c>
      <c r="I4" s="17" t="inlineStr">
        <is>
          <t>Importe mal cortado</t>
        </is>
      </c>
      <c r="J4" s="17" t="inlineStr">
        <is>
          <t>Efecto</t>
        </is>
      </c>
    </row>
    <row r="5">
      <c r="A5" s="18" t="inlineStr">
        <is>
          <t>FC-901</t>
        </is>
      </c>
      <c r="B5" s="18" t="inlineStr">
        <is>
          <t>Compra</t>
        </is>
      </c>
      <c r="C5" s="29" t="n">
        <v>46020</v>
      </c>
      <c r="D5" s="29" t="n">
        <v>46021</v>
      </c>
      <c r="E5" s="20" t="n">
        <v>1500</v>
      </c>
      <c r="F5" s="18">
        <f>IF(C5&lt;='02_Parametros'!$B$5,"Ejercicio","Posterior")</f>
        <v/>
      </c>
      <c r="G5" s="18">
        <f>IF(D5&lt;='02_Parametros'!$B$5,"Ejercicio","Posterior")</f>
        <v/>
      </c>
      <c r="H5" s="18">
        <f>IF(F5&lt;&gt;G5,"Sí","No")</f>
        <v/>
      </c>
      <c r="I5" s="20">
        <f>IF(H5="Sí",E5,0)</f>
        <v/>
      </c>
      <c r="J5" s="18">
        <f>IF(H5="No","",IF(F5="Posterior","Registrado en el ejercicio sin haber ocurrido","Ocurrido en el ejercicio y registrado después"))</f>
        <v/>
      </c>
    </row>
    <row r="6">
      <c r="A6" s="19" t="inlineStr">
        <is>
          <t>FC-902</t>
        </is>
      </c>
      <c r="B6" s="19" t="inlineStr">
        <is>
          <t>Compra</t>
        </is>
      </c>
      <c r="C6" s="30" t="n">
        <v>46021</v>
      </c>
      <c r="D6" s="30" t="n">
        <v>46025</v>
      </c>
      <c r="E6" s="21" t="n">
        <v>2200</v>
      </c>
      <c r="F6" s="19">
        <f>IF(C6&lt;='02_Parametros'!$B$5,"Ejercicio","Posterior")</f>
        <v/>
      </c>
      <c r="G6" s="19">
        <f>IF(D6&lt;='02_Parametros'!$B$5,"Ejercicio","Posterior")</f>
        <v/>
      </c>
      <c r="H6" s="19">
        <f>IF(F6&lt;&gt;G6,"Sí","No")</f>
        <v/>
      </c>
      <c r="I6" s="21">
        <f>IF(H6="Sí",E6,0)</f>
        <v/>
      </c>
      <c r="J6" s="19">
        <f>IF(H6="No","",IF(F6="Posterior","Registrado en el ejercicio sin haber ocurrido","Ocurrido en el ejercicio y registrado después"))</f>
        <v/>
      </c>
    </row>
    <row r="7">
      <c r="A7" s="18" t="inlineStr">
        <is>
          <t>GR-501</t>
        </is>
      </c>
      <c r="B7" s="18" t="inlineStr">
        <is>
          <t>Venta</t>
        </is>
      </c>
      <c r="C7" s="29" t="n">
        <v>46024</v>
      </c>
      <c r="D7" s="29" t="n">
        <v>46022</v>
      </c>
      <c r="E7" s="20" t="n">
        <v>3100</v>
      </c>
      <c r="F7" s="18">
        <f>IF(C7&lt;='02_Parametros'!$B$5,"Ejercicio","Posterior")</f>
        <v/>
      </c>
      <c r="G7" s="18">
        <f>IF(D7&lt;='02_Parametros'!$B$5,"Ejercicio","Posterior")</f>
        <v/>
      </c>
      <c r="H7" s="18">
        <f>IF(F7&lt;&gt;G7,"Sí","No")</f>
        <v/>
      </c>
      <c r="I7" s="20">
        <f>IF(H7="Sí",E7,0)</f>
        <v/>
      </c>
      <c r="J7" s="18">
        <f>IF(H7="No","",IF(F7="Posterior","Registrado en el ejercicio sin haber ocurrido","Ocurrido en el ejercicio y registrado después"))</f>
        <v/>
      </c>
    </row>
    <row r="8">
      <c r="A8" s="19" t="inlineStr">
        <is>
          <t>GR-502</t>
        </is>
      </c>
      <c r="B8" s="19" t="inlineStr">
        <is>
          <t>Venta</t>
        </is>
      </c>
      <c r="C8" s="30" t="n">
        <v>46022</v>
      </c>
      <c r="D8" s="30" t="n">
        <v>46022</v>
      </c>
      <c r="E8" s="21" t="n">
        <v>800</v>
      </c>
      <c r="F8" s="19">
        <f>IF(C8&lt;='02_Parametros'!$B$5,"Ejercicio","Posterior")</f>
        <v/>
      </c>
      <c r="G8" s="19">
        <f>IF(D8&lt;='02_Parametros'!$B$5,"Ejercicio","Posterior")</f>
        <v/>
      </c>
      <c r="H8" s="19">
        <f>IF(F8&lt;&gt;G8,"Sí","No")</f>
        <v/>
      </c>
      <c r="I8" s="21">
        <f>IF(H8="Sí",E8,0)</f>
        <v/>
      </c>
      <c r="J8" s="19">
        <f>IF(H8="No","",IF(F8="Posterior","Registrado en el ejercicio sin haber ocurrido","Ocurrido en el ejercicio y registrado después"))</f>
        <v/>
      </c>
    </row>
    <row r="9">
      <c r="A9" s="18" t="inlineStr">
        <is>
          <t>FC-903</t>
        </is>
      </c>
      <c r="B9" s="18" t="inlineStr">
        <is>
          <t>Compra</t>
        </is>
      </c>
      <c r="C9" s="29" t="n">
        <v>46027</v>
      </c>
      <c r="D9" s="29" t="n">
        <v>46028</v>
      </c>
      <c r="E9" s="20" t="n">
        <v>950</v>
      </c>
      <c r="F9" s="18">
        <f>IF(C9&lt;='02_Parametros'!$B$5,"Ejercicio","Posterior")</f>
        <v/>
      </c>
      <c r="G9" s="18">
        <f>IF(D9&lt;='02_Parametros'!$B$5,"Ejercicio","Posterior")</f>
        <v/>
      </c>
      <c r="H9" s="18">
        <f>IF(F9&lt;&gt;G9,"Sí","No")</f>
        <v/>
      </c>
      <c r="I9" s="20">
        <f>IF(H9="Sí",E9,0)</f>
        <v/>
      </c>
      <c r="J9" s="18">
        <f>IF(H9="No","",IF(F9="Posterior","Registrado en el ejercicio sin haber ocurrido","Ocurrido en el ejercicio y registrado después"))</f>
        <v/>
      </c>
    </row>
    <row r="10">
      <c r="A10" s="31" t="inlineStr">
        <is>
          <t>TOTAL</t>
        </is>
      </c>
      <c r="B10" s="31" t="inlineStr"/>
      <c r="C10" s="33" t="n"/>
      <c r="D10" s="33" t="n"/>
      <c r="E10" s="32">
        <f>SUM(E5:E9)</f>
        <v/>
      </c>
      <c r="F10" s="31" t="inlineStr"/>
      <c r="G10" s="31" t="inlineStr"/>
      <c r="H10" s="31" t="inlineStr"/>
      <c r="I10" s="32">
        <f>SUM(I5:I9)</f>
        <v/>
      </c>
      <c r="J10" s="31" t="inlineStr"/>
    </row>
    <row r="12">
      <c r="A12" s="22" t="inlineStr">
        <is>
          <t>ⓘ  Cómo se calcula esta hoja</t>
        </is>
      </c>
    </row>
    <row r="13">
      <c r="A13" s="23" t="inlineStr">
        <is>
          <t>Columna</t>
        </is>
      </c>
      <c r="B13" s="23" t="inlineStr">
        <is>
          <t>Fórmula (Excel)</t>
        </is>
      </c>
      <c r="C13" s="23" t="inlineStr">
        <is>
          <t>Cómo se calcula (sencillo)</t>
        </is>
      </c>
      <c r="D13" s="23" t="inlineStr">
        <is>
          <t>Ejemplo con números reales</t>
        </is>
      </c>
      <c r="E13" s="23" t="inlineStr">
        <is>
          <t>De dónde viene</t>
        </is>
      </c>
      <c r="F13" s="23" t="inlineStr">
        <is>
          <t>Norma</t>
        </is>
      </c>
    </row>
    <row r="14">
      <c r="A14" s="24" t="inlineStr">
        <is>
          <t>Período del hecho</t>
        </is>
      </c>
      <c r="B14" s="25" t="inlineStr">
        <is>
          <t>'=IF(C5&lt;='02_Parametros'!$B$5,"Ejercicio","Posterior")</t>
        </is>
      </c>
      <c r="C14" s="24" t="inlineStr">
        <is>
          <t>Compara la fecha de recepción o despacho con la fecha de corte de la hoja 02 (Parámetros): «Ejercicio» si es igual o anterior y «Posterior» si es después.</t>
        </is>
      </c>
      <c r="D14" s="24" t="inlineStr">
        <is>
          <t>Fila 1: IF(«2025-12-29»&lt;=«2025-12-31»; "Ejercicio"; "Posterior") → Ejercicio</t>
        </is>
      </c>
      <c r="E14" s="24" t="inlineStr">
        <is>
          <t>«Recepción / despacho» (esta hoja), hoja «Parámetros»</t>
        </is>
      </c>
      <c r="F14" s="24" t="inlineStr">
        <is>
          <t>—</t>
        </is>
      </c>
    </row>
    <row r="15">
      <c r="A15" s="24" t="inlineStr">
        <is>
          <t>Período del registro</t>
        </is>
      </c>
      <c r="B15" s="25" t="inlineStr">
        <is>
          <t>'=IF(D5&lt;='02_Parametros'!$B$5,"Ejercicio","Posterior")</t>
        </is>
      </c>
      <c r="C15" s="24" t="inlineStr">
        <is>
          <t>Compara la fecha del registro contable con la fecha de corte de la hoja 02 (Parámetros): «Ejercicio» si es igual o anterior y «Posterior» si es después.</t>
        </is>
      </c>
      <c r="D15" s="24" t="inlineStr">
        <is>
          <t>Fila 1: IF(«2025-12-30»&lt;=«2025-12-31»; "Ejercicio"; "Posterior") → Ejercicio</t>
        </is>
      </c>
      <c r="E15" s="24" t="inlineStr">
        <is>
          <t>«Registro contable» (esta hoja), hoja «Parámetros»</t>
        </is>
      </c>
      <c r="F15" s="24" t="inlineStr">
        <is>
          <t>—</t>
        </is>
      </c>
    </row>
    <row r="16">
      <c r="A16" s="24" t="inlineStr">
        <is>
          <t>Error de corte</t>
        </is>
      </c>
      <c r="B16" s="25" t="inlineStr">
        <is>
          <t>'=IF(F5&lt;&gt;G5,"Sí","No")</t>
        </is>
      </c>
      <c r="C16" s="24" t="inlineStr">
        <is>
          <t>«Sí» cuando el hecho y su registro caen en períodos distintos (uno en el ejercicio y otro después); «No» si coinciden.</t>
        </is>
      </c>
      <c r="D16" s="24" t="inlineStr">
        <is>
          <t>Fila 1: IF(«Ejercicio»&lt;&gt;«Ejercicio»; "Sí"; "No") → No</t>
        </is>
      </c>
      <c r="E16" s="24" t="inlineStr">
        <is>
          <t>«Período del hecho» (esta hoja), «Período del registro» (esta hoja)</t>
        </is>
      </c>
      <c r="F16" s="24" t="inlineStr">
        <is>
          <t>—</t>
        </is>
      </c>
    </row>
    <row r="17">
      <c r="A17" s="24" t="inlineStr">
        <is>
          <t>Importe mal cortado</t>
        </is>
      </c>
      <c r="B17" s="25" t="inlineStr">
        <is>
          <t>'=IF(H5="Sí",E5,0)</t>
        </is>
      </c>
      <c r="C17" s="24" t="inlineStr">
        <is>
          <t>Si hay error de corte, toma el importe del documento; si no lo hay, pone cero.</t>
        </is>
      </c>
      <c r="D17" s="24" t="inlineStr">
        <is>
          <t>Fila 1: IF(«No»="Sí"; 1.500,00; 0) → 0,00</t>
        </is>
      </c>
      <c r="E17" s="24" t="inlineStr">
        <is>
          <t>«Error de corte» (esta hoja), «Importe» (esta hoja)</t>
        </is>
      </c>
      <c r="F17" s="24" t="inlineStr">
        <is>
          <t>—</t>
        </is>
      </c>
    </row>
    <row r="18">
      <c r="A18" s="24" t="inlineStr">
        <is>
          <t>Efecto</t>
        </is>
      </c>
      <c r="B18" s="25" t="inlineStr">
        <is>
          <t>'=IF(H5="No","",IF(F5="Posterior","Registrado en el ejercicio sin haber ocurrido","Ocurrido en el ejercicio y registrado después"))</t>
        </is>
      </c>
      <c r="C18" s="24" t="inlineStr">
        <is>
          <t>Describe el error: si el hecho es posterior, se registró en el ejercicio sin haber ocurrido; si no, ocurrió en el ejercicio y se registró después. Sin error, queda en blanco.</t>
        </is>
      </c>
      <c r="D18" s="24" t="inlineStr">
        <is>
          <t>Fila 1: IF(«No»="No"; ""; IF(«Ejercicio»="Posterior"; "Registrado en el ejercicio sin haber ocurrido"; "Ocurrido en el ejercicio y registrado después")) → (en blanco)</t>
        </is>
      </c>
      <c r="E18" s="24" t="inlineStr">
        <is>
          <t>«Error de corte» (esta hoja), «Período del hecho» (esta hoja)</t>
        </is>
      </c>
      <c r="F18" s="24" t="inlineStr">
        <is>
          <t>—</t>
        </is>
      </c>
    </row>
  </sheetData>
  <mergeCells count="3">
    <mergeCell ref="A2:F2"/>
    <mergeCell ref="A1:F1"/>
    <mergeCell ref="A12:F12"/>
  </mergeCells>
  <hyperlinks>
    <hyperlink xmlns:r="http://schemas.openxmlformats.org/officeDocument/2006/relationships" ref="H1" r:id="rId1"/>
    <hyperlink xmlns:r="http://schemas.openxmlformats.org/officeDocument/2006/relationships" ref="I1" r:id="rId2"/>
    <hyperlink xmlns:r="http://schemas.openxmlformats.org/officeDocument/2006/relationships" ref="J1" r:id="rId3"/>
  </hyperlinks>
  <pageMargins left="0.75" right="0.75" top="1" bottom="1" header="0.5" footer="0.5"/>
  <pageSetup orientation="landscape" fitToHeight="0" fitToWidth="1"/>
  <headerFooter>
    <oddHeader/>
    <oddFooter>&amp;LAuditConsulting Auditores Cía. Ltda.&amp;C&amp;RPágina &amp;P de &amp;N</oddFooter>
    <evenHeader/>
    <evenFooter/>
    <firstHeader/>
    <firstFooter/>
  </headerFooter>
</worksheet>
</file>

<file path=xl/worksheets/sheet17.xml><?xml version="1.0" encoding="utf-8"?>
<worksheet xmlns="http://schemas.openxmlformats.org/spreadsheetml/2006/main">
  <sheetPr>
    <outlinePr summaryBelow="1" summaryRight="1"/>
    <pageSetUpPr fitToPage="1"/>
  </sheetPr>
  <dimension ref="A1:J23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31" customWidth="1" min="1" max="1"/>
    <col width="60" customWidth="1" min="2" max="2"/>
    <col width="12" customWidth="1" min="3" max="3"/>
  </cols>
  <sheetData>
    <row r="1">
      <c r="A1" s="3" t="inlineStr">
        <is>
          <t>Problemas encontrados</t>
        </is>
      </c>
      <c r="H1" s="14" t="inlineStr">
        <is>
          <t>⟵ Inicio</t>
        </is>
      </c>
      <c r="I1" s="14" t="inlineStr">
        <is>
          <t>◀ Anterior</t>
        </is>
      </c>
      <c r="J1" s="14" t="inlineStr">
        <is>
          <t>Siguiente ▶</t>
        </is>
      </c>
    </row>
    <row r="2">
      <c r="A2" s="15" t="inlineStr">
        <is>
          <t>Inventarios, producción y costo de ventas · Cliente de muestra S.A. · corte 2025-12-31</t>
        </is>
      </c>
      <c r="B2" s="16" t="n"/>
      <c r="C2" s="16" t="n"/>
      <c r="D2" s="16" t="n"/>
      <c r="E2" s="16" t="n"/>
      <c r="F2" s="16" t="n"/>
    </row>
    <row r="4" ht="30" customHeight="1">
      <c r="A4" s="17" t="inlineStr">
        <is>
          <t>Código</t>
        </is>
      </c>
      <c r="B4" s="17" t="inlineStr">
        <is>
          <t>Descripción</t>
        </is>
      </c>
      <c r="C4" s="17" t="inlineStr">
        <is>
          <t>Importe</t>
        </is>
      </c>
    </row>
    <row r="5">
      <c r="A5" s="18" t="inlineStr">
        <is>
          <t>DIFERENCIA_FISICA</t>
        </is>
      </c>
      <c r="B5" s="18" t="inlineStr">
        <is>
          <t>Diferencias entre el conteo y el kardex en 3 ítem(s): A-002, C-101, D-200. Neto valorizado 16,00; ajuste las existencias e investigue la causa (pérdidas: gasto del ejercicio, NIC 2.34).</t>
        </is>
      </c>
      <c r="C5" s="20" t="n">
        <v>16</v>
      </c>
    </row>
    <row r="6">
      <c r="A6" s="19" t="inlineStr">
        <is>
          <t>SIN_CONTEO</t>
        </is>
      </c>
      <c r="B6" s="19" t="inlineStr">
        <is>
          <t>1 ítem(s) sin cantidad contada (B-012): se usa el kardex. Documente la cobertura del recuento (NIA 501).</t>
        </is>
      </c>
      <c r="C6" s="21" t="n">
        <v>900</v>
      </c>
    </row>
    <row r="7">
      <c r="A7" s="18" t="inlineStr">
        <is>
          <t>DIF_EXTENSION</t>
        </is>
      </c>
      <c r="B7" s="18" t="inlineStr">
        <is>
          <t>Cantidad × costo unitario no da el valor del kardex en B-010: diferencia -100,00.</t>
        </is>
      </c>
      <c r="C7" s="20" t="n">
        <v>-100</v>
      </c>
    </row>
    <row r="8">
      <c r="A8" s="19" t="inlineStr">
        <is>
          <t>DIF_COSTO_UNITARIO</t>
        </is>
      </c>
      <c r="B8" s="19" t="inlineStr">
        <is>
          <t>El costo unitario soportado difiere del registrado: efecto 100,00 (NIC 2.10-2.11; PYMES 13.5-13.6).</t>
        </is>
      </c>
      <c r="C8" s="21" t="n">
        <v>100</v>
      </c>
    </row>
    <row r="9">
      <c r="A9" s="18" t="inlineStr">
        <is>
          <t>KARDEX_MAYOR</t>
        </is>
      </c>
      <c r="B9" s="18" t="inlineStr">
        <is>
          <t>El kardex (41.000,00) no concilia con el mayor (41.300,00): diferencia -300,00.</t>
        </is>
      </c>
      <c r="C9" s="20" t="n">
        <v>-300</v>
      </c>
    </row>
    <row r="10">
      <c r="A10" s="19" t="inlineStr">
        <is>
          <t>APERTURA</t>
        </is>
      </c>
      <c r="B10" s="19" t="inlineStr">
        <is>
          <t>Productos terminados: el inventario inicial (9.000,00) no es el cierre auditado anterior (8.500,00).</t>
        </is>
      </c>
      <c r="C10" s="21" t="n">
        <v>500</v>
      </c>
    </row>
    <row r="11">
      <c r="A11" s="18" t="inlineStr">
        <is>
          <t>CIF_NO_ABSORBIDO_CAPITALIZADO</t>
        </is>
      </c>
      <c r="B11" s="18" t="inlineStr">
        <is>
          <t>La entidad cargó al inventario 2.400,00 de CIF fijo no absorbido por baja producción: debe ir a gasto del ejercicio (NIC 2.13; PYMES 13.9).</t>
        </is>
      </c>
      <c r="C11" s="20" t="n">
        <v>2400</v>
      </c>
    </row>
    <row r="12">
      <c r="A12" s="19" t="inlineStr">
        <is>
          <t>CIF_NO_ABSORBIDO</t>
        </is>
      </c>
      <c r="B12" s="19" t="inlineStr">
        <is>
          <t>CIF fijo no absorbido (producción bajo la capacidad normal): 2.400,00; se reconoce como gasto, no como inventario.</t>
        </is>
      </c>
      <c r="C12" s="21" t="n">
        <v>2400</v>
      </c>
    </row>
    <row r="13">
      <c r="A13" s="18" t="inlineStr">
        <is>
          <t>PRODUCCION_NO_CONCILIADA</t>
        </is>
      </c>
      <c r="B13" s="18" t="inlineStr">
        <is>
          <t>Los costos de manufactura registrados (151.750,00) difieren del costo de producción capitalizable recalculado (149.350,00): 2.400,00.</t>
        </is>
      </c>
      <c r="C13" s="20" t="n">
        <v>2400</v>
      </c>
    </row>
    <row r="14">
      <c r="A14" s="19" t="inlineStr">
        <is>
          <t>COSTO_VENTAS</t>
        </is>
      </c>
      <c r="B14" s="19" t="inlineStr">
        <is>
          <t>El costo de ventas recalculado difiere del contable en Productos terminados: 1.850,00.</t>
        </is>
      </c>
      <c r="C14" s="21" t="n">
        <v>1850</v>
      </c>
    </row>
    <row r="15">
      <c r="A15" s="18" t="inlineStr">
        <is>
          <t>VNR_BAJO_COSTO</t>
        </is>
      </c>
      <c r="B15" s="18" t="inlineStr">
        <is>
          <t>El valor realizable neto (NIC 2.6 y 2.9) está por debajo del costo en B-010, C-102, E-300, E-301, E-302: rebaja 3.775,00.</t>
        </is>
      </c>
      <c r="C15" s="20" t="n">
        <v>3775</v>
      </c>
    </row>
    <row r="16">
      <c r="A16" s="19" t="inlineStr">
        <is>
          <t>EXCEPCION_NIC232</t>
        </is>
      </c>
      <c r="B16" s="19" t="inlineStr">
        <is>
          <t>Excepción de NIC 2.32 aplicada en 2 materia(s) prima(s): D-200, E-300. No se rebajan por debajo del costo porque el producto terminado asociado se vendería al costo o por encima; provisión no reconocida 1.400,00. Revise el costeo del producto terminado y la lista de precios que sustentan el costo y el precio esperados informados.</t>
        </is>
      </c>
      <c r="C16" s="21" t="n">
        <v>1400</v>
      </c>
    </row>
    <row r="17">
      <c r="A17" s="18" t="inlineStr">
        <is>
          <t>MP_SIN_DEMOSTRACION_PT</t>
        </is>
      </c>
      <c r="B17" s="18" t="inlineStr">
        <is>
          <t>1 materia(s) prima(s) sin el costo o el precio esperados del producto terminado asociado (E-302): no se puede demostrar que el producto terminado se venderá al costo o por encima, así que NO se aplica la excepción de la NIC 2.32 y se mide al menor entre costo y VNR. Pida el costeo estándar del producto terminado y su lista de precios de venta.</t>
        </is>
      </c>
      <c r="C17" s="20" t="n">
        <v>500</v>
      </c>
    </row>
    <row r="18">
      <c r="A18" s="19" t="inlineStr">
        <is>
          <t>MP_MARGEN_NEGATIVO</t>
        </is>
      </c>
      <c r="B18" s="19" t="inlineStr">
        <is>
          <t>El costo esperado del producto terminado supera su precio esperado en E-301: no aplica la excepción de la NIC 2.32 (el costo del producto terminado excedería su valor realizable neto) y la materia prima se rebaja hasta su VNR. Evalúe además el costo de reposición como mejor estimación del VNR (NIC 2.32) y si hay un contrato oneroso.</t>
        </is>
      </c>
      <c r="C18" s="21" t="n">
        <v>500</v>
      </c>
    </row>
    <row r="19">
      <c r="A19" s="18" t="inlineStr">
        <is>
          <t>SIN_PRECIO_VENTA</t>
        </is>
      </c>
      <c r="B19" s="18" t="inlineStr">
        <is>
          <t>1 ítem(s) sin precio estimado de venta (C-100): el valor realizable neto (NIC 2.6 y 2.9) no se midió (NIC 2.30).</t>
        </is>
      </c>
      <c r="C19" s="20" t="n">
        <v>0</v>
      </c>
    </row>
    <row r="20">
      <c r="A20" s="19" t="inlineStr">
        <is>
          <t>VNR_ESTIMADO_ANTIGUEDAD</t>
        </is>
      </c>
      <c r="B20" s="19" t="inlineStr">
        <is>
          <t>Sin precio de venta en C-100: el valor realizable neto (NIC 2.6 y 2.9) se estimó por antigüedad con los % de los tramos, no con la evidencia más fiable disponible (NIC 2.30). Respalde el precio de venta o el porcentaje aplicado.</t>
        </is>
      </c>
      <c r="C20" s="21" t="n">
        <v>1800</v>
      </c>
    </row>
    <row r="21">
      <c r="A21" s="18" t="inlineStr">
        <is>
          <t>LENTA_ROTACION_SIN_PROVISION</t>
        </is>
      </c>
      <c r="B21" s="18" t="inlineStr">
        <is>
          <t>Hay ítems de lenta rotación u obsoletos (provisión por tramos 3.050,00) y la provisión registrada (1.000,00) no cubre la estimada (4.175,00).</t>
        </is>
      </c>
      <c r="C21" s="20" t="n">
        <v>3175</v>
      </c>
    </row>
    <row r="22">
      <c r="A22" s="19" t="inlineStr">
        <is>
          <t>CORTE</t>
        </is>
      </c>
      <c r="B22" s="19" t="inlineStr">
        <is>
          <t>Documentos registrados en un período distinto al de su recepción o despacho: FC-902, GR-501 (5.300,00).</t>
        </is>
      </c>
      <c r="C22" s="21" t="n">
        <v>5300</v>
      </c>
    </row>
    <row r="23">
      <c r="A23" s="18" t="inlineStr">
        <is>
          <t>AJUSTE</t>
        </is>
      </c>
      <c r="B23" s="18" t="inlineStr">
        <is>
          <t>El inventario neto auditado (36.841,00) difiere del neto en libros (40.300,00).</t>
        </is>
      </c>
      <c r="C23" s="20" t="n">
        <v>-3459</v>
      </c>
    </row>
  </sheetData>
  <mergeCells count="2">
    <mergeCell ref="A2:F2"/>
    <mergeCell ref="A1:F1"/>
  </mergeCells>
  <hyperlinks>
    <hyperlink xmlns:r="http://schemas.openxmlformats.org/officeDocument/2006/relationships" ref="H1" r:id="rId1"/>
    <hyperlink xmlns:r="http://schemas.openxmlformats.org/officeDocument/2006/relationships" ref="I1" r:id="rId2"/>
    <hyperlink xmlns:r="http://schemas.openxmlformats.org/officeDocument/2006/relationships" ref="J1" r:id="rId3"/>
  </hyperlinks>
  <pageMargins left="0.75" right="0.75" top="1" bottom="1" header="0.5" footer="0.5"/>
  <pageSetup orientation="landscape" fitToHeight="0" fitToWidth="1"/>
  <headerFooter>
    <oddHeader/>
    <oddFooter>&amp;LAuditConsulting Auditores Cía. Ltda.&amp;C&amp;RPágina &amp;P de &amp;N</oddFooter>
    <evenHeader/>
    <evenFooter/>
    <firstHeader/>
    <firstFooter/>
  </headerFooter>
</worksheet>
</file>

<file path=xl/worksheets/sheet18.xml><?xml version="1.0" encoding="utf-8"?>
<worksheet xmlns="http://schemas.openxmlformats.org/spreadsheetml/2006/main">
  <sheetPr>
    <outlinePr summaryBelow="1" summaryRight="1"/>
    <pageSetUpPr fitToPage="1"/>
  </sheetPr>
  <dimension ref="A1:J8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7" customWidth="1" min="1" max="1"/>
    <col width="47" customWidth="1" min="2" max="2"/>
  </cols>
  <sheetData>
    <row r="1">
      <c r="A1" s="3" t="inlineStr">
        <is>
          <t>Conclusión</t>
        </is>
      </c>
      <c r="H1" s="14" t="inlineStr">
        <is>
          <t>⟵ Inicio</t>
        </is>
      </c>
      <c r="I1" s="14" t="inlineStr">
        <is>
          <t>◀ Anterior</t>
        </is>
      </c>
      <c r="J1" s="14" t="inlineStr">
        <is>
          <t>Siguiente ▶</t>
        </is>
      </c>
    </row>
    <row r="2">
      <c r="A2" s="15" t="inlineStr">
        <is>
          <t>Inventarios, producción y costo de ventas · Cliente de muestra S.A. · corte 2025-12-31</t>
        </is>
      </c>
      <c r="B2" s="16" t="n"/>
      <c r="C2" s="16" t="n"/>
      <c r="D2" s="16" t="n"/>
      <c r="E2" s="16" t="n"/>
      <c r="F2" s="16" t="n"/>
    </row>
    <row r="4" ht="30" customHeight="1">
      <c r="A4" s="17" t="inlineStr">
        <is>
          <t>Concepto</t>
        </is>
      </c>
      <c r="B4" s="17" t="inlineStr">
        <is>
          <t>Detalle</t>
        </is>
      </c>
    </row>
    <row r="5">
      <c r="A5" s="18" t="inlineStr">
        <is>
          <t>Conciliación con el mayor</t>
        </is>
      </c>
      <c r="B5" s="18" t="inlineStr">
        <is>
          <t>Población None · mayor None · diferencia None</t>
        </is>
      </c>
    </row>
    <row r="6">
      <c r="A6" s="19" t="inlineStr">
        <is>
          <t>Evaluación de excepciones</t>
        </is>
      </c>
      <c r="B6" s="19" t="inlineStr"/>
    </row>
    <row r="7">
      <c r="A7" s="18" t="inlineStr">
        <is>
          <t>Análisis</t>
        </is>
      </c>
      <c r="B7" s="18" t="inlineStr"/>
    </row>
    <row r="8">
      <c r="A8" s="19" t="inlineStr">
        <is>
          <t>Conclusión</t>
        </is>
      </c>
      <c r="B8" s="19" t="inlineStr"/>
    </row>
  </sheetData>
  <mergeCells count="2">
    <mergeCell ref="A2:F2"/>
    <mergeCell ref="A1:F1"/>
  </mergeCells>
  <hyperlinks>
    <hyperlink xmlns:r="http://schemas.openxmlformats.org/officeDocument/2006/relationships" ref="H1" r:id="rId1"/>
    <hyperlink xmlns:r="http://schemas.openxmlformats.org/officeDocument/2006/relationships" ref="I1" r:id="rId2"/>
    <hyperlink xmlns:r="http://schemas.openxmlformats.org/officeDocument/2006/relationships" ref="J1" r:id="rId3"/>
  </hyperlinks>
  <pageMargins left="0.75" right="0.75" top="1" bottom="1" header="0.5" footer="0.5"/>
  <pageSetup orientation="landscape" fitToHeight="0" fitToWidth="1"/>
  <headerFooter>
    <oddHeader/>
    <oddFooter>&amp;LAuditConsulting Auditores Cía. Ltda.&amp;C&amp;RPágina &amp;P de &amp;N</oddFooter>
    <evenHeader/>
    <evenFooter/>
    <firstHeader/>
    <firstFooter/>
  </headerFooter>
</worksheet>
</file>

<file path=xl/worksheets/sheet19.xml><?xml version="1.0" encoding="utf-8"?>
<worksheet xmlns="http://schemas.openxmlformats.org/spreadsheetml/2006/main">
  <sheetPr>
    <outlinePr summaryBelow="1" summaryRight="1"/>
    <pageSetUpPr fitToPage="1"/>
  </sheetPr>
  <dimension ref="A1:I4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7" customWidth="1" min="3" max="3"/>
    <col width="14" customWidth="1" min="4" max="4"/>
    <col width="12" customWidth="1" min="5" max="5"/>
    <col width="12" customWidth="1" min="6" max="6"/>
  </cols>
  <sheetData>
    <row r="1">
      <c r="A1" s="3" t="inlineStr">
        <is>
          <t>Control de revisión</t>
        </is>
      </c>
      <c r="H1" s="14" t="inlineStr">
        <is>
          <t>⟵ Inicio</t>
        </is>
      </c>
      <c r="I1" s="14" t="inlineStr">
        <is>
          <t>◀ Anterior</t>
        </is>
      </c>
    </row>
    <row r="2">
      <c r="A2" s="15" t="inlineStr">
        <is>
          <t>Inventarios, producción y costo de ventas · Cliente de muestra S.A. · corte 2025-12-31</t>
        </is>
      </c>
      <c r="B2" s="16" t="n"/>
      <c r="C2" s="16" t="n"/>
      <c r="D2" s="16" t="n"/>
      <c r="E2" s="16" t="n"/>
      <c r="F2" s="16" t="n"/>
    </row>
    <row r="4" ht="30" customHeight="1">
      <c r="A4" s="17" t="inlineStr">
        <is>
          <t>Fecha</t>
        </is>
      </c>
      <c r="B4" s="17" t="inlineStr">
        <is>
          <t>Acción</t>
        </is>
      </c>
      <c r="C4" s="17" t="inlineStr">
        <is>
          <t>Estado anterior</t>
        </is>
      </c>
      <c r="D4" s="17" t="inlineStr">
        <is>
          <t>Estado nuevo</t>
        </is>
      </c>
      <c r="E4" s="17" t="inlineStr">
        <is>
          <t>Actor</t>
        </is>
      </c>
      <c r="F4" s="17" t="inlineStr">
        <is>
          <t>Comentario</t>
        </is>
      </c>
    </row>
  </sheetData>
  <mergeCells count="2">
    <mergeCell ref="A2:F2"/>
    <mergeCell ref="A1:F1"/>
  </mergeCells>
  <hyperlinks>
    <hyperlink xmlns:r="http://schemas.openxmlformats.org/officeDocument/2006/relationships" ref="H1" r:id="rId1"/>
    <hyperlink xmlns:r="http://schemas.openxmlformats.org/officeDocument/2006/relationships" ref="I1" r:id="rId2"/>
  </hyperlinks>
  <pageMargins left="0.75" right="0.75" top="1" bottom="1" header="0.5" footer="0.5"/>
  <pageSetup orientation="landscape" fitToHeight="0" fitToWidth="1"/>
  <headerFooter>
    <oddHeader/>
    <oddFooter>&amp;LAuditConsulting Auditores Cía. Ltda.&amp;C&amp;RPágina &amp;P de &amp;N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2026-09-24T04:19:25Z</dcterms:created>
  <dcterms:modified xmlns:dcterms="http://purl.org/dc/terms/" xmlns:xsi="http://www.w3.org/2001/XMLSchema-instance" xsi:type="dcterms:W3CDTF">2026-09-24T04:19:26Z</dcterms:modified>
</cp:coreProperties>
</file>