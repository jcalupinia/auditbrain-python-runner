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icio" sheetId="1" state="visible" r:id="rId1"/>
    <sheet xmlns:r="http://schemas.openxmlformats.org/officeDocument/2006/relationships" name="00_Caratula" sheetId="2" state="visible" r:id="rId2"/>
    <sheet xmlns:r="http://schemas.openxmlformats.org/officeDocument/2006/relationships" name="00_Programa" sheetId="3" state="visible" r:id="rId3"/>
    <sheet xmlns:r="http://schemas.openxmlformats.org/officeDocument/2006/relationships" name="00_Fuentes" sheetId="4" state="visible" r:id="rId4"/>
    <sheet xmlns:r="http://schemas.openxmlformats.org/officeDocument/2006/relationships" name="01_Resumen" sheetId="5" state="visible" r:id="rId5"/>
    <sheet xmlns:r="http://schemas.openxmlformats.org/officeDocument/2006/relationships" name="02_Parametros" sheetId="6" state="visible" r:id="rId6"/>
    <sheet xmlns:r="http://schemas.openxmlformats.org/officeDocument/2006/relationships" name="03_Detalle" sheetId="7" state="visible" r:id="rId7"/>
    <sheet xmlns:r="http://schemas.openxmlformats.org/officeDocument/2006/relationships" name="04_Aging" sheetId="8" state="visible" r:id="rId8"/>
    <sheet xmlns:r="http://schemas.openxmlformats.org/officeDocument/2006/relationships" name="05_Cobros_posteriores" sheetId="9" state="visible" r:id="rId9"/>
    <sheet xmlns:r="http://schemas.openxmlformats.org/officeDocument/2006/relationships" name="06_Circularizacion" sheetId="10" state="visible" r:id="rId10"/>
    <sheet xmlns:r="http://schemas.openxmlformats.org/officeDocument/2006/relationships" name="07_Corte_ventas" sheetId="11" state="visible" r:id="rId11"/>
    <sheet xmlns:r="http://schemas.openxmlformats.org/officeDocument/2006/relationships" name="08_Costo_amortizado" sheetId="12" state="visible" r:id="rId12"/>
    <sheet xmlns:r="http://schemas.openxmlformats.org/officeDocument/2006/relationships" name="09_Matriz_deterioro" sheetId="13" state="visible" r:id="rId13"/>
    <sheet xmlns:r="http://schemas.openxmlformats.org/officeDocument/2006/relationships" name="10_Ajuste" sheetId="14" state="visible" r:id="rId14"/>
    <sheet xmlns:r="http://schemas.openxmlformats.org/officeDocument/2006/relationships" name="11_Asientos" sheetId="15" state="visible" r:id="rId15"/>
    <sheet xmlns:r="http://schemas.openxmlformats.org/officeDocument/2006/relationships" name="12_Problemas" sheetId="16" state="visible" r:id="rId16"/>
    <sheet xmlns:r="http://schemas.openxmlformats.org/officeDocument/2006/relationships" name="13_Conclusion" sheetId="17" state="visible" r:id="rId17"/>
    <sheet xmlns:r="http://schemas.openxmlformats.org/officeDocument/2006/relationships" name="14_Control_Revision" sheetId="18" state="visible" r:id="rId18"/>
  </sheets>
  <definedNames>
    <definedName name="_xlnm.Print_Area" localSheetId="0">'00_Inicio'!$A$1:$L$66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4">
    <font>
      <name val="Calibri"/>
      <family val="2"/>
      <color theme="1"/>
      <sz val="11"/>
      <scheme val="minor"/>
    </font>
    <font>
      <name val="Montserrat"/>
      <b val="1"/>
      <color rgb="00FFFFFF"/>
      <sz val="16"/>
    </font>
    <font>
      <name val="Montserrat"/>
      <b val="1"/>
      <color rgb="000A2342"/>
      <sz val="15"/>
    </font>
    <font>
      <name val="Montserrat"/>
      <b val="1"/>
      <color rgb="000D7377"/>
      <sz val="9"/>
    </font>
    <font>
      <name val="Calibri"/>
      <color rgb="001A1A1A"/>
      <sz val="9"/>
    </font>
    <font>
      <name val="Montserrat"/>
      <b val="1"/>
      <color rgb="00C7A83C"/>
      <sz val="10"/>
    </font>
    <font>
      <name val="Consolas"/>
      <b val="1"/>
      <color rgb="000A2342"/>
      <sz val="18"/>
    </font>
    <font>
      <name val="Consolas"/>
      <b val="1"/>
      <color rgb="00C0392B"/>
      <sz val="18"/>
    </font>
    <font>
      <name val="Montserrat"/>
      <b val="1"/>
      <color rgb="00FFFFFF"/>
      <sz val="10"/>
    </font>
    <font>
      <name val="Calibri"/>
      <i val="1"/>
      <color rgb="006B7280"/>
      <sz val="8"/>
    </font>
    <font>
      <name val="Calibri"/>
      <color rgb="008A94A6"/>
      <sz val="8"/>
    </font>
    <font>
      <name val="Montserrat"/>
      <b val="1"/>
      <color rgb="000A2342"/>
      <sz val="9"/>
    </font>
    <font>
      <name val="Consolas"/>
      <color rgb="001A1A1A"/>
      <sz val="9"/>
    </font>
    <font>
      <name val="Consolas"/>
      <b val="1"/>
      <color rgb="000A2342"/>
      <sz val="10"/>
    </font>
  </fonts>
  <fills count="8">
    <fill>
      <patternFill/>
    </fill>
    <fill>
      <patternFill patternType="gray125"/>
    </fill>
    <fill>
      <patternFill patternType="solid">
        <fgColor rgb="000A2342"/>
      </patternFill>
    </fill>
    <fill>
      <patternFill patternType="solid">
        <fgColor rgb="00F4F6F9"/>
      </patternFill>
    </fill>
    <fill>
      <patternFill patternType="solid">
        <fgColor rgb="000D7377"/>
      </patternFill>
    </fill>
    <fill>
      <patternFill patternType="solid">
        <fgColor rgb="00DCE6F1"/>
      </patternFill>
    </fill>
    <fill>
      <patternFill patternType="solid">
        <fgColor rgb="00F7F9FC"/>
      </patternFill>
    </fill>
    <fill>
      <patternFill patternType="solid">
        <fgColor rgb="00C7A83C"/>
      </patternFill>
    </fill>
  </fills>
  <borders count="5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bottom style="medium">
        <color rgb="00C7A83C"/>
      </bottom>
    </border>
    <border>
      <bottom style="thin">
        <color rgb="00E3E8EF"/>
      </bottom>
    </border>
    <border>
      <left style="thin">
        <color rgb="00B7C0CC"/>
      </left>
      <right style="thin">
        <color rgb="00B7C0CC"/>
      </right>
      <top style="double">
        <color rgb="000A2342"/>
      </top>
      <bottom style="double">
        <color rgb="000A2342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vertical="bottom" wrapText="1"/>
    </xf>
    <xf numFmtId="4" fontId="6" fillId="3" borderId="1" pivotButton="0" quotePrefix="0" xfId="0"/>
    <xf numFmtId="3" fontId="7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4" fontId="10" fillId="0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pivotButton="0" quotePrefix="0" xfId="0"/>
    <xf numFmtId="0" fontId="8" fillId="2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top" wrapText="1"/>
    </xf>
    <xf numFmtId="0" fontId="4" fillId="6" borderId="3" applyAlignment="1" pivotButton="0" quotePrefix="0" xfId="0">
      <alignment horizontal="left" vertical="top" wrapText="1"/>
    </xf>
    <xf numFmtId="4" fontId="12" fillId="0" borderId="3" applyAlignment="1" pivotButton="0" quotePrefix="0" xfId="0">
      <alignment horizontal="right" vertical="center"/>
    </xf>
    <xf numFmtId="4" fontId="12" fillId="6" borderId="3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165" fontId="4" fillId="0" borderId="3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right" vertical="center"/>
    </xf>
    <xf numFmtId="0" fontId="12" fillId="0" borderId="3" applyAlignment="1" pivotButton="0" quotePrefix="0" xfId="0">
      <alignment horizontal="right" vertical="center"/>
    </xf>
    <xf numFmtId="165" fontId="12" fillId="0" borderId="3" applyAlignment="1" pivotButton="0" quotePrefix="0" xfId="0">
      <alignment horizontal="center" vertical="center" wrapText="1"/>
    </xf>
    <xf numFmtId="3" fontId="12" fillId="0" borderId="3" applyAlignment="1" pivotButton="0" quotePrefix="0" xfId="0">
      <alignment horizontal="right" vertical="center"/>
    </xf>
    <xf numFmtId="10" fontId="12" fillId="0" borderId="3" applyAlignment="1" pivotButton="0" quotePrefix="0" xfId="0">
      <alignment horizontal="right" vertical="center"/>
    </xf>
    <xf numFmtId="165" fontId="12" fillId="6" borderId="3" applyAlignment="1" pivotButton="0" quotePrefix="0" xfId="0">
      <alignment horizontal="center" vertical="center" wrapText="1"/>
    </xf>
    <xf numFmtId="3" fontId="12" fillId="6" borderId="3" applyAlignment="1" pivotButton="0" quotePrefix="0" xfId="0">
      <alignment horizontal="right" vertical="center"/>
    </xf>
    <xf numFmtId="10" fontId="12" fillId="6" borderId="3" applyAlignment="1" pivotButton="0" quotePrefix="0" xfId="0">
      <alignment horizontal="right" vertical="center"/>
    </xf>
    <xf numFmtId="0" fontId="13" fillId="5" borderId="4" applyAlignment="1" pivotButton="0" quotePrefix="0" xfId="0">
      <alignment horizontal="left" vertical="top" wrapText="1"/>
    </xf>
    <xf numFmtId="165" fontId="13" fillId="5" borderId="4" applyAlignment="1" pivotButton="0" quotePrefix="0" xfId="0">
      <alignment horizontal="right" vertical="center"/>
    </xf>
    <xf numFmtId="4" fontId="13" fillId="5" borderId="4" applyAlignment="1" pivotButton="0" quotePrefix="0" xfId="0">
      <alignment horizontal="right" vertical="center"/>
    </xf>
    <xf numFmtId="3" fontId="13" fillId="5" borderId="4" applyAlignment="1" pivotButton="0" quotePrefix="0" xfId="0">
      <alignment horizontal="right" vertical="center"/>
    </xf>
    <xf numFmtId="10" fontId="13" fillId="5" borderId="4" applyAlignment="1" pivotButton="0" quotePrefix="0" xfId="0">
      <alignment horizontal="right" vertical="center"/>
    </xf>
    <xf numFmtId="165" fontId="12" fillId="6" borderId="3" applyAlignment="1" pivotButton="0" quotePrefix="0" xfId="0">
      <alignment horizontal="right" vertical="center"/>
    </xf>
    <xf numFmtId="165" fontId="12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Cifras del resumen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'00_Inicio'!O23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'00_Inicio'!$N$24:$N$35</f>
            </numRef>
          </cat>
          <val>
            <numRef>
              <f>'00_Inicio'!$O$24:$O$35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Hallazgos de mayor impacto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'00_Inicio'!O37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'00_Inicio'!$N$38:$N$44</f>
            </numRef>
          </cat>
          <val>
            <numRef>
              <f>'00_Inicio'!$O$38:$O$44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7740000" cy="41904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47</row>
      <rowOff>0</rowOff>
    </from>
    <ext cx="7740000" cy="28943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_Caratula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0_Fuentes'!A1" TargetMode="External" Id="rId3"/><Relationship Type="http://schemas.openxmlformats.org/officeDocument/2006/relationships/hyperlink" Target="#'01_Resumen'!A1" TargetMode="External" Id="rId4"/><Relationship Type="http://schemas.openxmlformats.org/officeDocument/2006/relationships/hyperlink" Target="#'02_Parametros'!A1" TargetMode="External" Id="rId5"/><Relationship Type="http://schemas.openxmlformats.org/officeDocument/2006/relationships/hyperlink" Target="#'03_Detalle'!A1" TargetMode="External" Id="rId6"/><Relationship Type="http://schemas.openxmlformats.org/officeDocument/2006/relationships/hyperlink" Target="#'04_Aging'!A1" TargetMode="External" Id="rId7"/><Relationship Type="http://schemas.openxmlformats.org/officeDocument/2006/relationships/hyperlink" Target="#'05_Cobros_posteriores'!A1" TargetMode="External" Id="rId8"/><Relationship Type="http://schemas.openxmlformats.org/officeDocument/2006/relationships/hyperlink" Target="#'06_Circularizacion'!A1" TargetMode="External" Id="rId9"/><Relationship Type="http://schemas.openxmlformats.org/officeDocument/2006/relationships/hyperlink" Target="#'07_Corte_ventas'!A1" TargetMode="External" Id="rId10"/><Relationship Type="http://schemas.openxmlformats.org/officeDocument/2006/relationships/hyperlink" Target="#'08_Costo_amortizado'!A1" TargetMode="External" Id="rId11"/><Relationship Type="http://schemas.openxmlformats.org/officeDocument/2006/relationships/hyperlink" Target="#'09_Matriz_deterioro'!A1" TargetMode="External" Id="rId12"/><Relationship Type="http://schemas.openxmlformats.org/officeDocument/2006/relationships/hyperlink" Target="#'10_Ajuste'!A1" TargetMode="External" Id="rId13"/><Relationship Type="http://schemas.openxmlformats.org/officeDocument/2006/relationships/hyperlink" Target="#'11_Asientos'!A1" TargetMode="External" Id="rId14"/><Relationship Type="http://schemas.openxmlformats.org/officeDocument/2006/relationships/hyperlink" Target="#'12_Problemas'!A1" TargetMode="External" Id="rId15"/><Relationship Type="http://schemas.openxmlformats.org/officeDocument/2006/relationships/hyperlink" Target="#'13_Conclusion'!A1" TargetMode="External" Id="rId16"/><Relationship Type="http://schemas.openxmlformats.org/officeDocument/2006/relationships/hyperlink" Target="#'14_Control_Revision'!A1" TargetMode="External" Id="rId17"/><Relationship Type="http://schemas.openxmlformats.org/officeDocument/2006/relationships/drawing" Target="/xl/drawings/drawing1.xml" Id="rId18"/></Relationships>
</file>

<file path=xl/worksheets/_rels/sheet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Caratula'!A1" TargetMode="External" Id="rId2"/><Relationship Type="http://schemas.openxmlformats.org/officeDocument/2006/relationships/hyperlink" Target="#'00_Fuentes'!A1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1_Resumen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Fuentes'!A1" TargetMode="External" Id="rId2"/><Relationship Type="http://schemas.openxmlformats.org/officeDocument/2006/relationships/hyperlink" Target="#'02_Parametros'!A1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1_Resumen'!A1" TargetMode="External" Id="rId2"/><Relationship Type="http://schemas.openxmlformats.org/officeDocument/2006/relationships/hyperlink" Target="#'03_Detalle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2_Parametros'!A1" TargetMode="External" Id="rId2"/><Relationship Type="http://schemas.openxmlformats.org/officeDocument/2006/relationships/hyperlink" Target="#'04_Aging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3_Detalle'!A1" TargetMode="External" Id="rId2"/><Relationship Type="http://schemas.openxmlformats.org/officeDocument/2006/relationships/hyperlink" Target="#'05_Cobros_posteriores'!A1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4_Aging'!A1" TargetMode="External" Id="rId2"/><Relationship Type="http://schemas.openxmlformats.org/officeDocument/2006/relationships/hyperlink" Target="#'06_Circularizacion'!A1" TargetMode="External" Id="rId3"/></Relationships>
</file>

<file path=xl/worksheets/_rels/sheet10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5_Cobros_posteriores'!A1" TargetMode="External" Id="rId2"/><Relationship Type="http://schemas.openxmlformats.org/officeDocument/2006/relationships/hyperlink" Target="#'07_Corte_ventas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6_Circularizacion'!A1" TargetMode="External" Id="rId2"/><Relationship Type="http://schemas.openxmlformats.org/officeDocument/2006/relationships/hyperlink" Target="#'08_Costo_amortizado'!A1" TargetMode="External" Id="rId3"/></Relationships>
</file>

<file path=xl/worksheets/_rels/sheet1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7_Corte_ventas'!A1" TargetMode="External" Id="rId2"/><Relationship Type="http://schemas.openxmlformats.org/officeDocument/2006/relationships/hyperlink" Target="#'09_Matriz_deterioro'!A1" TargetMode="External" Id="rId3"/></Relationships>
</file>

<file path=xl/worksheets/_rels/sheet1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8_Costo_amortizado'!A1" TargetMode="External" Id="rId2"/><Relationship Type="http://schemas.openxmlformats.org/officeDocument/2006/relationships/hyperlink" Target="#'10_Ajuste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9_Matriz_deterioro'!A1" TargetMode="External" Id="rId2"/><Relationship Type="http://schemas.openxmlformats.org/officeDocument/2006/relationships/hyperlink" Target="#'11_Asientos'!A1" TargetMode="External" Id="rId3"/></Relationships>
</file>

<file path=xl/worksheets/_rels/sheet1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0_Ajuste'!A1" TargetMode="External" Id="rId2"/><Relationship Type="http://schemas.openxmlformats.org/officeDocument/2006/relationships/hyperlink" Target="#'12_Problemas'!A1" TargetMode="External" Id="rId3"/></Relationships>
</file>

<file path=xl/worksheets/_rels/sheet1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1_Asientos'!A1" TargetMode="External" Id="rId2"/><Relationship Type="http://schemas.openxmlformats.org/officeDocument/2006/relationships/hyperlink" Target="#'13_Conclusion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2_Problemas'!A1" TargetMode="External" Id="rId2"/><Relationship Type="http://schemas.openxmlformats.org/officeDocument/2006/relationships/hyperlink" Target="#'14_Control_Revision'!A1" TargetMode="External" Id="rId3"/></Relationships>
</file>

<file path=xl/worksheets/_rels/sheet1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3_Conclusion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34" customWidth="1" min="14" max="14"/>
    <col width="16" customWidth="1" min="15" max="15"/>
  </cols>
  <sheetData>
    <row r="2">
      <c r="B2" s="1" t="inlineStr">
        <is>
          <t>AuditConsulting Auditores Cía. Ltda.  ·  AUDIT-IA</t>
        </is>
      </c>
      <c r="C2" s="2" t="n"/>
      <c r="D2" s="2" t="n"/>
      <c r="E2" s="2" t="n"/>
      <c r="F2" s="2" t="n"/>
    </row>
    <row r="3">
      <c r="B3" s="2" t="n"/>
      <c r="C3" s="2" t="n"/>
      <c r="D3" s="2" t="n"/>
      <c r="E3" s="2" t="n"/>
      <c r="F3" s="2" t="n"/>
    </row>
    <row r="4">
      <c r="B4" s="3" t="inlineStr">
        <is>
          <t>Cuentas por cobrar y deterioro · cartera, cobros, circularización y costo amortizado</t>
        </is>
      </c>
    </row>
    <row r="6">
      <c r="B6" s="4" t="inlineStr">
        <is>
          <t>Cliente</t>
        </is>
      </c>
      <c r="C6" s="5" t="inlineStr">
        <is>
          <t>Cliente de muestra S.A.</t>
        </is>
      </c>
      <c r="D6" s="4" t="inlineStr">
        <is>
          <t>RUC</t>
        </is>
      </c>
      <c r="E6" s="5" t="inlineStr">
        <is>
          <t>1790000000001</t>
        </is>
      </c>
    </row>
    <row r="7">
      <c r="B7" s="4" t="inlineStr">
        <is>
          <t>Marco contable</t>
        </is>
      </c>
      <c r="C7" s="5" t="inlineStr">
        <is>
          <t>NIIF completas</t>
        </is>
      </c>
      <c r="D7" s="4" t="inlineStr">
        <is>
          <t>Fecha de corte</t>
        </is>
      </c>
      <c r="E7" s="5" t="inlineStr">
        <is>
          <t>2025-12-31</t>
        </is>
      </c>
    </row>
    <row r="8">
      <c r="B8" s="4" t="inlineStr">
        <is>
          <t>Preparó</t>
        </is>
      </c>
      <c r="C8" s="5" t="inlineStr">
        <is>
          <t>Ejercicio modelo</t>
        </is>
      </c>
      <c r="D8" s="4" t="inlineStr">
        <is>
          <t>Revisó</t>
        </is>
      </c>
      <c r="E8" s="5" t="inlineStr">
        <is>
          <t>Pendiente</t>
        </is>
      </c>
    </row>
    <row r="10">
      <c r="B10" s="6" t="inlineStr">
        <is>
          <t>INDICADORES CLAVE</t>
        </is>
      </c>
    </row>
    <row r="11" ht="30" customHeight="1">
      <c r="B11" s="7" t="inlineStr">
        <is>
          <t>Ajuste de deterioro propuesto</t>
        </is>
      </c>
      <c r="C11" s="7" t="inlineStr">
        <is>
          <t>Problemas encontrados</t>
        </is>
      </c>
    </row>
    <row r="12">
      <c r="B12" s="8" t="n">
        <v>4143.38</v>
      </c>
      <c r="C12" s="9" t="n">
        <v>7</v>
      </c>
    </row>
    <row r="15">
      <c r="B15" s="6" t="inlineStr">
        <is>
          <t>IR A LA CÉDULA</t>
        </is>
      </c>
    </row>
    <row r="16" ht="32" customHeight="1">
      <c r="B16" s="10" t="inlineStr">
        <is>
          <t>Carátula</t>
        </is>
      </c>
      <c r="C16" s="10" t="inlineStr">
        <is>
          <t>Programa</t>
        </is>
      </c>
      <c r="D16" s="10" t="inlineStr">
        <is>
          <t>Base técnica</t>
        </is>
      </c>
      <c r="E16" s="10" t="inlineStr">
        <is>
          <t>Resumen</t>
        </is>
      </c>
    </row>
    <row r="17" ht="32" customHeight="1">
      <c r="B17" s="10" t="inlineStr">
        <is>
          <t>Parámetros</t>
        </is>
      </c>
      <c r="C17" s="10" t="inlineStr">
        <is>
          <t>Detalle por factura</t>
        </is>
      </c>
      <c r="D17" s="10" t="inlineStr">
        <is>
          <t>Antigüedad de la cartera</t>
        </is>
      </c>
      <c r="E17" s="10" t="inlineStr">
        <is>
          <t>Cobros posteriores al cierre</t>
        </is>
      </c>
    </row>
    <row r="18" ht="32" customHeight="1">
      <c r="B18" s="10" t="inlineStr">
        <is>
          <t>Circularización</t>
        </is>
      </c>
      <c r="C18" s="10" t="inlineStr">
        <is>
          <t>Corte de ventas</t>
        </is>
      </c>
      <c r="D18" s="10" t="inlineStr">
        <is>
          <t>Costo amortizado e intereses implícitos</t>
        </is>
      </c>
      <c r="E18" s="10" t="inlineStr">
        <is>
          <t>Matriz de deterioro</t>
        </is>
      </c>
    </row>
    <row r="19" ht="32" customHeight="1">
      <c r="B19" s="10" t="inlineStr">
        <is>
          <t>Deterioro requerido vs registrado</t>
        </is>
      </c>
      <c r="C19" s="10" t="inlineStr">
        <is>
          <t>Asientos propuestos</t>
        </is>
      </c>
      <c r="D19" s="10" t="inlineStr">
        <is>
          <t>Problemas encontrados</t>
        </is>
      </c>
      <c r="E19" s="10" t="inlineStr">
        <is>
          <t>Conclusión</t>
        </is>
      </c>
    </row>
    <row r="20" ht="32" customHeight="1">
      <c r="B20" s="10" t="inlineStr">
        <is>
          <t>Control de revisión</t>
        </is>
      </c>
    </row>
    <row r="22">
      <c r="B22" s="6" t="inlineStr">
        <is>
          <t>PANORAMA</t>
        </is>
      </c>
      <c r="N22" s="11" t="inlineStr">
        <is>
          <t>Datos de los gráficos (fórmulas a las cédulas)</t>
        </is>
      </c>
    </row>
    <row r="23">
      <c r="N23" s="12" t="inlineStr">
        <is>
          <t>Cifras del resumen</t>
        </is>
      </c>
      <c r="O23" s="12" t="inlineStr">
        <is>
          <t>Importe (USD)</t>
        </is>
      </c>
    </row>
    <row r="24">
      <c r="N24" s="12">
        <f>'01_Resumen'!A5</f>
        <v/>
      </c>
      <c r="O24" s="13">
        <f>'01_Resumen'!B5</f>
        <v/>
      </c>
    </row>
    <row r="25">
      <c r="N25" s="12">
        <f>'01_Resumen'!A6</f>
        <v/>
      </c>
      <c r="O25" s="13">
        <f>'01_Resumen'!B6</f>
        <v/>
      </c>
    </row>
    <row r="26">
      <c r="N26" s="12">
        <f>'01_Resumen'!A7</f>
        <v/>
      </c>
      <c r="O26" s="13">
        <f>'01_Resumen'!B7</f>
        <v/>
      </c>
    </row>
    <row r="27">
      <c r="N27" s="12">
        <f>'01_Resumen'!A8</f>
        <v/>
      </c>
      <c r="O27" s="13">
        <f>'01_Resumen'!B8</f>
        <v/>
      </c>
    </row>
    <row r="28">
      <c r="N28" s="12">
        <f>'01_Resumen'!A9</f>
        <v/>
      </c>
      <c r="O28" s="13">
        <f>'01_Resumen'!B9</f>
        <v/>
      </c>
    </row>
    <row r="29">
      <c r="N29" s="12">
        <f>'01_Resumen'!A10</f>
        <v/>
      </c>
      <c r="O29" s="13">
        <f>'01_Resumen'!B10</f>
        <v/>
      </c>
    </row>
    <row r="30">
      <c r="N30" s="12">
        <f>'01_Resumen'!A11</f>
        <v/>
      </c>
      <c r="O30" s="13">
        <f>'01_Resumen'!B11</f>
        <v/>
      </c>
    </row>
    <row r="31">
      <c r="N31" s="12">
        <f>'01_Resumen'!A12</f>
        <v/>
      </c>
      <c r="O31" s="13">
        <f>'01_Resumen'!B12</f>
        <v/>
      </c>
    </row>
    <row r="32">
      <c r="N32" s="12">
        <f>'01_Resumen'!A13</f>
        <v/>
      </c>
      <c r="O32" s="13">
        <f>'01_Resumen'!B13</f>
        <v/>
      </c>
    </row>
    <row r="33">
      <c r="N33" s="12">
        <f>'01_Resumen'!A14</f>
        <v/>
      </c>
      <c r="O33" s="13">
        <f>'01_Resumen'!B14</f>
        <v/>
      </c>
    </row>
    <row r="34">
      <c r="N34" s="12">
        <f>'01_Resumen'!A15</f>
        <v/>
      </c>
      <c r="O34" s="13">
        <f>'01_Resumen'!B15</f>
        <v/>
      </c>
    </row>
    <row r="35">
      <c r="N35" s="12">
        <f>'01_Resumen'!A16</f>
        <v/>
      </c>
      <c r="O35" s="13">
        <f>'01_Resumen'!B16</f>
        <v/>
      </c>
    </row>
    <row r="37">
      <c r="N37" s="12" t="inlineStr">
        <is>
          <t>Hallazgos de mayor impacto</t>
        </is>
      </c>
      <c r="O37" s="12" t="inlineStr">
        <is>
          <t>Importe (USD)</t>
        </is>
      </c>
    </row>
    <row r="38">
      <c r="N38" s="12" t="inlineStr">
        <is>
          <t>Vencida sin cobro</t>
        </is>
      </c>
      <c r="O38" s="13">
        <f>SUMIFS('12_Problemas'!$C$5:$C$11,'12_Problemas'!$A$5:$A$11,"VENCIDA_SIN_COBRO",'12_Problemas'!$C$5:$C$11,"&gt;0")-SUMIFS('12_Problemas'!$C$5:$C$11,'12_Problemas'!$A$5:$A$11,"VENCIDA_SIN_COBRO",'12_Problemas'!$C$5:$C$11,"&lt;0")</f>
        <v/>
      </c>
    </row>
    <row r="39">
      <c r="N39" s="12" t="inlineStr">
        <is>
          <t>Error corte</t>
        </is>
      </c>
      <c r="O39" s="13">
        <f>SUMIFS('12_Problemas'!$C$5:$C$11,'12_Problemas'!$A$5:$A$11,"ERROR_CORTE",'12_Problemas'!$C$5:$C$11,"&gt;0")-SUMIFS('12_Problemas'!$C$5:$C$11,'12_Problemas'!$A$5:$A$11,"ERROR_CORTE",'12_Problemas'!$C$5:$C$11,"&lt;0")</f>
        <v/>
      </c>
    </row>
    <row r="40">
      <c r="N40" s="12" t="inlineStr">
        <is>
          <t>Cobro no posterior</t>
        </is>
      </c>
      <c r="O40" s="13">
        <f>SUMIFS('12_Problemas'!$C$5:$C$11,'12_Problemas'!$A$5:$A$11,"COBRO_NO_POSTERIOR",'12_Problemas'!$C$5:$C$11,"&gt;0")-SUMIFS('12_Problemas'!$C$5:$C$11,'12_Problemas'!$A$5:$A$11,"COBRO_NO_POSTERIOR",'12_Problemas'!$C$5:$C$11,"&lt;0")</f>
        <v/>
      </c>
    </row>
    <row r="41">
      <c r="N41" s="12" t="inlineStr">
        <is>
          <t>Deterioro insuficiente</t>
        </is>
      </c>
      <c r="O41" s="13">
        <f>SUMIFS('12_Problemas'!$C$5:$C$11,'12_Problemas'!$A$5:$A$11,"DETERIORO_INSUFICIENTE",'12_Problemas'!$C$5:$C$11,"&gt;0")-SUMIFS('12_Problemas'!$C$5:$C$11,'12_Problemas'!$A$5:$A$11,"DETERIORO_INSUFICIENTE",'12_Problemas'!$C$5:$C$11,"&lt;0")</f>
        <v/>
      </c>
    </row>
    <row r="42">
      <c r="N42" s="12" t="inlineStr">
        <is>
          <t>Financiacion no reconocida</t>
        </is>
      </c>
      <c r="O42" s="13">
        <f>SUMIFS('12_Problemas'!$C$5:$C$11,'12_Problemas'!$A$5:$A$11,"FINANCIACION_NO_RECONOCIDA",'12_Problemas'!$C$5:$C$11,"&gt;0")-SUMIFS('12_Problemas'!$C$5:$C$11,'12_Problemas'!$A$5:$A$11,"FINANCIACION_NO_RECONOCIDA",'12_Problemas'!$C$5:$C$11,"&lt;0")</f>
        <v/>
      </c>
    </row>
    <row r="43">
      <c r="N43" s="12" t="inlineStr">
        <is>
          <t>Dif circularizacion</t>
        </is>
      </c>
      <c r="O43" s="13">
        <f>SUMIFS('12_Problemas'!$C$5:$C$11,'12_Problemas'!$A$5:$A$11,"DIF_CIRCULARIZACION",'12_Problemas'!$C$5:$C$11,"&gt;0")-SUMIFS('12_Problemas'!$C$5:$C$11,'12_Problemas'!$A$5:$A$11,"DIF_CIRCULARIZACION",'12_Problemas'!$C$5:$C$11,"&lt;0")</f>
        <v/>
      </c>
    </row>
    <row r="44">
      <c r="N44" s="12" t="inlineStr">
        <is>
          <t>Saldos negativos</t>
        </is>
      </c>
      <c r="O44" s="13">
        <f>SUMIFS('12_Problemas'!$C$5:$C$11,'12_Problemas'!$A$5:$A$11,"SALDOS_NEGATIVOS",'12_Problemas'!$C$5:$C$11,"&gt;0")-SUMIFS('12_Problemas'!$C$5:$C$11,'12_Problemas'!$A$5:$A$11,"SALDOS_NEGATIVOS",'12_Problemas'!$C$5:$C$11,"&lt;0")</f>
        <v/>
      </c>
    </row>
  </sheetData>
  <mergeCells count="2">
    <mergeCell ref="B4:F4"/>
    <mergeCell ref="B2:F3"/>
  </mergeCells>
  <hyperlinks>
    <hyperlink xmlns:r="http://schemas.openxmlformats.org/officeDocument/2006/relationships" ref="B16" r:id="rId1"/>
    <hyperlink xmlns:r="http://schemas.openxmlformats.org/officeDocument/2006/relationships" ref="C16" r:id="rId2"/>
    <hyperlink xmlns:r="http://schemas.openxmlformats.org/officeDocument/2006/relationships" ref="D16" r:id="rId3"/>
    <hyperlink xmlns:r="http://schemas.openxmlformats.org/officeDocument/2006/relationships" ref="E16" r:id="rId4"/>
    <hyperlink xmlns:r="http://schemas.openxmlformats.org/officeDocument/2006/relationships" ref="B17" r:id="rId5"/>
    <hyperlink xmlns:r="http://schemas.openxmlformats.org/officeDocument/2006/relationships" ref="C17" r:id="rId6"/>
    <hyperlink xmlns:r="http://schemas.openxmlformats.org/officeDocument/2006/relationships" ref="D17" r:id="rId7"/>
    <hyperlink xmlns:r="http://schemas.openxmlformats.org/officeDocument/2006/relationships" ref="E17" r:id="rId8"/>
    <hyperlink xmlns:r="http://schemas.openxmlformats.org/officeDocument/2006/relationships" ref="B18" r:id="rId9"/>
    <hyperlink xmlns:r="http://schemas.openxmlformats.org/officeDocument/2006/relationships" ref="C18" r:id="rId10"/>
    <hyperlink xmlns:r="http://schemas.openxmlformats.org/officeDocument/2006/relationships" ref="D18" r:id="rId11"/>
    <hyperlink xmlns:r="http://schemas.openxmlformats.org/officeDocument/2006/relationships" ref="E18" r:id="rId12"/>
    <hyperlink xmlns:r="http://schemas.openxmlformats.org/officeDocument/2006/relationships" ref="B19" r:id="rId13"/>
    <hyperlink xmlns:r="http://schemas.openxmlformats.org/officeDocument/2006/relationships" ref="C19" r:id="rId14"/>
    <hyperlink xmlns:r="http://schemas.openxmlformats.org/officeDocument/2006/relationships" ref="D19" r:id="rId15"/>
    <hyperlink xmlns:r="http://schemas.openxmlformats.org/officeDocument/2006/relationships" ref="E19" r:id="rId16"/>
    <hyperlink xmlns:r="http://schemas.openxmlformats.org/officeDocument/2006/relationships" ref="B20" r:id="rId17"/>
  </hyperlinks>
  <printOptions horizontalCentered="1"/>
  <pageMargins left="0.75" right="0.75" top="1" bottom="1" header="0.5" footer="0.5"/>
  <pageSetup orientation="landscape" fitToHeight="0" fitToWidth="1"/>
  <headerFooter>
    <oddHeader/>
    <oddFooter>&amp;LAuditConsulting Auditores Cía. Ltda.&amp;CCliente de muestra S.A.&amp;RPágina &amp;P de &amp;N</oddFooter>
    <evenHeader/>
    <evenFooter/>
    <firstHeader/>
    <firstFooter/>
  </headerFooter>
  <drawing xmlns:r="http://schemas.openxmlformats.org/officeDocument/2006/relationships" r:id="rId1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3" t="inlineStr">
        <is>
          <t>Carátula</t>
        </is>
      </c>
      <c r="H1" s="14" t="inlineStr">
        <is>
          <t>⟵ Inicio</t>
        </is>
      </c>
      <c r="J1" s="14" t="inlineStr">
        <is>
          <t>Siguiente ▶</t>
        </is>
      </c>
    </row>
    <row r="2">
      <c r="A2" s="15" t="inlineStr">
        <is>
          <t>Cuentas por cobrar y deterioro · cartera, cobros, circularización y costo amortizado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Firma</t>
        </is>
      </c>
      <c r="B5" s="18" t="inlineStr">
        <is>
          <t>AuditConsulting Auditores Cía. Ltda.</t>
        </is>
      </c>
    </row>
    <row r="6">
      <c r="A6" s="19" t="inlineStr">
        <is>
          <t>Cliente</t>
        </is>
      </c>
      <c r="B6" s="19" t="inlineStr">
        <is>
          <t>Cliente de muestra S.A.</t>
        </is>
      </c>
    </row>
    <row r="7">
      <c r="A7" s="18" t="inlineStr">
        <is>
          <t>RUC</t>
        </is>
      </c>
      <c r="B7" s="18" t="inlineStr">
        <is>
          <t>1790000000001</t>
        </is>
      </c>
    </row>
    <row r="8">
      <c r="A8" s="19" t="inlineStr">
        <is>
          <t>Ejercicio</t>
        </is>
      </c>
      <c r="B8" s="19" t="inlineStr">
        <is>
          <t>2025</t>
        </is>
      </c>
    </row>
    <row r="9">
      <c r="A9" s="18" t="inlineStr">
        <is>
          <t>Fecha de corte</t>
        </is>
      </c>
      <c r="B9" s="18" t="inlineStr">
        <is>
          <t>2025-12-31</t>
        </is>
      </c>
    </row>
    <row r="10">
      <c r="A10" s="19" t="inlineStr">
        <is>
          <t>Marco contable</t>
        </is>
      </c>
      <c r="B10" s="19" t="inlineStr">
        <is>
          <t>NIIF completas</t>
        </is>
      </c>
    </row>
    <row r="11">
      <c r="A11" s="18" t="inlineStr">
        <is>
          <t>Herramienta</t>
        </is>
      </c>
      <c r="B11" s="18" t="inlineStr">
        <is>
          <t>Cuentas por cobrar y deterioro · cartera, cobros, circularización y costo amortizado</t>
        </is>
      </c>
    </row>
    <row r="12">
      <c r="A12" s="19" t="inlineStr">
        <is>
          <t>Rubro</t>
        </is>
      </c>
      <c r="B12" s="19" t="inlineStr">
        <is>
          <t>Cuentas por cobrar</t>
        </is>
      </c>
    </row>
    <row r="13">
      <c r="A13" s="18" t="inlineStr">
        <is>
          <t>Motor</t>
        </is>
      </c>
      <c r="B13" s="18" t="inlineStr">
        <is>
          <t>cxc_cartera 1.0</t>
        </is>
      </c>
    </row>
    <row r="14">
      <c r="A14" s="19" t="inlineStr">
        <is>
          <t>Versión del papel</t>
        </is>
      </c>
      <c r="B14" s="19" t="inlineStr">
        <is>
          <t>v1</t>
        </is>
      </c>
    </row>
    <row r="15">
      <c r="A15" s="18" t="inlineStr">
        <is>
          <t>Estado</t>
        </is>
      </c>
      <c r="B15" s="18" t="inlineStr">
        <is>
          <t>MUESTRA</t>
        </is>
      </c>
    </row>
    <row r="16">
      <c r="A16" s="19" t="inlineStr">
        <is>
          <t>Preparó</t>
        </is>
      </c>
      <c r="B16" s="19" t="inlineStr">
        <is>
          <t>Ejercicio modelo</t>
        </is>
      </c>
    </row>
    <row r="17">
      <c r="A17" s="18" t="inlineStr">
        <is>
          <t>Revisó</t>
        </is>
      </c>
      <c r="B17" s="18" t="inlineStr">
        <is>
          <t>Pendiente</t>
        </is>
      </c>
    </row>
    <row r="18">
      <c r="A18" s="19" t="inlineStr">
        <is>
          <t>Aprobó</t>
        </is>
      </c>
      <c r="B18" s="19" t="inlineStr"/>
    </row>
    <row r="19">
      <c r="A19" s="18" t="inlineStr">
        <is>
          <t>Fecha de aprobación</t>
        </is>
      </c>
      <c r="B19" s="18" t="inlineStr"/>
    </row>
    <row r="20">
      <c r="A20" s="19" t="inlineStr">
        <is>
          <t>Huella de la ejecución (SHA-256)</t>
        </is>
      </c>
      <c r="B20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J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25" customWidth="1" min="3" max="3"/>
    <col width="60" customWidth="1" min="4" max="4"/>
    <col width="51" customWidth="1" min="5" max="5"/>
    <col width="57" customWidth="1" min="6" max="6"/>
    <col width="60" customWidth="1" min="7" max="7"/>
  </cols>
  <sheetData>
    <row r="1">
      <c r="A1" s="3" t="inlineStr">
        <is>
          <t>Programa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Cuentas por cobrar y deterioro · cartera, cobros, circularización y costo amortizado · Cliente de muestra S.A. · corte 2025-12-31</t>
        </is>
      </c>
      <c r="B2" s="16" t="n"/>
      <c r="C2" s="16" t="n"/>
      <c r="D2" s="16" t="n"/>
      <c r="E2" s="16" t="n"/>
      <c r="F2" s="16" t="n"/>
      <c r="G2" s="16" t="n"/>
    </row>
    <row r="4" ht="30" customHeight="1">
      <c r="A4" s="17" t="inlineStr">
        <is>
          <t>Código</t>
        </is>
      </c>
      <c r="B4" s="17" t="inlineStr">
        <is>
          <t>Objetivo</t>
        </is>
      </c>
      <c r="C4" s="17" t="inlineStr">
        <is>
          <t>Afirmación</t>
        </is>
      </c>
      <c r="D4" s="17" t="inlineStr">
        <is>
          <t>Procedimiento</t>
        </is>
      </c>
      <c r="E4" s="17" t="inlineStr">
        <is>
          <t>Evidencia</t>
        </is>
      </c>
      <c r="F4" s="17" t="inlineStr">
        <is>
          <t>Criterio</t>
        </is>
      </c>
      <c r="G4" s="17" t="inlineStr">
        <is>
          <t>Referencia</t>
        </is>
      </c>
    </row>
    <row r="5">
      <c r="A5" s="18" t="inlineStr">
        <is>
          <t>CXCCAR-01</t>
        </is>
      </c>
      <c r="B5" s="18" t="inlineStr">
        <is>
          <t>Integridad y antigüedad de la cartera</t>
        </is>
      </c>
      <c r="C5" s="18" t="inlineStr">
        <is>
          <t>Integridad</t>
        </is>
      </c>
      <c r="D5" s="18" t="inlineStr">
        <is>
          <t>Conciliar la cartera por factura con el mayor y recalcular la antigüedad al corte</t>
        </is>
      </c>
      <c r="E5" s="18" t="inlineStr">
        <is>
          <t>Cartera por factura y mayor</t>
        </is>
      </c>
      <c r="F5" s="18" t="inlineStr">
        <is>
          <t>Diferencia dentro de tolerancia; antigüedad recalculada</t>
        </is>
      </c>
      <c r="G5" s="18" t="inlineStr">
        <is>
          <t>NIA 500 párr. 9</t>
        </is>
      </c>
    </row>
    <row r="6">
      <c r="A6" s="19" t="inlineStr">
        <is>
          <t>CXCCAR-02</t>
        </is>
      </c>
      <c r="B6" s="19" t="inlineStr">
        <is>
          <t>Cobros posteriores</t>
        </is>
      </c>
      <c r="C6" s="19" t="inlineStr">
        <is>
          <t>Valoración / Existencia</t>
        </is>
      </c>
      <c r="D6" s="19" t="inlineStr">
        <is>
          <t>Cotejar cobros posteriores al cierre con la cartera, en especial la vencida</t>
        </is>
      </c>
      <c r="E6" s="19" t="inlineStr">
        <is>
          <t>Estados de cuenta bancarios y recibos posteriores</t>
        </is>
      </c>
      <c r="F6" s="19" t="inlineStr">
        <is>
          <t>Vencido sin cobro evaluado en el deterioro</t>
        </is>
      </c>
      <c r="G6" s="19" t="inlineStr">
        <is>
          <t>NIA 560 párr. 6 · NIA 540 párr. 21</t>
        </is>
      </c>
    </row>
    <row r="7">
      <c r="A7" s="18" t="inlineStr">
        <is>
          <t>CXCCAR-03</t>
        </is>
      </c>
      <c r="B7" s="18" t="inlineStr">
        <is>
          <t>Circularización</t>
        </is>
      </c>
      <c r="C7" s="18" t="inlineStr">
        <is>
          <t>Existencia</t>
        </is>
      </c>
      <c r="D7" s="18" t="inlineStr">
        <is>
          <t>Enviar confirmaciones, comparar saldo confirmado con libros e investigar diferencias</t>
        </is>
      </c>
      <c r="E7" s="18" t="inlineStr">
        <is>
          <t>Respuestas de clientes</t>
        </is>
      </c>
      <c r="F7" s="18" t="inlineStr">
        <is>
          <t>Diferencias conciliadas o ajustadas</t>
        </is>
      </c>
      <c r="G7" s="18" t="inlineStr">
        <is>
          <t>NIA 505</t>
        </is>
      </c>
    </row>
    <row r="8">
      <c r="A8" s="19" t="inlineStr">
        <is>
          <t>CXCCAR-04</t>
        </is>
      </c>
      <c r="B8" s="19" t="inlineStr">
        <is>
          <t>Corte de ventas</t>
        </is>
      </c>
      <c r="C8" s="19" t="inlineStr">
        <is>
          <t>Corte</t>
        </is>
      </c>
      <c r="D8" s="19" t="inlineStr">
        <is>
          <t>Comparar fecha de factura con fecha de despacho alrededor del cierre</t>
        </is>
      </c>
      <c r="E8" s="19" t="inlineStr">
        <is>
          <t>Guías de remisión, facturas</t>
        </is>
      </c>
      <c r="F8" s="19" t="inlineStr">
        <is>
          <t>Ventas en el período de la transferencia del control</t>
        </is>
      </c>
      <c r="G8" s="19" t="inlineStr">
        <is>
          <t>NIIF 15 31, 38 · NIA 330</t>
        </is>
      </c>
    </row>
    <row r="9">
      <c r="A9" s="18" t="inlineStr">
        <is>
          <t>CXCCAR-05</t>
        </is>
      </c>
      <c r="B9" s="18" t="inlineStr">
        <is>
          <t>Costo amortizado e intereses implícitos</t>
        </is>
      </c>
      <c r="C9" s="18" t="inlineStr">
        <is>
          <t>Valoración</t>
        </is>
      </c>
      <c r="D9" s="18" t="inlineStr">
        <is>
          <t>Identificar facturas con plazo mayor al umbral y medir su valor presente a la tasa de mercado</t>
        </is>
      </c>
      <c r="E9" s="18" t="inlineStr">
        <is>
          <t>Contratos, pagarés, tasas de mercado</t>
        </is>
      </c>
      <c r="F9" s="18" t="inlineStr">
        <is>
          <t>Componente de financiación reconocido</t>
        </is>
      </c>
      <c r="G9" s="18" t="inlineStr">
        <is>
          <t>NIIF 9 5.1.1, B5.1.1 y 5.4.1 (5.1.3 solo sin componente de financiación significativo o con la solución práctica de NIIF 15.63) · NIIF 15 60–63 · PYMES 2015 11.13 / 2025 11.13A–11.13B y 23.38</t>
        </is>
      </c>
    </row>
    <row r="10">
      <c r="A10" s="19" t="inlineStr">
        <is>
          <t>CXCCAR-06</t>
        </is>
      </c>
      <c r="B10" s="19" t="inlineStr">
        <is>
          <t>Deterioro requerido vs registrado</t>
        </is>
      </c>
      <c r="C10" s="19" t="inlineStr">
        <is>
          <t>Valoración</t>
        </is>
      </c>
      <c r="D10" s="19" t="inlineStr">
        <is>
          <t>Aplicar la matriz de tasas por tramo y las tasas individuales y comparar con el deterioro registrado</t>
        </is>
      </c>
      <c r="E10" s="19" t="inlineStr">
        <is>
          <t>Matriz de tasas, política de crédito</t>
        </is>
      </c>
      <c r="F10" s="19" t="inlineStr">
        <is>
          <t>Ajuste cuantificado</t>
        </is>
      </c>
      <c r="G10" s="19" t="inlineStr">
        <is>
          <t>NIIF 9 5.5.15 (con componente de financiación significativo, 5.5.15 a) ii) solo si esa es la política de la entidad), B5.5.35 · PYMES 11.21–11.26 (11.22 b, 11.22 e y 11.24) · NIA 540</t>
        </is>
      </c>
    </row>
    <row r="11">
      <c r="A11" s="18" t="inlineStr">
        <is>
          <t>CXCCAR-07</t>
        </is>
      </c>
      <c r="B11" s="18" t="inlineStr">
        <is>
          <t>Revelación</t>
        </is>
      </c>
      <c r="C11" s="18" t="inlineStr">
        <is>
          <t>Presentación</t>
        </is>
      </c>
      <c r="D11" s="18" t="inlineStr">
        <is>
          <t>Preparar la antigüedad y el movimiento del deterioro para las notas</t>
        </is>
      </c>
      <c r="E11" s="18" t="inlineStr">
        <is>
          <t>Aging, mayor del deterioro</t>
        </is>
      </c>
      <c r="F11" s="18" t="inlineStr">
        <is>
          <t>Nota completa</t>
        </is>
      </c>
      <c r="G11" s="18" t="inlineStr">
        <is>
          <t>NIIF 7 35H, 35M y 35N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28" customWidth="1" min="3" max="3"/>
    <col width="12" customWidth="1" min="4" max="4"/>
    <col width="12" customWidth="1" min="5" max="5"/>
  </cols>
  <sheetData>
    <row r="1">
      <c r="A1" s="3" t="inlineStr">
        <is>
          <t>Base técnica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Cuentas por cobrar y deterioro · cartera, cobros, circularización y costo amortizado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Categoría</t>
        </is>
      </c>
      <c r="B4" s="17" t="inlineStr">
        <is>
          <t>Documento</t>
        </is>
      </c>
      <c r="C4" s="17" t="inlineStr">
        <is>
          <t>Párrafos</t>
        </is>
      </c>
      <c r="D4" s="17" t="inlineStr">
        <is>
          <t>URL</t>
        </is>
      </c>
      <c r="E4" s="17" t="inlineStr">
        <is>
          <t>Verificada</t>
        </is>
      </c>
    </row>
    <row r="5">
      <c r="A5" s="18" t="inlineStr">
        <is>
          <t>NIA · NIA 505</t>
        </is>
      </c>
      <c r="B5" s="18" t="inlineStr">
        <is>
          <t>Confirmaciones externas: controlar las solicitudes, aplicar procedimientos alternativos ante cada no respuesta, investigar las diferencias y evaluar la evidencia obtenida.</t>
        </is>
      </c>
      <c r="C5" s="18" t="inlineStr">
        <is>
          <t>párr. 7, 12, 14 y 16</t>
        </is>
      </c>
      <c r="D5" s="18" t="inlineStr"/>
      <c r="E5" s="18" t="inlineStr"/>
    </row>
    <row r="6">
      <c r="A6" s="19" t="inlineStr">
        <is>
          <t>NIA · NIA 500</t>
        </is>
      </c>
      <c r="B6" s="19" t="inlineStr">
        <is>
          <t>Evaluar exactitud e integridad del anexo de cartera contra el mayor.</t>
        </is>
      </c>
      <c r="C6" s="19" t="inlineStr">
        <is>
          <t>párr. 9</t>
        </is>
      </c>
      <c r="D6" s="19" t="inlineStr"/>
      <c r="E6" s="19" t="inlineStr"/>
    </row>
    <row r="7">
      <c r="A7" s="18" t="inlineStr">
        <is>
          <t>NIA · NIA 540 (Revisada)</t>
        </is>
      </c>
      <c r="B7" s="18" t="inlineStr">
        <is>
          <t>El deterioro es una estimación: evaluar método, datos, supuestos (tasas por tramo, tasa de mercado) y sesgo.</t>
        </is>
      </c>
      <c r="C7" s="18" t="inlineStr">
        <is>
          <t>párr. 13, 16–30 y 32</t>
        </is>
      </c>
      <c r="D7" s="18" t="inlineStr"/>
      <c r="E7" s="18" t="inlineStr"/>
    </row>
    <row r="8">
      <c r="A8" s="19" t="inlineStr">
        <is>
          <t>NIA · NIA 560</t>
        </is>
      </c>
      <c r="B8" s="19" t="inlineStr">
        <is>
          <t>Cobros posteriores al cierre como evidencia sobre la recuperabilidad.</t>
        </is>
      </c>
      <c r="C8" s="19" t="inlineStr">
        <is>
          <t>párr. 6 y NIA 540 párr. 21</t>
        </is>
      </c>
      <c r="D8" s="19" t="inlineStr"/>
      <c r="E8" s="19" t="inlineStr"/>
    </row>
    <row r="9">
      <c r="A9" s="18" t="inlineStr">
        <is>
          <t>NIA · NIA 330</t>
        </is>
      </c>
      <c r="B9" s="18" t="inlineStr">
        <is>
          <t>Procedimientos sustantivos de corte y existencia sobre saldos materiales.</t>
        </is>
      </c>
      <c r="C9" s="18" t="inlineStr">
        <is>
          <t>párr. 18</t>
        </is>
      </c>
      <c r="D9" s="18" t="inlineStr"/>
      <c r="E9" s="18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3" t="inlineStr">
        <is>
          <t>Resumen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Cuentas por cobrar y deterioro · cartera, cobros, circularización y costo amortizado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</row>
    <row r="5">
      <c r="A5" s="18" t="inlineStr">
        <is>
          <t>Cartera al corte (nominal)</t>
        </is>
      </c>
      <c r="B5" s="20">
        <f>SUM('03_Detalle'!$E$5:$E$16)</f>
        <v/>
      </c>
    </row>
    <row r="6">
      <c r="A6" s="19" t="inlineStr">
        <is>
          <t>Cartera a costo amortizado</t>
        </is>
      </c>
      <c r="B6" s="21">
        <f>SUM('03_Detalle'!$K$5:$K$16)</f>
        <v/>
      </c>
    </row>
    <row r="7">
      <c r="A7" s="18" t="inlineStr">
        <is>
          <t>Pérdida crediticia esperada requerida</t>
        </is>
      </c>
      <c r="B7" s="20">
        <f>'10_Ajuste'!B5</f>
        <v/>
      </c>
    </row>
    <row r="8">
      <c r="A8" s="19" t="inlineStr">
        <is>
          <t>Deterioro registrado (mayor)</t>
        </is>
      </c>
      <c r="B8" s="21">
        <f>'10_Ajuste'!B6</f>
        <v/>
      </c>
    </row>
    <row r="9">
      <c r="A9" s="18" t="inlineStr">
        <is>
          <t>Ajuste de deterioro propuesto</t>
        </is>
      </c>
      <c r="B9" s="20">
        <f>'10_Ajuste'!B7</f>
        <v/>
      </c>
    </row>
    <row r="10">
      <c r="A10" s="19" t="inlineStr">
        <is>
          <t>Intereses implícitos por devengar</t>
        </is>
      </c>
      <c r="B10" s="21">
        <f>'10_Ajuste'!B8</f>
        <v/>
      </c>
    </row>
    <row r="11">
      <c r="A11" s="18" t="inlineStr">
        <is>
          <t>Intereses por devengar registrados</t>
        </is>
      </c>
      <c r="B11" s="20">
        <f>'10_Ajuste'!B9</f>
        <v/>
      </c>
    </row>
    <row r="12">
      <c r="A12" s="19" t="inlineStr">
        <is>
          <t>Ajuste por financiación implícita</t>
        </is>
      </c>
      <c r="B12" s="21">
        <f>'10_Ajuste'!B10</f>
        <v/>
      </c>
    </row>
    <row r="13">
      <c r="A13" s="18" t="inlineStr">
        <is>
          <t>Ventas registradas antes del despacho</t>
        </is>
      </c>
      <c r="B13" s="20">
        <f>'10_Ajuste'!B11</f>
        <v/>
      </c>
    </row>
    <row r="14">
      <c r="A14" s="19" t="inlineStr">
        <is>
          <t>Ventas despachadas sin registrar en el ejercicio</t>
        </is>
      </c>
      <c r="B14" s="21">
        <f>'10_Ajuste'!B12</f>
        <v/>
      </c>
    </row>
    <row r="15">
      <c r="A15" s="18" t="inlineStr">
        <is>
          <t>Cartera vencida sin cobro posterior</t>
        </is>
      </c>
      <c r="B15" s="20">
        <f>'10_Ajuste'!B13</f>
        <v/>
      </c>
    </row>
    <row r="16">
      <c r="A16" s="19" t="inlineStr">
        <is>
          <t>Diferencias de circularización (absolutas)</t>
        </is>
      </c>
      <c r="B16" s="21">
        <f>'10_Ajuste'!B14</f>
        <v/>
      </c>
    </row>
    <row r="18">
      <c r="A18" s="22" t="inlineStr">
        <is>
          <t>ⓘ  Cómo se calcula esta hoja</t>
        </is>
      </c>
    </row>
    <row r="19">
      <c r="A19" s="23" t="inlineStr">
        <is>
          <t>Columna</t>
        </is>
      </c>
      <c r="B19" s="23" t="inlineStr">
        <is>
          <t>Fórmula (Excel)</t>
        </is>
      </c>
      <c r="C19" s="23" t="inlineStr">
        <is>
          <t>Cómo se calcula (sencillo)</t>
        </is>
      </c>
      <c r="D19" s="23" t="inlineStr">
        <is>
          <t>Ejemplo con números reales</t>
        </is>
      </c>
      <c r="E19" s="23" t="inlineStr">
        <is>
          <t>De dónde viene</t>
        </is>
      </c>
      <c r="F19" s="23" t="inlineStr">
        <is>
          <t>Norma</t>
        </is>
      </c>
    </row>
    <row r="20">
      <c r="A20" s="24" t="inlineStr">
        <is>
          <t>Importe</t>
        </is>
      </c>
      <c r="B20" s="25" t="inlineStr">
        <is>
          <t>'=SUM('03_Detalle'!$E$5:$E$16)</t>
        </is>
      </c>
      <c r="C20" s="24" t="inlineStr">
        <is>
          <t>La cartera nominal y a costo amortizado se suman del detalle (hoja 03, Detalle por factura); los demás conceptos se traen, uno por uno, de la hoja 10 (Deterioro requerido vs registrado).</t>
        </is>
      </c>
      <c r="D20" s="24" t="inlineStr">
        <is>
          <t>Fila 1: SUM([«Saldo» de «Detalle por factura», 12 filas]) → 67.000,00</t>
        </is>
      </c>
      <c r="E20" s="24" t="inlineStr">
        <is>
          <t>hoja «Detalle por factura»</t>
        </is>
      </c>
      <c r="F20" s="24" t="inlineStr">
        <is>
          <t>—</t>
        </is>
      </c>
    </row>
  </sheetData>
  <mergeCells count="3">
    <mergeCell ref="A2:F2"/>
    <mergeCell ref="A1:F1"/>
    <mergeCell ref="A18:F18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60" customWidth="1" min="2" max="2"/>
    <col width="60" customWidth="1" min="3" max="3"/>
  </cols>
  <sheetData>
    <row r="1">
      <c r="A1" s="3" t="inlineStr">
        <is>
          <t>Parámetros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Cuentas por cobrar y deterioro · cartera, cobros, circularización y costo amortizado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Parámetro</t>
        </is>
      </c>
      <c r="B4" s="17" t="inlineStr">
        <is>
          <t>Valor</t>
        </is>
      </c>
      <c r="C4" s="17" t="inlineStr">
        <is>
          <t>Sustento</t>
        </is>
      </c>
    </row>
    <row r="5">
      <c r="A5" s="18" t="inlineStr">
        <is>
          <t>Corte del ejercicio</t>
        </is>
      </c>
      <c r="B5" s="26" t="n">
        <v>46022</v>
      </c>
      <c r="C5" s="18" t="inlineStr">
        <is>
          <t>Ficha del encargo</t>
        </is>
      </c>
    </row>
    <row r="6">
      <c r="A6" s="19" t="inlineStr">
        <is>
          <t>Marco contable</t>
        </is>
      </c>
      <c r="B6" s="19" t="inlineStr">
        <is>
          <t>NIIF completas</t>
        </is>
      </c>
      <c r="C6" s="19" t="inlineStr">
        <is>
          <t>Ficha del encargo: enruta el modelo de deterioro</t>
        </is>
      </c>
    </row>
    <row r="7">
      <c r="A7" s="18" t="inlineStr">
        <is>
          <t>Modelo de deterioro</t>
        </is>
      </c>
      <c r="B7" s="18" t="inlineStr">
        <is>
          <t>Pérdida crediticia esperada · NIIF 9 enfoque simplificado (5.5.15, B5.5.35)</t>
        </is>
      </c>
      <c r="C7" s="18" t="inlineStr">
        <is>
          <t>NIIF 9 5.5.15 / PYMES 11.21–11.26</t>
        </is>
      </c>
    </row>
    <row r="8">
      <c r="A8" s="19" t="inlineStr">
        <is>
          <t>Tasa de mercado anual para el valor presente (%)</t>
        </is>
      </c>
      <c r="B8" s="27" t="n">
        <v>10</v>
      </c>
      <c r="C8" s="19" t="inlineStr">
        <is>
          <t>NIIF 9 B5.1.1; PYMES 11.13 — tasa de un instrumento de deuda similar</t>
        </is>
      </c>
    </row>
    <row r="9">
      <c r="A9" s="18" t="inlineStr">
        <is>
          <t>Plazo que se considera financiación (meses)</t>
        </is>
      </c>
      <c r="B9" s="28" t="n">
        <v>12</v>
      </c>
      <c r="C9" s="18" t="inlineStr">
        <is>
          <t>NIIF 15 63 (solución práctica: más de 12 meses habilita evaluar la financiación con NIIF 15.60–62, no la concluye); PYMES 2015 11.13 (pago diferido más allá de los términos comerciales normales) / 2025 11.13A–11.13B y 23.38 (opción: cobro dentro de un año) — juicio</t>
        </is>
      </c>
    </row>
    <row r="10">
      <c r="A10" s="19" t="inlineStr">
        <is>
          <t>Deterioro registrado al cierre (mayor)</t>
        </is>
      </c>
      <c r="B10" s="27" t="n">
        <v>2000</v>
      </c>
      <c r="C10" s="19" t="inlineStr">
        <is>
          <t>Mayor contable</t>
        </is>
      </c>
    </row>
    <row r="11">
      <c r="A11" s="18" t="inlineStr">
        <is>
          <t>Intereses implícitos por devengar registrados (mayor)</t>
        </is>
      </c>
      <c r="B11" s="18" t="n"/>
      <c r="C11" s="18" t="inlineStr">
        <is>
          <t>Mayor contable</t>
        </is>
      </c>
    </row>
    <row r="12">
      <c r="A12" s="19" t="inlineStr">
        <is>
          <t>Tasa · Corriente / por vencer (%)</t>
        </is>
      </c>
      <c r="B12" s="27" t="n">
        <v>1</v>
      </c>
      <c r="C12" s="19" t="inlineStr">
        <is>
          <t>Tasa esperada del tramo (B5.5.35)</t>
        </is>
      </c>
    </row>
    <row r="13">
      <c r="A13" s="18" t="inlineStr">
        <is>
          <t>Tasa · 1 a 30 días (%)</t>
        </is>
      </c>
      <c r="B13" s="28" t="n">
        <v>3</v>
      </c>
      <c r="C13" s="18" t="inlineStr">
        <is>
          <t>Tasa esperada del tramo (B5.5.35)</t>
        </is>
      </c>
    </row>
    <row r="14">
      <c r="A14" s="19" t="inlineStr">
        <is>
          <t>Tasa · 31 a 60 días (%)</t>
        </is>
      </c>
      <c r="B14" s="27" t="n">
        <v>8</v>
      </c>
      <c r="C14" s="19" t="inlineStr">
        <is>
          <t>Tasa esperada del tramo (B5.5.35)</t>
        </is>
      </c>
    </row>
    <row r="15">
      <c r="A15" s="18" t="inlineStr">
        <is>
          <t>Tasa · 61 a 90 días (%)</t>
        </is>
      </c>
      <c r="B15" s="28" t="n">
        <v>15</v>
      </c>
      <c r="C15" s="18" t="inlineStr">
        <is>
          <t>Tasa esperada del tramo (B5.5.35)</t>
        </is>
      </c>
    </row>
    <row r="16">
      <c r="A16" s="19" t="inlineStr">
        <is>
          <t>Tasa · 91 a 180 días (%)</t>
        </is>
      </c>
      <c r="B16" s="27" t="n">
        <v>30</v>
      </c>
      <c r="C16" s="19" t="inlineStr">
        <is>
          <t>Tasa esperada del tramo (B5.5.35)</t>
        </is>
      </c>
    </row>
    <row r="17">
      <c r="A17" s="18" t="inlineStr">
        <is>
          <t>Tasa · 181 a 360 días (%)</t>
        </is>
      </c>
      <c r="B17" s="28" t="n">
        <v>60</v>
      </c>
      <c r="C17" s="18" t="inlineStr">
        <is>
          <t>Tasa esperada del tramo (B5.5.35)</t>
        </is>
      </c>
    </row>
    <row r="18">
      <c r="A18" s="19" t="inlineStr">
        <is>
          <t>Tasa · Más de 360 días (%)</t>
        </is>
      </c>
      <c r="B18" s="27" t="n">
        <v>100</v>
      </c>
      <c r="C18" s="19" t="inlineStr">
        <is>
          <t>Tasa esperada del tramo (B5.5.35)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O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3" customWidth="1" min="4" max="4"/>
    <col width="12" customWidth="1" min="5" max="5"/>
    <col width="19" customWidth="1" min="6" max="6"/>
    <col width="14" customWidth="1" min="7" max="7"/>
    <col width="24" customWidth="1" min="8" max="8"/>
    <col width="25" customWidth="1" min="9" max="9"/>
    <col width="24" customWidth="1" min="10" max="10"/>
    <col width="19" customWidth="1" min="11" max="11"/>
    <col width="32" customWidth="1" min="12" max="12"/>
    <col width="21" customWidth="1" min="13" max="13"/>
    <col width="15" customWidth="1" min="14" max="14"/>
    <col width="21" customWidth="1" min="15" max="15"/>
  </cols>
  <sheetData>
    <row r="1">
      <c r="A1" s="3" t="inlineStr">
        <is>
          <t>Detalle por factura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Cuentas por cobrar y deterioro · cartera, cobros, circularización y costo amortizado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</row>
    <row r="4" ht="30" customHeight="1">
      <c r="A4" s="17" t="inlineStr">
        <is>
          <t>Factura</t>
        </is>
      </c>
      <c r="B4" s="17" t="inlineStr">
        <is>
          <t>Cliente</t>
        </is>
      </c>
      <c r="C4" s="17" t="inlineStr">
        <is>
          <t>Emisión</t>
        </is>
      </c>
      <c r="D4" s="17" t="inlineStr">
        <is>
          <t>Vencimiento</t>
        </is>
      </c>
      <c r="E4" s="17" t="inlineStr">
        <is>
          <t>Saldo</t>
        </is>
      </c>
      <c r="F4" s="17" t="inlineStr">
        <is>
          <t>Importe facturado</t>
        </is>
      </c>
      <c r="G4" s="17" t="inlineStr">
        <is>
          <t>Días de mora</t>
        </is>
      </c>
      <c r="H4" s="17" t="inlineStr">
        <is>
          <t>Tramo</t>
        </is>
      </c>
      <c r="I4" s="17" t="inlineStr">
        <is>
          <t>Plazo de crédito (días)</t>
        </is>
      </c>
      <c r="J4" s="17" t="inlineStr">
        <is>
          <t>Financiación implícita</t>
        </is>
      </c>
      <c r="K4" s="17" t="inlineStr">
        <is>
          <t>Costo amortizado</t>
        </is>
      </c>
      <c r="L4" s="17" t="inlineStr">
        <is>
          <t>Interés implícito por devengar</t>
        </is>
      </c>
      <c r="M4" s="17" t="inlineStr">
        <is>
          <t>Tasa individual (%)</t>
        </is>
      </c>
      <c r="N4" s="17" t="inlineStr">
        <is>
          <t>Tasa aplicada</t>
        </is>
      </c>
      <c r="O4" s="17" t="inlineStr">
        <is>
          <t>Deterioro requerido</t>
        </is>
      </c>
    </row>
    <row r="5">
      <c r="A5" s="18" t="inlineStr">
        <is>
          <t>F-001</t>
        </is>
      </c>
      <c r="B5" s="18" t="inlineStr">
        <is>
          <t>Comercial Alfa</t>
        </is>
      </c>
      <c r="C5" s="29" t="n">
        <v>46001</v>
      </c>
      <c r="D5" s="29" t="n">
        <v>46031</v>
      </c>
      <c r="E5" s="20" t="n">
        <v>12000</v>
      </c>
      <c r="F5" s="20" t="n"/>
      <c r="G5" s="30">
        <f>'02_Parametros'!$B$5-D5</f>
        <v/>
      </c>
      <c r="H5" s="18">
        <f>IF(G5&lt;=0,"Corriente / por vencer",IF(G5&lt;=30,"1 a 30 días",IF(G5&lt;=60,"31 a 60 días",IF(G5&lt;=90,"61 a 90 días",IF(G5&lt;=180,"91 a 180 días",IF(G5&lt;=360,"181 a 360 días","Más de 360 días"))))))</f>
        <v/>
      </c>
      <c r="I5" s="30">
        <f>D5-C5</f>
        <v/>
      </c>
      <c r="J5" s="18">
        <f>IF(AND(E5&gt;0,I5&gt;'02_Parametros'!$B$9*365/12),"Sí","No")</f>
        <v/>
      </c>
      <c r="K5" s="20">
        <f>IF(AND(J5="Sí",'02_Parametros'!$B$8&lt;&gt;""),E5/(1+'02_Parametros'!$B$8/100)^(MAX(D5-'02_Parametros'!$B$5,0)/365),E5)</f>
        <v/>
      </c>
      <c r="L5" s="20">
        <f>IF(AND(J5="Sí",'02_Parametros'!$B$8=""),"",E5-K5)</f>
        <v/>
      </c>
      <c r="M5" s="18" t="n"/>
      <c r="N5" s="31">
        <f>IF(M5&lt;&gt;"",M5/100,IF(INDEX('09_Matriz_deterioro'!$D$5:$D$11,MATCH(H5,'09_Matriz_deterioro'!$A$5:$A$11,0))="","",INDEX('09_Matriz_deterioro'!$D$5:$D$11,MATCH(H5,'09_Matriz_deterioro'!$A$5:$A$11,0))))</f>
        <v/>
      </c>
      <c r="O5" s="20">
        <f>IF(N5="","",MAX(K5*N5,0))</f>
        <v/>
      </c>
    </row>
    <row r="6">
      <c r="A6" s="19" t="inlineStr">
        <is>
          <t>F-002</t>
        </is>
      </c>
      <c r="B6" s="19" t="inlineStr">
        <is>
          <t>Distribuidora Beta</t>
        </is>
      </c>
      <c r="C6" s="32" t="n">
        <v>46019</v>
      </c>
      <c r="D6" s="32" t="n">
        <v>46049</v>
      </c>
      <c r="E6" s="21" t="n">
        <v>8000</v>
      </c>
      <c r="F6" s="21" t="n">
        <v>8000</v>
      </c>
      <c r="G6" s="33">
        <f>'02_Parametros'!$B$5-D6</f>
        <v/>
      </c>
      <c r="H6" s="19">
        <f>IF(G6&lt;=0,"Corriente / por vencer",IF(G6&lt;=30,"1 a 30 días",IF(G6&lt;=60,"31 a 60 días",IF(G6&lt;=90,"61 a 90 días",IF(G6&lt;=180,"91 a 180 días",IF(G6&lt;=360,"181 a 360 días","Más de 360 días"))))))</f>
        <v/>
      </c>
      <c r="I6" s="33">
        <f>D6-C6</f>
        <v/>
      </c>
      <c r="J6" s="19">
        <f>IF(AND(E6&gt;0,I6&gt;'02_Parametros'!$B$9*365/12),"Sí","No")</f>
        <v/>
      </c>
      <c r="K6" s="21">
        <f>IF(AND(J6="Sí",'02_Parametros'!$B$8&lt;&gt;""),E6/(1+'02_Parametros'!$B$8/100)^(MAX(D6-'02_Parametros'!$B$5,0)/365),E6)</f>
        <v/>
      </c>
      <c r="L6" s="21">
        <f>IF(AND(J6="Sí",'02_Parametros'!$B$8=""),"",E6-K6)</f>
        <v/>
      </c>
      <c r="M6" s="19" t="n"/>
      <c r="N6" s="34">
        <f>IF(M6&lt;&gt;"",M6/100,IF(INDEX('09_Matriz_deterioro'!$D$5:$D$11,MATCH(H6,'09_Matriz_deterioro'!$A$5:$A$11,0))="","",INDEX('09_Matriz_deterioro'!$D$5:$D$11,MATCH(H6,'09_Matriz_deterioro'!$A$5:$A$11,0))))</f>
        <v/>
      </c>
      <c r="O6" s="21">
        <f>IF(N6="","",MAX(K6*N6,0))</f>
        <v/>
      </c>
    </row>
    <row r="7">
      <c r="A7" s="18" t="inlineStr">
        <is>
          <t>F-003</t>
        </is>
      </c>
      <c r="B7" s="18" t="inlineStr">
        <is>
          <t>Gama Cía. Ltda.</t>
        </is>
      </c>
      <c r="C7" s="29" t="n">
        <v>45976</v>
      </c>
      <c r="D7" s="29" t="n">
        <v>46006</v>
      </c>
      <c r="E7" s="20" t="n">
        <v>5000</v>
      </c>
      <c r="F7" s="20" t="n"/>
      <c r="G7" s="30">
        <f>'02_Parametros'!$B$5-D7</f>
        <v/>
      </c>
      <c r="H7" s="18">
        <f>IF(G7&lt;=0,"Corriente / por vencer",IF(G7&lt;=30,"1 a 30 días",IF(G7&lt;=60,"31 a 60 días",IF(G7&lt;=90,"61 a 90 días",IF(G7&lt;=180,"91 a 180 días",IF(G7&lt;=360,"181 a 360 días","Más de 360 días"))))))</f>
        <v/>
      </c>
      <c r="I7" s="30">
        <f>D7-C7</f>
        <v/>
      </c>
      <c r="J7" s="18">
        <f>IF(AND(E7&gt;0,I7&gt;'02_Parametros'!$B$9*365/12),"Sí","No")</f>
        <v/>
      </c>
      <c r="K7" s="20">
        <f>IF(AND(J7="Sí",'02_Parametros'!$B$8&lt;&gt;""),E7/(1+'02_Parametros'!$B$8/100)^(MAX(D7-'02_Parametros'!$B$5,0)/365),E7)</f>
        <v/>
      </c>
      <c r="L7" s="20">
        <f>IF(AND(J7="Sí",'02_Parametros'!$B$8=""),"",E7-K7)</f>
        <v/>
      </c>
      <c r="M7" s="18" t="n"/>
      <c r="N7" s="31">
        <f>IF(M7&lt;&gt;"",M7/100,IF(INDEX('09_Matriz_deterioro'!$D$5:$D$11,MATCH(H7,'09_Matriz_deterioro'!$A$5:$A$11,0))="","",INDEX('09_Matriz_deterioro'!$D$5:$D$11,MATCH(H7,'09_Matriz_deterioro'!$A$5:$A$11,0))))</f>
        <v/>
      </c>
      <c r="O7" s="20">
        <f>IF(N7="","",MAX(K7*N7,0))</f>
        <v/>
      </c>
    </row>
    <row r="8">
      <c r="A8" s="19" t="inlineStr">
        <is>
          <t>F-004</t>
        </is>
      </c>
      <c r="B8" s="19" t="inlineStr">
        <is>
          <t>Delta S.A.</t>
        </is>
      </c>
      <c r="C8" s="32" t="n">
        <v>45931</v>
      </c>
      <c r="D8" s="32" t="n">
        <v>45961</v>
      </c>
      <c r="E8" s="21" t="n">
        <v>4000</v>
      </c>
      <c r="F8" s="21" t="n"/>
      <c r="G8" s="33">
        <f>'02_Parametros'!$B$5-D8</f>
        <v/>
      </c>
      <c r="H8" s="19">
        <f>IF(G8&lt;=0,"Corriente / por vencer",IF(G8&lt;=30,"1 a 30 días",IF(G8&lt;=60,"31 a 60 días",IF(G8&lt;=90,"61 a 90 días",IF(G8&lt;=180,"91 a 180 días",IF(G8&lt;=360,"181 a 360 días","Más de 360 días"))))))</f>
        <v/>
      </c>
      <c r="I8" s="33">
        <f>D8-C8</f>
        <v/>
      </c>
      <c r="J8" s="19">
        <f>IF(AND(E8&gt;0,I8&gt;'02_Parametros'!$B$9*365/12),"Sí","No")</f>
        <v/>
      </c>
      <c r="K8" s="21">
        <f>IF(AND(J8="Sí",'02_Parametros'!$B$8&lt;&gt;""),E8/(1+'02_Parametros'!$B$8/100)^(MAX(D8-'02_Parametros'!$B$5,0)/365),E8)</f>
        <v/>
      </c>
      <c r="L8" s="21">
        <f>IF(AND(J8="Sí",'02_Parametros'!$B$8=""),"",E8-K8)</f>
        <v/>
      </c>
      <c r="M8" s="19" t="n"/>
      <c r="N8" s="34">
        <f>IF(M8&lt;&gt;"",M8/100,IF(INDEX('09_Matriz_deterioro'!$D$5:$D$11,MATCH(H8,'09_Matriz_deterioro'!$A$5:$A$11,0))="","",INDEX('09_Matriz_deterioro'!$D$5:$D$11,MATCH(H8,'09_Matriz_deterioro'!$A$5:$A$11,0))))</f>
        <v/>
      </c>
      <c r="O8" s="21">
        <f>IF(N8="","",MAX(K8*N8,0))</f>
        <v/>
      </c>
    </row>
    <row r="9">
      <c r="A9" s="18" t="inlineStr">
        <is>
          <t>F-005</t>
        </is>
      </c>
      <c r="B9" s="18" t="inlineStr">
        <is>
          <t>Épsilon S.A.</t>
        </is>
      </c>
      <c r="C9" s="29" t="n">
        <v>45901</v>
      </c>
      <c r="D9" s="29" t="n">
        <v>45931</v>
      </c>
      <c r="E9" s="20" t="n">
        <v>3000</v>
      </c>
      <c r="F9" s="20" t="n"/>
      <c r="G9" s="30">
        <f>'02_Parametros'!$B$5-D9</f>
        <v/>
      </c>
      <c r="H9" s="18">
        <f>IF(G9&lt;=0,"Corriente / por vencer",IF(G9&lt;=30,"1 a 30 días",IF(G9&lt;=60,"31 a 60 días",IF(G9&lt;=90,"61 a 90 días",IF(G9&lt;=180,"91 a 180 días",IF(G9&lt;=360,"181 a 360 días","Más de 360 días"))))))</f>
        <v/>
      </c>
      <c r="I9" s="30">
        <f>D9-C9</f>
        <v/>
      </c>
      <c r="J9" s="18">
        <f>IF(AND(E9&gt;0,I9&gt;'02_Parametros'!$B$9*365/12),"Sí","No")</f>
        <v/>
      </c>
      <c r="K9" s="20">
        <f>IF(AND(J9="Sí",'02_Parametros'!$B$8&lt;&gt;""),E9/(1+'02_Parametros'!$B$8/100)^(MAX(D9-'02_Parametros'!$B$5,0)/365),E9)</f>
        <v/>
      </c>
      <c r="L9" s="20">
        <f>IF(AND(J9="Sí",'02_Parametros'!$B$8=""),"",E9-K9)</f>
        <v/>
      </c>
      <c r="M9" s="28" t="n">
        <v>50</v>
      </c>
      <c r="N9" s="31">
        <f>IF(M9&lt;&gt;"",M9/100,IF(INDEX('09_Matriz_deterioro'!$D$5:$D$11,MATCH(H9,'09_Matriz_deterioro'!$A$5:$A$11,0))="","",INDEX('09_Matriz_deterioro'!$D$5:$D$11,MATCH(H9,'09_Matriz_deterioro'!$A$5:$A$11,0))))</f>
        <v/>
      </c>
      <c r="O9" s="20">
        <f>IF(N9="","",MAX(K9*N9,0))</f>
        <v/>
      </c>
    </row>
    <row r="10">
      <c r="A10" s="19" t="inlineStr">
        <is>
          <t>F-006</t>
        </is>
      </c>
      <c r="B10" s="19" t="inlineStr">
        <is>
          <t>Zeta Hnos.</t>
        </is>
      </c>
      <c r="C10" s="32" t="n">
        <v>45748</v>
      </c>
      <c r="D10" s="32" t="n">
        <v>45778</v>
      </c>
      <c r="E10" s="21" t="n">
        <v>2500</v>
      </c>
      <c r="F10" s="21" t="n"/>
      <c r="G10" s="33">
        <f>'02_Parametros'!$B$5-D10</f>
        <v/>
      </c>
      <c r="H10" s="19">
        <f>IF(G10&lt;=0,"Corriente / por vencer",IF(G10&lt;=30,"1 a 30 días",IF(G10&lt;=60,"31 a 60 días",IF(G10&lt;=90,"61 a 90 días",IF(G10&lt;=180,"91 a 180 días",IF(G10&lt;=360,"181 a 360 días","Más de 360 días"))))))</f>
        <v/>
      </c>
      <c r="I10" s="33">
        <f>D10-C10</f>
        <v/>
      </c>
      <c r="J10" s="19">
        <f>IF(AND(E10&gt;0,I10&gt;'02_Parametros'!$B$9*365/12),"Sí","No")</f>
        <v/>
      </c>
      <c r="K10" s="21">
        <f>IF(AND(J10="Sí",'02_Parametros'!$B$8&lt;&gt;""),E10/(1+'02_Parametros'!$B$8/100)^(MAX(D10-'02_Parametros'!$B$5,0)/365),E10)</f>
        <v/>
      </c>
      <c r="L10" s="21">
        <f>IF(AND(J10="Sí",'02_Parametros'!$B$8=""),"",E10-K10)</f>
        <v/>
      </c>
      <c r="M10" s="19" t="n"/>
      <c r="N10" s="34">
        <f>IF(M10&lt;&gt;"",M10/100,IF(INDEX('09_Matriz_deterioro'!$D$5:$D$11,MATCH(H10,'09_Matriz_deterioro'!$A$5:$A$11,0))="","",INDEX('09_Matriz_deterioro'!$D$5:$D$11,MATCH(H10,'09_Matriz_deterioro'!$A$5:$A$11,0))))</f>
        <v/>
      </c>
      <c r="O10" s="21">
        <f>IF(N10="","",MAX(K10*N10,0))</f>
        <v/>
      </c>
    </row>
    <row r="11">
      <c r="A11" s="18" t="inlineStr">
        <is>
          <t>F-007</t>
        </is>
      </c>
      <c r="B11" s="18" t="inlineStr">
        <is>
          <t>Eta Comercial</t>
        </is>
      </c>
      <c r="C11" s="29" t="n">
        <v>45444</v>
      </c>
      <c r="D11" s="29" t="n">
        <v>45474</v>
      </c>
      <c r="E11" s="20" t="n">
        <v>1500</v>
      </c>
      <c r="F11" s="20" t="n"/>
      <c r="G11" s="30">
        <f>'02_Parametros'!$B$5-D11</f>
        <v/>
      </c>
      <c r="H11" s="18">
        <f>IF(G11&lt;=0,"Corriente / por vencer",IF(G11&lt;=30,"1 a 30 días",IF(G11&lt;=60,"31 a 60 días",IF(G11&lt;=90,"61 a 90 días",IF(G11&lt;=180,"91 a 180 días",IF(G11&lt;=360,"181 a 360 días","Más de 360 días"))))))</f>
        <v/>
      </c>
      <c r="I11" s="30">
        <f>D11-C11</f>
        <v/>
      </c>
      <c r="J11" s="18">
        <f>IF(AND(E11&gt;0,I11&gt;'02_Parametros'!$B$9*365/12),"Sí","No")</f>
        <v/>
      </c>
      <c r="K11" s="20">
        <f>IF(AND(J11="Sí",'02_Parametros'!$B$8&lt;&gt;""),E11/(1+'02_Parametros'!$B$8/100)^(MAX(D11-'02_Parametros'!$B$5,0)/365),E11)</f>
        <v/>
      </c>
      <c r="L11" s="20">
        <f>IF(AND(J11="Sí",'02_Parametros'!$B$8=""),"",E11-K11)</f>
        <v/>
      </c>
      <c r="M11" s="18" t="n"/>
      <c r="N11" s="31">
        <f>IF(M11&lt;&gt;"",M11/100,IF(INDEX('09_Matriz_deterioro'!$D$5:$D$11,MATCH(H11,'09_Matriz_deterioro'!$A$5:$A$11,0))="","",INDEX('09_Matriz_deterioro'!$D$5:$D$11,MATCH(H11,'09_Matriz_deterioro'!$A$5:$A$11,0))))</f>
        <v/>
      </c>
      <c r="O11" s="20">
        <f>IF(N11="","",MAX(K11*N11,0))</f>
        <v/>
      </c>
    </row>
    <row r="12">
      <c r="A12" s="19" t="inlineStr">
        <is>
          <t>F-008</t>
        </is>
      </c>
      <c r="B12" s="19" t="inlineStr">
        <is>
          <t>Theta Industrial</t>
        </is>
      </c>
      <c r="C12" s="32" t="n">
        <v>45839</v>
      </c>
      <c r="D12" s="32" t="n">
        <v>46569</v>
      </c>
      <c r="E12" s="21" t="n">
        <v>20000</v>
      </c>
      <c r="F12" s="21" t="n"/>
      <c r="G12" s="33">
        <f>'02_Parametros'!$B$5-D12</f>
        <v/>
      </c>
      <c r="H12" s="19">
        <f>IF(G12&lt;=0,"Corriente / por vencer",IF(G12&lt;=30,"1 a 30 días",IF(G12&lt;=60,"31 a 60 días",IF(G12&lt;=90,"61 a 90 días",IF(G12&lt;=180,"91 a 180 días",IF(G12&lt;=360,"181 a 360 días","Más de 360 días"))))))</f>
        <v/>
      </c>
      <c r="I12" s="33">
        <f>D12-C12</f>
        <v/>
      </c>
      <c r="J12" s="19">
        <f>IF(AND(E12&gt;0,I12&gt;'02_Parametros'!$B$9*365/12),"Sí","No")</f>
        <v/>
      </c>
      <c r="K12" s="21">
        <f>IF(AND(J12="Sí",'02_Parametros'!$B$8&lt;&gt;""),E12/(1+'02_Parametros'!$B$8/100)^(MAX(D12-'02_Parametros'!$B$5,0)/365),E12)</f>
        <v/>
      </c>
      <c r="L12" s="21">
        <f>IF(AND(J12="Sí",'02_Parametros'!$B$8=""),"",E12-K12)</f>
        <v/>
      </c>
      <c r="M12" s="19" t="n"/>
      <c r="N12" s="34">
        <f>IF(M12&lt;&gt;"",M12/100,IF(INDEX('09_Matriz_deterioro'!$D$5:$D$11,MATCH(H12,'09_Matriz_deterioro'!$A$5:$A$11,0))="","",INDEX('09_Matriz_deterioro'!$D$5:$D$11,MATCH(H12,'09_Matriz_deterioro'!$A$5:$A$11,0))))</f>
        <v/>
      </c>
      <c r="O12" s="21">
        <f>IF(N12="","",MAX(K12*N12,0))</f>
        <v/>
      </c>
    </row>
    <row r="13">
      <c r="A13" s="18" t="inlineStr">
        <is>
          <t>F-009</t>
        </is>
      </c>
      <c r="B13" s="18" t="inlineStr">
        <is>
          <t>Iota Market</t>
        </is>
      </c>
      <c r="C13" s="29" t="n">
        <v>45981</v>
      </c>
      <c r="D13" s="29" t="n">
        <v>46011</v>
      </c>
      <c r="E13" s="20" t="n">
        <v>6000</v>
      </c>
      <c r="F13" s="20" t="n"/>
      <c r="G13" s="30">
        <f>'02_Parametros'!$B$5-D13</f>
        <v/>
      </c>
      <c r="H13" s="18">
        <f>IF(G13&lt;=0,"Corriente / por vencer",IF(G13&lt;=30,"1 a 30 días",IF(G13&lt;=60,"31 a 60 días",IF(G13&lt;=90,"61 a 90 días",IF(G13&lt;=180,"91 a 180 días",IF(G13&lt;=360,"181 a 360 días","Más de 360 días"))))))</f>
        <v/>
      </c>
      <c r="I13" s="30">
        <f>D13-C13</f>
        <v/>
      </c>
      <c r="J13" s="18">
        <f>IF(AND(E13&gt;0,I13&gt;'02_Parametros'!$B$9*365/12),"Sí","No")</f>
        <v/>
      </c>
      <c r="K13" s="20">
        <f>IF(AND(J13="Sí",'02_Parametros'!$B$8&lt;&gt;""),E13/(1+'02_Parametros'!$B$8/100)^(MAX(D13-'02_Parametros'!$B$5,0)/365),E13)</f>
        <v/>
      </c>
      <c r="L13" s="20">
        <f>IF(AND(J13="Sí",'02_Parametros'!$B$8=""),"",E13-K13)</f>
        <v/>
      </c>
      <c r="M13" s="18" t="n"/>
      <c r="N13" s="31">
        <f>IF(M13&lt;&gt;"",M13/100,IF(INDEX('09_Matriz_deterioro'!$D$5:$D$11,MATCH(H13,'09_Matriz_deterioro'!$A$5:$A$11,0))="","",INDEX('09_Matriz_deterioro'!$D$5:$D$11,MATCH(H13,'09_Matriz_deterioro'!$A$5:$A$11,0))))</f>
        <v/>
      </c>
      <c r="O13" s="20">
        <f>IF(N13="","",MAX(K13*N13,0))</f>
        <v/>
      </c>
    </row>
    <row r="14">
      <c r="A14" s="19" t="inlineStr">
        <is>
          <t>F-010</t>
        </is>
      </c>
      <c r="B14" s="19" t="inlineStr">
        <is>
          <t>Kappa Retail</t>
        </is>
      </c>
      <c r="C14" s="32" t="n">
        <v>45962</v>
      </c>
      <c r="D14" s="32" t="n">
        <v>45992</v>
      </c>
      <c r="E14" s="21" t="n">
        <v>2000</v>
      </c>
      <c r="F14" s="21" t="n"/>
      <c r="G14" s="33">
        <f>'02_Parametros'!$B$5-D14</f>
        <v/>
      </c>
      <c r="H14" s="19">
        <f>IF(G14&lt;=0,"Corriente / por vencer",IF(G14&lt;=30,"1 a 30 días",IF(G14&lt;=60,"31 a 60 días",IF(G14&lt;=90,"61 a 90 días",IF(G14&lt;=180,"91 a 180 días",IF(G14&lt;=360,"181 a 360 días","Más de 360 días"))))))</f>
        <v/>
      </c>
      <c r="I14" s="33">
        <f>D14-C14</f>
        <v/>
      </c>
      <c r="J14" s="19">
        <f>IF(AND(E14&gt;0,I14&gt;'02_Parametros'!$B$9*365/12),"Sí","No")</f>
        <v/>
      </c>
      <c r="K14" s="21">
        <f>IF(AND(J14="Sí",'02_Parametros'!$B$8&lt;&gt;""),E14/(1+'02_Parametros'!$B$8/100)^(MAX(D14-'02_Parametros'!$B$5,0)/365),E14)</f>
        <v/>
      </c>
      <c r="L14" s="21">
        <f>IF(AND(J14="Sí",'02_Parametros'!$B$8=""),"",E14-K14)</f>
        <v/>
      </c>
      <c r="M14" s="19" t="n"/>
      <c r="N14" s="34">
        <f>IF(M14&lt;&gt;"",M14/100,IF(INDEX('09_Matriz_deterioro'!$D$5:$D$11,MATCH(H14,'09_Matriz_deterioro'!$A$5:$A$11,0))="","",INDEX('09_Matriz_deterioro'!$D$5:$D$11,MATCH(H14,'09_Matriz_deterioro'!$A$5:$A$11,0))))</f>
        <v/>
      </c>
      <c r="O14" s="21">
        <f>IF(N14="","",MAX(K14*N14,0))</f>
        <v/>
      </c>
    </row>
    <row r="15">
      <c r="A15" s="18" t="inlineStr">
        <is>
          <t>F-011</t>
        </is>
      </c>
      <c r="B15" s="18" t="inlineStr">
        <is>
          <t>Lambda S.A.</t>
        </is>
      </c>
      <c r="C15" s="29" t="n">
        <v>45945</v>
      </c>
      <c r="D15" s="29" t="n">
        <v>45975</v>
      </c>
      <c r="E15" s="20" t="n">
        <v>3500</v>
      </c>
      <c r="F15" s="20" t="n"/>
      <c r="G15" s="30">
        <f>'02_Parametros'!$B$5-D15</f>
        <v/>
      </c>
      <c r="H15" s="18">
        <f>IF(G15&lt;=0,"Corriente / por vencer",IF(G15&lt;=30,"1 a 30 días",IF(G15&lt;=60,"31 a 60 días",IF(G15&lt;=90,"61 a 90 días",IF(G15&lt;=180,"91 a 180 días",IF(G15&lt;=360,"181 a 360 días","Más de 360 días"))))))</f>
        <v/>
      </c>
      <c r="I15" s="30">
        <f>D15-C15</f>
        <v/>
      </c>
      <c r="J15" s="18">
        <f>IF(AND(E15&gt;0,I15&gt;'02_Parametros'!$B$9*365/12),"Sí","No")</f>
        <v/>
      </c>
      <c r="K15" s="20">
        <f>IF(AND(J15="Sí",'02_Parametros'!$B$8&lt;&gt;""),E15/(1+'02_Parametros'!$B$8/100)^(MAX(D15-'02_Parametros'!$B$5,0)/365),E15)</f>
        <v/>
      </c>
      <c r="L15" s="20">
        <f>IF(AND(J15="Sí",'02_Parametros'!$B$8=""),"",E15-K15)</f>
        <v/>
      </c>
      <c r="M15" s="18" t="n"/>
      <c r="N15" s="31">
        <f>IF(M15&lt;&gt;"",M15/100,IF(INDEX('09_Matriz_deterioro'!$D$5:$D$11,MATCH(H15,'09_Matriz_deterioro'!$A$5:$A$11,0))="","",INDEX('09_Matriz_deterioro'!$D$5:$D$11,MATCH(H15,'09_Matriz_deterioro'!$A$5:$A$11,0))))</f>
        <v/>
      </c>
      <c r="O15" s="20">
        <f>IF(N15="","",MAX(K15*N15,0))</f>
        <v/>
      </c>
    </row>
    <row r="16">
      <c r="A16" s="19" t="inlineStr">
        <is>
          <t>F-012</t>
        </is>
      </c>
      <c r="B16" s="19" t="inlineStr">
        <is>
          <t>Mu Ventas</t>
        </is>
      </c>
      <c r="C16" s="32" t="n">
        <v>45996</v>
      </c>
      <c r="D16" s="32" t="n">
        <v>46026</v>
      </c>
      <c r="E16" s="21" t="n">
        <v>-500</v>
      </c>
      <c r="F16" s="21" t="n"/>
      <c r="G16" s="33">
        <f>'02_Parametros'!$B$5-D16</f>
        <v/>
      </c>
      <c r="H16" s="19">
        <f>IF(G16&lt;=0,"Corriente / por vencer",IF(G16&lt;=30,"1 a 30 días",IF(G16&lt;=60,"31 a 60 días",IF(G16&lt;=90,"61 a 90 días",IF(G16&lt;=180,"91 a 180 días",IF(G16&lt;=360,"181 a 360 días","Más de 360 días"))))))</f>
        <v/>
      </c>
      <c r="I16" s="33">
        <f>D16-C16</f>
        <v/>
      </c>
      <c r="J16" s="19">
        <f>IF(AND(E16&gt;0,I16&gt;'02_Parametros'!$B$9*365/12),"Sí","No")</f>
        <v/>
      </c>
      <c r="K16" s="21">
        <f>IF(AND(J16="Sí",'02_Parametros'!$B$8&lt;&gt;""),E16/(1+'02_Parametros'!$B$8/100)^(MAX(D16-'02_Parametros'!$B$5,0)/365),E16)</f>
        <v/>
      </c>
      <c r="L16" s="21">
        <f>IF(AND(J16="Sí",'02_Parametros'!$B$8=""),"",E16-K16)</f>
        <v/>
      </c>
      <c r="M16" s="19" t="n"/>
      <c r="N16" s="34">
        <f>IF(M16&lt;&gt;"",M16/100,IF(INDEX('09_Matriz_deterioro'!$D$5:$D$11,MATCH(H16,'09_Matriz_deterioro'!$A$5:$A$11,0))="","",INDEX('09_Matriz_deterioro'!$D$5:$D$11,MATCH(H16,'09_Matriz_deterioro'!$A$5:$A$11,0))))</f>
        <v/>
      </c>
      <c r="O16" s="21">
        <f>IF(N16="","",MAX(K16*N16,0))</f>
        <v/>
      </c>
    </row>
    <row r="17">
      <c r="A17" s="35" t="inlineStr">
        <is>
          <t>TOTAL</t>
        </is>
      </c>
      <c r="B17" s="35" t="inlineStr"/>
      <c r="C17" s="36" t="inlineStr"/>
      <c r="D17" s="36" t="inlineStr"/>
      <c r="E17" s="37">
        <f>SUM(E5:E16)</f>
        <v/>
      </c>
      <c r="F17" s="37" t="n"/>
      <c r="G17" s="38" t="n"/>
      <c r="H17" s="35" t="inlineStr"/>
      <c r="I17" s="38" t="n"/>
      <c r="J17" s="35" t="inlineStr"/>
      <c r="K17" s="37">
        <f>SUM(K5:K16)</f>
        <v/>
      </c>
      <c r="L17" s="37">
        <f>SUM(L5:L16)</f>
        <v/>
      </c>
      <c r="M17" s="35" t="n"/>
      <c r="N17" s="39" t="n"/>
      <c r="O17" s="37">
        <f>SUM(O5:O16)</f>
        <v/>
      </c>
    </row>
    <row r="19">
      <c r="A19" s="22" t="inlineStr">
        <is>
          <t>ⓘ  Cómo se calcula esta hoja</t>
        </is>
      </c>
    </row>
    <row r="20">
      <c r="A20" s="23" t="inlineStr">
        <is>
          <t>Columna</t>
        </is>
      </c>
      <c r="B20" s="23" t="inlineStr">
        <is>
          <t>Fórmula (Excel)</t>
        </is>
      </c>
      <c r="C20" s="23" t="inlineStr">
        <is>
          <t>Cómo se calcula (sencillo)</t>
        </is>
      </c>
      <c r="D20" s="23" t="inlineStr">
        <is>
          <t>Ejemplo con números reales</t>
        </is>
      </c>
      <c r="E20" s="23" t="inlineStr">
        <is>
          <t>De dónde viene</t>
        </is>
      </c>
      <c r="F20" s="23" t="inlineStr">
        <is>
          <t>Norma</t>
        </is>
      </c>
    </row>
    <row r="21">
      <c r="A21" s="24" t="inlineStr">
        <is>
          <t>Días de mora</t>
        </is>
      </c>
      <c r="B21" s="25" t="inlineStr">
        <is>
          <t>'='02_Parametros'!$B$5-D5</t>
        </is>
      </c>
      <c r="C21" s="24" t="inlineStr">
        <is>
          <t>Resta la fecha de vencimiento de la fecha de corte de la hoja 02 (Parámetros): positivo son días vencidos; cero o negativo, la factura todavía está por vencer.</t>
        </is>
      </c>
      <c r="D21" s="24" t="inlineStr">
        <is>
          <t>Fila 1: «2025-12-31»-«2026-01-09» → -9</t>
        </is>
      </c>
      <c r="E21" s="24" t="inlineStr">
        <is>
          <t>«Vencimiento» (esta hoja), hoja «Parámetros»</t>
        </is>
      </c>
      <c r="F21" s="24" t="inlineStr">
        <is>
          <t>—</t>
        </is>
      </c>
    </row>
    <row r="22">
      <c r="A22" s="24" t="inlineStr">
        <is>
          <t>Tramo</t>
        </is>
      </c>
      <c r="B22" s="25" t="inlineStr">
        <is>
          <t>'=IF(G5&lt;=0,"Corriente / por vencer",IF(G5&lt;=30,"1 a 30 días",IF(G5&lt;=60,"31 a 60 días",IF(G5&lt;=90,"61 a 90 días",IF(G5&lt;=180,"91 a 180 días",IF(G5&lt;=360,"181 a 360 días","Más de 360 días"))))))</t>
        </is>
      </c>
      <c r="C22" s="24" t="inlineStr">
        <is>
          <t>Clasifica la factura por sus días de mora: corriente/por vencer si no tiene mora, luego 1 a 30, 31 a 60, 61 a 90, 91 a 180, 181 a 360 y más de 360 días.</t>
        </is>
      </c>
      <c r="D22" s="24" t="inlineStr">
        <is>
          <t>Fila 1: IF(-9&lt;=0; "Corriente / por vencer"; IF(-9&lt;=30; "1 a 30 días"; IF(-9&lt;=60; "31 a 60 días"; IF(-9&lt;=90; "61 a 90 días"; IF(-9&lt;=180; "91 a 180 días"; IF(-9&lt;=360; "181 a 360 días"; "Más de 360 días")))))) → Corriente / por vencer</t>
        </is>
      </c>
      <c r="E22" s="24" t="inlineStr">
        <is>
          <t>«Días de mora» (esta hoja)</t>
        </is>
      </c>
      <c r="F22" s="24" t="inlineStr">
        <is>
          <t>—</t>
        </is>
      </c>
    </row>
    <row r="23">
      <c r="A23" s="24" t="inlineStr">
        <is>
          <t>Plazo de crédito (días)</t>
        </is>
      </c>
      <c r="B23" s="25" t="inlineStr">
        <is>
          <t>'=D5-C5</t>
        </is>
      </c>
      <c r="C23" s="24" t="inlineStr">
        <is>
          <t>Cuenta los días que hay entre la emisión y el vencimiento de la factura: es el plazo que se dio al cliente.</t>
        </is>
      </c>
      <c r="D23" s="24" t="inlineStr">
        <is>
          <t>Fila 1: «2026-01-09»-«2025-12-10» → 30</t>
        </is>
      </c>
      <c r="E23" s="24" t="inlineStr">
        <is>
          <t>«Vencimiento» (esta hoja), «Emisión» (esta hoja)</t>
        </is>
      </c>
      <c r="F23" s="24" t="inlineStr">
        <is>
          <t>—</t>
        </is>
      </c>
    </row>
    <row r="24">
      <c r="A24" s="24" t="inlineStr">
        <is>
          <t>Financiación implícita</t>
        </is>
      </c>
      <c r="B24" s="25" t="inlineStr">
        <is>
          <t>'=IF(AND(E5&gt;0,I5&gt;'02_Parametros'!$B$9*365/12),"Sí","No")</t>
        </is>
      </c>
      <c r="C24" s="24" t="inlineStr">
        <is>
          <t>Marca «Sí» si la factura tiene saldo y su plazo de crédito supera los meses que la hoja 02 (Parámetros) considera financiación, convertidos a días; si no, «No».</t>
        </is>
      </c>
      <c r="D24" s="24" t="inlineStr">
        <is>
          <t>Fila 1: IF(AND(12.000,00&gt;0; 30&gt;12,00*365/12); "Sí"; "No") → No</t>
        </is>
      </c>
      <c r="E24" s="24" t="inlineStr">
        <is>
          <t>«Saldo» (esta hoja), «Plazo de crédito (días)» (esta hoja), hoja «Parámetros»</t>
        </is>
      </c>
      <c r="F24" s="24" t="inlineStr">
        <is>
          <t>—</t>
        </is>
      </c>
    </row>
    <row r="25">
      <c r="A25" s="24" t="inlineStr">
        <is>
          <t>Costo amortizado</t>
        </is>
      </c>
      <c r="B25" s="25" t="inlineStr">
        <is>
          <t>'=IF(AND(J5="Sí",'02_Parametros'!$B$8&lt;&gt;""),E5/(1+'02_Parametros'!$B$8/100)^(MAX(D5-'02_Parametros'!$B$5,0)/365),E5)</t>
        </is>
      </c>
      <c r="C25" s="24" t="inlineStr">
        <is>
          <t>Si la factura tiene financiación implícita y hay tasa de mercado en la hoja 02, descuenta el saldo por los días que faltan desde el corte hasta el vencimiento; si no, deja el saldo nominal.</t>
        </is>
      </c>
      <c r="D25" s="24" t="inlineStr">
        <is>
          <t>Fila 1: IF(AND(«No»="Sí"; 10,00&lt;&gt;""); 12.000,00/(1+10,00/100)^(MAX(«2026-01-09»-«2025-12-31»; 0)/365); 12.000,00) → 12.000,00</t>
        </is>
      </c>
      <c r="E25" s="24" t="inlineStr">
        <is>
          <t>«Financiación implícita» (esta hoja), «Saldo» (esta hoja), «Vencimiento» (esta hoja), hoja «Parámetros»</t>
        </is>
      </c>
      <c r="F25" s="24" t="inlineStr">
        <is>
          <t>—</t>
        </is>
      </c>
    </row>
    <row r="26">
      <c r="A26" s="24" t="inlineStr">
        <is>
          <t>Interés implícito por devengar</t>
        </is>
      </c>
      <c r="B26" s="25" t="inlineStr">
        <is>
          <t>'=IF(AND(J5="Sí",'02_Parametros'!$B$8=""),"",E5-K5)</t>
        </is>
      </c>
      <c r="C26" s="24" t="inlineStr">
        <is>
          <t>Resta al saldo nominal su costo amortizado: el interés implícito que aún no se gana. Si hay financiación pero falta la tasa de mercado, queda en blanco.</t>
        </is>
      </c>
      <c r="D26" s="24" t="inlineStr">
        <is>
          <t>Fila 1: IF(AND(«No»="Sí"; 10,00=""); ""; 12.000,00-12.000,00) → 0,00</t>
        </is>
      </c>
      <c r="E26" s="24" t="inlineStr">
        <is>
          <t>«Financiación implícita» (esta hoja), «Saldo» (esta hoja), «Costo amortizado» (esta hoja), hoja «Parámetros»</t>
        </is>
      </c>
      <c r="F26" s="24" t="inlineStr">
        <is>
          <t>—</t>
        </is>
      </c>
    </row>
    <row r="27">
      <c r="A27" s="24" t="inlineStr">
        <is>
          <t>Tasa aplicada</t>
        </is>
      </c>
      <c r="B27" s="25" t="inlineStr">
        <is>
          <t>'=IF(M5&lt;&gt;"",M5/100,IF(INDEX('09_Matriz_deterioro'!$D$5:$D$11,MATCH(H5,'09_Matriz_deterioro'!$A$5:$A$11,0))="","",INDEX('09_Matriz_deterioro'!$D$5:$D$11,MATCH(H5,'09_Matriz_deterioro'!$A$5:$A$11,0))))</t>
        </is>
      </c>
      <c r="C27" s="24" t="inlineStr">
        <is>
          <t>Si la factura tiene tasa individual, usa esa tasa dividida para 100; si no, busca la tasa de su tramo en la hoja 09 (Matriz de deterioro). Si el tramo no tiene tasa, queda en blanco.</t>
        </is>
      </c>
      <c r="D27" s="24" t="inlineStr">
        <is>
          <t>Fila 1: IF((vacío)&lt;&gt;""; (vacío)/100; IF(INDEX([«Tasa del tramo» de «Matriz de deterioro», 7 filas]; MATCH(«Corriente / por vencer»; [«Tramo» de «Matriz de deterioro», 7 filas]; 0))=""; ""; INDEX([«Tasa del tramo» de «Matriz de deterioro», 7 filas]; MATCH(«Corriente / por vencer»; [«Tramo» de «Matriz de deterioro», 7 filas]; 0)))) → 1,00 %</t>
        </is>
      </c>
      <c r="E27" s="24" t="inlineStr">
        <is>
          <t>«Tasa individual (%)» (esta hoja), «Tramo» (esta hoja), hoja «Matriz de deterioro»</t>
        </is>
      </c>
      <c r="F27" s="24" t="inlineStr">
        <is>
          <t>—</t>
        </is>
      </c>
    </row>
    <row r="28">
      <c r="A28" s="24" t="inlineStr">
        <is>
          <t>Deterioro requerido</t>
        </is>
      </c>
      <c r="B28" s="25" t="inlineStr">
        <is>
          <t>'=IF(N5="","",MAX(K5*N5,0))</t>
        </is>
      </c>
      <c r="C28" s="24" t="inlineStr">
        <is>
          <t>Multiplica el costo amortizado de la factura por la tasa aplicada; nunca es negativo. Sin tasa, queda en blanco.</t>
        </is>
      </c>
      <c r="D28" s="24" t="inlineStr">
        <is>
          <t>Fila 1: IF(1,00 %=""; ""; MAX(12.000,00*1,00 %; 0)) → 120,00</t>
        </is>
      </c>
      <c r="E28" s="24" t="inlineStr">
        <is>
          <t>«Tasa aplicada» (esta hoja), «Costo amortizado» (esta hoja)</t>
        </is>
      </c>
      <c r="F28" s="24" t="inlineStr">
        <is>
          <t>—</t>
        </is>
      </c>
    </row>
  </sheetData>
  <mergeCells count="3">
    <mergeCell ref="A19:F19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22" customWidth="1" min="4" max="4"/>
    <col width="12" customWidth="1" min="5" max="5"/>
  </cols>
  <sheetData>
    <row r="1">
      <c r="A1" s="3" t="inlineStr">
        <is>
          <t>Antigüedad de la cartera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Cuentas por cobrar y deterioro · cartera, cobros, circularización y costo amortizado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Tramo</t>
        </is>
      </c>
      <c r="B4" s="17" t="inlineStr">
        <is>
          <t>Facturas</t>
        </is>
      </c>
      <c r="C4" s="17" t="inlineStr">
        <is>
          <t>Saldo</t>
        </is>
      </c>
      <c r="D4" s="17" t="inlineStr">
        <is>
          <t>% de la cartera</t>
        </is>
      </c>
      <c r="E4" s="17" t="inlineStr">
        <is>
          <t>Vencido</t>
        </is>
      </c>
    </row>
    <row r="5">
      <c r="A5" s="18" t="inlineStr">
        <is>
          <t>Corriente / por vencer</t>
        </is>
      </c>
      <c r="B5" s="30">
        <f>COUNTIF('03_Detalle'!$H$5:$H$16,A5)</f>
        <v/>
      </c>
      <c r="C5" s="20">
        <f>SUMIF('03_Detalle'!$H$5:$H$16,A5,'03_Detalle'!$E$5:$E$16)</f>
        <v/>
      </c>
      <c r="D5" s="31">
        <f>IF(SUM('03_Detalle'!$E$5:$E$16)=0,"",C5/SUM('03_Detalle'!$E$5:$E$16))</f>
        <v/>
      </c>
      <c r="E5" s="18" t="inlineStr">
        <is>
          <t>No</t>
        </is>
      </c>
    </row>
    <row r="6">
      <c r="A6" s="19" t="inlineStr">
        <is>
          <t>1 a 30 días</t>
        </is>
      </c>
      <c r="B6" s="33">
        <f>COUNTIF('03_Detalle'!$H$5:$H$16,A6)</f>
        <v/>
      </c>
      <c r="C6" s="21">
        <f>SUMIF('03_Detalle'!$H$5:$H$16,A6,'03_Detalle'!$E$5:$E$16)</f>
        <v/>
      </c>
      <c r="D6" s="34">
        <f>IF(SUM('03_Detalle'!$E$5:$E$16)=0,"",C6/SUM('03_Detalle'!$E$5:$E$16))</f>
        <v/>
      </c>
      <c r="E6" s="19" t="inlineStr">
        <is>
          <t>Sí</t>
        </is>
      </c>
    </row>
    <row r="7">
      <c r="A7" s="18" t="inlineStr">
        <is>
          <t>31 a 60 días</t>
        </is>
      </c>
      <c r="B7" s="30">
        <f>COUNTIF('03_Detalle'!$H$5:$H$16,A7)</f>
        <v/>
      </c>
      <c r="C7" s="20">
        <f>SUMIF('03_Detalle'!$H$5:$H$16,A7,'03_Detalle'!$E$5:$E$16)</f>
        <v/>
      </c>
      <c r="D7" s="31">
        <f>IF(SUM('03_Detalle'!$E$5:$E$16)=0,"",C7/SUM('03_Detalle'!$E$5:$E$16))</f>
        <v/>
      </c>
      <c r="E7" s="18" t="inlineStr">
        <is>
          <t>Sí</t>
        </is>
      </c>
    </row>
    <row r="8">
      <c r="A8" s="19" t="inlineStr">
        <is>
          <t>61 a 90 días</t>
        </is>
      </c>
      <c r="B8" s="33">
        <f>COUNTIF('03_Detalle'!$H$5:$H$16,A8)</f>
        <v/>
      </c>
      <c r="C8" s="21">
        <f>SUMIF('03_Detalle'!$H$5:$H$16,A8,'03_Detalle'!$E$5:$E$16)</f>
        <v/>
      </c>
      <c r="D8" s="34">
        <f>IF(SUM('03_Detalle'!$E$5:$E$16)=0,"",C8/SUM('03_Detalle'!$E$5:$E$16))</f>
        <v/>
      </c>
      <c r="E8" s="19" t="inlineStr">
        <is>
          <t>Sí</t>
        </is>
      </c>
    </row>
    <row r="9">
      <c r="A9" s="18" t="inlineStr">
        <is>
          <t>91 a 180 días</t>
        </is>
      </c>
      <c r="B9" s="30">
        <f>COUNTIF('03_Detalle'!$H$5:$H$16,A9)</f>
        <v/>
      </c>
      <c r="C9" s="20">
        <f>SUMIF('03_Detalle'!$H$5:$H$16,A9,'03_Detalle'!$E$5:$E$16)</f>
        <v/>
      </c>
      <c r="D9" s="31">
        <f>IF(SUM('03_Detalle'!$E$5:$E$16)=0,"",C9/SUM('03_Detalle'!$E$5:$E$16))</f>
        <v/>
      </c>
      <c r="E9" s="18" t="inlineStr">
        <is>
          <t>Sí</t>
        </is>
      </c>
    </row>
    <row r="10">
      <c r="A10" s="19" t="inlineStr">
        <is>
          <t>181 a 360 días</t>
        </is>
      </c>
      <c r="B10" s="33">
        <f>COUNTIF('03_Detalle'!$H$5:$H$16,A10)</f>
        <v/>
      </c>
      <c r="C10" s="21">
        <f>SUMIF('03_Detalle'!$H$5:$H$16,A10,'03_Detalle'!$E$5:$E$16)</f>
        <v/>
      </c>
      <c r="D10" s="34">
        <f>IF(SUM('03_Detalle'!$E$5:$E$16)=0,"",C10/SUM('03_Detalle'!$E$5:$E$16))</f>
        <v/>
      </c>
      <c r="E10" s="19" t="inlineStr">
        <is>
          <t>Sí</t>
        </is>
      </c>
    </row>
    <row r="11">
      <c r="A11" s="18" t="inlineStr">
        <is>
          <t>Más de 360 días</t>
        </is>
      </c>
      <c r="B11" s="30">
        <f>COUNTIF('03_Detalle'!$H$5:$H$16,A11)</f>
        <v/>
      </c>
      <c r="C11" s="20">
        <f>SUMIF('03_Detalle'!$H$5:$H$16,A11,'03_Detalle'!$E$5:$E$16)</f>
        <v/>
      </c>
      <c r="D11" s="31">
        <f>IF(SUM('03_Detalle'!$E$5:$E$16)=0,"",C11/SUM('03_Detalle'!$E$5:$E$16))</f>
        <v/>
      </c>
      <c r="E11" s="18" t="inlineStr">
        <is>
          <t>Sí</t>
        </is>
      </c>
    </row>
    <row r="12">
      <c r="A12" s="35" t="inlineStr">
        <is>
          <t>TOTAL</t>
        </is>
      </c>
      <c r="B12" s="38">
        <f>SUM(B5:B11)</f>
        <v/>
      </c>
      <c r="C12" s="37">
        <f>SUM(C5:C11)</f>
        <v/>
      </c>
      <c r="D12" s="39" t="n"/>
      <c r="E12" s="35" t="inlineStr"/>
    </row>
    <row r="14">
      <c r="A14" s="22" t="inlineStr">
        <is>
          <t>ⓘ  Cómo se calcula esta hoja</t>
        </is>
      </c>
    </row>
    <row r="15">
      <c r="A15" s="23" t="inlineStr">
        <is>
          <t>Columna</t>
        </is>
      </c>
      <c r="B15" s="23" t="inlineStr">
        <is>
          <t>Fórmula (Excel)</t>
        </is>
      </c>
      <c r="C15" s="23" t="inlineStr">
        <is>
          <t>Cómo se calcula (sencillo)</t>
        </is>
      </c>
      <c r="D15" s="23" t="inlineStr">
        <is>
          <t>Ejemplo con números reales</t>
        </is>
      </c>
      <c r="E15" s="23" t="inlineStr">
        <is>
          <t>De dónde viene</t>
        </is>
      </c>
      <c r="F15" s="23" t="inlineStr">
        <is>
          <t>Norma</t>
        </is>
      </c>
    </row>
    <row r="16">
      <c r="A16" s="24" t="inlineStr">
        <is>
          <t>Facturas</t>
        </is>
      </c>
      <c r="B16" s="25" t="inlineStr">
        <is>
          <t>'=COUNTIF('03_Detalle'!$H$5:$H$16,A5)</t>
        </is>
      </c>
      <c r="C16" s="24" t="inlineStr">
        <is>
          <t>Cuenta cuántas facturas del detalle (hoja 03, Detalle por factura) caen en este tramo de antigüedad.</t>
        </is>
      </c>
      <c r="D16" s="24" t="inlineStr">
        <is>
          <t>Fila 1: COUNTIF([«Tramo» de «Detalle por factura», 12 filas]; «Corriente / por vencer») → 4</t>
        </is>
      </c>
      <c r="E16" s="24" t="inlineStr">
        <is>
          <t>«Tramo» (esta hoja), hoja «Detalle por factura»</t>
        </is>
      </c>
      <c r="F16" s="24" t="inlineStr">
        <is>
          <t>—</t>
        </is>
      </c>
    </row>
    <row r="17">
      <c r="A17" s="24" t="inlineStr">
        <is>
          <t>Saldo</t>
        </is>
      </c>
      <c r="B17" s="25" t="inlineStr">
        <is>
          <t>'=SUMIF('03_Detalle'!$H$5:$H$16,A5,'03_Detalle'!$E$5:$E$16)</t>
        </is>
      </c>
      <c r="C17" s="24" t="inlineStr">
        <is>
          <t>Suma el saldo nominal de las facturas del detalle (hoja 03) que caen en este tramo de antigüedad.</t>
        </is>
      </c>
      <c r="D17" s="24" t="inlineStr">
        <is>
          <t>Fila 1: SUMIF([«Tramo» de «Detalle por factura», 12 filas]; «Corriente / por vencer»; [«Saldo» de «Detalle por factura», 12 filas]) → 39.500,00</t>
        </is>
      </c>
      <c r="E17" s="24" t="inlineStr">
        <is>
          <t>«Tramo» (esta hoja), hoja «Detalle por factura»</t>
        </is>
      </c>
      <c r="F17" s="24" t="inlineStr">
        <is>
          <t>—</t>
        </is>
      </c>
    </row>
    <row r="18">
      <c r="A18" s="24" t="inlineStr">
        <is>
          <t>% de la cartera</t>
        </is>
      </c>
      <c r="B18" s="25" t="inlineStr">
        <is>
          <t>'=IF(SUM('03_Detalle'!$E$5:$E$16)=0,"",C5/SUM('03_Detalle'!$E$5:$E$16))</t>
        </is>
      </c>
      <c r="C18" s="24" t="inlineStr">
        <is>
          <t>Divide el saldo del tramo para el saldo total de la cartera de la hoja 03 (Detalle por factura); si la cartera total es cero, queda en blanco.</t>
        </is>
      </c>
      <c r="D18" s="24" t="inlineStr">
        <is>
          <t>Fila 1: IF(SUM([«Saldo» de «Detalle por factura», 12 filas])=0; ""; 39.500,00/SUM([«Saldo» de «Detalle por factura», 12 filas])) → 58,96 %</t>
        </is>
      </c>
      <c r="E18" s="24" t="inlineStr">
        <is>
          <t>«Saldo» (esta hoja), hoja «Detalle por factura»</t>
        </is>
      </c>
      <c r="F18" s="24" t="inlineStr">
        <is>
          <t>—</t>
        </is>
      </c>
    </row>
  </sheetData>
  <mergeCells count="3">
    <mergeCell ref="A2:F2"/>
    <mergeCell ref="A14:F14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6" customWidth="1" min="4" max="4"/>
    <col width="17" customWidth="1" min="5" max="5"/>
    <col width="17" customWidth="1" min="6" max="6"/>
    <col width="27" customWidth="1" min="7" max="7"/>
    <col width="27" customWidth="1" min="8" max="8"/>
    <col width="19" customWidth="1" min="9" max="9"/>
    <col width="19" customWidth="1" min="10" max="10"/>
  </cols>
  <sheetData>
    <row r="1">
      <c r="A1" s="3" t="inlineStr">
        <is>
          <t>Cobros posteriores al cierre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Cuentas por cobrar y deterioro · cartera, cobros, circularización y costo amortizado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</row>
    <row r="4" ht="30" customHeight="1">
      <c r="A4" s="17" t="inlineStr">
        <is>
          <t>Factura</t>
        </is>
      </c>
      <c r="B4" s="17" t="inlineStr">
        <is>
          <t>Cliente</t>
        </is>
      </c>
      <c r="C4" s="17" t="inlineStr">
        <is>
          <t>Días de mora</t>
        </is>
      </c>
      <c r="D4" s="17" t="inlineStr">
        <is>
          <t>Saldo al corte</t>
        </is>
      </c>
      <c r="E4" s="17" t="inlineStr">
        <is>
          <t>Cobro informado</t>
        </is>
      </c>
      <c r="F4" s="17" t="inlineStr">
        <is>
          <t>Fecha del cobro</t>
        </is>
      </c>
      <c r="G4" s="17" t="inlineStr">
        <is>
          <t>Cobro posterior aplicable</t>
        </is>
      </c>
      <c r="H4" s="17" t="inlineStr">
        <is>
          <t>Saldo sin cobro posterior</t>
        </is>
      </c>
      <c r="I4" s="17" t="inlineStr">
        <is>
          <t>Vencida sin cobro</t>
        </is>
      </c>
      <c r="J4" s="17" t="inlineStr">
        <is>
          <t>Vencido sin cobro</t>
        </is>
      </c>
    </row>
    <row r="5">
      <c r="A5" s="18" t="inlineStr">
        <is>
          <t>F-001</t>
        </is>
      </c>
      <c r="B5" s="18" t="inlineStr">
        <is>
          <t>Comercial Alfa</t>
        </is>
      </c>
      <c r="C5" s="30">
        <f>'03_Detalle'!G5</f>
        <v/>
      </c>
      <c r="D5" s="20">
        <f>'03_Detalle'!E5</f>
        <v/>
      </c>
      <c r="E5" s="20" t="n">
        <v>12000</v>
      </c>
      <c r="F5" s="29" t="n">
        <v>46030</v>
      </c>
      <c r="G5" s="20">
        <f>IF(OR(E5="",F5=""),0,IF(F5&gt;'02_Parametros'!$B$5,MIN(E5,D5),0))</f>
        <v/>
      </c>
      <c r="H5" s="20">
        <f>D5-G5</f>
        <v/>
      </c>
      <c r="I5" s="18">
        <f>IF(AND(C5&gt;0,H5&gt;0),"Sí","No")</f>
        <v/>
      </c>
      <c r="J5" s="20">
        <f>IF(I5="Sí",H5,0)</f>
        <v/>
      </c>
    </row>
    <row r="6">
      <c r="A6" s="19" t="inlineStr">
        <is>
          <t>F-002</t>
        </is>
      </c>
      <c r="B6" s="19" t="inlineStr">
        <is>
          <t>Distribuidora Beta</t>
        </is>
      </c>
      <c r="C6" s="33">
        <f>'03_Detalle'!G6</f>
        <v/>
      </c>
      <c r="D6" s="21">
        <f>'03_Detalle'!E6</f>
        <v/>
      </c>
      <c r="E6" s="21" t="n"/>
      <c r="F6" s="40" t="n"/>
      <c r="G6" s="21">
        <f>IF(OR(E6="",F6=""),0,IF(F6&gt;'02_Parametros'!$B$5,MIN(E6,D6),0))</f>
        <v/>
      </c>
      <c r="H6" s="21">
        <f>D6-G6</f>
        <v/>
      </c>
      <c r="I6" s="19">
        <f>IF(AND(C6&gt;0,H6&gt;0),"Sí","No")</f>
        <v/>
      </c>
      <c r="J6" s="21">
        <f>IF(I6="Sí",H6,0)</f>
        <v/>
      </c>
    </row>
    <row r="7">
      <c r="A7" s="18" t="inlineStr">
        <is>
          <t>F-003</t>
        </is>
      </c>
      <c r="B7" s="18" t="inlineStr">
        <is>
          <t>Gama Cía. Ltda.</t>
        </is>
      </c>
      <c r="C7" s="30">
        <f>'03_Detalle'!G7</f>
        <v/>
      </c>
      <c r="D7" s="20">
        <f>'03_Detalle'!E7</f>
        <v/>
      </c>
      <c r="E7" s="20" t="n">
        <v>5000</v>
      </c>
      <c r="F7" s="29" t="n">
        <v>46042</v>
      </c>
      <c r="G7" s="20">
        <f>IF(OR(E7="",F7=""),0,IF(F7&gt;'02_Parametros'!$B$5,MIN(E7,D7),0))</f>
        <v/>
      </c>
      <c r="H7" s="20">
        <f>D7-G7</f>
        <v/>
      </c>
      <c r="I7" s="18">
        <f>IF(AND(C7&gt;0,H7&gt;0),"Sí","No")</f>
        <v/>
      </c>
      <c r="J7" s="20">
        <f>IF(I7="Sí",H7,0)</f>
        <v/>
      </c>
    </row>
    <row r="8">
      <c r="A8" s="19" t="inlineStr">
        <is>
          <t>F-004</t>
        </is>
      </c>
      <c r="B8" s="19" t="inlineStr">
        <is>
          <t>Delta S.A.</t>
        </is>
      </c>
      <c r="C8" s="33">
        <f>'03_Detalle'!G8</f>
        <v/>
      </c>
      <c r="D8" s="21">
        <f>'03_Detalle'!E8</f>
        <v/>
      </c>
      <c r="E8" s="21" t="n">
        <v>1000</v>
      </c>
      <c r="F8" s="32" t="n">
        <v>46063</v>
      </c>
      <c r="G8" s="21">
        <f>IF(OR(E8="",F8=""),0,IF(F8&gt;'02_Parametros'!$B$5,MIN(E8,D8),0))</f>
        <v/>
      </c>
      <c r="H8" s="21">
        <f>D8-G8</f>
        <v/>
      </c>
      <c r="I8" s="19">
        <f>IF(AND(C8&gt;0,H8&gt;0),"Sí","No")</f>
        <v/>
      </c>
      <c r="J8" s="21">
        <f>IF(I8="Sí",H8,0)</f>
        <v/>
      </c>
    </row>
    <row r="9">
      <c r="A9" s="18" t="inlineStr">
        <is>
          <t>F-005</t>
        </is>
      </c>
      <c r="B9" s="18" t="inlineStr">
        <is>
          <t>Épsilon S.A.</t>
        </is>
      </c>
      <c r="C9" s="30">
        <f>'03_Detalle'!G9</f>
        <v/>
      </c>
      <c r="D9" s="20">
        <f>'03_Detalle'!E9</f>
        <v/>
      </c>
      <c r="E9" s="20" t="n"/>
      <c r="F9" s="41" t="n"/>
      <c r="G9" s="20">
        <f>IF(OR(E9="",F9=""),0,IF(F9&gt;'02_Parametros'!$B$5,MIN(E9,D9),0))</f>
        <v/>
      </c>
      <c r="H9" s="20">
        <f>D9-G9</f>
        <v/>
      </c>
      <c r="I9" s="18">
        <f>IF(AND(C9&gt;0,H9&gt;0),"Sí","No")</f>
        <v/>
      </c>
      <c r="J9" s="20">
        <f>IF(I9="Sí",H9,0)</f>
        <v/>
      </c>
    </row>
    <row r="10">
      <c r="A10" s="19" t="inlineStr">
        <is>
          <t>F-006</t>
        </is>
      </c>
      <c r="B10" s="19" t="inlineStr">
        <is>
          <t>Zeta Hnos.</t>
        </is>
      </c>
      <c r="C10" s="33">
        <f>'03_Detalle'!G10</f>
        <v/>
      </c>
      <c r="D10" s="21">
        <f>'03_Detalle'!E10</f>
        <v/>
      </c>
      <c r="E10" s="21" t="n"/>
      <c r="F10" s="40" t="n"/>
      <c r="G10" s="21">
        <f>IF(OR(E10="",F10=""),0,IF(F10&gt;'02_Parametros'!$B$5,MIN(E10,D10),0))</f>
        <v/>
      </c>
      <c r="H10" s="21">
        <f>D10-G10</f>
        <v/>
      </c>
      <c r="I10" s="19">
        <f>IF(AND(C10&gt;0,H10&gt;0),"Sí","No")</f>
        <v/>
      </c>
      <c r="J10" s="21">
        <f>IF(I10="Sí",H10,0)</f>
        <v/>
      </c>
    </row>
    <row r="11">
      <c r="A11" s="18" t="inlineStr">
        <is>
          <t>F-007</t>
        </is>
      </c>
      <c r="B11" s="18" t="inlineStr">
        <is>
          <t>Eta Comercial</t>
        </is>
      </c>
      <c r="C11" s="30">
        <f>'03_Detalle'!G11</f>
        <v/>
      </c>
      <c r="D11" s="20">
        <f>'03_Detalle'!E11</f>
        <v/>
      </c>
      <c r="E11" s="20" t="n"/>
      <c r="F11" s="41" t="n"/>
      <c r="G11" s="20">
        <f>IF(OR(E11="",F11=""),0,IF(F11&gt;'02_Parametros'!$B$5,MIN(E11,D11),0))</f>
        <v/>
      </c>
      <c r="H11" s="20">
        <f>D11-G11</f>
        <v/>
      </c>
      <c r="I11" s="18">
        <f>IF(AND(C11&gt;0,H11&gt;0),"Sí","No")</f>
        <v/>
      </c>
      <c r="J11" s="20">
        <f>IF(I11="Sí",H11,0)</f>
        <v/>
      </c>
    </row>
    <row r="12">
      <c r="A12" s="19" t="inlineStr">
        <is>
          <t>F-008</t>
        </is>
      </c>
      <c r="B12" s="19" t="inlineStr">
        <is>
          <t>Theta Industrial</t>
        </is>
      </c>
      <c r="C12" s="33">
        <f>'03_Detalle'!G12</f>
        <v/>
      </c>
      <c r="D12" s="21">
        <f>'03_Detalle'!E12</f>
        <v/>
      </c>
      <c r="E12" s="21" t="n"/>
      <c r="F12" s="40" t="n"/>
      <c r="G12" s="21">
        <f>IF(OR(E12="",F12=""),0,IF(F12&gt;'02_Parametros'!$B$5,MIN(E12,D12),0))</f>
        <v/>
      </c>
      <c r="H12" s="21">
        <f>D12-G12</f>
        <v/>
      </c>
      <c r="I12" s="19">
        <f>IF(AND(C12&gt;0,H12&gt;0),"Sí","No")</f>
        <v/>
      </c>
      <c r="J12" s="21">
        <f>IF(I12="Sí",H12,0)</f>
        <v/>
      </c>
    </row>
    <row r="13">
      <c r="A13" s="18" t="inlineStr">
        <is>
          <t>F-009</t>
        </is>
      </c>
      <c r="B13" s="18" t="inlineStr">
        <is>
          <t>Iota Market</t>
        </is>
      </c>
      <c r="C13" s="30">
        <f>'03_Detalle'!G13</f>
        <v/>
      </c>
      <c r="D13" s="20">
        <f>'03_Detalle'!E13</f>
        <v/>
      </c>
      <c r="E13" s="20" t="n">
        <v>6000</v>
      </c>
      <c r="F13" s="29" t="n">
        <v>46021</v>
      </c>
      <c r="G13" s="20">
        <f>IF(OR(E13="",F13=""),0,IF(F13&gt;'02_Parametros'!$B$5,MIN(E13,D13),0))</f>
        <v/>
      </c>
      <c r="H13" s="20">
        <f>D13-G13</f>
        <v/>
      </c>
      <c r="I13" s="18">
        <f>IF(AND(C13&gt;0,H13&gt;0),"Sí","No")</f>
        <v/>
      </c>
      <c r="J13" s="20">
        <f>IF(I13="Sí",H13,0)</f>
        <v/>
      </c>
    </row>
    <row r="14">
      <c r="A14" s="19" t="inlineStr">
        <is>
          <t>F-010</t>
        </is>
      </c>
      <c r="B14" s="19" t="inlineStr">
        <is>
          <t>Kappa Retail</t>
        </is>
      </c>
      <c r="C14" s="33">
        <f>'03_Detalle'!G14</f>
        <v/>
      </c>
      <c r="D14" s="21">
        <f>'03_Detalle'!E14</f>
        <v/>
      </c>
      <c r="E14" s="21" t="n"/>
      <c r="F14" s="40" t="n"/>
      <c r="G14" s="21">
        <f>IF(OR(E14="",F14=""),0,IF(F14&gt;'02_Parametros'!$B$5,MIN(E14,D14),0))</f>
        <v/>
      </c>
      <c r="H14" s="21">
        <f>D14-G14</f>
        <v/>
      </c>
      <c r="I14" s="19">
        <f>IF(AND(C14&gt;0,H14&gt;0),"Sí","No")</f>
        <v/>
      </c>
      <c r="J14" s="21">
        <f>IF(I14="Sí",H14,0)</f>
        <v/>
      </c>
    </row>
    <row r="15">
      <c r="A15" s="18" t="inlineStr">
        <is>
          <t>F-011</t>
        </is>
      </c>
      <c r="B15" s="18" t="inlineStr">
        <is>
          <t>Lambda S.A.</t>
        </is>
      </c>
      <c r="C15" s="30">
        <f>'03_Detalle'!G15</f>
        <v/>
      </c>
      <c r="D15" s="20">
        <f>'03_Detalle'!E15</f>
        <v/>
      </c>
      <c r="E15" s="20" t="n">
        <v>3500</v>
      </c>
      <c r="F15" s="29" t="n">
        <v>46037</v>
      </c>
      <c r="G15" s="20">
        <f>IF(OR(E15="",F15=""),0,IF(F15&gt;'02_Parametros'!$B$5,MIN(E15,D15),0))</f>
        <v/>
      </c>
      <c r="H15" s="20">
        <f>D15-G15</f>
        <v/>
      </c>
      <c r="I15" s="18">
        <f>IF(AND(C15&gt;0,H15&gt;0),"Sí","No")</f>
        <v/>
      </c>
      <c r="J15" s="20">
        <f>IF(I15="Sí",H15,0)</f>
        <v/>
      </c>
    </row>
    <row r="16">
      <c r="A16" s="19" t="inlineStr">
        <is>
          <t>F-012</t>
        </is>
      </c>
      <c r="B16" s="19" t="inlineStr">
        <is>
          <t>Mu Ventas</t>
        </is>
      </c>
      <c r="C16" s="33">
        <f>'03_Detalle'!G16</f>
        <v/>
      </c>
      <c r="D16" s="21">
        <f>'03_Detalle'!E16</f>
        <v/>
      </c>
      <c r="E16" s="21" t="n"/>
      <c r="F16" s="40" t="n"/>
      <c r="G16" s="21">
        <f>IF(OR(E16="",F16=""),0,IF(F16&gt;'02_Parametros'!$B$5,MIN(E16,D16),0))</f>
        <v/>
      </c>
      <c r="H16" s="21">
        <f>D16-G16</f>
        <v/>
      </c>
      <c r="I16" s="19">
        <f>IF(AND(C16&gt;0,H16&gt;0),"Sí","No")</f>
        <v/>
      </c>
      <c r="J16" s="21">
        <f>IF(I16="Sí",H16,0)</f>
        <v/>
      </c>
    </row>
    <row r="17">
      <c r="A17" s="35" t="inlineStr">
        <is>
          <t>TOTAL</t>
        </is>
      </c>
      <c r="B17" s="35" t="inlineStr"/>
      <c r="C17" s="38" t="n"/>
      <c r="D17" s="37">
        <f>SUM(D5:D16)</f>
        <v/>
      </c>
      <c r="E17" s="37" t="n"/>
      <c r="F17" s="36" t="n"/>
      <c r="G17" s="37">
        <f>SUM(G5:G16)</f>
        <v/>
      </c>
      <c r="H17" s="37">
        <f>SUM(H5:H16)</f>
        <v/>
      </c>
      <c r="I17" s="35" t="inlineStr"/>
      <c r="J17" s="37">
        <f>SUM(J5:J16)</f>
        <v/>
      </c>
    </row>
    <row r="19">
      <c r="A19" s="22" t="inlineStr">
        <is>
          <t>ⓘ  Cómo se calcula esta hoja</t>
        </is>
      </c>
    </row>
    <row r="20">
      <c r="A20" s="23" t="inlineStr">
        <is>
          <t>Columna</t>
        </is>
      </c>
      <c r="B20" s="23" t="inlineStr">
        <is>
          <t>Fórmula (Excel)</t>
        </is>
      </c>
      <c r="C20" s="23" t="inlineStr">
        <is>
          <t>Cómo se calcula (sencillo)</t>
        </is>
      </c>
      <c r="D20" s="23" t="inlineStr">
        <is>
          <t>Ejemplo con números reales</t>
        </is>
      </c>
      <c r="E20" s="23" t="inlineStr">
        <is>
          <t>De dónde viene</t>
        </is>
      </c>
      <c r="F20" s="23" t="inlineStr">
        <is>
          <t>Norma</t>
        </is>
      </c>
    </row>
    <row r="21">
      <c r="A21" s="24" t="inlineStr">
        <is>
          <t>Días de mora</t>
        </is>
      </c>
      <c r="B21" s="25" t="inlineStr">
        <is>
          <t>'='03_Detalle'!G5</t>
        </is>
      </c>
      <c r="C21" s="24" t="inlineStr">
        <is>
          <t>Trae los días de mora de la misma factura desde la hoja 03 (Detalle por factura).</t>
        </is>
      </c>
      <c r="D21" s="24" t="inlineStr">
        <is>
          <t>Fila 1: -9 → -9</t>
        </is>
      </c>
      <c r="E21" s="24" t="inlineStr">
        <is>
          <t>hoja «Detalle por factura»</t>
        </is>
      </c>
      <c r="F21" s="24" t="inlineStr">
        <is>
          <t>—</t>
        </is>
      </c>
    </row>
    <row r="22">
      <c r="A22" s="24" t="inlineStr">
        <is>
          <t>Saldo al corte</t>
        </is>
      </c>
      <c r="B22" s="25" t="inlineStr">
        <is>
          <t>'='03_Detalle'!E5</t>
        </is>
      </c>
      <c r="C22" s="24" t="inlineStr">
        <is>
          <t>Trae el saldo al corte de la misma factura desde la hoja 03 (Detalle por factura).</t>
        </is>
      </c>
      <c r="D22" s="24" t="inlineStr">
        <is>
          <t>Fila 1: 12.000,00 → 12.000,00</t>
        </is>
      </c>
      <c r="E22" s="24" t="inlineStr">
        <is>
          <t>hoja «Detalle por factura»</t>
        </is>
      </c>
      <c r="F22" s="24" t="inlineStr">
        <is>
          <t>—</t>
        </is>
      </c>
    </row>
    <row r="23">
      <c r="A23" s="24" t="inlineStr">
        <is>
          <t>Cobro posterior aplicable</t>
        </is>
      </c>
      <c r="B23" s="25" t="inlineStr">
        <is>
          <t>'=IF(OR(E5="",F5=""),0,IF(F5&gt;'02_Parametros'!$B$5,MIN(E5,D5),0))</t>
        </is>
      </c>
      <c r="C23" s="24" t="inlineStr">
        <is>
          <t>Si el cobro informado tiene fecha posterior al corte de la hoja 02 (Parámetros), toma ese cobro sin pasar del saldo al corte; si falta el cobro o la fecha, o es anterior al corte, es cero.</t>
        </is>
      </c>
      <c r="D23" s="24" t="inlineStr">
        <is>
          <t>Fila 1: IF(OR(12.000,00=""; «2026-01-08»=""); 0; IF(«2026-01-08»&gt;«2025-12-31»; MIN(12.000,00; 12.000,00); 0)) → 12.000,00</t>
        </is>
      </c>
      <c r="E23" s="24" t="inlineStr">
        <is>
          <t>«Cobro informado» (esta hoja), «Fecha del cobro» (esta hoja), «Saldo al corte» (esta hoja), hoja «Parámetros»</t>
        </is>
      </c>
      <c r="F23" s="24" t="inlineStr">
        <is>
          <t>—</t>
        </is>
      </c>
    </row>
    <row r="24">
      <c r="A24" s="24" t="inlineStr">
        <is>
          <t>Saldo sin cobro posterior</t>
        </is>
      </c>
      <c r="B24" s="25" t="inlineStr">
        <is>
          <t>'=D5-G5</t>
        </is>
      </c>
      <c r="C24" s="24" t="inlineStr">
        <is>
          <t>Resta al saldo al corte el cobro posterior aplicable: lo que queda sin evidencia de cobro.</t>
        </is>
      </c>
      <c r="D24" s="24" t="inlineStr">
        <is>
          <t>Fila 1: 12.000,00-12.000,00 → 0,00</t>
        </is>
      </c>
      <c r="E24" s="24" t="inlineStr">
        <is>
          <t>«Saldo al corte» (esta hoja), «Cobro posterior aplicable» (esta hoja)</t>
        </is>
      </c>
      <c r="F24" s="24" t="inlineStr">
        <is>
          <t>—</t>
        </is>
      </c>
    </row>
    <row r="25">
      <c r="A25" s="24" t="inlineStr">
        <is>
          <t>Vencida sin cobro</t>
        </is>
      </c>
      <c r="B25" s="25" t="inlineStr">
        <is>
          <t>'=IF(AND(C5&gt;0,H5&gt;0),"Sí","No")</t>
        </is>
      </c>
      <c r="C25" s="24" t="inlineStr">
        <is>
          <t>Marca «Sí» si la factura está vencida (días de mora mayores que cero) y le queda saldo sin cobro posterior; si no, «No».</t>
        </is>
      </c>
      <c r="D25" s="24" t="inlineStr">
        <is>
          <t>Fila 1: IF(AND(-9&gt;0; 0,00&gt;0); "Sí"; "No") → No</t>
        </is>
      </c>
      <c r="E25" s="24" t="inlineStr">
        <is>
          <t>«Días de mora» (esta hoja), «Saldo sin cobro posterior» (esta hoja)</t>
        </is>
      </c>
      <c r="F25" s="24" t="inlineStr">
        <is>
          <t>—</t>
        </is>
      </c>
    </row>
    <row r="26">
      <c r="A26" s="24" t="inlineStr">
        <is>
          <t>Vencido sin cobro</t>
        </is>
      </c>
      <c r="B26" s="25" t="inlineStr">
        <is>
          <t>'=IF(I5="Sí",H5,0)</t>
        </is>
      </c>
      <c r="C26" s="24" t="inlineStr">
        <is>
          <t>Si la factura está marcada como vencida sin cobro, toma su saldo sin cobro posterior; si no, pone cero.</t>
        </is>
      </c>
      <c r="D26" s="24" t="inlineStr">
        <is>
          <t>Fila 1: IF(«No»="Sí"; 0,00; 0) → 0,00</t>
        </is>
      </c>
      <c r="E26" s="24" t="inlineStr">
        <is>
          <t>«Vencida sin cobro» (esta hoja), «Saldo sin cobro posterior» (esta hoja)</t>
        </is>
      </c>
      <c r="F26" s="24" t="inlineStr">
        <is>
          <t>—</t>
        </is>
      </c>
    </row>
  </sheetData>
  <mergeCells count="3">
    <mergeCell ref="A19:F19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8" customWidth="1" min="4" max="4"/>
    <col width="12" customWidth="1" min="5" max="5"/>
    <col width="21" customWidth="1" min="6" max="6"/>
    <col width="12" customWidth="1" min="7" max="7"/>
  </cols>
  <sheetData>
    <row r="1">
      <c r="A1" s="3" t="inlineStr">
        <is>
          <t>Circularización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Cuentas por cobrar y deterioro · cartera, cobros, circularización y costo amortizado · Cliente de muestra S.A. · corte 2025-12-31</t>
        </is>
      </c>
      <c r="B2" s="16" t="n"/>
      <c r="C2" s="16" t="n"/>
      <c r="D2" s="16" t="n"/>
      <c r="E2" s="16" t="n"/>
      <c r="F2" s="16" t="n"/>
      <c r="G2" s="16" t="n"/>
    </row>
    <row r="4" ht="30" customHeight="1">
      <c r="A4" s="17" t="inlineStr">
        <is>
          <t>Factura</t>
        </is>
      </c>
      <c r="B4" s="17" t="inlineStr">
        <is>
          <t>Cliente</t>
        </is>
      </c>
      <c r="C4" s="17" t="inlineStr">
        <is>
          <t>Saldo en libros</t>
        </is>
      </c>
      <c r="D4" s="17" t="inlineStr">
        <is>
          <t>Saldo confirmado</t>
        </is>
      </c>
      <c r="E4" s="17" t="inlineStr">
        <is>
          <t>Diferencia</t>
        </is>
      </c>
      <c r="F4" s="17" t="inlineStr">
        <is>
          <t>Diferencia absoluta</t>
        </is>
      </c>
      <c r="G4" s="17" t="inlineStr">
        <is>
          <t>Estado</t>
        </is>
      </c>
    </row>
    <row r="5">
      <c r="A5" s="18" t="inlineStr">
        <is>
          <t>F-001</t>
        </is>
      </c>
      <c r="B5" s="18" t="inlineStr">
        <is>
          <t>Comercial Alfa</t>
        </is>
      </c>
      <c r="C5" s="20">
        <f>'03_Detalle'!E5</f>
        <v/>
      </c>
      <c r="D5" s="20" t="n">
        <v>12000</v>
      </c>
      <c r="E5" s="20">
        <f>D5-C5</f>
        <v/>
      </c>
      <c r="F5" s="20">
        <f>ABS(E5)</f>
        <v/>
      </c>
      <c r="G5" s="18">
        <f>IF(ABS(E5)&lt;=0.005,"Conforme","Diferencia")</f>
        <v/>
      </c>
    </row>
    <row r="6">
      <c r="A6" s="19" t="inlineStr">
        <is>
          <t>F-004</t>
        </is>
      </c>
      <c r="B6" s="19" t="inlineStr">
        <is>
          <t>Delta S.A.</t>
        </is>
      </c>
      <c r="C6" s="21">
        <f>'03_Detalle'!E8</f>
        <v/>
      </c>
      <c r="D6" s="21" t="n">
        <v>3500</v>
      </c>
      <c r="E6" s="21">
        <f>D6-C6</f>
        <v/>
      </c>
      <c r="F6" s="21">
        <f>ABS(E6)</f>
        <v/>
      </c>
      <c r="G6" s="19">
        <f>IF(ABS(E6)&lt;=0.005,"Conforme","Diferencia")</f>
        <v/>
      </c>
    </row>
    <row r="7">
      <c r="A7" s="18" t="inlineStr">
        <is>
          <t>F-008</t>
        </is>
      </c>
      <c r="B7" s="18" t="inlineStr">
        <is>
          <t>Theta Industrial</t>
        </is>
      </c>
      <c r="C7" s="20">
        <f>'03_Detalle'!E12</f>
        <v/>
      </c>
      <c r="D7" s="20" t="n">
        <v>20000</v>
      </c>
      <c r="E7" s="20">
        <f>D7-C7</f>
        <v/>
      </c>
      <c r="F7" s="20">
        <f>ABS(E7)</f>
        <v/>
      </c>
      <c r="G7" s="18">
        <f>IF(ABS(E7)&lt;=0.005,"Conforme","Diferencia")</f>
        <v/>
      </c>
    </row>
    <row r="8">
      <c r="A8" s="35" t="inlineStr">
        <is>
          <t>TOTAL</t>
        </is>
      </c>
      <c r="B8" s="35" t="inlineStr"/>
      <c r="C8" s="37">
        <f>SUM(C5:C7)</f>
        <v/>
      </c>
      <c r="D8" s="37">
        <f>SUM(D5:D7)</f>
        <v/>
      </c>
      <c r="E8" s="37">
        <f>SUM(E5:E7)</f>
        <v/>
      </c>
      <c r="F8" s="37">
        <f>SUM(F5:F7)</f>
        <v/>
      </c>
      <c r="G8" s="35" t="inlineStr"/>
    </row>
    <row r="10">
      <c r="A10" s="22" t="inlineStr">
        <is>
          <t>ⓘ  Cómo se calcula esta hoja</t>
        </is>
      </c>
    </row>
    <row r="11">
      <c r="A11" s="23" t="inlineStr">
        <is>
          <t>Columna</t>
        </is>
      </c>
      <c r="B11" s="23" t="inlineStr">
        <is>
          <t>Fórmula (Excel)</t>
        </is>
      </c>
      <c r="C11" s="23" t="inlineStr">
        <is>
          <t>Cómo se calcula (sencillo)</t>
        </is>
      </c>
      <c r="D11" s="23" t="inlineStr">
        <is>
          <t>Ejemplo con números reales</t>
        </is>
      </c>
      <c r="E11" s="23" t="inlineStr">
        <is>
          <t>De dónde viene</t>
        </is>
      </c>
      <c r="F11" s="23" t="inlineStr">
        <is>
          <t>Norma</t>
        </is>
      </c>
    </row>
    <row r="12">
      <c r="A12" s="24" t="inlineStr">
        <is>
          <t>Saldo en libros</t>
        </is>
      </c>
      <c r="B12" s="25" t="inlineStr">
        <is>
          <t>'='03_Detalle'!E5</t>
        </is>
      </c>
      <c r="C12" s="24" t="inlineStr">
        <is>
          <t>Trae el saldo en libros de la misma factura desde la hoja 03 (Detalle por factura).</t>
        </is>
      </c>
      <c r="D12" s="24" t="inlineStr">
        <is>
          <t>Fila 1: 12.000,00 → 12.000,00</t>
        </is>
      </c>
      <c r="E12" s="24" t="inlineStr">
        <is>
          <t>hoja «Detalle por factura»</t>
        </is>
      </c>
      <c r="F12" s="24" t="inlineStr">
        <is>
          <t>—</t>
        </is>
      </c>
    </row>
    <row r="13">
      <c r="A13" s="24" t="inlineStr">
        <is>
          <t>Diferencia</t>
        </is>
      </c>
      <c r="B13" s="25" t="inlineStr">
        <is>
          <t>'=D5-C5</t>
        </is>
      </c>
      <c r="C13" s="24" t="inlineStr">
        <is>
          <t>Resta al saldo que confirmó el cliente el saldo en libros: positivo si el cliente confirma más que los libros.</t>
        </is>
      </c>
      <c r="D13" s="24" t="inlineStr">
        <is>
          <t>Fila 1: 12.000,00-12.000,00 → 0,00</t>
        </is>
      </c>
      <c r="E13" s="24" t="inlineStr">
        <is>
          <t>«Saldo confirmado» (esta hoja), «Saldo en libros» (esta hoja)</t>
        </is>
      </c>
      <c r="F13" s="24" t="inlineStr">
        <is>
          <t>—</t>
        </is>
      </c>
    </row>
    <row r="14">
      <c r="A14" s="24" t="inlineStr">
        <is>
          <t>Diferencia absoluta</t>
        </is>
      </c>
      <c r="B14" s="25" t="inlineStr">
        <is>
          <t>'=ABS(E5)</t>
        </is>
      </c>
      <c r="C14" s="24" t="inlineStr">
        <is>
          <t>Toma la diferencia sin signo, para sumar las diferencias sin que se compensen entre sí.</t>
        </is>
      </c>
      <c r="D14" s="24" t="inlineStr">
        <is>
          <t>Fila 1: ABS(0,00) → 0,00</t>
        </is>
      </c>
      <c r="E14" s="24" t="inlineStr">
        <is>
          <t>«Diferencia» (esta hoja)</t>
        </is>
      </c>
      <c r="F14" s="24" t="inlineStr">
        <is>
          <t>—</t>
        </is>
      </c>
    </row>
    <row r="15">
      <c r="A15" s="24" t="inlineStr">
        <is>
          <t>Estado</t>
        </is>
      </c>
      <c r="B15" s="25" t="inlineStr">
        <is>
          <t>'=IF(ABS(E5)&lt;=0.005,"Conforme","Diferencia")</t>
        </is>
      </c>
      <c r="C15" s="24" t="inlineStr">
        <is>
          <t>Dice «Conforme» si la diferencia no pasa de medio centavo y «Diferencia» en caso contrario.</t>
        </is>
      </c>
      <c r="D15" s="24" t="inlineStr">
        <is>
          <t>Fila 1: IF(ABS(0,00)&lt;=0.005; "Conforme"; "Diferencia") → Conforme</t>
        </is>
      </c>
      <c r="E15" s="24" t="inlineStr">
        <is>
          <t>«Diferencia» (esta hoja)</t>
        </is>
      </c>
      <c r="F15" s="24" t="inlineStr">
        <is>
          <t>—</t>
        </is>
      </c>
    </row>
  </sheetData>
  <mergeCells count="3">
    <mergeCell ref="A2:F2"/>
    <mergeCell ref="A1:F1"/>
    <mergeCell ref="A10:F10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12" customWidth="1" min="5" max="5"/>
    <col width="28" customWidth="1" min="6" max="6"/>
    <col width="28" customWidth="1" min="7" max="7"/>
    <col width="31" customWidth="1" min="8" max="8"/>
    <col width="26" customWidth="1" min="9" max="9"/>
  </cols>
  <sheetData>
    <row r="1">
      <c r="A1" s="3" t="inlineStr">
        <is>
          <t>Corte de ventas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Cuentas por cobrar y deterioro · cartera, cobros, circularización y costo amortizado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</row>
    <row r="4" ht="30" customHeight="1">
      <c r="A4" s="17" t="inlineStr">
        <is>
          <t>Factura</t>
        </is>
      </c>
      <c r="B4" s="17" t="inlineStr">
        <is>
          <t>Cliente</t>
        </is>
      </c>
      <c r="C4" s="17" t="inlineStr">
        <is>
          <t>Emisión (registro)</t>
        </is>
      </c>
      <c r="D4" s="17" t="inlineStr">
        <is>
          <t>Despacho</t>
        </is>
      </c>
      <c r="E4" s="17" t="inlineStr">
        <is>
          <t>Importe</t>
        </is>
      </c>
      <c r="F4" s="17" t="inlineStr">
        <is>
          <t>Registrada en el ejercicio</t>
        </is>
      </c>
      <c r="G4" s="17" t="inlineStr">
        <is>
          <t>Despachada en el ejercicio</t>
        </is>
      </c>
      <c r="H4" s="17" t="inlineStr">
        <is>
          <t>Registrada antes del despacho</t>
        </is>
      </c>
      <c r="I4" s="17" t="inlineStr">
        <is>
          <t>Despachada sin registrar</t>
        </is>
      </c>
    </row>
    <row r="5">
      <c r="A5" s="18" t="inlineStr">
        <is>
          <t>F-001</t>
        </is>
      </c>
      <c r="B5" s="18" t="inlineStr">
        <is>
          <t>Comercial Alfa</t>
        </is>
      </c>
      <c r="C5" s="29" t="n">
        <v>46001</v>
      </c>
      <c r="D5" s="29" t="n">
        <v>46001</v>
      </c>
      <c r="E5" s="20">
        <f>IF('03_Detalle'!F5&lt;&gt;"",'03_Detalle'!F5,'03_Detalle'!E5)</f>
        <v/>
      </c>
      <c r="F5" s="18">
        <f>IF(C5&lt;='02_Parametros'!$B$5,"Sí","No")</f>
        <v/>
      </c>
      <c r="G5" s="18">
        <f>IF(D5&lt;='02_Parametros'!$B$5,"Sí","No")</f>
        <v/>
      </c>
      <c r="H5" s="20">
        <f>IF(AND(F5="Sí",G5="No"),E5,0)</f>
        <v/>
      </c>
      <c r="I5" s="20">
        <f>IF(AND(F5="No",G5="Sí"),E5,0)</f>
        <v/>
      </c>
    </row>
    <row r="6">
      <c r="A6" s="19" t="inlineStr">
        <is>
          <t>F-002</t>
        </is>
      </c>
      <c r="B6" s="19" t="inlineStr">
        <is>
          <t>Distribuidora Beta</t>
        </is>
      </c>
      <c r="C6" s="32" t="n">
        <v>46019</v>
      </c>
      <c r="D6" s="32" t="n">
        <v>46027</v>
      </c>
      <c r="E6" s="21">
        <f>IF('03_Detalle'!F6&lt;&gt;"",'03_Detalle'!F6,'03_Detalle'!E6)</f>
        <v/>
      </c>
      <c r="F6" s="19">
        <f>IF(C6&lt;='02_Parametros'!$B$5,"Sí","No")</f>
        <v/>
      </c>
      <c r="G6" s="19">
        <f>IF(D6&lt;='02_Parametros'!$B$5,"Sí","No")</f>
        <v/>
      </c>
      <c r="H6" s="21">
        <f>IF(AND(F6="Sí",G6="No"),E6,0)</f>
        <v/>
      </c>
      <c r="I6" s="21">
        <f>IF(AND(F6="No",G6="Sí"),E6,0)</f>
        <v/>
      </c>
    </row>
    <row r="7">
      <c r="A7" s="18" t="inlineStr">
        <is>
          <t>F-008</t>
        </is>
      </c>
      <c r="B7" s="18" t="inlineStr">
        <is>
          <t>Theta Industrial</t>
        </is>
      </c>
      <c r="C7" s="29" t="n">
        <v>45839</v>
      </c>
      <c r="D7" s="29" t="n">
        <v>45838</v>
      </c>
      <c r="E7" s="20">
        <f>IF('03_Detalle'!F12&lt;&gt;"",'03_Detalle'!F12,'03_Detalle'!E12)</f>
        <v/>
      </c>
      <c r="F7" s="18">
        <f>IF(C7&lt;='02_Parametros'!$B$5,"Sí","No")</f>
        <v/>
      </c>
      <c r="G7" s="18">
        <f>IF(D7&lt;='02_Parametros'!$B$5,"Sí","No")</f>
        <v/>
      </c>
      <c r="H7" s="20">
        <f>IF(AND(F7="Sí",G7="No"),E7,0)</f>
        <v/>
      </c>
      <c r="I7" s="20">
        <f>IF(AND(F7="No",G7="Sí"),E7,0)</f>
        <v/>
      </c>
    </row>
    <row r="8">
      <c r="A8" s="35" t="inlineStr">
        <is>
          <t>TOTAL</t>
        </is>
      </c>
      <c r="B8" s="35" t="inlineStr"/>
      <c r="C8" s="36" t="inlineStr"/>
      <c r="D8" s="36" t="inlineStr"/>
      <c r="E8" s="37">
        <f>SUM(E5:E7)</f>
        <v/>
      </c>
      <c r="F8" s="35" t="inlineStr"/>
      <c r="G8" s="35" t="inlineStr"/>
      <c r="H8" s="37">
        <f>SUM(H5:H7)</f>
        <v/>
      </c>
      <c r="I8" s="37">
        <f>SUM(I5:I7)</f>
        <v/>
      </c>
    </row>
    <row r="10">
      <c r="A10" s="22" t="inlineStr">
        <is>
          <t>ⓘ  Cómo se calcula esta hoja</t>
        </is>
      </c>
    </row>
    <row r="11">
      <c r="A11" s="23" t="inlineStr">
        <is>
          <t>Columna</t>
        </is>
      </c>
      <c r="B11" s="23" t="inlineStr">
        <is>
          <t>Fórmula (Excel)</t>
        </is>
      </c>
      <c r="C11" s="23" t="inlineStr">
        <is>
          <t>Cómo se calcula (sencillo)</t>
        </is>
      </c>
      <c r="D11" s="23" t="inlineStr">
        <is>
          <t>Ejemplo con números reales</t>
        </is>
      </c>
      <c r="E11" s="23" t="inlineStr">
        <is>
          <t>De dónde viene</t>
        </is>
      </c>
      <c r="F11" s="23" t="inlineStr">
        <is>
          <t>Norma</t>
        </is>
      </c>
    </row>
    <row r="12">
      <c r="A12" s="24" t="inlineStr">
        <is>
          <t>Importe</t>
        </is>
      </c>
      <c r="B12" s="25" t="inlineStr">
        <is>
          <t>'=IF('03_Detalle'!F5&lt;&gt;"",'03_Detalle'!F5,'03_Detalle'!E5)</t>
        </is>
      </c>
      <c r="C12" s="24" t="inlineStr">
        <is>
          <t>Trae el importe facturado de la misma factura desde la hoja 03 (Detalle por factura); si no se informó, usa su saldo.</t>
        </is>
      </c>
      <c r="D12" s="24" t="inlineStr">
        <is>
          <t>Fila 1: IF((vacío)&lt;&gt;""; (vacío); 12.000,00) → 12.000,00</t>
        </is>
      </c>
      <c r="E12" s="24" t="inlineStr">
        <is>
          <t>hoja «Detalle por factura»</t>
        </is>
      </c>
      <c r="F12" s="24" t="inlineStr">
        <is>
          <t>—</t>
        </is>
      </c>
    </row>
    <row r="13">
      <c r="A13" s="24" t="inlineStr">
        <is>
          <t>Registrada en el ejercicio</t>
        </is>
      </c>
      <c r="B13" s="25" t="inlineStr">
        <is>
          <t>'=IF(C5&lt;='02_Parametros'!$B$5,"Sí","No")</t>
        </is>
      </c>
      <c r="C13" s="24" t="inlineStr">
        <is>
          <t>Marca «Sí» si la fecha de emisión (registro) es igual o anterior a la fecha de corte de la hoja 02 (Parámetros).</t>
        </is>
      </c>
      <c r="D13" s="24" t="inlineStr">
        <is>
          <t>Fila 1: IF(«2025-12-10»&lt;=«2025-12-31»; "Sí"; "No") → Sí</t>
        </is>
      </c>
      <c r="E13" s="24" t="inlineStr">
        <is>
          <t>«Emisión (registro)» (esta hoja), hoja «Parámetros»</t>
        </is>
      </c>
      <c r="F13" s="24" t="inlineStr">
        <is>
          <t>—</t>
        </is>
      </c>
    </row>
    <row r="14">
      <c r="A14" s="24" t="inlineStr">
        <is>
          <t>Despachada en el ejercicio</t>
        </is>
      </c>
      <c r="B14" s="25" t="inlineStr">
        <is>
          <t>'=IF(D5&lt;='02_Parametros'!$B$5,"Sí","No")</t>
        </is>
      </c>
      <c r="C14" s="24" t="inlineStr">
        <is>
          <t>Marca «Sí» si la fecha de despacho es igual o anterior a la fecha de corte de la hoja 02 (Parámetros).</t>
        </is>
      </c>
      <c r="D14" s="24" t="inlineStr">
        <is>
          <t>Fila 1: IF(«2025-12-10»&lt;=«2025-12-31»; "Sí"; "No") → Sí</t>
        </is>
      </c>
      <c r="E14" s="24" t="inlineStr">
        <is>
          <t>«Despacho» (esta hoja), hoja «Parámetros»</t>
        </is>
      </c>
      <c r="F14" s="24" t="inlineStr">
        <is>
          <t>—</t>
        </is>
      </c>
    </row>
    <row r="15">
      <c r="A15" s="24" t="inlineStr">
        <is>
          <t>Registrada antes del despacho</t>
        </is>
      </c>
      <c r="B15" s="25" t="inlineStr">
        <is>
          <t>'=IF(AND(F5="Sí",G5="No"),E5,0)</t>
        </is>
      </c>
      <c r="C15" s="24" t="inlineStr">
        <is>
          <t>Si la venta se registró en el ejercicio pero se despachó después del corte, toma su importe; si no, cero.</t>
        </is>
      </c>
      <c r="D15" s="24" t="inlineStr">
        <is>
          <t>Fila 1: IF(AND(«Sí»="Sí"; «Sí»="No"); 12.000,00; 0) → 0,00</t>
        </is>
      </c>
      <c r="E15" s="24" t="inlineStr">
        <is>
          <t>«Registrada en el ejercicio» (esta hoja), «Despachada en el ejercicio» (esta hoja), «Importe» (esta hoja)</t>
        </is>
      </c>
      <c r="F15" s="24" t="inlineStr">
        <is>
          <t>—</t>
        </is>
      </c>
    </row>
    <row r="16">
      <c r="A16" s="24" t="inlineStr">
        <is>
          <t>Despachada sin registrar</t>
        </is>
      </c>
      <c r="B16" s="25" t="inlineStr">
        <is>
          <t>'=IF(AND(F5="No",G5="Sí"),E5,0)</t>
        </is>
      </c>
      <c r="C16" s="24" t="inlineStr">
        <is>
          <t>Si la mercadería se despachó en el ejercicio pero la venta se registró después del corte, toma su importe; si no, cero.</t>
        </is>
      </c>
      <c r="D16" s="24" t="inlineStr">
        <is>
          <t>Fila 1: IF(AND(«Sí»="No"; «Sí»="Sí"); 12.000,00; 0) → 0,00</t>
        </is>
      </c>
      <c r="E16" s="24" t="inlineStr">
        <is>
          <t>«Registrada en el ejercicio» (esta hoja), «Despachada en el ejercicio» (esta hoja), «Importe» (esta hoja)</t>
        </is>
      </c>
      <c r="F16" s="24" t="inlineStr">
        <is>
          <t>—</t>
        </is>
      </c>
    </row>
  </sheetData>
  <mergeCells count="3">
    <mergeCell ref="A2:F2"/>
    <mergeCell ref="A1:F1"/>
    <mergeCell ref="A10:F10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3" customWidth="1" min="4" max="4"/>
    <col width="12" customWidth="1" min="5" max="5"/>
    <col width="14" customWidth="1" min="6" max="6"/>
    <col width="17" customWidth="1" min="7" max="7"/>
    <col width="23" customWidth="1" min="8" max="8"/>
    <col width="34" customWidth="1" min="9" max="9"/>
    <col width="28" customWidth="1" min="10" max="10"/>
    <col width="27" customWidth="1" min="11" max="11"/>
    <col width="28" customWidth="1" min="12" max="12"/>
    <col width="22" customWidth="1" min="13" max="13"/>
  </cols>
  <sheetData>
    <row r="1">
      <c r="A1" s="3" t="inlineStr">
        <is>
          <t>Costo amortizado e intereses implícitos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Cuentas por cobrar y deterioro · cartera, cobros, circularización y costo amortizado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</row>
    <row r="4" ht="30" customHeight="1">
      <c r="A4" s="17" t="inlineStr">
        <is>
          <t>Factura</t>
        </is>
      </c>
      <c r="B4" s="17" t="inlineStr">
        <is>
          <t>Cliente</t>
        </is>
      </c>
      <c r="C4" s="17" t="inlineStr">
        <is>
          <t>Emisión</t>
        </is>
      </c>
      <c r="D4" s="17" t="inlineStr">
        <is>
          <t>Vencimiento</t>
        </is>
      </c>
      <c r="E4" s="17" t="inlineStr">
        <is>
          <t>Nominal</t>
        </is>
      </c>
      <c r="F4" s="17" t="inlineStr">
        <is>
          <t>Plazo (días)</t>
        </is>
      </c>
      <c r="G4" s="17" t="inlineStr">
        <is>
          <t>Días por vencer</t>
        </is>
      </c>
      <c r="H4" s="17" t="inlineStr">
        <is>
          <t>TIE = tasa de mercado</t>
        </is>
      </c>
      <c r="I4" s="17" t="inlineStr">
        <is>
          <t>Valor presente inicial (ingreso)</t>
        </is>
      </c>
      <c r="J4" s="17" t="inlineStr">
        <is>
          <t>Componente de financiación</t>
        </is>
      </c>
      <c r="K4" s="17" t="inlineStr">
        <is>
          <t>Costo amortizado al corte</t>
        </is>
      </c>
      <c r="L4" s="17" t="inlineStr">
        <is>
          <t>Interés devengado al corte</t>
        </is>
      </c>
      <c r="M4" s="17" t="inlineStr">
        <is>
          <t>Interés por devengar</t>
        </is>
      </c>
    </row>
    <row r="5">
      <c r="A5" s="18" t="inlineStr">
        <is>
          <t>F-008</t>
        </is>
      </c>
      <c r="B5" s="18" t="inlineStr">
        <is>
          <t>Theta Industrial</t>
        </is>
      </c>
      <c r="C5" s="29" t="n">
        <v>45839</v>
      </c>
      <c r="D5" s="29" t="n">
        <v>46569</v>
      </c>
      <c r="E5" s="20">
        <f>'03_Detalle'!E12</f>
        <v/>
      </c>
      <c r="F5" s="30">
        <f>D5-C5</f>
        <v/>
      </c>
      <c r="G5" s="30">
        <f>MAX(D5-'02_Parametros'!$B$5,0)</f>
        <v/>
      </c>
      <c r="H5" s="31">
        <f>IF('02_Parametros'!$B$8="","",'02_Parametros'!$B$8/100)</f>
        <v/>
      </c>
      <c r="I5" s="20">
        <f>IF(H5="","",E5/(1+H5)^(F5/365))</f>
        <v/>
      </c>
      <c r="J5" s="20">
        <f>IF(H5="","",E5-I5)</f>
        <v/>
      </c>
      <c r="K5" s="20">
        <f>IF(H5="","",E5/(1+H5)^(G5/365))</f>
        <v/>
      </c>
      <c r="L5" s="20">
        <f>IF(H5="","",K5-I5)</f>
        <v/>
      </c>
      <c r="M5" s="20">
        <f>IF(H5="","",E5-K5)</f>
        <v/>
      </c>
    </row>
    <row r="6">
      <c r="A6" s="35" t="inlineStr">
        <is>
          <t>TOTAL</t>
        </is>
      </c>
      <c r="B6" s="35" t="inlineStr"/>
      <c r="C6" s="36" t="inlineStr"/>
      <c r="D6" s="36" t="inlineStr"/>
      <c r="E6" s="37">
        <f>SUM(E5:E5)</f>
        <v/>
      </c>
      <c r="F6" s="38" t="n"/>
      <c r="G6" s="38" t="n"/>
      <c r="H6" s="39" t="n"/>
      <c r="I6" s="37">
        <f>SUM(I5:I5)</f>
        <v/>
      </c>
      <c r="J6" s="37">
        <f>SUM(J5:J5)</f>
        <v/>
      </c>
      <c r="K6" s="37">
        <f>SUM(K5:K5)</f>
        <v/>
      </c>
      <c r="L6" s="37">
        <f>SUM(L5:L5)</f>
        <v/>
      </c>
      <c r="M6" s="37">
        <f>SUM(M5:M5)</f>
        <v/>
      </c>
    </row>
    <row r="8">
      <c r="A8" s="22" t="inlineStr">
        <is>
          <t>ⓘ  Cómo se calcula esta hoja</t>
        </is>
      </c>
    </row>
    <row r="9">
      <c r="A9" s="23" t="inlineStr">
        <is>
          <t>Columna</t>
        </is>
      </c>
      <c r="B9" s="23" t="inlineStr">
        <is>
          <t>Fórmula (Excel)</t>
        </is>
      </c>
      <c r="C9" s="23" t="inlineStr">
        <is>
          <t>Cómo se calcula (sencillo)</t>
        </is>
      </c>
      <c r="D9" s="23" t="inlineStr">
        <is>
          <t>Ejemplo con números reales</t>
        </is>
      </c>
      <c r="E9" s="23" t="inlineStr">
        <is>
          <t>De dónde viene</t>
        </is>
      </c>
      <c r="F9" s="23" t="inlineStr">
        <is>
          <t>Norma</t>
        </is>
      </c>
    </row>
    <row r="10">
      <c r="A10" s="24" t="inlineStr">
        <is>
          <t>Nominal</t>
        </is>
      </c>
      <c r="B10" s="25" t="inlineStr">
        <is>
          <t>'='03_Detalle'!E12</t>
        </is>
      </c>
      <c r="C10" s="24" t="inlineStr">
        <is>
          <t>Trae el saldo nominal de la misma factura desde la hoja 03 (Detalle por factura).</t>
        </is>
      </c>
      <c r="D10" s="24" t="inlineStr">
        <is>
          <t>Fila 1: 20.000,00 → 20.000,00</t>
        </is>
      </c>
      <c r="E10" s="24" t="inlineStr">
        <is>
          <t>hoja «Detalle por factura»</t>
        </is>
      </c>
      <c r="F10" s="24" t="inlineStr">
        <is>
          <t>—</t>
        </is>
      </c>
    </row>
    <row r="11">
      <c r="A11" s="24" t="inlineStr">
        <is>
          <t>Plazo (días)</t>
        </is>
      </c>
      <c r="B11" s="25" t="inlineStr">
        <is>
          <t>'=D5-C5</t>
        </is>
      </c>
      <c r="C11" s="24" t="inlineStr">
        <is>
          <t>Cuenta los días entre la emisión y el vencimiento de la factura.</t>
        </is>
      </c>
      <c r="D11" s="24" t="inlineStr">
        <is>
          <t>Fila 1: «2027-07-01»-«2025-07-01» → 730</t>
        </is>
      </c>
      <c r="E11" s="24" t="inlineStr">
        <is>
          <t>«Vencimiento» (esta hoja), «Emisión» (esta hoja)</t>
        </is>
      </c>
      <c r="F11" s="24" t="inlineStr">
        <is>
          <t>—</t>
        </is>
      </c>
    </row>
    <row r="12">
      <c r="A12" s="24" t="inlineStr">
        <is>
          <t>Días por vencer</t>
        </is>
      </c>
      <c r="B12" s="25" t="inlineStr">
        <is>
          <t>'=MAX(D5-'02_Parametros'!$B$5,0)</t>
        </is>
      </c>
      <c r="C12" s="24" t="inlineStr">
        <is>
          <t>Cuenta los días que faltan desde la fecha de corte de la hoja 02 (Parámetros) hasta el vencimiento; si ya venció, es cero.</t>
        </is>
      </c>
      <c r="D12" s="24" t="inlineStr">
        <is>
          <t>Fila 1: MAX(«2027-07-01»-«2025-12-31»; 0) → 547</t>
        </is>
      </c>
      <c r="E12" s="24" t="inlineStr">
        <is>
          <t>«Vencimiento» (esta hoja), hoja «Parámetros»</t>
        </is>
      </c>
      <c r="F12" s="24" t="inlineStr">
        <is>
          <t>—</t>
        </is>
      </c>
    </row>
    <row r="13">
      <c r="A13" s="24" t="inlineStr">
        <is>
          <t>TIE = tasa de mercado</t>
        </is>
      </c>
      <c r="B13" s="25" t="inlineStr">
        <is>
          <t>'=IF('02_Parametros'!$B$8="","",'02_Parametros'!$B$8/100)</t>
        </is>
      </c>
      <c r="C13" s="24" t="inlineStr">
        <is>
          <t>Toma la tasa de mercado anual de la hoja 02 (Parámetros) dividida para 100; si no se indicó, queda en blanco.</t>
        </is>
      </c>
      <c r="D13" s="24" t="inlineStr">
        <is>
          <t>Fila 1: IF(10,00=""; ""; 10,00/100) → 10,00 %</t>
        </is>
      </c>
      <c r="E13" s="24" t="inlineStr">
        <is>
          <t>hoja «Parámetros»</t>
        </is>
      </c>
      <c r="F13" s="24" t="inlineStr">
        <is>
          <t>—</t>
        </is>
      </c>
    </row>
    <row r="14">
      <c r="A14" s="24" t="inlineStr">
        <is>
          <t>Valor presente inicial (ingreso)</t>
        </is>
      </c>
      <c r="B14" s="25" t="inlineStr">
        <is>
          <t>'=IF(H5="","",E5/(1+H5)^(F5/365))</t>
        </is>
      </c>
      <c r="C14" s="24" t="inlineStr">
        <is>
          <t>Descuenta el nominal con la tasa de mercado por todo el plazo de la factura: es el ingreso por la venta sin el componente financiero. Sin tasa, en blanco.</t>
        </is>
      </c>
      <c r="D14" s="24" t="inlineStr">
        <is>
          <t>Fila 1: IF(10,00 %=""; ""; 20.000,00/(1+10,00 %)^(730/365)) → 16.528,93</t>
        </is>
      </c>
      <c r="E14" s="24" t="inlineStr">
        <is>
          <t>«TIE = tasa de mercado» (esta hoja), «Nominal» (esta hoja), «Plazo (días)» (esta hoja)</t>
        </is>
      </c>
      <c r="F14" s="24" t="inlineStr">
        <is>
          <t>—</t>
        </is>
      </c>
    </row>
    <row r="15">
      <c r="A15" s="24" t="inlineStr">
        <is>
          <t>Componente de financiación</t>
        </is>
      </c>
      <c r="B15" s="25" t="inlineStr">
        <is>
          <t>'=IF(H5="","",E5-I5)</t>
        </is>
      </c>
      <c r="C15" s="24" t="inlineStr">
        <is>
          <t>Resta al nominal su valor presente inicial: el interés implícito total de la factura. Sin tasa, queda en blanco.</t>
        </is>
      </c>
      <c r="D15" s="24" t="inlineStr">
        <is>
          <t>Fila 1: IF(10,00 %=""; ""; 20.000,00-16.528,93) → 3.471,07</t>
        </is>
      </c>
      <c r="E15" s="24" t="inlineStr">
        <is>
          <t>«TIE = tasa de mercado» (esta hoja), «Nominal» (esta hoja), «Valor presente inicial (ingreso)» (esta hoja)</t>
        </is>
      </c>
      <c r="F15" s="24" t="inlineStr">
        <is>
          <t>—</t>
        </is>
      </c>
    </row>
    <row r="16">
      <c r="A16" s="24" t="inlineStr">
        <is>
          <t>Costo amortizado al corte</t>
        </is>
      </c>
      <c r="B16" s="25" t="inlineStr">
        <is>
          <t>'=IF(H5="","",E5/(1+H5)^(G5/365))</t>
        </is>
      </c>
      <c r="C16" s="24" t="inlineStr">
        <is>
          <t>Descuenta el nominal con la tasa de mercado solo por los días que faltan para el vencimiento: el valor de la factura al corte. Sin tasa, en blanco.</t>
        </is>
      </c>
      <c r="D16" s="24" t="inlineStr">
        <is>
          <t>Fila 1: IF(10,00 %=""; ""; 20.000,00/(1+10,00 %)^(547/365)) → 17.337,95</t>
        </is>
      </c>
      <c r="E16" s="24" t="inlineStr">
        <is>
          <t>«TIE = tasa de mercado» (esta hoja), «Nominal» (esta hoja), «Días por vencer» (esta hoja)</t>
        </is>
      </c>
      <c r="F16" s="24" t="inlineStr">
        <is>
          <t>—</t>
        </is>
      </c>
    </row>
    <row r="17">
      <c r="A17" s="24" t="inlineStr">
        <is>
          <t>Interés devengado al corte</t>
        </is>
      </c>
      <c r="B17" s="25" t="inlineStr">
        <is>
          <t>'=IF(H5="","",K5-I5)</t>
        </is>
      </c>
      <c r="C17" s="24" t="inlineStr">
        <is>
          <t>Resta al costo amortizado al corte el valor presente inicial: el interés implícito ya ganado hasta el corte. Sin tasa, queda en blanco.</t>
        </is>
      </c>
      <c r="D17" s="24" t="inlineStr">
        <is>
          <t>Fila 1: IF(10,00 %=""; ""; 17.337,95-16.528,93) → 809,02</t>
        </is>
      </c>
      <c r="E17" s="24" t="inlineStr">
        <is>
          <t>«TIE = tasa de mercado» (esta hoja), «Costo amortizado al corte» (esta hoja), «Valor presente inicial (ingreso)» (esta hoja)</t>
        </is>
      </c>
      <c r="F17" s="24" t="inlineStr">
        <is>
          <t>—</t>
        </is>
      </c>
    </row>
    <row r="18">
      <c r="A18" s="24" t="inlineStr">
        <is>
          <t>Interés por devengar</t>
        </is>
      </c>
      <c r="B18" s="25" t="inlineStr">
        <is>
          <t>'=IF(H5="","",E5-K5)</t>
        </is>
      </c>
      <c r="C18" s="24" t="inlineStr">
        <is>
          <t>Resta al nominal el costo amortizado al corte: el interés implícito que falta ganar después del corte. Sin tasa, queda en blanco.</t>
        </is>
      </c>
      <c r="D18" s="24" t="inlineStr">
        <is>
          <t>Fila 1: IF(10,00 %=""; ""; 20.000,00-17.337,95) → 2.662,05</t>
        </is>
      </c>
      <c r="E18" s="24" t="inlineStr">
        <is>
          <t>«TIE = tasa de mercado» (esta hoja), «Nominal» (esta hoja), «Costo amortizado al corte» (esta hoja)</t>
        </is>
      </c>
      <c r="F18" s="24" t="inlineStr">
        <is>
          <t>—</t>
        </is>
      </c>
    </row>
  </sheetData>
  <mergeCells count="3">
    <mergeCell ref="A8:F8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9" customWidth="1" min="3" max="3"/>
    <col width="16" customWidth="1" min="4" max="4"/>
    <col width="21" customWidth="1" min="5" max="5"/>
    <col width="24" customWidth="1" min="6" max="6"/>
  </cols>
  <sheetData>
    <row r="1">
      <c r="A1" s="3" t="inlineStr">
        <is>
          <t>Matriz de deterioro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Cuentas por cobrar y deterioro · cartera, cobros, circularización y costo amortizado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Tramo</t>
        </is>
      </c>
      <c r="B4" s="17" t="inlineStr">
        <is>
          <t>Facturas</t>
        </is>
      </c>
      <c r="C4" s="17" t="inlineStr">
        <is>
          <t>Costo amortizado</t>
        </is>
      </c>
      <c r="D4" s="17" t="inlineStr">
        <is>
          <t>Tasa del tramo</t>
        </is>
      </c>
      <c r="E4" s="17" t="inlineStr">
        <is>
          <t>Deterioro requerido</t>
        </is>
      </c>
      <c r="F4" s="17" t="inlineStr">
        <is>
          <t>Tasa promedio aplicada</t>
        </is>
      </c>
    </row>
    <row r="5">
      <c r="A5" s="18" t="inlineStr">
        <is>
          <t>Corriente / por vencer</t>
        </is>
      </c>
      <c r="B5" s="30">
        <f>COUNTIF('03_Detalle'!$H$5:$H$16,A5)</f>
        <v/>
      </c>
      <c r="C5" s="20">
        <f>SUMIF('03_Detalle'!$H$5:$H$16,A5,'03_Detalle'!$K$5:$K$16)</f>
        <v/>
      </c>
      <c r="D5" s="31">
        <f>IF('02_Parametros'!$B$12="","",'02_Parametros'!$B$12/100)</f>
        <v/>
      </c>
      <c r="E5" s="20">
        <f>SUMIF('03_Detalle'!$H$5:$H$16,A5,'03_Detalle'!$O$5:$O$16)</f>
        <v/>
      </c>
      <c r="F5" s="31">
        <f>IF(C5=0,"",E5/C5)</f>
        <v/>
      </c>
    </row>
    <row r="6">
      <c r="A6" s="19" t="inlineStr">
        <is>
          <t>1 a 30 días</t>
        </is>
      </c>
      <c r="B6" s="33">
        <f>COUNTIF('03_Detalle'!$H$5:$H$16,A6)</f>
        <v/>
      </c>
      <c r="C6" s="21">
        <f>SUMIF('03_Detalle'!$H$5:$H$16,A6,'03_Detalle'!$K$5:$K$16)</f>
        <v/>
      </c>
      <c r="D6" s="34">
        <f>IF('02_Parametros'!$B$13="","",'02_Parametros'!$B$13/100)</f>
        <v/>
      </c>
      <c r="E6" s="21">
        <f>SUMIF('03_Detalle'!$H$5:$H$16,A6,'03_Detalle'!$O$5:$O$16)</f>
        <v/>
      </c>
      <c r="F6" s="34">
        <f>IF(C6=0,"",E6/C6)</f>
        <v/>
      </c>
    </row>
    <row r="7">
      <c r="A7" s="18" t="inlineStr">
        <is>
          <t>31 a 60 días</t>
        </is>
      </c>
      <c r="B7" s="30">
        <f>COUNTIF('03_Detalle'!$H$5:$H$16,A7)</f>
        <v/>
      </c>
      <c r="C7" s="20">
        <f>SUMIF('03_Detalle'!$H$5:$H$16,A7,'03_Detalle'!$K$5:$K$16)</f>
        <v/>
      </c>
      <c r="D7" s="31">
        <f>IF('02_Parametros'!$B$14="","",'02_Parametros'!$B$14/100)</f>
        <v/>
      </c>
      <c r="E7" s="20">
        <f>SUMIF('03_Detalle'!$H$5:$H$16,A7,'03_Detalle'!$O$5:$O$16)</f>
        <v/>
      </c>
      <c r="F7" s="31">
        <f>IF(C7=0,"",E7/C7)</f>
        <v/>
      </c>
    </row>
    <row r="8">
      <c r="A8" s="19" t="inlineStr">
        <is>
          <t>61 a 90 días</t>
        </is>
      </c>
      <c r="B8" s="33">
        <f>COUNTIF('03_Detalle'!$H$5:$H$16,A8)</f>
        <v/>
      </c>
      <c r="C8" s="21">
        <f>SUMIF('03_Detalle'!$H$5:$H$16,A8,'03_Detalle'!$K$5:$K$16)</f>
        <v/>
      </c>
      <c r="D8" s="34">
        <f>IF('02_Parametros'!$B$15="","",'02_Parametros'!$B$15/100)</f>
        <v/>
      </c>
      <c r="E8" s="21">
        <f>SUMIF('03_Detalle'!$H$5:$H$16,A8,'03_Detalle'!$O$5:$O$16)</f>
        <v/>
      </c>
      <c r="F8" s="34">
        <f>IF(C8=0,"",E8/C8)</f>
        <v/>
      </c>
    </row>
    <row r="9">
      <c r="A9" s="18" t="inlineStr">
        <is>
          <t>91 a 180 días</t>
        </is>
      </c>
      <c r="B9" s="30">
        <f>COUNTIF('03_Detalle'!$H$5:$H$16,A9)</f>
        <v/>
      </c>
      <c r="C9" s="20">
        <f>SUMIF('03_Detalle'!$H$5:$H$16,A9,'03_Detalle'!$K$5:$K$16)</f>
        <v/>
      </c>
      <c r="D9" s="31">
        <f>IF('02_Parametros'!$B$16="","",'02_Parametros'!$B$16/100)</f>
        <v/>
      </c>
      <c r="E9" s="20">
        <f>SUMIF('03_Detalle'!$H$5:$H$16,A9,'03_Detalle'!$O$5:$O$16)</f>
        <v/>
      </c>
      <c r="F9" s="31">
        <f>IF(C9=0,"",E9/C9)</f>
        <v/>
      </c>
    </row>
    <row r="10">
      <c r="A10" s="19" t="inlineStr">
        <is>
          <t>181 a 360 días</t>
        </is>
      </c>
      <c r="B10" s="33">
        <f>COUNTIF('03_Detalle'!$H$5:$H$16,A10)</f>
        <v/>
      </c>
      <c r="C10" s="21">
        <f>SUMIF('03_Detalle'!$H$5:$H$16,A10,'03_Detalle'!$K$5:$K$16)</f>
        <v/>
      </c>
      <c r="D10" s="34">
        <f>IF('02_Parametros'!$B$17="","",'02_Parametros'!$B$17/100)</f>
        <v/>
      </c>
      <c r="E10" s="21">
        <f>SUMIF('03_Detalle'!$H$5:$H$16,A10,'03_Detalle'!$O$5:$O$16)</f>
        <v/>
      </c>
      <c r="F10" s="34">
        <f>IF(C10=0,"",E10/C10)</f>
        <v/>
      </c>
    </row>
    <row r="11">
      <c r="A11" s="18" t="inlineStr">
        <is>
          <t>Más de 360 días</t>
        </is>
      </c>
      <c r="B11" s="30">
        <f>COUNTIF('03_Detalle'!$H$5:$H$16,A11)</f>
        <v/>
      </c>
      <c r="C11" s="20">
        <f>SUMIF('03_Detalle'!$H$5:$H$16,A11,'03_Detalle'!$K$5:$K$16)</f>
        <v/>
      </c>
      <c r="D11" s="31">
        <f>IF('02_Parametros'!$B$18="","",'02_Parametros'!$B$18/100)</f>
        <v/>
      </c>
      <c r="E11" s="20">
        <f>SUMIF('03_Detalle'!$H$5:$H$16,A11,'03_Detalle'!$O$5:$O$16)</f>
        <v/>
      </c>
      <c r="F11" s="31">
        <f>IF(C11=0,"",E11/C11)</f>
        <v/>
      </c>
    </row>
    <row r="12">
      <c r="A12" s="35" t="inlineStr">
        <is>
          <t>TOTAL</t>
        </is>
      </c>
      <c r="B12" s="38" t="n"/>
      <c r="C12" s="37">
        <f>SUM(C5:C11)</f>
        <v/>
      </c>
      <c r="D12" s="39" t="n"/>
      <c r="E12" s="37">
        <f>SUM(E5:E11)</f>
        <v/>
      </c>
      <c r="F12" s="39" t="n"/>
    </row>
    <row r="14">
      <c r="A14" s="22" t="inlineStr">
        <is>
          <t>ⓘ  Cómo se calcula esta hoja</t>
        </is>
      </c>
    </row>
    <row r="15">
      <c r="A15" s="23" t="inlineStr">
        <is>
          <t>Columna</t>
        </is>
      </c>
      <c r="B15" s="23" t="inlineStr">
        <is>
          <t>Fórmula (Excel)</t>
        </is>
      </c>
      <c r="C15" s="23" t="inlineStr">
        <is>
          <t>Cómo se calcula (sencillo)</t>
        </is>
      </c>
      <c r="D15" s="23" t="inlineStr">
        <is>
          <t>Ejemplo con números reales</t>
        </is>
      </c>
      <c r="E15" s="23" t="inlineStr">
        <is>
          <t>De dónde viene</t>
        </is>
      </c>
      <c r="F15" s="23" t="inlineStr">
        <is>
          <t>Norma</t>
        </is>
      </c>
    </row>
    <row r="16">
      <c r="A16" s="24" t="inlineStr">
        <is>
          <t>Facturas</t>
        </is>
      </c>
      <c r="B16" s="25" t="inlineStr">
        <is>
          <t>'=COUNTIF('03_Detalle'!$H$5:$H$16,A5)</t>
        </is>
      </c>
      <c r="C16" s="24" t="inlineStr">
        <is>
          <t>Cuenta cuántas facturas del detalle (hoja 03, Detalle por factura) están en este tramo.</t>
        </is>
      </c>
      <c r="D16" s="24" t="inlineStr">
        <is>
          <t>Fila 1: COUNTIF([«Tramo» de «Detalle por factura», 12 filas]; «Corriente / por vencer») → 4</t>
        </is>
      </c>
      <c r="E16" s="24" t="inlineStr">
        <is>
          <t>«Tramo» (esta hoja), hoja «Detalle por factura»</t>
        </is>
      </c>
      <c r="F16" s="24" t="inlineStr">
        <is>
          <t>—</t>
        </is>
      </c>
    </row>
    <row r="17">
      <c r="A17" s="24" t="inlineStr">
        <is>
          <t>Costo amortizado</t>
        </is>
      </c>
      <c r="B17" s="25" t="inlineStr">
        <is>
          <t>'=SUMIF('03_Detalle'!$H$5:$H$16,A5,'03_Detalle'!$K$5:$K$16)</t>
        </is>
      </c>
      <c r="C17" s="24" t="inlineStr">
        <is>
          <t>Suma el costo amortizado de las facturas del detalle (hoja 03) que caen en este tramo.</t>
        </is>
      </c>
      <c r="D17" s="24" t="inlineStr">
        <is>
          <t>Fila 1: SUMIF([«Tramo» de «Detalle por factura», 12 filas]; «Corriente / por vencer»; [«Costo amortizado» de «Detalle por factura», 12 filas]) → 36.837,95</t>
        </is>
      </c>
      <c r="E17" s="24" t="inlineStr">
        <is>
          <t>«Tramo» (esta hoja), hoja «Detalle por factura»</t>
        </is>
      </c>
      <c r="F17" s="24" t="inlineStr">
        <is>
          <t>—</t>
        </is>
      </c>
    </row>
    <row r="18">
      <c r="A18" s="24" t="inlineStr">
        <is>
          <t>Tasa del tramo</t>
        </is>
      </c>
      <c r="B18" s="25" t="inlineStr">
        <is>
          <t>'=IF('02_Parametros'!$B$12="","",'02_Parametros'!$B$12/100)</t>
        </is>
      </c>
      <c r="C18" s="24" t="inlineStr">
        <is>
          <t>Toma la tasa del tramo de la hoja 02 (Parámetros) y la divide para 100; si no se fijó, queda en blanco.</t>
        </is>
      </c>
      <c r="D18" s="24" t="inlineStr">
        <is>
          <t>Fila 1: IF(1,00=""; ""; 1,00/100) → 1,00 %</t>
        </is>
      </c>
      <c r="E18" s="24" t="inlineStr">
        <is>
          <t>hoja «Parámetros»</t>
        </is>
      </c>
      <c r="F18" s="24" t="inlineStr">
        <is>
          <t>—</t>
        </is>
      </c>
    </row>
    <row r="19">
      <c r="A19" s="24" t="inlineStr">
        <is>
          <t>Deterioro requerido</t>
        </is>
      </c>
      <c r="B19" s="25" t="inlineStr">
        <is>
          <t>'=SUMIF('03_Detalle'!$H$5:$H$16,A5,'03_Detalle'!$O$5:$O$16)</t>
        </is>
      </c>
      <c r="C19" s="24" t="inlineStr">
        <is>
          <t>Suma el deterioro requerido calculado factura por factura en la hoja 03 para este tramo, incluidas las facturas con tasa individual.</t>
        </is>
      </c>
      <c r="D19" s="24" t="inlineStr">
        <is>
          <t>Fila 1: SUMIF([«Tramo» de «Detalle por factura», 12 filas]; «Corriente / por vencer»; [«Deterioro requerido» de «Detalle por factura», 12 filas]) → 373,38</t>
        </is>
      </c>
      <c r="E19" s="24" t="inlineStr">
        <is>
          <t>«Tramo» (esta hoja), hoja «Detalle por factura»</t>
        </is>
      </c>
      <c r="F19" s="24" t="inlineStr">
        <is>
          <t>—</t>
        </is>
      </c>
    </row>
    <row r="20">
      <c r="A20" s="24" t="inlineStr">
        <is>
          <t>Tasa promedio aplicada</t>
        </is>
      </c>
      <c r="B20" s="25" t="inlineStr">
        <is>
          <t>'=IF(C5=0,"",E5/C5)</t>
        </is>
      </c>
      <c r="C20" s="24" t="inlineStr">
        <is>
          <t>Divide el deterioro requerido del tramo para su costo amortizado; si el tramo no tiene costo amortizado, queda en blanco.</t>
        </is>
      </c>
      <c r="D20" s="24" t="inlineStr">
        <is>
          <t>Fila 1: IF(36.837,95=0; ""; 373,38/36.837,95) → 1,01 %</t>
        </is>
      </c>
      <c r="E20" s="24" t="inlineStr">
        <is>
          <t>«Costo amortizado» (esta hoja), «Deterioro requerido» (esta hoja)</t>
        </is>
      </c>
      <c r="F20" s="24" t="inlineStr">
        <is>
          <t>—</t>
        </is>
      </c>
    </row>
  </sheetData>
  <mergeCells count="3">
    <mergeCell ref="A2:F2"/>
    <mergeCell ref="A14:F14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45" customWidth="1" min="3" max="3"/>
  </cols>
  <sheetData>
    <row r="1">
      <c r="A1" s="3" t="inlineStr">
        <is>
          <t>Deterioro requerido vs registrado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Cuentas por cobrar y deterioro · cartera, cobros, circularización y costo amortizado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  <c r="C4" s="17" t="inlineStr">
        <is>
          <t>Referencia</t>
        </is>
      </c>
    </row>
    <row r="5">
      <c r="A5" s="18" t="inlineStr">
        <is>
          <t>Pérdida crediticia esperada requerida (NIIF 9)</t>
        </is>
      </c>
      <c r="B5" s="20">
        <f>'09_Matriz_deterioro'!E12</f>
        <v/>
      </c>
      <c r="C5" s="18" t="inlineStr">
        <is>
          <t>Matriz de deterioro + tasas individuales</t>
        </is>
      </c>
    </row>
    <row r="6">
      <c r="A6" s="19" t="inlineStr">
        <is>
          <t>Deterioro registrado (mayor)</t>
        </is>
      </c>
      <c r="B6" s="21">
        <f>'02_Parametros'!$B$10</f>
        <v/>
      </c>
      <c r="C6" s="19" t="inlineStr">
        <is>
          <t>Parámetros</t>
        </is>
      </c>
    </row>
    <row r="7">
      <c r="A7" s="18" t="inlineStr">
        <is>
          <t>Ajuste de deterioro propuesto</t>
        </is>
      </c>
      <c r="B7" s="20">
        <f>B5-B6</f>
        <v/>
      </c>
      <c r="C7" s="18" t="inlineStr">
        <is>
          <t>Positivo: falta deterioro; negativo: exceso</t>
        </is>
      </c>
    </row>
    <row r="8">
      <c r="A8" s="19" t="inlineStr">
        <is>
          <t>Intereses implícitos por devengar requeridos</t>
        </is>
      </c>
      <c r="B8" s="21">
        <f>SUM('03_Detalle'!$L$5:$L$16)</f>
        <v/>
      </c>
      <c r="C8" s="19" t="inlineStr">
        <is>
          <t>NIIF 9 5.1.1 y B5.1.1; PYMES 11.13</t>
        </is>
      </c>
    </row>
    <row r="9">
      <c r="A9" s="18" t="inlineStr">
        <is>
          <t>Intereses por devengar registrados (mayor)</t>
        </is>
      </c>
      <c r="B9" s="20">
        <f>'02_Parametros'!$B$11</f>
        <v/>
      </c>
      <c r="C9" s="18" t="inlineStr">
        <is>
          <t>Parámetros</t>
        </is>
      </c>
    </row>
    <row r="10">
      <c r="A10" s="19" t="inlineStr">
        <is>
          <t>Ajuste por financiación implícita</t>
        </is>
      </c>
      <c r="B10" s="21">
        <f>B8-B9</f>
        <v/>
      </c>
      <c r="C10" s="19" t="inlineStr">
        <is>
          <t>Menor valor de la cartera</t>
        </is>
      </c>
    </row>
    <row r="11">
      <c r="A11" s="18" t="inlineStr">
        <is>
          <t>Ventas registradas antes del despacho</t>
        </is>
      </c>
      <c r="B11" s="20">
        <f>'07_Corte_ventas'!H8</f>
        <v/>
      </c>
      <c r="C11" s="18" t="inlineStr">
        <is>
          <t>NIIF 15 31, 38</t>
        </is>
      </c>
    </row>
    <row r="12">
      <c r="A12" s="19" t="inlineStr">
        <is>
          <t>Ventas despachadas sin registrar en el ejercicio</t>
        </is>
      </c>
      <c r="B12" s="21">
        <f>'07_Corte_ventas'!I8</f>
        <v/>
      </c>
      <c r="C12" s="19" t="inlineStr">
        <is>
          <t>NIIF 15 31, 38</t>
        </is>
      </c>
    </row>
    <row r="13">
      <c r="A13" s="18" t="inlineStr">
        <is>
          <t>Cartera vencida sin cobro posterior</t>
        </is>
      </c>
      <c r="B13" s="20">
        <f>'05_Cobros_posteriores'!J17</f>
        <v/>
      </c>
      <c r="C13" s="18" t="inlineStr">
        <is>
          <t>Evidencia sobre la estimación (NIA 540)</t>
        </is>
      </c>
    </row>
    <row r="14">
      <c r="A14" s="19" t="inlineStr">
        <is>
          <t>Diferencias de circularización (absolutas)</t>
        </is>
      </c>
      <c r="B14" s="21">
        <f>'06_Circularizacion'!F8</f>
        <v/>
      </c>
      <c r="C14" s="19" t="inlineStr">
        <is>
          <t>NIA 505</t>
        </is>
      </c>
    </row>
    <row r="16">
      <c r="A16" s="22" t="inlineStr">
        <is>
          <t>ⓘ  Cómo se calcula esta hoja</t>
        </is>
      </c>
    </row>
    <row r="17">
      <c r="A17" s="23" t="inlineStr">
        <is>
          <t>Columna</t>
        </is>
      </c>
      <c r="B17" s="23" t="inlineStr">
        <is>
          <t>Fórmula (Excel)</t>
        </is>
      </c>
      <c r="C17" s="23" t="inlineStr">
        <is>
          <t>Cómo se calcula (sencillo)</t>
        </is>
      </c>
      <c r="D17" s="23" t="inlineStr">
        <is>
          <t>Ejemplo con números reales</t>
        </is>
      </c>
      <c r="E17" s="23" t="inlineStr">
        <is>
          <t>De dónde viene</t>
        </is>
      </c>
      <c r="F17" s="23" t="inlineStr">
        <is>
          <t>Norma</t>
        </is>
      </c>
    </row>
    <row r="18">
      <c r="A18" s="24" t="inlineStr">
        <is>
          <t>Importe</t>
        </is>
      </c>
      <c r="B18" s="25" t="inlineStr">
        <is>
          <t>'='09_Matriz_deterioro'!E12</t>
        </is>
      </c>
      <c r="C18" s="24" t="inlineStr">
        <is>
          <t>El deterioro requerido sale del total de la hoja 09 (Matriz de deterioro); lo registrado, de la hoja 02 (Parámetros); los ajustes son requerido − registrado; los intereses se suman de la hoja 03; el corte, la cartera sin cobro y la circularización son los totales de las hojas 07, 05 y 06.</t>
        </is>
      </c>
      <c r="D18" s="24" t="inlineStr">
        <is>
          <t>Fila 1: 6.143,38 → 6.143,38</t>
        </is>
      </c>
      <c r="E18" s="24" t="inlineStr">
        <is>
          <t>hoja «Matriz de deterioro»</t>
        </is>
      </c>
      <c r="F18" s="24" t="inlineStr">
        <is>
          <t>—</t>
        </is>
      </c>
    </row>
  </sheetData>
  <mergeCells count="3">
    <mergeCell ref="A2:F2"/>
    <mergeCell ref="A16:F16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60" customWidth="1" min="2" max="2"/>
    <col width="12" customWidth="1" min="3" max="3"/>
    <col width="12" customWidth="1" min="4" max="4"/>
  </cols>
  <sheetData>
    <row r="1">
      <c r="A1" s="3" t="inlineStr">
        <is>
          <t>Asientos propuestos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Cuentas por cobrar y deterioro · cartera, cobros, circularización y costo amortizado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Asiento</t>
        </is>
      </c>
      <c r="B4" s="17" t="inlineStr">
        <is>
          <t>Cuenta</t>
        </is>
      </c>
      <c r="C4" s="17" t="inlineStr">
        <is>
          <t>Debe</t>
        </is>
      </c>
      <c r="D4" s="17" t="inlineStr">
        <is>
          <t>Haber</t>
        </is>
      </c>
    </row>
    <row r="5">
      <c r="A5" s="18" t="inlineStr">
        <is>
          <t>1 · Deterioro faltante</t>
        </is>
      </c>
      <c r="B5" s="18" t="inlineStr">
        <is>
          <t>Gasto por pérdidas crediticias esperadas</t>
        </is>
      </c>
      <c r="C5" s="20">
        <f>ABS('10_Ajuste'!B7)</f>
        <v/>
      </c>
      <c r="D5" s="20" t="n"/>
    </row>
    <row r="6">
      <c r="A6" s="19" t="inlineStr"/>
      <c r="B6" s="19" t="inlineStr">
        <is>
          <t>(-) Deterioro de cuentas por cobrar</t>
        </is>
      </c>
      <c r="C6" s="21" t="n"/>
      <c r="D6" s="21">
        <f>ABS('10_Ajuste'!B7)</f>
        <v/>
      </c>
    </row>
    <row r="7">
      <c r="A7" s="18" t="inlineStr">
        <is>
          <t>2 · Componente de financiación no reconocido</t>
        </is>
      </c>
      <c r="B7" s="18" t="inlineStr">
        <is>
          <t>Ingresos de actividades ordinarias (componente de financiación)</t>
        </is>
      </c>
      <c r="C7" s="20">
        <f>'08_Costo_amortizado'!J6</f>
        <v/>
      </c>
      <c r="D7" s="20" t="n"/>
    </row>
    <row r="8">
      <c r="A8" s="19" t="inlineStr"/>
      <c r="B8" s="19" t="inlineStr">
        <is>
          <t>(-) Intereses implícitos por devengar (cartera)</t>
        </is>
      </c>
      <c r="C8" s="21" t="n"/>
      <c r="D8" s="21">
        <f>'08_Costo_amortizado'!M6</f>
        <v/>
      </c>
    </row>
    <row r="9">
      <c r="A9" s="18" t="inlineStr"/>
      <c r="B9" s="18" t="inlineStr">
        <is>
          <t>Ingresos financieros por intereses devengados</t>
        </is>
      </c>
      <c r="C9" s="20" t="n"/>
      <c r="D9" s="20">
        <f>'08_Costo_amortizado'!L6</f>
        <v/>
      </c>
    </row>
    <row r="10">
      <c r="A10" s="19" t="inlineStr">
        <is>
          <t>3 · Reverso de ventas no despachadas al corte</t>
        </is>
      </c>
      <c r="B10" s="19" t="inlineStr">
        <is>
          <t>Ingresos de actividades ordinarias</t>
        </is>
      </c>
      <c r="C10" s="21">
        <f>'10_Ajuste'!B11</f>
        <v/>
      </c>
      <c r="D10" s="21" t="n"/>
    </row>
    <row r="11">
      <c r="A11" s="18" t="inlineStr"/>
      <c r="B11" s="18" t="inlineStr">
        <is>
          <t>Cuentas por cobrar comerciales</t>
        </is>
      </c>
      <c r="C11" s="20" t="n"/>
      <c r="D11" s="20">
        <f>'10_Ajuste'!B11</f>
        <v/>
      </c>
    </row>
    <row r="13">
      <c r="A13" s="22" t="inlineStr">
        <is>
          <t>ⓘ  Cómo se calcula esta hoja</t>
        </is>
      </c>
    </row>
    <row r="14">
      <c r="A14" s="23" t="inlineStr">
        <is>
          <t>Columna</t>
        </is>
      </c>
      <c r="B14" s="23" t="inlineStr">
        <is>
          <t>Fórmula (Excel)</t>
        </is>
      </c>
      <c r="C14" s="23" t="inlineStr">
        <is>
          <t>Cómo se calcula (sencillo)</t>
        </is>
      </c>
      <c r="D14" s="23" t="inlineStr">
        <is>
          <t>Ejemplo con números reales</t>
        </is>
      </c>
      <c r="E14" s="23" t="inlineStr">
        <is>
          <t>De dónde viene</t>
        </is>
      </c>
      <c r="F14" s="23" t="inlineStr">
        <is>
          <t>Norma</t>
        </is>
      </c>
    </row>
    <row r="15">
      <c r="A15" s="24" t="inlineStr">
        <is>
          <t>Debe</t>
        </is>
      </c>
      <c r="B15" s="25" t="inlineStr">
        <is>
          <t>'=ABS('10_Ajuste'!B7)</t>
        </is>
      </c>
      <c r="C15" s="24" t="inlineStr">
        <is>
          <t>Toma cada importe de la hoja 10 (Deterioro requerido vs registrado) —ajuste de deterioro, de financiación o de corte— o, para el componente de financiación, de los totales de la hoja 08 (Costo amortizado e intereses implícitos).</t>
        </is>
      </c>
      <c r="D15" s="24" t="inlineStr">
        <is>
          <t>Fila 1: ABS(4.143,38) → 4.143,38</t>
        </is>
      </c>
      <c r="E15" s="24" t="inlineStr">
        <is>
          <t>hoja «Deterioro requerido vs registrado»</t>
        </is>
      </c>
      <c r="F15" s="24" t="inlineStr">
        <is>
          <t>—</t>
        </is>
      </c>
    </row>
    <row r="16">
      <c r="A16" s="24" t="inlineStr">
        <is>
          <t>Haber</t>
        </is>
      </c>
      <c r="B16" s="25" t="inlineStr">
        <is>
          <t>'=ABS('10_Ajuste'!B7)</t>
        </is>
      </c>
      <c r="C16" s="24" t="inlineStr">
        <is>
          <t>Lleva a la contrapartida los importes del asiento, tomados de la hoja 10 o de los totales de la hoja 08 (interés por devengar e interés devengado), para que debe y haber cuadren.</t>
        </is>
      </c>
      <c r="D16" s="24" t="inlineStr">
        <is>
          <t>Fila 2: ABS(4.143,38) → 4.143,38</t>
        </is>
      </c>
      <c r="E16" s="24" t="inlineStr">
        <is>
          <t>hoja «Deterioro requerido vs registrado»</t>
        </is>
      </c>
      <c r="F16" s="24" t="inlineStr">
        <is>
          <t>—</t>
        </is>
      </c>
    </row>
  </sheetData>
  <mergeCells count="3">
    <mergeCell ref="A13:F13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12" customWidth="1" min="3" max="3"/>
  </cols>
  <sheetData>
    <row r="1">
      <c r="A1" s="3" t="inlineStr">
        <is>
          <t>Problemas encontrados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Cuentas por cobrar y deterioro · cartera, cobros, circularización y costo amortizado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Importe</t>
        </is>
      </c>
    </row>
    <row r="5">
      <c r="A5" s="18" t="inlineStr">
        <is>
          <t>VENCIDA_SIN_COBRO</t>
        </is>
      </c>
      <c r="B5" s="18" t="inlineStr">
        <is>
          <t>6 factura(s) vencidas al corte sin cobro posterior suficiente: 18.000,00. Evalúe su recuperabilidad y la tasa aplicada (NIA 540, NIA 560).</t>
        </is>
      </c>
      <c r="C5" s="20" t="n">
        <v>18000</v>
      </c>
    </row>
    <row r="6">
      <c r="A6" s="19" t="inlineStr">
        <is>
          <t>COBRO_NO_POSTERIOR</t>
        </is>
      </c>
      <c r="B6" s="19" t="inlineStr">
        <is>
          <t>F-009: el cobro informado no tiene fecha posterior al corte; no se toma como cobro posterior.</t>
        </is>
      </c>
      <c r="C6" s="21" t="n">
        <v>6000</v>
      </c>
    </row>
    <row r="7">
      <c r="A7" s="18" t="inlineStr">
        <is>
          <t>DIF_CIRCULARIZACION</t>
        </is>
      </c>
      <c r="B7" s="18" t="inlineStr">
        <is>
          <t>1 confirmación(es) con diferencia contra libros: F-004 -500,00. Investigue y concilie (NIA 505 párr. 14).</t>
        </is>
      </c>
      <c r="C7" s="20" t="n">
        <v>500</v>
      </c>
    </row>
    <row r="8">
      <c r="A8" s="19" t="inlineStr">
        <is>
          <t>ERROR_CORTE</t>
        </is>
      </c>
      <c r="B8" s="19" t="inlineStr">
        <is>
          <t>F-002: venta registrada en el ejercicio y despachada después del corte (NIIF 15 31 y 38).</t>
        </is>
      </c>
      <c r="C8" s="21" t="n">
        <v>8000</v>
      </c>
    </row>
    <row r="9">
      <c r="A9" s="18" t="inlineStr">
        <is>
          <t>FINANCIACION_NO_RECONOCIDA</t>
        </is>
      </c>
      <c r="B9" s="18" t="inlineStr">
        <is>
          <t>Intereses implícitos por devengar 2.662,05 frente a 0,00 registrados (dato del mayor no informado): cartera de plazo largo medida por su nominal (NIIF 9 5.1.1 y B5.1.1; NIIF 15 60–63; PYMES 11.13).</t>
        </is>
      </c>
      <c r="C9" s="20" t="n">
        <v>2662.05</v>
      </c>
    </row>
    <row r="10">
      <c r="A10" s="19" t="inlineStr">
        <is>
          <t>SALDOS_NEGATIVOS</t>
        </is>
      </c>
      <c r="B10" s="19" t="inlineStr">
        <is>
          <t>Saldos acreedores en la cartera -500,00 (anticipos o notas de crédito): evalúe su reclasificación al pasivo.</t>
        </is>
      </c>
      <c r="C10" s="21" t="n">
        <v>-500</v>
      </c>
    </row>
    <row r="11">
      <c r="A11" s="18" t="inlineStr">
        <is>
          <t>DETERIORO_INSUFICIENTE</t>
        </is>
      </c>
      <c r="B11" s="18" t="inlineStr">
        <is>
          <t>La pérdida crediticia esperada requerida (6.143,38) supera el deterioro registrado (2.000,00).</t>
        </is>
      </c>
      <c r="C11" s="20" t="n">
        <v>4143.38</v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>
      <c r="A1" s="3" t="inlineStr">
        <is>
          <t>Conclusión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Cuentas por cobrar y deterioro · cartera, cobros, circularización y costo amortizado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Conciliación con el mayor</t>
        </is>
      </c>
      <c r="B5" s="18" t="inlineStr">
        <is>
          <t>Población None · mayor None · diferencia None</t>
        </is>
      </c>
    </row>
    <row r="6">
      <c r="A6" s="19" t="inlineStr">
        <is>
          <t>Evaluación de excepciones</t>
        </is>
      </c>
      <c r="B6" s="19" t="inlineStr"/>
    </row>
    <row r="7">
      <c r="A7" s="18" t="inlineStr">
        <is>
          <t>Análisis</t>
        </is>
      </c>
      <c r="B7" s="18" t="inlineStr"/>
    </row>
    <row r="8">
      <c r="A8" s="19" t="inlineStr">
        <is>
          <t>Conclusión</t>
        </is>
      </c>
      <c r="B8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2" customWidth="1" min="5" max="5"/>
    <col width="12" customWidth="1" min="6" max="6"/>
  </cols>
  <sheetData>
    <row r="1">
      <c r="A1" s="3" t="inlineStr">
        <is>
          <t>Control de revisión</t>
        </is>
      </c>
      <c r="H1" s="14" t="inlineStr">
        <is>
          <t>⟵ Inicio</t>
        </is>
      </c>
      <c r="I1" s="14" t="inlineStr">
        <is>
          <t>◀ Anterior</t>
        </is>
      </c>
    </row>
    <row r="2">
      <c r="A2" s="15" t="inlineStr">
        <is>
          <t>Cuentas por cobrar y deterioro · cartera, cobros, circularización y costo amortizado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Fecha</t>
        </is>
      </c>
      <c r="B4" s="17" t="inlineStr">
        <is>
          <t>Acción</t>
        </is>
      </c>
      <c r="C4" s="17" t="inlineStr">
        <is>
          <t>Estado anterior</t>
        </is>
      </c>
      <c r="D4" s="17" t="inlineStr">
        <is>
          <t>Estado nuevo</t>
        </is>
      </c>
      <c r="E4" s="17" t="inlineStr">
        <is>
          <t>Actor</t>
        </is>
      </c>
      <c r="F4" s="17" t="inlineStr">
        <is>
          <t>Comentario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2026-09-24T04:19:19Z</dcterms:created>
  <dcterms:modified xmlns:dcterms="http://purl.org/dc/terms/" xmlns:xsi="http://www.w3.org/2001/XMLSchema-instance" xsi:type="dcterms:W3CDTF">2026-09-24T04:19:19Z</dcterms:modified>
</cp:coreProperties>
</file>