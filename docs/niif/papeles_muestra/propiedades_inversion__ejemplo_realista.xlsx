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Inmuebles" sheetId="7" state="visible" r:id="rId7"/>
    <sheet xmlns:r="http://schemas.openxmlformats.org/officeDocument/2006/relationships" name="04_Clasificacion" sheetId="8" state="visible" r:id="rId8"/>
    <sheet xmlns:r="http://schemas.openxmlformats.org/officeDocument/2006/relationships" name="05_Costo_inicial" sheetId="9" state="visible" r:id="rId9"/>
    <sheet xmlns:r="http://schemas.openxmlformats.org/officeDocument/2006/relationships" name="06_Valor_razonable" sheetId="10" state="visible" r:id="rId10"/>
    <sheet xmlns:r="http://schemas.openxmlformats.org/officeDocument/2006/relationships" name="07_Modelo_costo" sheetId="11" state="visible" r:id="rId11"/>
    <sheet xmlns:r="http://schemas.openxmlformats.org/officeDocument/2006/relationships" name="08_Medicion" sheetId="12" state="visible" r:id="rId12"/>
    <sheet xmlns:r="http://schemas.openxmlformats.org/officeDocument/2006/relationships" name="09_Transferencias" sheetId="13" state="visible" r:id="rId13"/>
    <sheet xmlns:r="http://schemas.openxmlformats.org/officeDocument/2006/relationships" name="10_Superavit" sheetId="14" state="visible" r:id="rId14"/>
    <sheet xmlns:r="http://schemas.openxmlformats.org/officeDocument/2006/relationships" name="11_Alquileres" sheetId="15" state="visible" r:id="rId15"/>
    <sheet xmlns:r="http://schemas.openxmlformats.org/officeDocument/2006/relationships" name="12_Bajas" sheetId="16" state="visible" r:id="rId16"/>
    <sheet xmlns:r="http://schemas.openxmlformats.org/officeDocument/2006/relationships" name="13_Conciliacion" sheetId="17" state="visible" r:id="rId17"/>
    <sheet xmlns:r="http://schemas.openxmlformats.org/officeDocument/2006/relationships" name="14_Problemas" sheetId="18" state="visible" r:id="rId18"/>
    <sheet xmlns:r="http://schemas.openxmlformats.org/officeDocument/2006/relationships" name="13_Conclusion" sheetId="19" state="visible" r:id="rId19"/>
    <sheet xmlns:r="http://schemas.openxmlformats.org/officeDocument/2006/relationships" name="14_Control_Revision" sheetId="20" state="visible" r:id="rId20"/>
  </sheets>
  <definedNames>
    <definedName name="_xlnm.Print_Area" localSheetId="0">'00_Inicio'!$A$1:$L$78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165" fontId="4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165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165" fontId="13" fillId="5" borderId="4" applyAlignment="1" pivotButton="0" quotePrefix="0" xfId="0">
      <alignment horizontal="right" vertical="center"/>
    </xf>
    <xf numFmtId="10" fontId="12" fillId="0" borderId="3" applyAlignment="1" pivotButton="0" quotePrefix="0" xfId="0">
      <alignment horizontal="right" vertical="center"/>
    </xf>
    <xf numFmtId="10" fontId="12" fillId="6" borderId="3" applyAlignment="1" pivotButton="0" quotePrefix="0" xfId="0">
      <alignment horizontal="right" vertical="center"/>
    </xf>
    <xf numFmtId="10" fontId="13" fillId="5" borderId="4" applyAlignment="1" pivotButton="0" quotePrefix="0" xfId="0">
      <alignment horizontal="right" vertical="center"/>
    </xf>
    <xf numFmtId="3" fontId="12" fillId="0" borderId="3" applyAlignment="1" pivotButton="0" quotePrefix="0" xfId="0">
      <alignment horizontal="right" vertical="center"/>
    </xf>
    <xf numFmtId="3" fontId="12" fillId="6" borderId="3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'00_Inicio'!$N$24:$N$43</f>
            </numRef>
          </cat>
          <val>
            <numRef>
              <f>'00_Inicio'!$O$24:$O$43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'00_Inicio'!O45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'00_Inicio'!$N$46:$N$53</f>
            </numRef>
          </cat>
          <val>
            <numRef>
              <f>'00_Inicio'!$O$46:$O$53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6263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58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Inmuebles'!A1" TargetMode="External" Id="rId6"/><Relationship Type="http://schemas.openxmlformats.org/officeDocument/2006/relationships/hyperlink" Target="#'04_Clasificacion'!A1" TargetMode="External" Id="rId7"/><Relationship Type="http://schemas.openxmlformats.org/officeDocument/2006/relationships/hyperlink" Target="#'05_Costo_inicial'!A1" TargetMode="External" Id="rId8"/><Relationship Type="http://schemas.openxmlformats.org/officeDocument/2006/relationships/hyperlink" Target="#'06_Valor_razonable'!A1" TargetMode="External" Id="rId9"/><Relationship Type="http://schemas.openxmlformats.org/officeDocument/2006/relationships/hyperlink" Target="#'07_Modelo_costo'!A1" TargetMode="External" Id="rId10"/><Relationship Type="http://schemas.openxmlformats.org/officeDocument/2006/relationships/hyperlink" Target="#'08_Medicion'!A1" TargetMode="External" Id="rId11"/><Relationship Type="http://schemas.openxmlformats.org/officeDocument/2006/relationships/hyperlink" Target="#'09_Transferencias'!A1" TargetMode="External" Id="rId12"/><Relationship Type="http://schemas.openxmlformats.org/officeDocument/2006/relationships/hyperlink" Target="#'10_Superavit'!A1" TargetMode="External" Id="rId13"/><Relationship Type="http://schemas.openxmlformats.org/officeDocument/2006/relationships/hyperlink" Target="#'11_Alquileres'!A1" TargetMode="External" Id="rId14"/><Relationship Type="http://schemas.openxmlformats.org/officeDocument/2006/relationships/hyperlink" Target="#'12_Bajas'!A1" TargetMode="External" Id="rId15"/><Relationship Type="http://schemas.openxmlformats.org/officeDocument/2006/relationships/hyperlink" Target="#'13_Conciliacion'!A1" TargetMode="External" Id="rId16"/><Relationship Type="http://schemas.openxmlformats.org/officeDocument/2006/relationships/hyperlink" Target="#'14_Problemas'!A1" TargetMode="External" Id="rId17"/><Relationship Type="http://schemas.openxmlformats.org/officeDocument/2006/relationships/hyperlink" Target="#'13_Conclusion'!A1" TargetMode="External" Id="rId18"/><Relationship Type="http://schemas.openxmlformats.org/officeDocument/2006/relationships/hyperlink" Target="#'14_Control_Revision'!A1" TargetMode="External" Id="rId19"/><Relationship Type="http://schemas.openxmlformats.org/officeDocument/2006/relationships/drawing" Target="/xl/drawings/drawing1.xml" Id="rId20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Inmueble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Clasificacion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Inmuebles'!A1" TargetMode="External" Id="rId2"/><Relationship Type="http://schemas.openxmlformats.org/officeDocument/2006/relationships/hyperlink" Target="#'05_Costo_inicial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Clasificacion'!A1" TargetMode="External" Id="rId2"/><Relationship Type="http://schemas.openxmlformats.org/officeDocument/2006/relationships/hyperlink" Target="#'06_Valor_razonable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Costo_inicial'!A1" TargetMode="External" Id="rId2"/><Relationship Type="http://schemas.openxmlformats.org/officeDocument/2006/relationships/hyperlink" Target="#'07_Modelo_costo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Valor_razonable'!A1" TargetMode="External" Id="rId2"/><Relationship Type="http://schemas.openxmlformats.org/officeDocument/2006/relationships/hyperlink" Target="#'08_Medicion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Modelo_costo'!A1" TargetMode="External" Id="rId2"/><Relationship Type="http://schemas.openxmlformats.org/officeDocument/2006/relationships/hyperlink" Target="#'09_Transferencias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Medicion'!A1" TargetMode="External" Id="rId2"/><Relationship Type="http://schemas.openxmlformats.org/officeDocument/2006/relationships/hyperlink" Target="#'10_Superavit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Transferencias'!A1" TargetMode="External" Id="rId2"/><Relationship Type="http://schemas.openxmlformats.org/officeDocument/2006/relationships/hyperlink" Target="#'11_Alquileres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Superavit'!A1" TargetMode="External" Id="rId2"/><Relationship Type="http://schemas.openxmlformats.org/officeDocument/2006/relationships/hyperlink" Target="#'12_Baja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Alquileres'!A1" TargetMode="External" Id="rId2"/><Relationship Type="http://schemas.openxmlformats.org/officeDocument/2006/relationships/hyperlink" Target="#'13_Conciliacion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Bajas'!A1" TargetMode="External" Id="rId2"/><Relationship Type="http://schemas.openxmlformats.org/officeDocument/2006/relationships/hyperlink" Target="#'14_Problemas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iliacion'!A1" TargetMode="External" Id="rId2"/><Relationship Type="http://schemas.openxmlformats.org/officeDocument/2006/relationships/hyperlink" Target="#'13_Conclusion'!A1" TargetMode="External" Id="rId3"/></Relationships>
</file>

<file path=xl/worksheets/_rels/sheet1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4_Problemas'!A1" TargetMode="External" Id="rId2"/><Relationship Type="http://schemas.openxmlformats.org/officeDocument/2006/relationships/hyperlink" Target="#'14_Control_Revision'!A1" TargetMode="External" Id="rId3"/></Relationships>
</file>

<file path=xl/worksheets/_rels/sheet2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Propiedades de inversión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(neto)</t>
        </is>
      </c>
      <c r="C11" s="7" t="inlineStr">
        <is>
          <t>Problemas encontrados</t>
        </is>
      </c>
    </row>
    <row r="12">
      <c r="B12" s="8" t="n">
        <v>-198500</v>
      </c>
      <c r="C12" s="9" t="n">
        <v>18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 y ajuste propuesto</t>
        </is>
      </c>
    </row>
    <row r="17" ht="32" customHeight="1">
      <c r="B17" s="10" t="inlineStr">
        <is>
          <t>Parámetros y ruta por marco</t>
        </is>
      </c>
      <c r="C17" s="10" t="inlineStr">
        <is>
          <t>Registro de inmuebles</t>
        </is>
      </c>
      <c r="D17" s="10" t="inlineStr">
        <is>
          <t>Clasificación</t>
        </is>
      </c>
      <c r="E17" s="10" t="inlineStr">
        <is>
          <t>Costo inicial</t>
        </is>
      </c>
    </row>
    <row r="18" ht="32" customHeight="1">
      <c r="B18" s="10" t="inlineStr">
        <is>
          <t>Valor razonable</t>
        </is>
      </c>
      <c r="C18" s="10" t="inlineStr">
        <is>
          <t>Modelo del costo: depreciación y deterioro</t>
        </is>
      </c>
      <c r="D18" s="10" t="inlineStr">
        <is>
          <t>Medición auditada por inmueble</t>
        </is>
      </c>
      <c r="E18" s="10" t="inlineStr">
        <is>
          <t>Transferencias</t>
        </is>
      </c>
    </row>
    <row r="19" ht="32" customHeight="1">
      <c r="B19" s="10" t="inlineStr">
        <is>
          <t>Historial del superávit de revaluación</t>
        </is>
      </c>
      <c r="C19" s="10" t="inlineStr">
        <is>
          <t>Ingresos por alquiler</t>
        </is>
      </c>
      <c r="D19" s="10" t="inlineStr">
        <is>
          <t>Bajas</t>
        </is>
      </c>
      <c r="E19" s="10" t="inlineStr">
        <is>
          <t>Sumaria y conciliación</t>
        </is>
      </c>
    </row>
    <row r="20" ht="32" customHeight="1">
      <c r="B20" s="10" t="inlineStr">
        <is>
          <t>Problemas encontrados</t>
        </is>
      </c>
      <c r="C20" s="10" t="inlineStr">
        <is>
          <t>Conclusión</t>
        </is>
      </c>
      <c r="D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4">
      <c r="N34" s="12">
        <f>'01_Resumen'!A15</f>
        <v/>
      </c>
      <c r="O34" s="13">
        <f>'01_Resumen'!B15</f>
        <v/>
      </c>
    </row>
    <row r="35">
      <c r="N35" s="12">
        <f>'01_Resumen'!A16</f>
        <v/>
      </c>
      <c r="O35" s="13">
        <f>'01_Resumen'!B16</f>
        <v/>
      </c>
    </row>
    <row r="36">
      <c r="N36" s="12">
        <f>'01_Resumen'!A17</f>
        <v/>
      </c>
      <c r="O36" s="13">
        <f>'01_Resumen'!B17</f>
        <v/>
      </c>
    </row>
    <row r="37">
      <c r="N37" s="12">
        <f>'01_Resumen'!A18</f>
        <v/>
      </c>
      <c r="O37" s="13">
        <f>'01_Resumen'!B18</f>
        <v/>
      </c>
    </row>
    <row r="38">
      <c r="N38" s="12">
        <f>'01_Resumen'!A19</f>
        <v/>
      </c>
      <c r="O38" s="13">
        <f>'01_Resumen'!B19</f>
        <v/>
      </c>
    </row>
    <row r="39">
      <c r="N39" s="12">
        <f>'01_Resumen'!A20</f>
        <v/>
      </c>
      <c r="O39" s="13">
        <f>'01_Resumen'!B20</f>
        <v/>
      </c>
    </row>
    <row r="40">
      <c r="N40" s="12">
        <f>'01_Resumen'!A21</f>
        <v/>
      </c>
      <c r="O40" s="13">
        <f>'01_Resumen'!B21</f>
        <v/>
      </c>
    </row>
    <row r="41">
      <c r="N41" s="12">
        <f>'01_Resumen'!A22</f>
        <v/>
      </c>
      <c r="O41" s="13">
        <f>'01_Resumen'!B22</f>
        <v/>
      </c>
    </row>
    <row r="42">
      <c r="N42" s="12">
        <f>'01_Resumen'!A23</f>
        <v/>
      </c>
      <c r="O42" s="13">
        <f>'01_Resumen'!B23</f>
        <v/>
      </c>
    </row>
    <row r="43">
      <c r="N43" s="12">
        <f>'01_Resumen'!A24</f>
        <v/>
      </c>
      <c r="O43" s="13">
        <f>'01_Resumen'!B24</f>
        <v/>
      </c>
    </row>
    <row r="45">
      <c r="N45" s="12" t="inlineStr">
        <is>
          <t>Hallazgos de mayor impacto</t>
        </is>
      </c>
      <c r="O45" s="12" t="inlineStr">
        <is>
          <t>Importe (USD)</t>
        </is>
      </c>
    </row>
    <row r="46">
      <c r="N46" s="12" t="inlineStr">
        <is>
          <t>Mal clasificado</t>
        </is>
      </c>
      <c r="O46" s="13">
        <f>SUMIFS('14_Problemas'!$C$5:$C$22,'14_Problemas'!$A$5:$A$22,"MAL_CLASIFICADO",'14_Problemas'!$C$5:$C$22,"&gt;0")-SUMIFS('14_Problemas'!$C$5:$C$22,'14_Problemas'!$A$5:$A$22,"MAL_CLASIFICADO",'14_Problemas'!$C$5:$C$22,"&lt;0")</f>
        <v/>
      </c>
    </row>
    <row r="47">
      <c r="N47" s="12" t="inlineStr">
        <is>
          <t>Ajuste</t>
        </is>
      </c>
      <c r="O47" s="13">
        <f>SUMIFS('14_Problemas'!$C$5:$C$22,'14_Problemas'!$A$5:$A$22,"AJUSTE",'14_Problemas'!$C$5:$C$22,"&gt;0")-SUMIFS('14_Problemas'!$C$5:$C$22,'14_Problemas'!$A$5:$A$22,"AJUSTE",'14_Problemas'!$C$5:$C$22,"&lt;0")</f>
        <v/>
      </c>
    </row>
    <row r="48">
      <c r="N48" s="12" t="inlineStr">
        <is>
          <t>Superavit en patrimonio</t>
        </is>
      </c>
      <c r="O48" s="13">
        <f>SUMIFS('14_Problemas'!$C$5:$C$22,'14_Problemas'!$A$5:$A$22,"SUPERAVIT_EN_PATRIMONIO",'14_Problemas'!$C$5:$C$22,"&gt;0")-SUMIFS('14_Problemas'!$C$5:$C$22,'14_Problemas'!$A$5:$A$22,"SUPERAVIT_EN_PATRIMONIO",'14_Problemas'!$C$5:$C$22,"&lt;0")</f>
        <v/>
      </c>
    </row>
    <row r="49">
      <c r="N49" s="12" t="inlineStr">
        <is>
          <t>Transferencia</t>
        </is>
      </c>
      <c r="O49" s="13">
        <f>SUMIFS('14_Problemas'!$C$5:$C$22,'14_Problemas'!$A$5:$A$22,"TRANSFERENCIA",'14_Problemas'!$C$5:$C$22,"&gt;0")-SUMIFS('14_Problemas'!$C$5:$C$22,'14_Problemas'!$A$5:$A$22,"TRANSFERENCIA",'14_Problemas'!$C$5:$C$22,"&lt;0")</f>
        <v/>
      </c>
    </row>
    <row r="50">
      <c r="N50" s="12" t="inlineStr">
        <is>
          <t>Superavit aumento</t>
        </is>
      </c>
      <c r="O50" s="13">
        <f>SUMIFS('14_Problemas'!$C$5:$C$22,'14_Problemas'!$A$5:$A$22,"SUPERAVIT_AUMENTO",'14_Problemas'!$C$5:$C$22,"&gt;0")-SUMIFS('14_Problemas'!$C$5:$C$22,'14_Problemas'!$A$5:$A$22,"SUPERAVIT_AUMENTO",'14_Problemas'!$C$5:$C$22,"&lt;0")</f>
        <v/>
      </c>
    </row>
    <row r="51">
      <c r="N51" s="12" t="inlineStr">
        <is>
          <t>Uso mixto separado</t>
        </is>
      </c>
      <c r="O51" s="13">
        <f>SUMIFS('14_Problemas'!$C$5:$C$22,'14_Problemas'!$A$5:$A$22,"USO_MIXTO_SEPARADO",'14_Problemas'!$C$5:$C$22,"&gt;0")-SUMIFS('14_Problemas'!$C$5:$C$22,'14_Problemas'!$A$5:$A$22,"USO_MIXTO_SEPARADO",'14_Problemas'!$C$5:$C$22,"&lt;0")</f>
        <v/>
      </c>
    </row>
    <row r="52">
      <c r="N52" s="12" t="inlineStr">
        <is>
          <t>Vr no reconocido</t>
        </is>
      </c>
      <c r="O52" s="13">
        <f>SUMIFS('14_Problemas'!$C$5:$C$22,'14_Problemas'!$A$5:$A$22,"VR_NO_RECONOCIDO",'14_Problemas'!$C$5:$C$22,"&gt;0")-SUMIFS('14_Problemas'!$C$5:$C$22,'14_Problemas'!$A$5:$A$22,"VR_NO_RECONOCIDO",'14_Problemas'!$C$5:$C$22,"&lt;0")</f>
        <v/>
      </c>
    </row>
    <row r="53">
      <c r="N53" s="12" t="inlineStr">
        <is>
          <t>Otros (6 tipos)</t>
        </is>
      </c>
      <c r="O53" s="13">
        <f>SUMIF('14_Problemas'!$C$5:$C$22,"&gt;0")-SUMIF('14_Problemas'!$C$5:$C$22,"&lt;0")-((SUMIFS('14_Problemas'!$C$5:$C$22,'14_Problemas'!$A$5:$A$22,"MAL_CLASIFICADO",'14_Problemas'!$C$5:$C$22,"&gt;0")-SUMIFS('14_Problemas'!$C$5:$C$22,'14_Problemas'!$A$5:$A$22,"MAL_CLASIFICADO",'14_Problemas'!$C$5:$C$22,"&lt;0"))+(SUMIFS('14_Problemas'!$C$5:$C$22,'14_Problemas'!$A$5:$A$22,"AJUSTE",'14_Problemas'!$C$5:$C$22,"&gt;0")-SUMIFS('14_Problemas'!$C$5:$C$22,'14_Problemas'!$A$5:$A$22,"AJUSTE",'14_Problemas'!$C$5:$C$22,"&lt;0"))+(SUMIFS('14_Problemas'!$C$5:$C$22,'14_Problemas'!$A$5:$A$22,"SUPERAVIT_EN_PATRIMONIO",'14_Problemas'!$C$5:$C$22,"&gt;0")-SUMIFS('14_Problemas'!$C$5:$C$22,'14_Problemas'!$A$5:$A$22,"SUPERAVIT_EN_PATRIMONIO",'14_Problemas'!$C$5:$C$22,"&lt;0"))+(SUMIFS('14_Problemas'!$C$5:$C$22,'14_Problemas'!$A$5:$A$22,"TRANSFERENCIA",'14_Problemas'!$C$5:$C$22,"&gt;0")-SUMIFS('14_Problemas'!$C$5:$C$22,'14_Problemas'!$A$5:$A$22,"TRANSFERENCIA",'14_Problemas'!$C$5:$C$22,"&lt;0"))+(SUMIFS('14_Problemas'!$C$5:$C$22,'14_Problemas'!$A$5:$A$22,"SUPERAVIT_AUMENTO",'14_Problemas'!$C$5:$C$22,"&gt;0")-SUMIFS('14_Problemas'!$C$5:$C$22,'14_Problemas'!$A$5:$A$22,"SUPERAVIT_AUMENTO",'14_Problemas'!$C$5:$C$22,"&lt;0"))+(SUMIFS('14_Problemas'!$C$5:$C$22,'14_Problemas'!$A$5:$A$22,"USO_MIXTO_SEPARADO",'14_Problemas'!$C$5:$C$22,"&gt;0")-SUMIFS('14_Problemas'!$C$5:$C$22,'14_Problemas'!$A$5:$A$22,"USO_MIXTO_SEPARADO",'14_Problemas'!$C$5:$C$22,"&lt;0"))+(SUMIFS('14_Problemas'!$C$5:$C$22,'14_Problemas'!$A$5:$A$22,"VR_NO_RECONOCIDO",'14_Problemas'!$C$5:$C$22,"&gt;0")-SUMIFS('14_Problemas'!$C$5:$C$22,'14_Problemas'!$A$5:$A$22,"VR_NO_RECONOCIDO",'14_Problemas'!$C$5:$C$22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  <hyperlink xmlns:r="http://schemas.openxmlformats.org/officeDocument/2006/relationships" ref="C20" r:id="rId18"/>
    <hyperlink xmlns:r="http://schemas.openxmlformats.org/officeDocument/2006/relationships" ref="D20" r:id="rId19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2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Propiedades de inversión</t>
        </is>
      </c>
    </row>
    <row r="12">
      <c r="A12" s="19" t="inlineStr">
        <is>
          <t>Rubro</t>
        </is>
      </c>
      <c r="B12" s="19" t="inlineStr">
        <is>
          <t>Propiedades de inversión</t>
        </is>
      </c>
    </row>
    <row r="13">
      <c r="A13" s="18" t="inlineStr">
        <is>
          <t>Motor</t>
        </is>
      </c>
      <c r="B13" s="18" t="inlineStr">
        <is>
          <t>propiedades_inversion 1.1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IP-01</t>
        </is>
      </c>
      <c r="B5" s="18" t="inlineStr">
        <is>
          <t>Clasificación</t>
        </is>
      </c>
      <c r="C5" s="18" t="inlineStr">
        <is>
          <t>Clasificación</t>
        </is>
      </c>
      <c r="D5" s="18" t="inlineStr">
        <is>
          <t>Revisar uso real, contratos y ocupación de cada inmueble y aplicar el umbral de uso propio</t>
        </is>
      </c>
      <c r="E5" s="18" t="inlineStr">
        <is>
          <t>Contratos, inspección, certificado de uso</t>
        </is>
      </c>
      <c r="F5" s="18" t="inlineStr">
        <is>
          <t>Solo inmuebles para rentas o plusvalías</t>
        </is>
      </c>
      <c r="G5" s="18" t="inlineStr">
        <is>
          <t>NIC 40.5-14 · PYMES 16.2-16.4</t>
        </is>
      </c>
    </row>
    <row r="6">
      <c r="A6" s="19" t="inlineStr">
        <is>
          <t>IP-02</t>
        </is>
      </c>
      <c r="B6" s="19" t="inlineStr">
        <is>
          <t>Sumaria y conciliación</t>
        </is>
      </c>
      <c r="C6" s="19" t="inlineStr">
        <is>
          <t>Integridad</t>
        </is>
      </c>
      <c r="D6" s="19" t="inlineStr">
        <is>
          <t>Conciliar el registro de inmuebles con el mayor</t>
        </is>
      </c>
      <c r="E6" s="19" t="inlineStr">
        <is>
          <t>Registro de propiedades, mayor</t>
        </is>
      </c>
      <c r="F6" s="19" t="inlineStr">
        <is>
          <t>Diferencia explicada o ajustada</t>
        </is>
      </c>
      <c r="G6" s="19" t="inlineStr">
        <is>
          <t>NIA 500</t>
        </is>
      </c>
    </row>
    <row r="7">
      <c r="A7" s="18" t="inlineStr">
        <is>
          <t>IP-03</t>
        </is>
      </c>
      <c r="B7" s="18" t="inlineStr">
        <is>
          <t>Costo inicial</t>
        </is>
      </c>
      <c r="C7" s="18" t="inlineStr">
        <is>
          <t>Valoración</t>
        </is>
      </c>
      <c r="D7" s="18" t="inlineStr">
        <is>
          <t>Cotejar precio de escritura y desembolsos directamente atribuibles</t>
        </is>
      </c>
      <c r="E7" s="18" t="inlineStr">
        <is>
          <t>Escrituras, facturas de honorarios, impuestos de transferencia</t>
        </is>
      </c>
      <c r="F7" s="18" t="inlineStr">
        <is>
          <t>Costo = precio + atribuibles</t>
        </is>
      </c>
      <c r="G7" s="18" t="inlineStr">
        <is>
          <t>NIC 40.20-24 · PYMES 16.5</t>
        </is>
      </c>
    </row>
    <row r="8">
      <c r="A8" s="19" t="inlineStr">
        <is>
          <t>IP-04</t>
        </is>
      </c>
      <c r="B8" s="19" t="inlineStr">
        <is>
          <t>Valor razonable</t>
        </is>
      </c>
      <c r="C8" s="19" t="inlineStr">
        <is>
          <t>Valoración</t>
        </is>
      </c>
      <c r="D8" s="19" t="inlineStr">
        <is>
          <t>Comparar el VR de la tasación con el importe en libros y evaluar al tasador</t>
        </is>
      </c>
      <c r="E8" s="19" t="inlineStr">
        <is>
          <t>Informes de tasación, NIA 620</t>
        </is>
      </c>
      <c r="F8" s="19" t="inlineStr">
        <is>
          <t>Ajuste de VR en resultados</t>
        </is>
      </c>
      <c r="G8" s="19" t="inlineStr">
        <is>
          <t>NIC 40.33-55 · NIIF 13 · PYMES 16.7 (2025: secc. 12)</t>
        </is>
      </c>
    </row>
    <row r="9">
      <c r="A9" s="18" t="inlineStr">
        <is>
          <t>IP-05</t>
        </is>
      </c>
      <c r="B9" s="18" t="inlineStr">
        <is>
          <t>Modelo del costo</t>
        </is>
      </c>
      <c r="C9" s="18" t="inlineStr">
        <is>
          <t>Valoración</t>
        </is>
      </c>
      <c r="D9" s="18" t="inlineStr">
        <is>
          <t>Recalcular depreciación y comparar el valor neto con el importe recuperable</t>
        </is>
      </c>
      <c r="E9" s="18" t="inlineStr">
        <is>
          <t>Vidas útiles, tasaciones, flujos</t>
        </is>
      </c>
      <c r="F9" s="18" t="inlineStr">
        <is>
          <t>Depreciación y deterioro correctos; VR revelado</t>
        </is>
      </c>
      <c r="G9" s="18" t="inlineStr">
        <is>
          <t>NIC 40.56, 79 e · NIC 16 · NIC 36 · PYMES 16.8, secc. 17 y 27</t>
        </is>
      </c>
    </row>
    <row r="10">
      <c r="A10" s="19" t="inlineStr">
        <is>
          <t>IP-06</t>
        </is>
      </c>
      <c r="B10" s="19" t="inlineStr">
        <is>
          <t>Ingresos por alquiler</t>
        </is>
      </c>
      <c r="C10" s="19" t="inlineStr">
        <is>
          <t>Ocurrencia / Integridad</t>
        </is>
      </c>
      <c r="D10" s="19" t="inlineStr">
        <is>
          <t>Recalcular las rentas del año con los contratos y compararlas con lo registrado</t>
        </is>
      </c>
      <c r="E10" s="19" t="inlineStr">
        <is>
          <t>Contratos de arrendamiento, facturas</t>
        </is>
      </c>
      <c r="F10" s="19" t="inlineStr">
        <is>
          <t>Ingresos conciliados</t>
        </is>
      </c>
      <c r="G10" s="19" t="inlineStr">
        <is>
          <t>NIC 40.75 f · NIIF 16</t>
        </is>
      </c>
    </row>
    <row r="11">
      <c r="A11" s="18" t="inlineStr">
        <is>
          <t>IP-07</t>
        </is>
      </c>
      <c r="B11" s="18" t="inlineStr">
        <is>
          <t>Transferencias</t>
        </is>
      </c>
      <c r="C11" s="18" t="inlineStr">
        <is>
          <t>Clasificación / Valoración</t>
        </is>
      </c>
      <c r="D11" s="18" t="inlineStr">
        <is>
          <t>Verificar evidencia del cambio de uso y la medición a la fecha</t>
        </is>
      </c>
      <c r="E11" s="18" t="inlineStr">
        <is>
          <t>Actas, contratos, tasación a la fecha del cambio</t>
        </is>
      </c>
      <c r="F11" s="18" t="inlineStr">
        <is>
          <t>Tratamiento según NIC 40.57-65</t>
        </is>
      </c>
      <c r="G11" s="18" t="inlineStr">
        <is>
          <t>NIC 40.57-65 · PYMES 16.8-16.9</t>
        </is>
      </c>
    </row>
    <row r="12">
      <c r="A12" s="19" t="inlineStr">
        <is>
          <t>IP-09</t>
        </is>
      </c>
      <c r="B12" s="19" t="inlineStr">
        <is>
          <t>Superávit de revaluación</t>
        </is>
      </c>
      <c r="C12" s="19" t="inlineStr">
        <is>
          <t>Presentación / Valoración</t>
        </is>
      </c>
      <c r="D12" s="19" t="inlineStr">
        <is>
          <t>Cotejar el superávit acumulado de cada inmueble transferido con el auxiliar de la cuenta y el estado de cambios en el patrimonio; recalcular el aumento a otro resultado integral, el uso contra la disminución y el saldo final</t>
        </is>
      </c>
      <c r="E12" s="19" t="inlineStr">
        <is>
          <t>Auxiliar del superávit de revaluación por inmueble, estado de cambios en el patrimonio, auxiliar de deterioros</t>
        </is>
      </c>
      <c r="F12" s="19" t="inlineStr">
        <is>
          <t>Aumento a otro resultado integral; disminución contra el superávit de ese inmueble y el exceso a resultados; el superávit permanece en patrimonio y solo se transfiere a resultados acumulados</t>
        </is>
      </c>
      <c r="G12" s="19" t="inlineStr">
        <is>
          <t>NIC 40.61-62 · NIC 16.39-41 · PYMES 17.15C-17.15D</t>
        </is>
      </c>
    </row>
    <row r="13">
      <c r="A13" s="18" t="inlineStr">
        <is>
          <t>IP-08</t>
        </is>
      </c>
      <c r="B13" s="18" t="inlineStr">
        <is>
          <t>Bajas</t>
        </is>
      </c>
      <c r="C13" s="18" t="inlineStr">
        <is>
          <t>Exactitud</t>
        </is>
      </c>
      <c r="D13" s="18" t="inlineStr">
        <is>
          <t>Recalcular producto neto − importe en libros</t>
        </is>
      </c>
      <c r="E13" s="18" t="inlineStr">
        <is>
          <t>Escrituras de venta, cobros</t>
        </is>
      </c>
      <c r="F13" s="18" t="inlineStr">
        <is>
          <t>Resultado correcto</t>
        </is>
      </c>
      <c r="G13" s="18" t="inlineStr">
        <is>
          <t>NIC 40.66-73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540 (Revisada)</t>
        </is>
      </c>
      <c r="B5" s="18" t="inlineStr">
        <is>
          <t>El VR, la vida útil y el importe recuperable son estimaciones: evaluar método, datos y supuestos.</t>
        </is>
      </c>
      <c r="C5" s="18" t="inlineStr">
        <is>
          <t>párr. 13, 18, 22-27 y 28-29</t>
        </is>
      </c>
      <c r="D5" s="18" t="inlineStr"/>
      <c r="E5" s="18" t="inlineStr"/>
    </row>
    <row r="6">
      <c r="A6" s="19" t="inlineStr">
        <is>
          <t>NIA · NIA 500 / NIA 620</t>
        </is>
      </c>
      <c r="B6" s="19" t="inlineStr">
        <is>
          <t>Evaluar competencia, objetividad y trabajo del tasador cuando el VR se basa en un experto.</t>
        </is>
      </c>
      <c r="C6" s="19" t="inlineStr">
        <is>
          <t>NIA 500.8 (tasador de la entidad = experto de la dirección); NIA 620.9-12 solo si el auditor contrata su propio tasador</t>
        </is>
      </c>
      <c r="D6" s="19" t="inlineStr"/>
      <c r="E6" s="19" t="inlineStr"/>
    </row>
    <row r="7">
      <c r="A7" s="18" t="inlineStr">
        <is>
          <t>NIA · NIA 500</t>
        </is>
      </c>
      <c r="B7" s="18" t="inlineStr">
        <is>
          <t>Fiabilidad del registro de inmuebles, escrituras y contratos.</t>
        </is>
      </c>
      <c r="C7" s="18" t="inlineStr">
        <is>
          <t>párr. 7 y 9</t>
        </is>
      </c>
      <c r="D7" s="18" t="inlineStr"/>
      <c r="E7" s="18" t="inlineStr"/>
    </row>
    <row r="8">
      <c r="A8" s="19" t="inlineStr">
        <is>
          <t>NIA · NIA 500 / NIA 330</t>
        </is>
      </c>
      <c r="B8" s="19" t="inlineStr">
        <is>
          <t>Existencia y titularidad: inspección y certificados del Registro de la Propiedad.</t>
        </is>
      </c>
      <c r="C8" s="19" t="inlineStr">
        <is>
          <t>NIA 500 párr. A18-A20 (inspección; titularidad con certificados) · NIA 330 párr. 18</t>
        </is>
      </c>
      <c r="D8" s="19" t="inlineStr"/>
      <c r="E8" s="19" t="inlineStr"/>
    </row>
    <row r="9">
      <c r="A9" s="18" t="inlineStr">
        <is>
          <t>NIA · NIA 520</t>
        </is>
      </c>
      <c r="B9" s="18" t="inlineStr">
        <is>
          <t>Analítica de ingresos por alquiler frente a contratos y ocupación.</t>
        </is>
      </c>
      <c r="C9" s="18" t="inlineStr">
        <is>
          <t>párr. 5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</cols>
  <sheetData>
    <row r="1">
      <c r="A1" s="3" t="inlineStr">
        <is>
          <t>Resumen y ajuste propuesto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Propiedades de inversión auditadas</t>
        </is>
      </c>
      <c r="B5" s="20">
        <f>SUM('08_Medicion'!$E$5:$E$14)</f>
        <v/>
      </c>
    </row>
    <row r="6">
      <c r="A6" s="19" t="inlineStr">
        <is>
          <t>Saldo según el mayor</t>
        </is>
      </c>
      <c r="B6" s="21">
        <f>IF('02_Parametros'!$B$13="",SUM('03_Inmuebles'!$Q$5:$Q$14),'02_Parametros'!$B$13)</f>
        <v/>
      </c>
    </row>
    <row r="7">
      <c r="A7" s="18" t="inlineStr">
        <is>
          <t>Ajuste propuesto (neto)</t>
        </is>
      </c>
      <c r="B7" s="20">
        <f>B5-B6</f>
        <v/>
      </c>
    </row>
    <row r="8">
      <c r="A8" s="19" t="inlineStr">
        <is>
          <t>Importe en libros según el detalle</t>
        </is>
      </c>
      <c r="B8" s="21">
        <f>SUM('03_Inmuebles'!$Q$5:$Q$14)</f>
        <v/>
      </c>
    </row>
    <row r="9">
      <c r="A9" s="18" t="inlineStr">
        <is>
          <t>Diferencia detalle − mayor</t>
        </is>
      </c>
      <c r="B9" s="20">
        <f>B8-B6</f>
        <v/>
      </c>
    </row>
    <row r="10">
      <c r="A10" s="19" t="inlineStr">
        <is>
          <t>Ajuste de valor razonable no reconocido (resultados)</t>
        </is>
      </c>
      <c r="B10" s="21">
        <f>SUM('06_Valor_razonable'!$H$5:$H$14)</f>
        <v/>
      </c>
    </row>
    <row r="11">
      <c r="A11" s="18" t="inlineStr">
        <is>
          <t>Efecto de la medición al costo (depreciación y deterioro)</t>
        </is>
      </c>
      <c r="B11" s="20">
        <f>SUM('08_Medicion'!$H$5:$H$14)</f>
        <v/>
      </c>
    </row>
    <row r="12">
      <c r="A12" s="19" t="inlineStr">
        <is>
          <t>Reclasificación fuera de propiedades de inversión</t>
        </is>
      </c>
      <c r="B12" s="21">
        <f>SUM('04_Clasificacion'!$J$5:$J$14)</f>
        <v/>
      </c>
    </row>
    <row r="13">
      <c r="A13" s="18" t="inlineStr">
        <is>
          <t>Depreciación del año (modelo del costo)</t>
        </is>
      </c>
      <c r="B13" s="20">
        <f>SUM('07_Modelo_costo'!$K$5:$K$14)</f>
        <v/>
      </c>
    </row>
    <row r="14">
      <c r="A14" s="19" t="inlineStr">
        <is>
          <t>Diferencia de depreciación acumulada</t>
        </is>
      </c>
      <c r="B14" s="21">
        <f>SUM('07_Modelo_costo'!$M$5:$M$14)</f>
        <v/>
      </c>
    </row>
    <row r="15">
      <c r="A15" s="18" t="inlineStr">
        <is>
          <t>Deterioro (modelo del costo)</t>
        </is>
      </c>
      <c r="B15" s="20">
        <f>SUM('07_Modelo_costo'!$P$5:$P$14)</f>
        <v/>
      </c>
    </row>
    <row r="16">
      <c r="A16" s="19" t="inlineStr">
        <is>
          <t>Variación del valor razonable del año</t>
        </is>
      </c>
      <c r="B16" s="21">
        <f>SUM('06_Valor_razonable'!$F$5:$F$14)</f>
        <v/>
      </c>
    </row>
    <row r="17">
      <c r="A17" s="18" t="inlineStr">
        <is>
          <t>Diferencia en el costo inicial</t>
        </is>
      </c>
      <c r="B17" s="20">
        <f>SUM('05_Costo_inicial'!$G$5:$G$14)</f>
        <v/>
      </c>
    </row>
    <row r="18">
      <c r="A18" s="19" t="inlineStr">
        <is>
          <t>Transferencias: diferencia a resultados</t>
        </is>
      </c>
      <c r="B18" s="21">
        <f>SUM('09_Transferencias'!$K$5:$K$6)</f>
        <v/>
      </c>
    </row>
    <row r="19">
      <c r="A19" s="18" t="inlineStr">
        <is>
          <t>Transferencias: diferencia a otro resultado integral</t>
        </is>
      </c>
      <c r="B19" s="20">
        <f>SUM('09_Transferencias'!$L$5:$L$6)</f>
        <v/>
      </c>
    </row>
    <row r="20">
      <c r="A20" s="19" t="inlineStr">
        <is>
          <t>Superávit de revaluación usado contra disminuciones</t>
        </is>
      </c>
      <c r="B20" s="21">
        <f>SUM('09_Transferencias'!$J$5:$J$6)</f>
        <v/>
      </c>
    </row>
    <row r="21">
      <c r="A21" s="18" t="inlineStr">
        <is>
          <t>Superávit de revaluación en patrimonio al cierre</t>
        </is>
      </c>
      <c r="B21" s="20">
        <f>SUM('10_Superavit'!$G$5:$G$5)</f>
        <v/>
      </c>
    </row>
    <row r="22">
      <c r="A22" s="19" t="inlineStr">
        <is>
          <t>Diferencia en ingresos por alquiler</t>
        </is>
      </c>
      <c r="B22" s="21">
        <f>SUM('11_Alquileres'!$E$5:$E$14)</f>
        <v/>
      </c>
    </row>
    <row r="23">
      <c r="A23" s="18" t="inlineStr">
        <is>
          <t>Resultado recalculado en bajas</t>
        </is>
      </c>
      <c r="B23" s="20">
        <f>SUM('12_Bajas'!$F$5:$F$6)</f>
        <v/>
      </c>
    </row>
    <row r="24">
      <c r="A24" s="19" t="inlineStr">
        <is>
          <t>Diferencia en el resultado de bajas</t>
        </is>
      </c>
      <c r="B24" s="21">
        <f>SUM('12_Bajas'!$H$5:$H$6)</f>
        <v/>
      </c>
    </row>
    <row r="26">
      <c r="A26" s="22" t="inlineStr">
        <is>
          <t>ⓘ  Cómo se calcula esta hoja</t>
        </is>
      </c>
    </row>
    <row r="27">
      <c r="A27" s="23" t="inlineStr">
        <is>
          <t>Columna</t>
        </is>
      </c>
      <c r="B27" s="23" t="inlineStr">
        <is>
          <t>Fórmula (Excel)</t>
        </is>
      </c>
      <c r="C27" s="23" t="inlineStr">
        <is>
          <t>Cómo se calcula (sencillo)</t>
        </is>
      </c>
      <c r="D27" s="23" t="inlineStr">
        <is>
          <t>Ejemplo con números reales</t>
        </is>
      </c>
      <c r="E27" s="23" t="inlineStr">
        <is>
          <t>De dónde viene</t>
        </is>
      </c>
      <c r="F27" s="23" t="inlineStr">
        <is>
          <t>Norma</t>
        </is>
      </c>
    </row>
    <row r="28">
      <c r="A28" s="24" t="inlineStr">
        <is>
          <t>Importe</t>
        </is>
      </c>
      <c r="B28" s="25" t="inlineStr">
        <is>
          <t>'=SUM('08_Medicion'!$E$5:$E$14)</t>
        </is>
      </c>
      <c r="C28" s="24" t="inlineStr">
        <is>
          <t>Trae cada importe de su hoja de origen, concepto por concepto, sumando la columna que corresponde de las hojas 03 a 12 (por ejemplo, la medición auditada de la hoja 08 o la depreciación de la hoja 07). El saldo del mayor sale de la hoja 02 (Parámetros) o, si no se informó, de la suma del detalle; el ajuste propuesto es auditado menos mayor.</t>
        </is>
      </c>
      <c r="D28" s="24" t="inlineStr">
        <is>
          <t>Fila 1: SUM([«Auditado en la cuenta» de «Medición auditada por inmueble», 10 filas]) → 2.586.500,00</t>
        </is>
      </c>
      <c r="E28" s="24" t="inlineStr">
        <is>
          <t>hoja «Medición auditada por inmueble»</t>
        </is>
      </c>
      <c r="F28" s="24" t="inlineStr">
        <is>
          <t>—</t>
        </is>
      </c>
    </row>
  </sheetData>
  <mergeCells count="3">
    <mergeCell ref="A26:F26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7" customWidth="1" min="2" max="2"/>
    <col width="60" customWidth="1" min="3" max="3"/>
  </cols>
  <sheetData>
    <row r="1">
      <c r="A1" s="3" t="inlineStr">
        <is>
          <t>Parámetros y ruta por marco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Corte del ejercicio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Inicio del ejercicio</t>
        </is>
      </c>
      <c r="B6" s="27" t="n">
        <v>45658</v>
      </c>
      <c r="C6" s="19" t="inlineStr">
        <is>
          <t>Corte − 12 meses + 1 día</t>
        </is>
      </c>
    </row>
    <row r="7">
      <c r="A7" s="18" t="inlineStr">
        <is>
          <t>Marco</t>
        </is>
      </c>
      <c r="B7" s="18" t="inlineStr">
        <is>
          <t>NIIF completas</t>
        </is>
      </c>
      <c r="C7" s="18" t="inlineStr">
        <is>
          <t>NIIF completas · NIC 40 y NIIF 13</t>
        </is>
      </c>
    </row>
    <row r="8">
      <c r="A8" s="19" t="inlineStr">
        <is>
          <t>¿Es PYMES?</t>
        </is>
      </c>
      <c r="B8" s="19">
        <f>IF(ISNUMBER(SEARCH("PYMES",'02_Parametros'!$B$7)),"Sí","No")</f>
        <v/>
      </c>
      <c r="C8" s="19" t="inlineStr">
        <is>
          <t>Deriva del marco</t>
        </is>
      </c>
    </row>
    <row r="9">
      <c r="A9" s="18" t="inlineStr">
        <is>
          <t>Modelo aplicado por la entidad</t>
        </is>
      </c>
      <c r="B9" s="18" t="inlineStr">
        <is>
          <t>valor_razonable</t>
        </is>
      </c>
      <c r="C9" s="18" t="inlineStr">
        <is>
          <t>NIC 40.30 (elección); PYMES 16.7 (no es elección: depende de la medición fiable sin costo o esfuerzo desproporcionado)</t>
        </is>
      </c>
    </row>
    <row r="10">
      <c r="A10" s="19" t="inlineStr">
        <is>
          <t>PYMES: VR fiable sin costo o esfuerzo desproporcionado</t>
        </is>
      </c>
      <c r="B10" s="19" t="inlineStr">
        <is>
          <t>sí</t>
        </is>
      </c>
      <c r="C10" s="19" t="inlineStr">
        <is>
          <t>Juicio documentado (PYMES 16.7-16.8); sin efecto en NIIF completas</t>
        </is>
      </c>
    </row>
    <row r="11">
      <c r="A11" s="18" t="inlineStr">
        <is>
          <t>Modelo con que se mide (ruta)</t>
        </is>
      </c>
      <c r="B11" s="18">
        <f>IF('02_Parametros'!$B$8="Sí",IF('02_Parametros'!$B$10="sí","valor_razonable","costo"),'02_Parametros'!$B$9)</f>
        <v/>
      </c>
      <c r="C11" s="18" t="inlineStr">
        <is>
          <t>Completas: el elegido por la entidad; PYMES: VR solo si es fiable sin esfuerzo desproporcionado</t>
        </is>
      </c>
    </row>
    <row r="12">
      <c r="A12" s="19" t="inlineStr">
        <is>
          <t>Uso propio significativo desde (%)</t>
        </is>
      </c>
      <c r="B12" s="28" t="n">
        <v>10</v>
      </c>
      <c r="C12" s="19" t="inlineStr">
        <is>
          <t>NIC 40.10 exige que la parte de uso propio sea «insignificante»; el umbral es juicio del auditor (NIC 40.10 no fija porcentaje); solo NIIF completas — en PYMES 16.4 se separan las partes</t>
        </is>
      </c>
    </row>
    <row r="13">
      <c r="A13" s="18" t="inlineStr">
        <is>
          <t>Saldo según el mayor</t>
        </is>
      </c>
      <c r="B13" s="29" t="n">
        <v>2785000</v>
      </c>
      <c r="C13" s="18" t="inlineStr">
        <is>
          <t>Mayor contable (en blanco: se toma la suma del detalle)</t>
        </is>
      </c>
    </row>
    <row r="15">
      <c r="A15" s="22" t="inlineStr">
        <is>
          <t>ⓘ  Cómo se calcula esta hoja</t>
        </is>
      </c>
    </row>
    <row r="16">
      <c r="A16" s="23" t="inlineStr">
        <is>
          <t>Columna</t>
        </is>
      </c>
      <c r="B16" s="23" t="inlineStr">
        <is>
          <t>Fórmula (Excel)</t>
        </is>
      </c>
      <c r="C16" s="23" t="inlineStr">
        <is>
          <t>Cómo se calcula (sencillo)</t>
        </is>
      </c>
      <c r="D16" s="23" t="inlineStr">
        <is>
          <t>Ejemplo con números reales</t>
        </is>
      </c>
      <c r="E16" s="23" t="inlineStr">
        <is>
          <t>De dónde viene</t>
        </is>
      </c>
      <c r="F16" s="23" t="inlineStr">
        <is>
          <t>Norma</t>
        </is>
      </c>
    </row>
    <row r="17">
      <c r="A17" s="24" t="inlineStr">
        <is>
          <t>Valor</t>
        </is>
      </c>
      <c r="B17" s="25" t="inlineStr">
        <is>
          <t>'=IF(ISNUMBER(SEARCH("PYMES",'02_Parametros'!$B$7)),"Sí","No")</t>
        </is>
      </c>
      <c r="C17" s="24" t="inlineStr">
        <is>
          <t>Muestra cada parámetro del encargo tal como se fijó; solo dos se calculan: «¿Es PYMES?» sale del marco, y el modelo con que se mide es el elegido por la entidad en NIIF completas y, en PYMES, valor razonable solo si es fiable sin costo o esfuerzo desproporcionado (si no, costo).</t>
        </is>
      </c>
      <c r="D17" s="24" t="inlineStr">
        <is>
          <t>Fila 4: IF(ISNUMBER(SEARCH("PYMES"; «NIIF completas»)); "Sí"; "No") → No</t>
        </is>
      </c>
      <c r="E17" s="24" t="inlineStr">
        <is>
          <t>hoja «Parámetros y ruta por marco»</t>
        </is>
      </c>
      <c r="F17" s="24" t="inlineStr">
        <is>
          <t>—</t>
        </is>
      </c>
    </row>
  </sheetData>
  <mergeCells count="3">
    <mergeCell ref="A2:F2"/>
    <mergeCell ref="A1:F1"/>
    <mergeCell ref="A15:F15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14" customWidth="1" min="4" max="4"/>
    <col width="12" customWidth="1" min="5" max="5"/>
    <col width="18" customWidth="1" min="6" max="6"/>
    <col width="22" customWidth="1" min="7" max="7"/>
    <col width="18" customWidth="1" min="8" max="8"/>
    <col width="25" customWidth="1" min="9" max="9"/>
    <col width="12" customWidth="1" min="10" max="10"/>
    <col width="18" customWidth="1" min="11" max="11"/>
    <col width="27" customWidth="1" min="12" max="12"/>
    <col width="17" customWidth="1" min="13" max="13"/>
    <col width="13" customWidth="1" min="14" max="14"/>
    <col width="42" customWidth="1" min="15" max="15"/>
    <col width="12" customWidth="1" min="16" max="16"/>
    <col width="19" customWidth="1" min="17" max="17"/>
    <col width="26" customWidth="1" min="18" max="18"/>
    <col width="21" customWidth="1" min="19" max="19"/>
    <col width="15" customWidth="1" min="20" max="20"/>
    <col width="18" customWidth="1" min="21" max="21"/>
    <col width="18" customWidth="1" min="22" max="22"/>
    <col width="14" customWidth="1" min="23" max="23"/>
    <col width="38" customWidth="1" min="24" max="24"/>
    <col width="21" customWidth="1" min="25" max="25"/>
  </cols>
  <sheetData>
    <row r="1">
      <c r="A1" s="3" t="inlineStr">
        <is>
          <t>Registro de inmuebles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Uso actual</t>
        </is>
      </c>
      <c r="D4" s="17" t="inlineStr">
        <is>
          <t>% uso propio</t>
        </is>
      </c>
      <c r="E4" s="17" t="inlineStr">
        <is>
          <t>Separable</t>
        </is>
      </c>
      <c r="F4" s="17" t="inlineStr">
        <is>
          <t>Costo registrado</t>
        </is>
      </c>
      <c r="G4" s="17" t="inlineStr">
        <is>
          <t>Fecha de adquisición</t>
        </is>
      </c>
      <c r="H4" s="17" t="inlineStr">
        <is>
          <t>Precio de compra</t>
        </is>
      </c>
      <c r="I4" s="17" t="inlineStr">
        <is>
          <t>Desembolsos atribuibles</t>
        </is>
      </c>
      <c r="J4" s="17" t="inlineStr">
        <is>
          <t>Terreno</t>
        </is>
      </c>
      <c r="K4" s="17" t="inlineStr">
        <is>
          <t>Vida útil (años)</t>
        </is>
      </c>
      <c r="L4" s="17" t="inlineStr">
        <is>
          <t>Dep. acumulada registrada</t>
        </is>
      </c>
      <c r="M4" s="17" t="inlineStr">
        <is>
          <t>VR año anterior</t>
        </is>
      </c>
      <c r="N4" s="17" t="inlineStr">
        <is>
          <t>VR al corte</t>
        </is>
      </c>
      <c r="O4" s="17" t="inlineStr">
        <is>
          <t>Fuente del VR</t>
        </is>
      </c>
      <c r="P4" s="17" t="inlineStr">
        <is>
          <t>Nivel VR</t>
        </is>
      </c>
      <c r="Q4" s="17" t="inlineStr">
        <is>
          <t>Importe en libros</t>
        </is>
      </c>
      <c r="R4" s="17" t="inlineStr">
        <is>
          <t>Alquiler según contratos</t>
        </is>
      </c>
      <c r="S4" s="17" t="inlineStr">
        <is>
          <t>Alquiler registrado</t>
        </is>
      </c>
      <c r="T4" s="17" t="inlineStr">
        <is>
          <t>Cambio de uso</t>
        </is>
      </c>
      <c r="U4" s="17" t="inlineStr">
        <is>
          <t>Fecha del cambio</t>
        </is>
      </c>
      <c r="V4" s="17" t="inlineStr">
        <is>
          <t>Libros al cambio</t>
        </is>
      </c>
      <c r="W4" s="17" t="inlineStr">
        <is>
          <t>VR al cambio</t>
        </is>
      </c>
      <c r="X4" s="17" t="inlineStr">
        <is>
          <t>Superávit de revaluación a esa fecha</t>
        </is>
      </c>
      <c r="Y4" s="17" t="inlineStr">
        <is>
          <t>Importe recuperable</t>
        </is>
      </c>
    </row>
    <row r="5">
      <c r="A5" s="18" t="inlineStr">
        <is>
          <t>IP-01</t>
        </is>
      </c>
      <c r="B5" s="18" t="inlineStr">
        <is>
          <t>Edificio de oficinas Norte</t>
        </is>
      </c>
      <c r="C5" s="18" t="inlineStr">
        <is>
          <t>Alquiler</t>
        </is>
      </c>
      <c r="D5" s="20" t="n">
        <v>0</v>
      </c>
      <c r="E5" s="18" t="inlineStr"/>
      <c r="F5" s="20" t="n">
        <v>500000</v>
      </c>
      <c r="G5" s="30" t="n">
        <v>43160</v>
      </c>
      <c r="H5" s="20" t="n"/>
      <c r="I5" s="20" t="n"/>
      <c r="J5" s="20" t="n">
        <v>100000</v>
      </c>
      <c r="K5" s="20" t="n">
        <v>40</v>
      </c>
      <c r="L5" s="20" t="n"/>
      <c r="M5" s="20" t="n">
        <v>700000</v>
      </c>
      <c r="N5" s="20" t="n">
        <v>720000</v>
      </c>
      <c r="O5" s="18" t="inlineStr">
        <is>
          <t>Perito independiente (tasación dic-2025)</t>
        </is>
      </c>
      <c r="P5" s="18" t="inlineStr">
        <is>
          <t>Nivel 2</t>
        </is>
      </c>
      <c r="Q5" s="20" t="n">
        <v>700000</v>
      </c>
      <c r="R5" s="20" t="n">
        <v>48000</v>
      </c>
      <c r="S5" s="20" t="n">
        <v>48000</v>
      </c>
      <c r="T5" s="18" t="inlineStr"/>
      <c r="U5" s="31" t="n"/>
      <c r="V5" s="20" t="n"/>
      <c r="W5" s="20" t="n"/>
      <c r="X5" s="20" t="n"/>
      <c r="Y5" s="20" t="n"/>
    </row>
    <row r="6">
      <c r="A6" s="19" t="inlineStr">
        <is>
          <t>IP-02</t>
        </is>
      </c>
      <c r="B6" s="19" t="inlineStr">
        <is>
          <t>Terreno Samborondón</t>
        </is>
      </c>
      <c r="C6" s="19" t="inlineStr">
        <is>
          <t>Plusvalía</t>
        </is>
      </c>
      <c r="D6" s="21" t="n"/>
      <c r="E6" s="19" t="inlineStr"/>
      <c r="F6" s="21" t="n">
        <v>300000</v>
      </c>
      <c r="G6" s="32" t="n"/>
      <c r="H6" s="21" t="n"/>
      <c r="I6" s="21" t="n"/>
      <c r="J6" s="21" t="n">
        <v>300000</v>
      </c>
      <c r="K6" s="21" t="n"/>
      <c r="L6" s="21" t="n"/>
      <c r="M6" s="21" t="n">
        <v>350000</v>
      </c>
      <c r="N6" s="21" t="n">
        <v>380000</v>
      </c>
      <c r="O6" s="19" t="inlineStr">
        <is>
          <t>Perito independiente</t>
        </is>
      </c>
      <c r="P6" s="19" t="inlineStr">
        <is>
          <t>Nivel 2</t>
        </is>
      </c>
      <c r="Q6" s="21" t="n">
        <v>380000</v>
      </c>
      <c r="R6" s="21" t="n"/>
      <c r="S6" s="21" t="n"/>
      <c r="T6" s="19" t="inlineStr"/>
      <c r="U6" s="32" t="n"/>
      <c r="V6" s="21" t="n"/>
      <c r="W6" s="21" t="n"/>
      <c r="X6" s="21" t="n"/>
      <c r="Y6" s="21" t="n"/>
    </row>
    <row r="7">
      <c r="A7" s="18" t="inlineStr">
        <is>
          <t>IP-03</t>
        </is>
      </c>
      <c r="B7" s="18" t="inlineStr">
        <is>
          <t>Local comercial Sur</t>
        </is>
      </c>
      <c r="C7" s="18" t="inlineStr">
        <is>
          <t>Alquiler</t>
        </is>
      </c>
      <c r="D7" s="20" t="n"/>
      <c r="E7" s="18" t="inlineStr"/>
      <c r="F7" s="20" t="n">
        <v>250000</v>
      </c>
      <c r="G7" s="30" t="n">
        <v>44012</v>
      </c>
      <c r="H7" s="20" t="n"/>
      <c r="I7" s="20" t="n"/>
      <c r="J7" s="20" t="n">
        <v>50000</v>
      </c>
      <c r="K7" s="20" t="n">
        <v>30</v>
      </c>
      <c r="L7" s="20" t="n"/>
      <c r="M7" s="20" t="n">
        <v>260000</v>
      </c>
      <c r="N7" s="20" t="n">
        <v>240000</v>
      </c>
      <c r="O7" s="18" t="inlineStr">
        <is>
          <t>Perito independiente</t>
        </is>
      </c>
      <c r="P7" s="18" t="inlineStr">
        <is>
          <t>Nivel 3</t>
        </is>
      </c>
      <c r="Q7" s="20" t="n">
        <v>260000</v>
      </c>
      <c r="R7" s="20" t="n">
        <v>24000</v>
      </c>
      <c r="S7" s="20" t="n">
        <v>22000</v>
      </c>
      <c r="T7" s="18" t="inlineStr"/>
      <c r="U7" s="31" t="n"/>
      <c r="V7" s="20" t="n"/>
      <c r="W7" s="20" t="n"/>
      <c r="X7" s="20" t="n"/>
      <c r="Y7" s="20" t="n"/>
    </row>
    <row r="8">
      <c r="A8" s="19" t="inlineStr">
        <is>
          <t>IP-04</t>
        </is>
      </c>
      <c r="B8" s="19" t="inlineStr">
        <is>
          <t>Bodega Durán (35 % uso propio)</t>
        </is>
      </c>
      <c r="C8" s="19" t="inlineStr">
        <is>
          <t>Alquiler</t>
        </is>
      </c>
      <c r="D8" s="21" t="n">
        <v>35</v>
      </c>
      <c r="E8" s="19" t="inlineStr">
        <is>
          <t>Sí</t>
        </is>
      </c>
      <c r="F8" s="21" t="n">
        <v>180000</v>
      </c>
      <c r="G8" s="33" t="n">
        <v>43830</v>
      </c>
      <c r="H8" s="21" t="n"/>
      <c r="I8" s="21" t="n"/>
      <c r="J8" s="21" t="n">
        <v>30000</v>
      </c>
      <c r="K8" s="21" t="n">
        <v>30</v>
      </c>
      <c r="L8" s="21" t="n"/>
      <c r="M8" s="21" t="n"/>
      <c r="N8" s="21" t="n">
        <v>210000</v>
      </c>
      <c r="O8" s="19" t="inlineStr">
        <is>
          <t>Perito independiente</t>
        </is>
      </c>
      <c r="P8" s="19" t="inlineStr">
        <is>
          <t>Nivel 3</t>
        </is>
      </c>
      <c r="Q8" s="21" t="n">
        <v>190000</v>
      </c>
      <c r="R8" s="21" t="n">
        <v>9000</v>
      </c>
      <c r="S8" s="21" t="n">
        <v>9000</v>
      </c>
      <c r="T8" s="19" t="inlineStr"/>
      <c r="U8" s="32" t="n"/>
      <c r="V8" s="21" t="n"/>
      <c r="W8" s="21" t="n"/>
      <c r="X8" s="21" t="n"/>
      <c r="Y8" s="21" t="n"/>
    </row>
    <row r="9">
      <c r="A9" s="18" t="inlineStr">
        <is>
          <t>IP-05</t>
        </is>
      </c>
      <c r="B9" s="18" t="inlineStr">
        <is>
          <t>Departamentos para la venta</t>
        </is>
      </c>
      <c r="C9" s="18" t="inlineStr">
        <is>
          <t>Venta</t>
        </is>
      </c>
      <c r="D9" s="20" t="n"/>
      <c r="E9" s="18" t="inlineStr"/>
      <c r="F9" s="20" t="n">
        <v>150000</v>
      </c>
      <c r="G9" s="31" t="n"/>
      <c r="H9" s="20" t="n"/>
      <c r="I9" s="20" t="n"/>
      <c r="J9" s="20" t="n"/>
      <c r="K9" s="20" t="n"/>
      <c r="L9" s="20" t="n"/>
      <c r="M9" s="20" t="n"/>
      <c r="N9" s="20" t="n"/>
      <c r="O9" s="18" t="inlineStr"/>
      <c r="P9" s="18" t="inlineStr"/>
      <c r="Q9" s="20" t="n">
        <v>150000</v>
      </c>
      <c r="R9" s="20" t="n"/>
      <c r="S9" s="20" t="n"/>
      <c r="T9" s="18" t="inlineStr"/>
      <c r="U9" s="31" t="n"/>
      <c r="V9" s="20" t="n"/>
      <c r="W9" s="20" t="n"/>
      <c r="X9" s="20" t="n"/>
      <c r="Y9" s="20" t="n"/>
    </row>
    <row r="10">
      <c r="A10" s="19" t="inlineStr">
        <is>
          <t>IP-06</t>
        </is>
      </c>
      <c r="B10" s="19" t="inlineStr">
        <is>
          <t>Edificio Centro (compra 2025)</t>
        </is>
      </c>
      <c r="C10" s="19" t="inlineStr">
        <is>
          <t>Alquiler</t>
        </is>
      </c>
      <c r="D10" s="21" t="n"/>
      <c r="E10" s="19" t="inlineStr"/>
      <c r="F10" s="21" t="n">
        <v>400000</v>
      </c>
      <c r="G10" s="33" t="n">
        <v>45839</v>
      </c>
      <c r="H10" s="21" t="n">
        <v>400000</v>
      </c>
      <c r="I10" s="21" t="n">
        <v>12000</v>
      </c>
      <c r="J10" s="21" t="n">
        <v>80000</v>
      </c>
      <c r="K10" s="21" t="n">
        <v>40</v>
      </c>
      <c r="L10" s="21" t="n"/>
      <c r="M10" s="21" t="n"/>
      <c r="N10" s="21" t="n">
        <v>425000</v>
      </c>
      <c r="O10" s="19" t="inlineStr">
        <is>
          <t>Tasación interna</t>
        </is>
      </c>
      <c r="P10" s="19" t="inlineStr">
        <is>
          <t>Nivel 3</t>
        </is>
      </c>
      <c r="Q10" s="21" t="n">
        <v>400000</v>
      </c>
      <c r="R10" s="21" t="n">
        <v>18000</v>
      </c>
      <c r="S10" s="21" t="n">
        <v>12000</v>
      </c>
      <c r="T10" s="19" t="inlineStr"/>
      <c r="U10" s="32" t="n"/>
      <c r="V10" s="21" t="n"/>
      <c r="W10" s="21" t="n"/>
      <c r="X10" s="21" t="n"/>
      <c r="Y10" s="21" t="n"/>
    </row>
    <row r="11">
      <c r="A11" s="18" t="inlineStr">
        <is>
          <t>IP-07</t>
        </is>
      </c>
      <c r="B11" s="18" t="inlineStr">
        <is>
          <t>Edificio zona sin mercado activo</t>
        </is>
      </c>
      <c r="C11" s="18" t="inlineStr">
        <is>
          <t>Uso futuro no determinado</t>
        </is>
      </c>
      <c r="D11" s="20" t="n"/>
      <c r="E11" s="18" t="inlineStr"/>
      <c r="F11" s="20" t="n">
        <v>300000</v>
      </c>
      <c r="G11" s="30" t="n">
        <v>42369</v>
      </c>
      <c r="H11" s="20" t="n"/>
      <c r="I11" s="20" t="n"/>
      <c r="J11" s="20" t="n">
        <v>60000</v>
      </c>
      <c r="K11" s="20" t="n">
        <v>50</v>
      </c>
      <c r="L11" s="20" t="n">
        <v>45000</v>
      </c>
      <c r="M11" s="20" t="n"/>
      <c r="N11" s="20" t="n"/>
      <c r="O11" s="18" t="inlineStr"/>
      <c r="P11" s="18" t="inlineStr"/>
      <c r="Q11" s="20" t="n">
        <v>255000</v>
      </c>
      <c r="R11" s="20" t="n"/>
      <c r="S11" s="20" t="n"/>
      <c r="T11" s="18" t="inlineStr"/>
      <c r="U11" s="31" t="n"/>
      <c r="V11" s="20" t="n"/>
      <c r="W11" s="20" t="n"/>
      <c r="X11" s="20" t="n"/>
      <c r="Y11" s="20" t="n">
        <v>230000</v>
      </c>
    </row>
    <row r="12">
      <c r="A12" s="19" t="inlineStr">
        <is>
          <t>IP-08</t>
        </is>
      </c>
      <c r="B12" s="19" t="inlineStr">
        <is>
          <t>Oficina ex uso propio</t>
        </is>
      </c>
      <c r="C12" s="19" t="inlineStr">
        <is>
          <t>Alquiler</t>
        </is>
      </c>
      <c r="D12" s="21" t="n"/>
      <c r="E12" s="19" t="inlineStr"/>
      <c r="F12" s="21" t="n">
        <v>160000</v>
      </c>
      <c r="G12" s="33" t="n">
        <v>42005</v>
      </c>
      <c r="H12" s="21" t="n"/>
      <c r="I12" s="21" t="n"/>
      <c r="J12" s="21" t="n">
        <v>40000</v>
      </c>
      <c r="K12" s="21" t="n">
        <v>40</v>
      </c>
      <c r="L12" s="21" t="n">
        <v>33000</v>
      </c>
      <c r="M12" s="21" t="n"/>
      <c r="N12" s="21" t="n">
        <v>210000</v>
      </c>
      <c r="O12" s="19" t="inlineStr">
        <is>
          <t>Perito independiente</t>
        </is>
      </c>
      <c r="P12" s="19" t="inlineStr">
        <is>
          <t>Nivel 2</t>
        </is>
      </c>
      <c r="Q12" s="21" t="n">
        <v>205000</v>
      </c>
      <c r="R12" s="21" t="n">
        <v>6000</v>
      </c>
      <c r="S12" s="21" t="n">
        <v>6000</v>
      </c>
      <c r="T12" s="19" t="inlineStr">
        <is>
          <t>PPE→PI</t>
        </is>
      </c>
      <c r="U12" s="33" t="n">
        <v>45930</v>
      </c>
      <c r="V12" s="21" t="n">
        <v>125000</v>
      </c>
      <c r="W12" s="21" t="n">
        <v>205000</v>
      </c>
      <c r="X12" s="21" t="n">
        <v>30000</v>
      </c>
      <c r="Y12" s="21" t="n"/>
    </row>
    <row r="13">
      <c r="A13" s="18" t="inlineStr">
        <is>
          <t>IP-09</t>
        </is>
      </c>
      <c r="B13" s="18" t="inlineStr">
        <is>
          <t>Casa arrendada (ex inventario)</t>
        </is>
      </c>
      <c r="C13" s="18" t="inlineStr">
        <is>
          <t>Alquiler</t>
        </is>
      </c>
      <c r="D13" s="20" t="n"/>
      <c r="E13" s="18" t="inlineStr"/>
      <c r="F13" s="20" t="n">
        <v>70000</v>
      </c>
      <c r="G13" s="30" t="n">
        <v>43830</v>
      </c>
      <c r="H13" s="20" t="n"/>
      <c r="I13" s="20" t="n"/>
      <c r="J13" s="20" t="n">
        <v>10000</v>
      </c>
      <c r="K13" s="20" t="n">
        <v>30</v>
      </c>
      <c r="L13" s="20" t="n"/>
      <c r="M13" s="20" t="n">
        <v>90000</v>
      </c>
      <c r="N13" s="20" t="n">
        <v>95000</v>
      </c>
      <c r="O13" s="18" t="inlineStr"/>
      <c r="P13" s="18" t="inlineStr"/>
      <c r="Q13" s="20" t="n">
        <v>90000</v>
      </c>
      <c r="R13" s="20" t="n"/>
      <c r="S13" s="20" t="n">
        <v>7000</v>
      </c>
      <c r="T13" s="18" t="inlineStr">
        <is>
          <t>Inventario→PI</t>
        </is>
      </c>
      <c r="U13" s="30" t="n">
        <v>45792</v>
      </c>
      <c r="V13" s="20" t="n"/>
      <c r="W13" s="20" t="n"/>
      <c r="X13" s="20" t="n"/>
      <c r="Y13" s="20" t="n"/>
    </row>
    <row r="14">
      <c r="A14" s="19" t="inlineStr">
        <is>
          <t>IP-10</t>
        </is>
      </c>
      <c r="B14" s="19" t="inlineStr">
        <is>
          <t>Galpón industrial arrendado</t>
        </is>
      </c>
      <c r="C14" s="19" t="inlineStr">
        <is>
          <t>Alquiler</t>
        </is>
      </c>
      <c r="D14" s="21" t="n">
        <v>5</v>
      </c>
      <c r="E14" s="19" t="inlineStr"/>
      <c r="F14" s="21" t="n">
        <v>120000</v>
      </c>
      <c r="G14" s="33" t="n">
        <v>43100</v>
      </c>
      <c r="H14" s="21" t="n"/>
      <c r="I14" s="21" t="n"/>
      <c r="J14" s="21" t="n">
        <v>20000</v>
      </c>
      <c r="K14" s="21" t="n">
        <v>25</v>
      </c>
      <c r="L14" s="21" t="n"/>
      <c r="M14" s="21" t="n">
        <v>150000</v>
      </c>
      <c r="N14" s="21" t="n">
        <v>150000</v>
      </c>
      <c r="O14" s="19" t="inlineStr">
        <is>
          <t>Perito independiente</t>
        </is>
      </c>
      <c r="P14" s="19" t="inlineStr">
        <is>
          <t>Nivel 2</t>
        </is>
      </c>
      <c r="Q14" s="21" t="n">
        <v>150000</v>
      </c>
      <c r="R14" s="21" t="n">
        <v>12000</v>
      </c>
      <c r="S14" s="21" t="n">
        <v>12000</v>
      </c>
      <c r="T14" s="19" t="inlineStr"/>
      <c r="U14" s="32" t="n"/>
      <c r="V14" s="21" t="n"/>
      <c r="W14" s="21" t="n"/>
      <c r="X14" s="21" t="n"/>
      <c r="Y14" s="21" t="n"/>
    </row>
    <row r="15">
      <c r="A15" s="34" t="inlineStr">
        <is>
          <t>TOTAL</t>
        </is>
      </c>
      <c r="B15" s="34" t="inlineStr"/>
      <c r="C15" s="34" t="inlineStr"/>
      <c r="D15" s="35" t="n"/>
      <c r="E15" s="34" t="inlineStr"/>
      <c r="F15" s="35">
        <f>SUM(F5:F14)</f>
        <v/>
      </c>
      <c r="G15" s="36" t="n"/>
      <c r="H15" s="35" t="n"/>
      <c r="I15" s="35" t="n"/>
      <c r="J15" s="35" t="n"/>
      <c r="K15" s="35" t="n"/>
      <c r="L15" s="35" t="n"/>
      <c r="M15" s="35" t="n"/>
      <c r="N15" s="35" t="n"/>
      <c r="O15" s="34" t="inlineStr"/>
      <c r="P15" s="34" t="inlineStr"/>
      <c r="Q15" s="35">
        <f>SUM(Q5:Q14)</f>
        <v/>
      </c>
      <c r="R15" s="35" t="n"/>
      <c r="S15" s="35" t="n"/>
      <c r="T15" s="34" t="inlineStr"/>
      <c r="U15" s="36" t="n"/>
      <c r="V15" s="35" t="n"/>
      <c r="W15" s="35" t="n"/>
      <c r="X15" s="35" t="n"/>
      <c r="Y15" s="35" t="n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7" customWidth="1" min="3" max="3"/>
    <col width="14" customWidth="1" min="4" max="4"/>
    <col width="12" customWidth="1" min="5" max="5"/>
    <col width="12" customWidth="1" min="6" max="6"/>
    <col width="32" customWidth="1" min="7" max="7"/>
    <col width="26" customWidth="1" min="8" max="8"/>
    <col width="19" customWidth="1" min="9" max="9"/>
    <col width="17" customWidth="1" min="10" max="10"/>
    <col width="37" customWidth="1" min="11" max="11"/>
  </cols>
  <sheetData>
    <row r="1">
      <c r="A1" s="3" t="inlineStr">
        <is>
          <t>Clasificación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Uso actual</t>
        </is>
      </c>
      <c r="D4" s="17" t="inlineStr">
        <is>
          <t>% uso propio</t>
        </is>
      </c>
      <c r="E4" s="17" t="inlineStr">
        <is>
          <t>Separable</t>
        </is>
      </c>
      <c r="F4" s="17" t="inlineStr">
        <is>
          <t>Umbral (%)</t>
        </is>
      </c>
      <c r="G4" s="17" t="inlineStr">
        <is>
          <t>Clasificación auditada</t>
        </is>
      </c>
      <c r="H4" s="17" t="inlineStr">
        <is>
          <t>¿Propiedad de inversión?</t>
        </is>
      </c>
      <c r="I4" s="17" t="inlineStr">
        <is>
          <t>Importe en libros</t>
        </is>
      </c>
      <c r="J4" s="17" t="inlineStr">
        <is>
          <t>Reclasificación</t>
        </is>
      </c>
      <c r="K4" s="17" t="inlineStr">
        <is>
          <t>Parte que es propiedad de inversión</t>
        </is>
      </c>
    </row>
    <row r="5">
      <c r="A5" s="18" t="inlineStr">
        <is>
          <t>IP-01</t>
        </is>
      </c>
      <c r="B5" s="18" t="inlineStr">
        <is>
          <t>Edificio de oficinas Norte</t>
        </is>
      </c>
      <c r="C5" s="18">
        <f>'03_Inmuebles'!C5</f>
        <v/>
      </c>
      <c r="D5" s="20">
        <f>IF('03_Inmuebles'!D5="","",'03_Inmuebles'!D5)</f>
        <v/>
      </c>
      <c r="E5" s="18">
        <f>IF('03_Inmuebles'!E5="","",'03_Inmuebles'!E5)</f>
        <v/>
      </c>
      <c r="F5" s="20">
        <f>'02_Parametros'!$B$12</f>
        <v/>
      </c>
      <c r="G5" s="18">
        <f>IF(C5="Venta",IF('02_Parametros'!$B$8="Sí","Inventario (sección 13)","Inventario (NIC 2)"),IF(C5="Uso propio","PPE (uso propio)",IF(AND('02_Parametros'!$B$8="Sí",AND(D5&lt;&gt;"",D5&gt;0,D5&lt;100)),IF('02_Parametros'!$B$10="no","PPE (uso mixto sin VR fiable: sección 17)","Propiedad de inversión (parte)"),IF(AND('02_Parametros'!$B$8="No",AND(D5&lt;&gt;"",D5&gt;0,D5&lt;100),E5="Sí"),"Propiedad de inversión (parte)",IF(AND(D5&lt;&gt;"",D5&gt;F5),"PPE (uso propio significativo)","Propiedad de inversión")))))</f>
        <v/>
      </c>
      <c r="H5" s="18">
        <f>IF(K5&gt;0,"Sí","No")</f>
        <v/>
      </c>
      <c r="I5" s="20">
        <f>'03_Inmuebles'!Q5</f>
        <v/>
      </c>
      <c r="J5" s="20">
        <f>IF(K5=1,"",-I5*(1-K5))</f>
        <v/>
      </c>
      <c r="K5" s="37">
        <f>IF(G5="Propiedad de inversión",1,IF(G5="Propiedad de inversión (parte)",1-D5/100,0))</f>
        <v/>
      </c>
    </row>
    <row r="6">
      <c r="A6" s="19" t="inlineStr">
        <is>
          <t>IP-02</t>
        </is>
      </c>
      <c r="B6" s="19" t="inlineStr">
        <is>
          <t>Terreno Samborondón</t>
        </is>
      </c>
      <c r="C6" s="19">
        <f>'03_Inmuebles'!C6</f>
        <v/>
      </c>
      <c r="D6" s="21">
        <f>IF('03_Inmuebles'!D6="","",'03_Inmuebles'!D6)</f>
        <v/>
      </c>
      <c r="E6" s="19">
        <f>IF('03_Inmuebles'!E6="","",'03_Inmuebles'!E6)</f>
        <v/>
      </c>
      <c r="F6" s="21">
        <f>'02_Parametros'!$B$12</f>
        <v/>
      </c>
      <c r="G6" s="19">
        <f>IF(C6="Venta",IF('02_Parametros'!$B$8="Sí","Inventario (sección 13)","Inventario (NIC 2)"),IF(C6="Uso propio","PPE (uso propio)",IF(AND('02_Parametros'!$B$8="Sí",AND(D6&lt;&gt;"",D6&gt;0,D6&lt;100)),IF('02_Parametros'!$B$10="no","PPE (uso mixto sin VR fiable: sección 17)","Propiedad de inversión (parte)"),IF(AND('02_Parametros'!$B$8="No",AND(D6&lt;&gt;"",D6&gt;0,D6&lt;100),E6="Sí"),"Propiedad de inversión (parte)",IF(AND(D6&lt;&gt;"",D6&gt;F6),"PPE (uso propio significativo)","Propiedad de inversión")))))</f>
        <v/>
      </c>
      <c r="H6" s="19">
        <f>IF(K6&gt;0,"Sí","No")</f>
        <v/>
      </c>
      <c r="I6" s="21">
        <f>'03_Inmuebles'!Q6</f>
        <v/>
      </c>
      <c r="J6" s="21">
        <f>IF(K6=1,"",-I6*(1-K6))</f>
        <v/>
      </c>
      <c r="K6" s="38">
        <f>IF(G6="Propiedad de inversión",1,IF(G6="Propiedad de inversión (parte)",1-D6/100,0))</f>
        <v/>
      </c>
    </row>
    <row r="7">
      <c r="A7" s="18" t="inlineStr">
        <is>
          <t>IP-03</t>
        </is>
      </c>
      <c r="B7" s="18" t="inlineStr">
        <is>
          <t>Local comercial Sur</t>
        </is>
      </c>
      <c r="C7" s="18">
        <f>'03_Inmuebles'!C7</f>
        <v/>
      </c>
      <c r="D7" s="20">
        <f>IF('03_Inmuebles'!D7="","",'03_Inmuebles'!D7)</f>
        <v/>
      </c>
      <c r="E7" s="18">
        <f>IF('03_Inmuebles'!E7="","",'03_Inmuebles'!E7)</f>
        <v/>
      </c>
      <c r="F7" s="20">
        <f>'02_Parametros'!$B$12</f>
        <v/>
      </c>
      <c r="G7" s="18">
        <f>IF(C7="Venta",IF('02_Parametros'!$B$8="Sí","Inventario (sección 13)","Inventario (NIC 2)"),IF(C7="Uso propio","PPE (uso propio)",IF(AND('02_Parametros'!$B$8="Sí",AND(D7&lt;&gt;"",D7&gt;0,D7&lt;100)),IF('02_Parametros'!$B$10="no","PPE (uso mixto sin VR fiable: sección 17)","Propiedad de inversión (parte)"),IF(AND('02_Parametros'!$B$8="No",AND(D7&lt;&gt;"",D7&gt;0,D7&lt;100),E7="Sí"),"Propiedad de inversión (parte)",IF(AND(D7&lt;&gt;"",D7&gt;F7),"PPE (uso propio significativo)","Propiedad de inversión")))))</f>
        <v/>
      </c>
      <c r="H7" s="18">
        <f>IF(K7&gt;0,"Sí","No")</f>
        <v/>
      </c>
      <c r="I7" s="20">
        <f>'03_Inmuebles'!Q7</f>
        <v/>
      </c>
      <c r="J7" s="20">
        <f>IF(K7=1,"",-I7*(1-K7))</f>
        <v/>
      </c>
      <c r="K7" s="37">
        <f>IF(G7="Propiedad de inversión",1,IF(G7="Propiedad de inversión (parte)",1-D7/100,0))</f>
        <v/>
      </c>
    </row>
    <row r="8">
      <c r="A8" s="19" t="inlineStr">
        <is>
          <t>IP-04</t>
        </is>
      </c>
      <c r="B8" s="19" t="inlineStr">
        <is>
          <t>Bodega Durán (35 % uso propio)</t>
        </is>
      </c>
      <c r="C8" s="19">
        <f>'03_Inmuebles'!C8</f>
        <v/>
      </c>
      <c r="D8" s="21">
        <f>IF('03_Inmuebles'!D8="","",'03_Inmuebles'!D8)</f>
        <v/>
      </c>
      <c r="E8" s="19">
        <f>IF('03_Inmuebles'!E8="","",'03_Inmuebles'!E8)</f>
        <v/>
      </c>
      <c r="F8" s="21">
        <f>'02_Parametros'!$B$12</f>
        <v/>
      </c>
      <c r="G8" s="19">
        <f>IF(C8="Venta",IF('02_Parametros'!$B$8="Sí","Inventario (sección 13)","Inventario (NIC 2)"),IF(C8="Uso propio","PPE (uso propio)",IF(AND('02_Parametros'!$B$8="Sí",AND(D8&lt;&gt;"",D8&gt;0,D8&lt;100)),IF('02_Parametros'!$B$10="no","PPE (uso mixto sin VR fiable: sección 17)","Propiedad de inversión (parte)"),IF(AND('02_Parametros'!$B$8="No",AND(D8&lt;&gt;"",D8&gt;0,D8&lt;100),E8="Sí"),"Propiedad de inversión (parte)",IF(AND(D8&lt;&gt;"",D8&gt;F8),"PPE (uso propio significativo)","Propiedad de inversión")))))</f>
        <v/>
      </c>
      <c r="H8" s="19">
        <f>IF(K8&gt;0,"Sí","No")</f>
        <v/>
      </c>
      <c r="I8" s="21">
        <f>'03_Inmuebles'!Q8</f>
        <v/>
      </c>
      <c r="J8" s="21">
        <f>IF(K8=1,"",-I8*(1-K8))</f>
        <v/>
      </c>
      <c r="K8" s="38">
        <f>IF(G8="Propiedad de inversión",1,IF(G8="Propiedad de inversión (parte)",1-D8/100,0))</f>
        <v/>
      </c>
    </row>
    <row r="9">
      <c r="A9" s="18" t="inlineStr">
        <is>
          <t>IP-05</t>
        </is>
      </c>
      <c r="B9" s="18" t="inlineStr">
        <is>
          <t>Departamentos para la venta</t>
        </is>
      </c>
      <c r="C9" s="18">
        <f>'03_Inmuebles'!C9</f>
        <v/>
      </c>
      <c r="D9" s="20">
        <f>IF('03_Inmuebles'!D9="","",'03_Inmuebles'!D9)</f>
        <v/>
      </c>
      <c r="E9" s="18">
        <f>IF('03_Inmuebles'!E9="","",'03_Inmuebles'!E9)</f>
        <v/>
      </c>
      <c r="F9" s="20">
        <f>'02_Parametros'!$B$12</f>
        <v/>
      </c>
      <c r="G9" s="18">
        <f>IF(C9="Venta",IF('02_Parametros'!$B$8="Sí","Inventario (sección 13)","Inventario (NIC 2)"),IF(C9="Uso propio","PPE (uso propio)",IF(AND('02_Parametros'!$B$8="Sí",AND(D9&lt;&gt;"",D9&gt;0,D9&lt;100)),IF('02_Parametros'!$B$10="no","PPE (uso mixto sin VR fiable: sección 17)","Propiedad de inversión (parte)"),IF(AND('02_Parametros'!$B$8="No",AND(D9&lt;&gt;"",D9&gt;0,D9&lt;100),E9="Sí"),"Propiedad de inversión (parte)",IF(AND(D9&lt;&gt;"",D9&gt;F9),"PPE (uso propio significativo)","Propiedad de inversión")))))</f>
        <v/>
      </c>
      <c r="H9" s="18">
        <f>IF(K9&gt;0,"Sí","No")</f>
        <v/>
      </c>
      <c r="I9" s="20">
        <f>'03_Inmuebles'!Q9</f>
        <v/>
      </c>
      <c r="J9" s="20">
        <f>IF(K9=1,"",-I9*(1-K9))</f>
        <v/>
      </c>
      <c r="K9" s="37">
        <f>IF(G9="Propiedad de inversión",1,IF(G9="Propiedad de inversión (parte)",1-D9/100,0))</f>
        <v/>
      </c>
    </row>
    <row r="10">
      <c r="A10" s="19" t="inlineStr">
        <is>
          <t>IP-06</t>
        </is>
      </c>
      <c r="B10" s="19" t="inlineStr">
        <is>
          <t>Edificio Centro (compra 2025)</t>
        </is>
      </c>
      <c r="C10" s="19">
        <f>'03_Inmuebles'!C10</f>
        <v/>
      </c>
      <c r="D10" s="21">
        <f>IF('03_Inmuebles'!D10="","",'03_Inmuebles'!D10)</f>
        <v/>
      </c>
      <c r="E10" s="19">
        <f>IF('03_Inmuebles'!E10="","",'03_Inmuebles'!E10)</f>
        <v/>
      </c>
      <c r="F10" s="21">
        <f>'02_Parametros'!$B$12</f>
        <v/>
      </c>
      <c r="G10" s="19">
        <f>IF(C10="Venta",IF('02_Parametros'!$B$8="Sí","Inventario (sección 13)","Inventario (NIC 2)"),IF(C10="Uso propio","PPE (uso propio)",IF(AND('02_Parametros'!$B$8="Sí",AND(D10&lt;&gt;"",D10&gt;0,D10&lt;100)),IF('02_Parametros'!$B$10="no","PPE (uso mixto sin VR fiable: sección 17)","Propiedad de inversión (parte)"),IF(AND('02_Parametros'!$B$8="No",AND(D10&lt;&gt;"",D10&gt;0,D10&lt;100),E10="Sí"),"Propiedad de inversión (parte)",IF(AND(D10&lt;&gt;"",D10&gt;F10),"PPE (uso propio significativo)","Propiedad de inversión")))))</f>
        <v/>
      </c>
      <c r="H10" s="19">
        <f>IF(K10&gt;0,"Sí","No")</f>
        <v/>
      </c>
      <c r="I10" s="21">
        <f>'03_Inmuebles'!Q10</f>
        <v/>
      </c>
      <c r="J10" s="21">
        <f>IF(K10=1,"",-I10*(1-K10))</f>
        <v/>
      </c>
      <c r="K10" s="38">
        <f>IF(G10="Propiedad de inversión",1,IF(G10="Propiedad de inversión (parte)",1-D10/100,0))</f>
        <v/>
      </c>
    </row>
    <row r="11">
      <c r="A11" s="18" t="inlineStr">
        <is>
          <t>IP-07</t>
        </is>
      </c>
      <c r="B11" s="18" t="inlineStr">
        <is>
          <t>Edificio zona sin mercado activo</t>
        </is>
      </c>
      <c r="C11" s="18">
        <f>'03_Inmuebles'!C11</f>
        <v/>
      </c>
      <c r="D11" s="20">
        <f>IF('03_Inmuebles'!D11="","",'03_Inmuebles'!D11)</f>
        <v/>
      </c>
      <c r="E11" s="18">
        <f>IF('03_Inmuebles'!E11="","",'03_Inmuebles'!E11)</f>
        <v/>
      </c>
      <c r="F11" s="20">
        <f>'02_Parametros'!$B$12</f>
        <v/>
      </c>
      <c r="G11" s="18">
        <f>IF(C11="Venta",IF('02_Parametros'!$B$8="Sí","Inventario (sección 13)","Inventario (NIC 2)"),IF(C11="Uso propio","PPE (uso propio)",IF(AND('02_Parametros'!$B$8="Sí",AND(D11&lt;&gt;"",D11&gt;0,D11&lt;100)),IF('02_Parametros'!$B$10="no","PPE (uso mixto sin VR fiable: sección 17)","Propiedad de inversión (parte)"),IF(AND('02_Parametros'!$B$8="No",AND(D11&lt;&gt;"",D11&gt;0,D11&lt;100),E11="Sí"),"Propiedad de inversión (parte)",IF(AND(D11&lt;&gt;"",D11&gt;F11),"PPE (uso propio significativo)","Propiedad de inversión")))))</f>
        <v/>
      </c>
      <c r="H11" s="18">
        <f>IF(K11&gt;0,"Sí","No")</f>
        <v/>
      </c>
      <c r="I11" s="20">
        <f>'03_Inmuebles'!Q11</f>
        <v/>
      </c>
      <c r="J11" s="20">
        <f>IF(K11=1,"",-I11*(1-K11))</f>
        <v/>
      </c>
      <c r="K11" s="37">
        <f>IF(G11="Propiedad de inversión",1,IF(G11="Propiedad de inversión (parte)",1-D11/100,0))</f>
        <v/>
      </c>
    </row>
    <row r="12">
      <c r="A12" s="19" t="inlineStr">
        <is>
          <t>IP-08</t>
        </is>
      </c>
      <c r="B12" s="19" t="inlineStr">
        <is>
          <t>Oficina ex uso propio</t>
        </is>
      </c>
      <c r="C12" s="19">
        <f>'03_Inmuebles'!C12</f>
        <v/>
      </c>
      <c r="D12" s="21">
        <f>IF('03_Inmuebles'!D12="","",'03_Inmuebles'!D12)</f>
        <v/>
      </c>
      <c r="E12" s="19">
        <f>IF('03_Inmuebles'!E12="","",'03_Inmuebles'!E12)</f>
        <v/>
      </c>
      <c r="F12" s="21">
        <f>'02_Parametros'!$B$12</f>
        <v/>
      </c>
      <c r="G12" s="19">
        <f>IF(C12="Venta",IF('02_Parametros'!$B$8="Sí","Inventario (sección 13)","Inventario (NIC 2)"),IF(C12="Uso propio","PPE (uso propio)",IF(AND('02_Parametros'!$B$8="Sí",AND(D12&lt;&gt;"",D12&gt;0,D12&lt;100)),IF('02_Parametros'!$B$10="no","PPE (uso mixto sin VR fiable: sección 17)","Propiedad de inversión (parte)"),IF(AND('02_Parametros'!$B$8="No",AND(D12&lt;&gt;"",D12&gt;0,D12&lt;100),E12="Sí"),"Propiedad de inversión (parte)",IF(AND(D12&lt;&gt;"",D12&gt;F12),"PPE (uso propio significativo)","Propiedad de inversión")))))</f>
        <v/>
      </c>
      <c r="H12" s="19">
        <f>IF(K12&gt;0,"Sí","No")</f>
        <v/>
      </c>
      <c r="I12" s="21">
        <f>'03_Inmuebles'!Q12</f>
        <v/>
      </c>
      <c r="J12" s="21">
        <f>IF(K12=1,"",-I12*(1-K12))</f>
        <v/>
      </c>
      <c r="K12" s="38">
        <f>IF(G12="Propiedad de inversión",1,IF(G12="Propiedad de inversión (parte)",1-D12/100,0))</f>
        <v/>
      </c>
    </row>
    <row r="13">
      <c r="A13" s="18" t="inlineStr">
        <is>
          <t>IP-09</t>
        </is>
      </c>
      <c r="B13" s="18" t="inlineStr">
        <is>
          <t>Casa arrendada (ex inventario)</t>
        </is>
      </c>
      <c r="C13" s="18">
        <f>'03_Inmuebles'!C13</f>
        <v/>
      </c>
      <c r="D13" s="20">
        <f>IF('03_Inmuebles'!D13="","",'03_Inmuebles'!D13)</f>
        <v/>
      </c>
      <c r="E13" s="18">
        <f>IF('03_Inmuebles'!E13="","",'03_Inmuebles'!E13)</f>
        <v/>
      </c>
      <c r="F13" s="20">
        <f>'02_Parametros'!$B$12</f>
        <v/>
      </c>
      <c r="G13" s="18">
        <f>IF(C13="Venta",IF('02_Parametros'!$B$8="Sí","Inventario (sección 13)","Inventario (NIC 2)"),IF(C13="Uso propio","PPE (uso propio)",IF(AND('02_Parametros'!$B$8="Sí",AND(D13&lt;&gt;"",D13&gt;0,D13&lt;100)),IF('02_Parametros'!$B$10="no","PPE (uso mixto sin VR fiable: sección 17)","Propiedad de inversión (parte)"),IF(AND('02_Parametros'!$B$8="No",AND(D13&lt;&gt;"",D13&gt;0,D13&lt;100),E13="Sí"),"Propiedad de inversión (parte)",IF(AND(D13&lt;&gt;"",D13&gt;F13),"PPE (uso propio significativo)","Propiedad de inversión")))))</f>
        <v/>
      </c>
      <c r="H13" s="18">
        <f>IF(K13&gt;0,"Sí","No")</f>
        <v/>
      </c>
      <c r="I13" s="20">
        <f>'03_Inmuebles'!Q13</f>
        <v/>
      </c>
      <c r="J13" s="20">
        <f>IF(K13=1,"",-I13*(1-K13))</f>
        <v/>
      </c>
      <c r="K13" s="37">
        <f>IF(G13="Propiedad de inversión",1,IF(G13="Propiedad de inversión (parte)",1-D13/100,0))</f>
        <v/>
      </c>
    </row>
    <row r="14">
      <c r="A14" s="19" t="inlineStr">
        <is>
          <t>IP-10</t>
        </is>
      </c>
      <c r="B14" s="19" t="inlineStr">
        <is>
          <t>Galpón industrial arrendado</t>
        </is>
      </c>
      <c r="C14" s="19">
        <f>'03_Inmuebles'!C14</f>
        <v/>
      </c>
      <c r="D14" s="21">
        <f>IF('03_Inmuebles'!D14="","",'03_Inmuebles'!D14)</f>
        <v/>
      </c>
      <c r="E14" s="19">
        <f>IF('03_Inmuebles'!E14="","",'03_Inmuebles'!E14)</f>
        <v/>
      </c>
      <c r="F14" s="21">
        <f>'02_Parametros'!$B$12</f>
        <v/>
      </c>
      <c r="G14" s="19">
        <f>IF(C14="Venta",IF('02_Parametros'!$B$8="Sí","Inventario (sección 13)","Inventario (NIC 2)"),IF(C14="Uso propio","PPE (uso propio)",IF(AND('02_Parametros'!$B$8="Sí",AND(D14&lt;&gt;"",D14&gt;0,D14&lt;100)),IF('02_Parametros'!$B$10="no","PPE (uso mixto sin VR fiable: sección 17)","Propiedad de inversión (parte)"),IF(AND('02_Parametros'!$B$8="No",AND(D14&lt;&gt;"",D14&gt;0,D14&lt;100),E14="Sí"),"Propiedad de inversión (parte)",IF(AND(D14&lt;&gt;"",D14&gt;F14),"PPE (uso propio significativo)","Propiedad de inversión")))))</f>
        <v/>
      </c>
      <c r="H14" s="19">
        <f>IF(K14&gt;0,"Sí","No")</f>
        <v/>
      </c>
      <c r="I14" s="21">
        <f>'03_Inmuebles'!Q14</f>
        <v/>
      </c>
      <c r="J14" s="21">
        <f>IF(K14=1,"",-I14*(1-K14))</f>
        <v/>
      </c>
      <c r="K14" s="38">
        <f>IF(G14="Propiedad de inversión",1,IF(G14="Propiedad de inversión (parte)",1-D14/100,0))</f>
        <v/>
      </c>
    </row>
    <row r="15">
      <c r="A15" s="34" t="inlineStr">
        <is>
          <t>TOTAL</t>
        </is>
      </c>
      <c r="B15" s="34" t="inlineStr"/>
      <c r="C15" s="34" t="inlineStr"/>
      <c r="D15" s="35" t="n"/>
      <c r="E15" s="34" t="inlineStr"/>
      <c r="F15" s="35" t="n"/>
      <c r="G15" s="34" t="inlineStr"/>
      <c r="H15" s="34" t="inlineStr"/>
      <c r="I15" s="35">
        <f>SUM(I5:I14)</f>
        <v/>
      </c>
      <c r="J15" s="35">
        <f>SUM(J5:J14)</f>
        <v/>
      </c>
      <c r="K15" s="39" t="n"/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Uso actual</t>
        </is>
      </c>
      <c r="B19" s="25" t="inlineStr">
        <is>
          <t>'='03_Inmuebles'!C5</t>
        </is>
      </c>
      <c r="C19" s="24" t="inlineStr">
        <is>
          <t>Trae el uso actual del inmueble declarado por el cliente en la hoja 03 (Registro de inmuebles): alquiler, plusvalía, uso propio, venta, uso futuro no determinado o en construcción.</t>
        </is>
      </c>
      <c r="D19" s="24" t="inlineStr">
        <is>
          <t>Fila 1: «Alquiler» → Alquiler</t>
        </is>
      </c>
      <c r="E19" s="24" t="inlineStr">
        <is>
          <t>hoja «Registro de inmuebles»</t>
        </is>
      </c>
      <c r="F19" s="24" t="inlineStr">
        <is>
          <t>—</t>
        </is>
      </c>
    </row>
    <row r="20">
      <c r="A20" s="24" t="inlineStr">
        <is>
          <t>% uso propio</t>
        </is>
      </c>
      <c r="B20" s="25" t="inlineStr">
        <is>
          <t>'=IF('03_Inmuebles'!D5="","",'03_Inmuebles'!D5)</t>
        </is>
      </c>
      <c r="C20" s="24" t="inlineStr">
        <is>
          <t>Trae de la hoja 03 (Registro de inmuebles) el porcentaje del inmueble que la entidad ocupa para sí misma; si el cliente no lo informó, queda en blanco.</t>
        </is>
      </c>
      <c r="D20" s="24" t="inlineStr">
        <is>
          <t>Fila 1: IF(0,00=""; ""; 0,00) → 0,00</t>
        </is>
      </c>
      <c r="E20" s="24" t="inlineStr">
        <is>
          <t>hoja «Registro de inmuebles»</t>
        </is>
      </c>
      <c r="F20" s="24" t="inlineStr">
        <is>
          <t>—</t>
        </is>
      </c>
    </row>
    <row r="21">
      <c r="A21" s="24" t="inlineStr">
        <is>
          <t>Separable</t>
        </is>
      </c>
      <c r="B21" s="25" t="inlineStr">
        <is>
          <t>'=IF('03_Inmuebles'!E5="","",'03_Inmuebles'!E5)</t>
        </is>
      </c>
      <c r="C21" s="24" t="inlineStr">
        <is>
          <t>Trae de la hoja 03 (Registro de inmuebles) si las partes del inmueble pueden venderse por separado (Sí/No); queda en blanco si no se informó.</t>
        </is>
      </c>
      <c r="D21" s="24" t="inlineStr">
        <is>
          <t>Fila 1: IF((vacío)=""; ""; (vacío)) → (en blanco)</t>
        </is>
      </c>
      <c r="E21" s="24" t="inlineStr">
        <is>
          <t>hoja «Registro de inmuebles»</t>
        </is>
      </c>
      <c r="F21" s="24" t="inlineStr">
        <is>
          <t>—</t>
        </is>
      </c>
    </row>
    <row r="22">
      <c r="A22" s="24" t="inlineStr">
        <is>
          <t>Umbral (%)</t>
        </is>
      </c>
      <c r="B22" s="25" t="inlineStr">
        <is>
          <t>'='02_Parametros'!$B$12</t>
        </is>
      </c>
      <c r="C22" s="24" t="inlineStr">
        <is>
          <t>Repite en cada fila el porcentaje de uso propio desde el cual el auditor lo considera significativo, fijado en la hoja 02 (Parámetros).</t>
        </is>
      </c>
      <c r="D22" s="24" t="inlineStr">
        <is>
          <t>Fila 1: 10,00 → 10,00</t>
        </is>
      </c>
      <c r="E22" s="24" t="inlineStr">
        <is>
          <t>hoja «Parámetros y ruta por marco»</t>
        </is>
      </c>
      <c r="F22" s="24" t="inlineStr">
        <is>
          <t>—</t>
        </is>
      </c>
    </row>
    <row r="23">
      <c r="A23" s="24" t="inlineStr">
        <is>
          <t>Clasificación auditada</t>
        </is>
      </c>
      <c r="B23" s="25" t="inlineStr">
        <is>
          <t>'=IF(C5="Venta",IF('02_Parametros'!$B$8="Sí","Inventario (sección 13)","Inventario (NIC 2)"),IF(C5="Uso propio","PPE (uso propio)",IF(AND('02_Parametros'!$B$8="Sí",AND(D5&lt;&gt;"",D5&gt;0,D5&lt;100)),IF('02_Parametros'!$B$10="no","PPE (uso mixto sin VR fiable: sección 17)","Propiedad de inversión (parte)"),IF(AND('02_Parametros'!$B$8="No",AND(D5&lt;&gt;"",D5&gt;0,D5&lt;100),E5="Sí"),"Propiedad de inversión (parte)",IF(AND(D5&lt;&gt;"",D5&gt;F5),"PPE (uso propio significativo)","Propiedad de inversión")))))</t>
        </is>
      </c>
      <c r="C23" s="24" t="inlineStr">
        <is>
          <t>Si el inmueble es para la venta va a inventario y si es de uso propio a PPE. Con uso mixto (uso propio entre 0 % y 100 %) en PYMES se separa la parte de inversión, salvo que el VR no sea fiable según la hoja 02 (entonces todo va a PPE), y en NIIF completas solo se separa si las partes son vendibles por separado; si el uso propio supera el umbral va a PPE y, en los demás casos, es propiedad de inversión.</t>
        </is>
      </c>
      <c r="D23" s="24" t="inlineStr">
        <is>
          <t>Fila 1: IF(«Alquiler»="Venta"; IF(«No»="Sí"; "Inventario (sección 13)"; "Inventario (NIC 2)"); IF(«Alquiler»="Uso propio"; "PPE (uso propio)"; IF(AND(«No»="Sí"; AND(0,00&lt;&gt;""; 0,00&gt;0; 0,00&lt;100)); IF(«sí»="no"; "PPE (uso mixto sin VR fiable: sección 17)"; "Propiedad de inversión (parte)"); IF(AND(«No»="No"; AND(0,00&lt;&gt;""; 0,00&gt;0; 0,00&lt;100); (vacío)="Sí"); "Propiedad de inversión (parte)"; IF(AND(0,00&lt;&gt;""; 0,00&gt;10,00); "PPE (uso propio significativo)"; "Propiedad de inversión"))))) → Propiedad de inversión</t>
        </is>
      </c>
      <c r="E23" s="24" t="inlineStr">
        <is>
          <t>«Uso actual» (esta hoja), «% uso propio» (esta hoja), «Separable» (esta hoja), «Umbral (%)» (esta hoja), hoja «Parámetros y ruta por marco»</t>
        </is>
      </c>
      <c r="F23" s="24" t="inlineStr">
        <is>
          <t>—</t>
        </is>
      </c>
    </row>
    <row r="24">
      <c r="A24" s="24" t="inlineStr">
        <is>
          <t>¿Propiedad de inversión?</t>
        </is>
      </c>
      <c r="B24" s="25" t="inlineStr">
        <is>
          <t>'=IF(K5&gt;0,"Sí","No")</t>
        </is>
      </c>
      <c r="C24" s="24" t="inlineStr">
        <is>
          <t>Marca «Sí» cuando la parte que es propiedad de inversión (última columna de esta hoja) es mayor que cero, y «No» en caso contrario.</t>
        </is>
      </c>
      <c r="D24" s="24" t="inlineStr">
        <is>
          <t>Fila 1: IF(100,00 %&gt;0; "Sí"; "No") → Sí</t>
        </is>
      </c>
      <c r="E24" s="24" t="inlineStr">
        <is>
          <t>«Parte que es propiedad de inversión» (esta hoja)</t>
        </is>
      </c>
      <c r="F24" s="24" t="inlineStr">
        <is>
          <t>—</t>
        </is>
      </c>
    </row>
    <row r="25">
      <c r="A25" s="24" t="inlineStr">
        <is>
          <t>Importe en libros</t>
        </is>
      </c>
      <c r="B25" s="25" t="inlineStr">
        <is>
          <t>'='03_Inmuebles'!Q5</t>
        </is>
      </c>
      <c r="C25" s="24" t="inlineStr">
        <is>
          <t>Trae de la hoja 03 (Registro de inmuebles) el importe en libros que el cliente tiene registrado al corte para este inmueble.</t>
        </is>
      </c>
      <c r="D25" s="24" t="inlineStr">
        <is>
          <t>Fila 1: 700.000,00 → 700.000,00</t>
        </is>
      </c>
      <c r="E25" s="24" t="inlineStr">
        <is>
          <t>hoja «Registro de inmuebles»</t>
        </is>
      </c>
      <c r="F25" s="24" t="inlineStr">
        <is>
          <t>—</t>
        </is>
      </c>
    </row>
    <row r="26">
      <c r="A26" s="24" t="inlineStr">
        <is>
          <t>Reclasificación</t>
        </is>
      </c>
      <c r="B26" s="25" t="inlineStr">
        <is>
          <t>'=IF(K5=1,"",-I5*(1-K5))</t>
        </is>
      </c>
      <c r="C26" s="24" t="inlineStr">
        <is>
          <t>Si el inmueble no es propiedad de inversión en su totalidad, calcula con signo negativo la parte del importe en libros que debe salir de la cuenta: importe en libros × (1 − parte que es PI). Si todo es PI, queda en blanco.</t>
        </is>
      </c>
      <c r="D26" s="24" t="inlineStr">
        <is>
          <t>Fila 1: IF(100,00 %=1; ""; -700.000,00*(1-100,00 %)) → (en blanco)</t>
        </is>
      </c>
      <c r="E26" s="24" t="inlineStr">
        <is>
          <t>«Parte que es propiedad de inversión» (esta hoja), «Importe en libros» (esta hoja)</t>
        </is>
      </c>
      <c r="F26" s="24" t="inlineStr">
        <is>
          <t>—</t>
        </is>
      </c>
    </row>
    <row r="27">
      <c r="A27" s="24" t="inlineStr">
        <is>
          <t>Parte que es propiedad de inversión</t>
        </is>
      </c>
      <c r="B27" s="25" t="inlineStr">
        <is>
          <t>'=IF(G5="Propiedad de inversión",1,IF(G5="Propiedad de inversión (parte)",1-D5/100,0))</t>
        </is>
      </c>
      <c r="C27" s="24" t="inlineStr">
        <is>
          <t>Es 100 % si la clasificación auditada es propiedad de inversión, 100 % menos el porcentaje de uso propio si solo una parte lo es, y 0 % en cualquier otra clasificación.</t>
        </is>
      </c>
      <c r="D27" s="24" t="inlineStr">
        <is>
          <t>Fila 1: IF(«Propiedad de inversión»="Propiedad de inversión"; 1; IF(«Propiedad de inversión»="Propiedad de inversión (parte)"; 1-0,00/100; 0)) → 100,00 %</t>
        </is>
      </c>
      <c r="E27" s="24" t="inlineStr">
        <is>
          <t>«Clasificación auditada» (esta hoja), «% uso propio» (esta hoja)</t>
        </is>
      </c>
      <c r="F27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5" customWidth="1" min="4" max="4"/>
    <col width="19" customWidth="1" min="5" max="5"/>
    <col width="18" customWidth="1" min="6" max="6"/>
    <col width="12" customWidth="1" min="7" max="7"/>
    <col width="16" customWidth="1" min="8" max="8"/>
  </cols>
  <sheetData>
    <row r="1">
      <c r="A1" s="3" t="inlineStr">
        <is>
          <t>Costo inicial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Fecha de adquisición</t>
        </is>
      </c>
      <c r="C4" s="17" t="inlineStr">
        <is>
          <t>Precio de compra</t>
        </is>
      </c>
      <c r="D4" s="17" t="inlineStr">
        <is>
          <t>Desembolsos atribuibles</t>
        </is>
      </c>
      <c r="E4" s="17" t="inlineStr">
        <is>
          <t>Costo recalculado</t>
        </is>
      </c>
      <c r="F4" s="17" t="inlineStr">
        <is>
          <t>Costo registrado</t>
        </is>
      </c>
      <c r="G4" s="17" t="inlineStr">
        <is>
          <t>Diferencia</t>
        </is>
      </c>
      <c r="H4" s="17" t="inlineStr">
        <is>
          <t>Costo auditado</t>
        </is>
      </c>
    </row>
    <row r="5">
      <c r="A5" s="18" t="inlineStr">
        <is>
          <t>IP-01</t>
        </is>
      </c>
      <c r="B5" s="30" t="n">
        <v>43160</v>
      </c>
      <c r="C5" s="20">
        <f>IF('03_Inmuebles'!H5="","",'03_Inmuebles'!H5)</f>
        <v/>
      </c>
      <c r="D5" s="20">
        <f>IF('03_Inmuebles'!I5="","",'03_Inmuebles'!I5)</f>
        <v/>
      </c>
      <c r="E5" s="20">
        <f>IF(C5="","",C5+IF(D5="",0,D5))</f>
        <v/>
      </c>
      <c r="F5" s="20">
        <f>'03_Inmuebles'!F5</f>
        <v/>
      </c>
      <c r="G5" s="20">
        <f>IF(E5="","",E5-F5)</f>
        <v/>
      </c>
      <c r="H5" s="20">
        <f>IF(E5&lt;&gt;"",E5,F5)</f>
        <v/>
      </c>
    </row>
    <row r="6">
      <c r="A6" s="19" t="inlineStr">
        <is>
          <t>IP-02</t>
        </is>
      </c>
      <c r="B6" s="32" t="n"/>
      <c r="C6" s="21">
        <f>IF('03_Inmuebles'!H6="","",'03_Inmuebles'!H6)</f>
        <v/>
      </c>
      <c r="D6" s="21">
        <f>IF('03_Inmuebles'!I6="","",'03_Inmuebles'!I6)</f>
        <v/>
      </c>
      <c r="E6" s="21">
        <f>IF(C6="","",C6+IF(D6="",0,D6))</f>
        <v/>
      </c>
      <c r="F6" s="21">
        <f>'03_Inmuebles'!F6</f>
        <v/>
      </c>
      <c r="G6" s="21">
        <f>IF(E6="","",E6-F6)</f>
        <v/>
      </c>
      <c r="H6" s="21">
        <f>IF(E6&lt;&gt;"",E6,F6)</f>
        <v/>
      </c>
    </row>
    <row r="7">
      <c r="A7" s="18" t="inlineStr">
        <is>
          <t>IP-03</t>
        </is>
      </c>
      <c r="B7" s="30" t="n">
        <v>44012</v>
      </c>
      <c r="C7" s="20">
        <f>IF('03_Inmuebles'!H7="","",'03_Inmuebles'!H7)</f>
        <v/>
      </c>
      <c r="D7" s="20">
        <f>IF('03_Inmuebles'!I7="","",'03_Inmuebles'!I7)</f>
        <v/>
      </c>
      <c r="E7" s="20">
        <f>IF(C7="","",C7+IF(D7="",0,D7))</f>
        <v/>
      </c>
      <c r="F7" s="20">
        <f>'03_Inmuebles'!F7</f>
        <v/>
      </c>
      <c r="G7" s="20">
        <f>IF(E7="","",E7-F7)</f>
        <v/>
      </c>
      <c r="H7" s="20">
        <f>IF(E7&lt;&gt;"",E7,F7)</f>
        <v/>
      </c>
    </row>
    <row r="8">
      <c r="A8" s="19" t="inlineStr">
        <is>
          <t>IP-04</t>
        </is>
      </c>
      <c r="B8" s="33" t="n">
        <v>43830</v>
      </c>
      <c r="C8" s="21">
        <f>IF('03_Inmuebles'!H8="","",'03_Inmuebles'!H8)</f>
        <v/>
      </c>
      <c r="D8" s="21">
        <f>IF('03_Inmuebles'!I8="","",'03_Inmuebles'!I8)</f>
        <v/>
      </c>
      <c r="E8" s="21">
        <f>IF(C8="","",C8+IF(D8="",0,D8))</f>
        <v/>
      </c>
      <c r="F8" s="21">
        <f>'03_Inmuebles'!F8</f>
        <v/>
      </c>
      <c r="G8" s="21">
        <f>IF(E8="","",E8-F8)</f>
        <v/>
      </c>
      <c r="H8" s="21">
        <f>IF(E8&lt;&gt;"",E8,F8)</f>
        <v/>
      </c>
    </row>
    <row r="9">
      <c r="A9" s="18" t="inlineStr">
        <is>
          <t>IP-05</t>
        </is>
      </c>
      <c r="B9" s="31" t="n"/>
      <c r="C9" s="20">
        <f>IF('03_Inmuebles'!H9="","",'03_Inmuebles'!H9)</f>
        <v/>
      </c>
      <c r="D9" s="20">
        <f>IF('03_Inmuebles'!I9="","",'03_Inmuebles'!I9)</f>
        <v/>
      </c>
      <c r="E9" s="20">
        <f>IF(C9="","",C9+IF(D9="",0,D9))</f>
        <v/>
      </c>
      <c r="F9" s="20">
        <f>'03_Inmuebles'!F9</f>
        <v/>
      </c>
      <c r="G9" s="20">
        <f>IF(E9="","",E9-F9)</f>
        <v/>
      </c>
      <c r="H9" s="20">
        <f>IF(E9&lt;&gt;"",E9,F9)</f>
        <v/>
      </c>
    </row>
    <row r="10">
      <c r="A10" s="19" t="inlineStr">
        <is>
          <t>IP-06</t>
        </is>
      </c>
      <c r="B10" s="33" t="n">
        <v>45839</v>
      </c>
      <c r="C10" s="21">
        <f>IF('03_Inmuebles'!H10="","",'03_Inmuebles'!H10)</f>
        <v/>
      </c>
      <c r="D10" s="21">
        <f>IF('03_Inmuebles'!I10="","",'03_Inmuebles'!I10)</f>
        <v/>
      </c>
      <c r="E10" s="21">
        <f>IF(C10="","",C10+IF(D10="",0,D10))</f>
        <v/>
      </c>
      <c r="F10" s="21">
        <f>'03_Inmuebles'!F10</f>
        <v/>
      </c>
      <c r="G10" s="21">
        <f>IF(E10="","",E10-F10)</f>
        <v/>
      </c>
      <c r="H10" s="21">
        <f>IF(E10&lt;&gt;"",E10,F10)</f>
        <v/>
      </c>
    </row>
    <row r="11">
      <c r="A11" s="18" t="inlineStr">
        <is>
          <t>IP-07</t>
        </is>
      </c>
      <c r="B11" s="30" t="n">
        <v>42369</v>
      </c>
      <c r="C11" s="20">
        <f>IF('03_Inmuebles'!H11="","",'03_Inmuebles'!H11)</f>
        <v/>
      </c>
      <c r="D11" s="20">
        <f>IF('03_Inmuebles'!I11="","",'03_Inmuebles'!I11)</f>
        <v/>
      </c>
      <c r="E11" s="20">
        <f>IF(C11="","",C11+IF(D11="",0,D11))</f>
        <v/>
      </c>
      <c r="F11" s="20">
        <f>'03_Inmuebles'!F11</f>
        <v/>
      </c>
      <c r="G11" s="20">
        <f>IF(E11="","",E11-F11)</f>
        <v/>
      </c>
      <c r="H11" s="20">
        <f>IF(E11&lt;&gt;"",E11,F11)</f>
        <v/>
      </c>
    </row>
    <row r="12">
      <c r="A12" s="19" t="inlineStr">
        <is>
          <t>IP-08</t>
        </is>
      </c>
      <c r="B12" s="33" t="n">
        <v>42005</v>
      </c>
      <c r="C12" s="21">
        <f>IF('03_Inmuebles'!H12="","",'03_Inmuebles'!H12)</f>
        <v/>
      </c>
      <c r="D12" s="21">
        <f>IF('03_Inmuebles'!I12="","",'03_Inmuebles'!I12)</f>
        <v/>
      </c>
      <c r="E12" s="21">
        <f>IF(C12="","",C12+IF(D12="",0,D12))</f>
        <v/>
      </c>
      <c r="F12" s="21">
        <f>'03_Inmuebles'!F12</f>
        <v/>
      </c>
      <c r="G12" s="21">
        <f>IF(E12="","",E12-F12)</f>
        <v/>
      </c>
      <c r="H12" s="21">
        <f>IF(E12&lt;&gt;"",E12,F12)</f>
        <v/>
      </c>
    </row>
    <row r="13">
      <c r="A13" s="18" t="inlineStr">
        <is>
          <t>IP-09</t>
        </is>
      </c>
      <c r="B13" s="30" t="n">
        <v>43830</v>
      </c>
      <c r="C13" s="20">
        <f>IF('03_Inmuebles'!H13="","",'03_Inmuebles'!H13)</f>
        <v/>
      </c>
      <c r="D13" s="20">
        <f>IF('03_Inmuebles'!I13="","",'03_Inmuebles'!I13)</f>
        <v/>
      </c>
      <c r="E13" s="20">
        <f>IF(C13="","",C13+IF(D13="",0,D13))</f>
        <v/>
      </c>
      <c r="F13" s="20">
        <f>'03_Inmuebles'!F13</f>
        <v/>
      </c>
      <c r="G13" s="20">
        <f>IF(E13="","",E13-F13)</f>
        <v/>
      </c>
      <c r="H13" s="20">
        <f>IF(E13&lt;&gt;"",E13,F13)</f>
        <v/>
      </c>
    </row>
    <row r="14">
      <c r="A14" s="19" t="inlineStr">
        <is>
          <t>IP-10</t>
        </is>
      </c>
      <c r="B14" s="33" t="n">
        <v>43100</v>
      </c>
      <c r="C14" s="21">
        <f>IF('03_Inmuebles'!H14="","",'03_Inmuebles'!H14)</f>
        <v/>
      </c>
      <c r="D14" s="21">
        <f>IF('03_Inmuebles'!I14="","",'03_Inmuebles'!I14)</f>
        <v/>
      </c>
      <c r="E14" s="21">
        <f>IF(C14="","",C14+IF(D14="",0,D14))</f>
        <v/>
      </c>
      <c r="F14" s="21">
        <f>'03_Inmuebles'!F14</f>
        <v/>
      </c>
      <c r="G14" s="21">
        <f>IF(E14="","",E14-F14)</f>
        <v/>
      </c>
      <c r="H14" s="21">
        <f>IF(E14&lt;&gt;"",E14,F14)</f>
        <v/>
      </c>
    </row>
    <row r="15">
      <c r="A15" s="34" t="inlineStr">
        <is>
          <t>TOTAL</t>
        </is>
      </c>
      <c r="B15" s="36" t="n"/>
      <c r="C15" s="35" t="n"/>
      <c r="D15" s="35" t="n"/>
      <c r="E15" s="35" t="n"/>
      <c r="F15" s="35">
        <f>SUM(F5:F14)</f>
        <v/>
      </c>
      <c r="G15" s="35">
        <f>SUM(G5:G14)</f>
        <v/>
      </c>
      <c r="H15" s="35">
        <f>SUM(H5:H14)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Precio de compra</t>
        </is>
      </c>
      <c r="B19" s="25" t="inlineStr">
        <is>
          <t>'=IF('03_Inmuebles'!H5="","",'03_Inmuebles'!H5)</t>
        </is>
      </c>
      <c r="C19" s="24" t="inlineStr">
        <is>
          <t>Trae el precio de compra según escritura de la hoja 03 (Registro de inmuebles); si el cliente no lo informó, queda en blanco.</t>
        </is>
      </c>
      <c r="D19" s="24" t="inlineStr">
        <is>
          <t>Fila 1: IF((vacío)=""; ""; (vacío)) → (en blanco)</t>
        </is>
      </c>
      <c r="E19" s="24" t="inlineStr">
        <is>
          <t>hoja «Registro de inmuebles»</t>
        </is>
      </c>
      <c r="F19" s="24" t="inlineStr">
        <is>
          <t>—</t>
        </is>
      </c>
    </row>
    <row r="20">
      <c r="A20" s="24" t="inlineStr">
        <is>
          <t>Desembolsos atribuibles</t>
        </is>
      </c>
      <c r="B20" s="25" t="inlineStr">
        <is>
          <t>'=IF('03_Inmuebles'!I5="","",'03_Inmuebles'!I5)</t>
        </is>
      </c>
      <c r="C20" s="24" t="inlineStr">
        <is>
          <t>Trae de la hoja 03 (Registro de inmuebles) los honorarios, impuestos de transferencia y demás desembolsos directamente atribuibles; en blanco si no se informaron.</t>
        </is>
      </c>
      <c r="D20" s="24" t="inlineStr">
        <is>
          <t>Fila 1: IF((vacío)=""; ""; (vacío)) → (en blanco)</t>
        </is>
      </c>
      <c r="E20" s="24" t="inlineStr">
        <is>
          <t>hoja «Registro de inmuebles»</t>
        </is>
      </c>
      <c r="F20" s="24" t="inlineStr">
        <is>
          <t>—</t>
        </is>
      </c>
    </row>
    <row r="21">
      <c r="A21" s="24" t="inlineStr">
        <is>
          <t>Costo recalculado</t>
        </is>
      </c>
      <c r="B21" s="25" t="inlineStr">
        <is>
          <t>'=IF(C5="","",C5+IF(D5="",0,D5))</t>
        </is>
      </c>
      <c r="C21" s="24" t="inlineStr">
        <is>
          <t>Suma el precio de compra y los desembolsos atribuibles (sin desembolsos cuenta cero). Si falta el precio de compra queda en blanco, porque no se puede recalcular.</t>
        </is>
      </c>
      <c r="D21" s="24" t="inlineStr">
        <is>
          <t>Fila 1: IF((vacío)=""; ""; (vacío)+IF((vacío)=""; 0; (vacío))) → (en blanco)</t>
        </is>
      </c>
      <c r="E21" s="24" t="inlineStr">
        <is>
          <t>«Precio de compra» (esta hoja), «Desembolsos atribuibles» (esta hoja)</t>
        </is>
      </c>
      <c r="F21" s="24" t="inlineStr">
        <is>
          <t>—</t>
        </is>
      </c>
    </row>
    <row r="22">
      <c r="A22" s="24" t="inlineStr">
        <is>
          <t>Costo registrado</t>
        </is>
      </c>
      <c r="B22" s="25" t="inlineStr">
        <is>
          <t>'='03_Inmuebles'!F5</t>
        </is>
      </c>
      <c r="C22" s="24" t="inlineStr">
        <is>
          <t>Trae de la hoja 03 (Registro de inmuebles) el costo que el cliente tiene registrado para el inmueble.</t>
        </is>
      </c>
      <c r="D22" s="24" t="inlineStr">
        <is>
          <t>Fila 1: 500.000,00 → 500.000,00</t>
        </is>
      </c>
      <c r="E22" s="24" t="inlineStr">
        <is>
          <t>hoja «Registro de inmuebles»</t>
        </is>
      </c>
      <c r="F22" s="24" t="inlineStr">
        <is>
          <t>—</t>
        </is>
      </c>
    </row>
    <row r="23">
      <c r="A23" s="24" t="inlineStr">
        <is>
          <t>Diferencia</t>
        </is>
      </c>
      <c r="B23" s="25" t="inlineStr">
        <is>
          <t>'=IF(E5="","",E5-F5)</t>
        </is>
      </c>
      <c r="C23" s="24" t="inlineStr">
        <is>
          <t>Resta el costo registrado del costo recalculado; queda en blanco cuando no hubo costo recalculado.</t>
        </is>
      </c>
      <c r="D23" s="24" t="inlineStr">
        <is>
          <t>Fila 1: IF((vacío)=""; ""; (vacío)-500.000,00) → (en blanco)</t>
        </is>
      </c>
      <c r="E23" s="24" t="inlineStr">
        <is>
          <t>«Costo recalculado» (esta hoja), «Costo registrado» (esta hoja)</t>
        </is>
      </c>
      <c r="F23" s="24" t="inlineStr">
        <is>
          <t>—</t>
        </is>
      </c>
    </row>
    <row r="24">
      <c r="A24" s="24" t="inlineStr">
        <is>
          <t>Costo auditado</t>
        </is>
      </c>
      <c r="B24" s="25" t="inlineStr">
        <is>
          <t>'=IF(E5&lt;&gt;"",E5,F5)</t>
        </is>
      </c>
      <c r="C24" s="24" t="inlineStr">
        <is>
          <t>Toma el costo recalculado cuando existe y, si no se pudo recalcular, acepta el costo registrado por el cliente.</t>
        </is>
      </c>
      <c r="D24" s="24" t="inlineStr">
        <is>
          <t>Fila 1: IF((vacío)&lt;&gt;""; (vacío); 500.000,00) → 500.000,00</t>
        </is>
      </c>
      <c r="E24" s="24" t="inlineStr">
        <is>
          <t>«Costo recalculado» (esta hoja), «Costo registrado» (esta hoja)</t>
        </is>
      </c>
      <c r="F24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13" customWidth="1" min="5" max="5"/>
    <col width="19" customWidth="1" min="6" max="6"/>
    <col width="19" customWidth="1" min="7" max="7"/>
    <col width="39" customWidth="1" min="8" max="8"/>
    <col width="42" customWidth="1" min="9" max="9"/>
    <col width="12" customWidth="1" min="10" max="10"/>
  </cols>
  <sheetData>
    <row r="1">
      <c r="A1" s="3" t="inlineStr">
        <is>
          <t>Valor razonable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4" ht="30" customHeight="1">
      <c r="A4" s="17" t="inlineStr">
        <is>
          <t>Código</t>
        </is>
      </c>
      <c r="B4" s="17" t="inlineStr">
        <is>
          <t>¿PI?</t>
        </is>
      </c>
      <c r="C4" s="17" t="inlineStr">
        <is>
          <t>Medición</t>
        </is>
      </c>
      <c r="D4" s="17" t="inlineStr">
        <is>
          <t>VR año anterior</t>
        </is>
      </c>
      <c r="E4" s="17" t="inlineStr">
        <is>
          <t>VR al corte</t>
        </is>
      </c>
      <c r="F4" s="17" t="inlineStr">
        <is>
          <t>Variación del año</t>
        </is>
      </c>
      <c r="G4" s="17" t="inlineStr">
        <is>
          <t>Importe en libros</t>
        </is>
      </c>
      <c r="H4" s="17" t="inlineStr">
        <is>
          <t>Ajuste VR no reconocido (VR − libros)</t>
        </is>
      </c>
      <c r="I4" s="17" t="inlineStr">
        <is>
          <t>Fuente / tasador</t>
        </is>
      </c>
      <c r="J4" s="17" t="inlineStr">
        <is>
          <t>Nivel</t>
        </is>
      </c>
    </row>
    <row r="5">
      <c r="A5" s="18" t="inlineStr">
        <is>
          <t>IP-01</t>
        </is>
      </c>
      <c r="B5" s="18">
        <f>'04_Clasificacion'!H5</f>
        <v/>
      </c>
      <c r="C5" s="18">
        <f>IF(B5="No","No es PI",IF('02_Parametros'!$B$11="valor_razonable",IF(E5&lt;&gt;"","Valor razonable","Costo (VR no fiable)"),"Costo"))</f>
        <v/>
      </c>
      <c r="D5" s="20">
        <f>IF('03_Inmuebles'!M5="","",'03_Inmuebles'!M5)</f>
        <v/>
      </c>
      <c r="E5" s="20">
        <f>IF('03_Inmuebles'!N5="","",'03_Inmuebles'!N5)</f>
        <v/>
      </c>
      <c r="F5" s="20">
        <f>IF(OR(D5="",E5=""),"",E5-D5)</f>
        <v/>
      </c>
      <c r="G5" s="20">
        <f>'03_Inmuebles'!Q5</f>
        <v/>
      </c>
      <c r="H5" s="20">
        <f>IF(C5="Valor razonable",(E5-G5)*'04_Clasificacion'!K5,"")</f>
        <v/>
      </c>
      <c r="I5" s="18">
        <f>IF('03_Inmuebles'!O5="","",'03_Inmuebles'!O5)</f>
        <v/>
      </c>
      <c r="J5" s="18">
        <f>IF('03_Inmuebles'!P5="","",'03_Inmuebles'!P5)</f>
        <v/>
      </c>
    </row>
    <row r="6">
      <c r="A6" s="19" t="inlineStr">
        <is>
          <t>IP-02</t>
        </is>
      </c>
      <c r="B6" s="19">
        <f>'04_Clasificacion'!H6</f>
        <v/>
      </c>
      <c r="C6" s="19">
        <f>IF(B6="No","No es PI",IF('02_Parametros'!$B$11="valor_razonable",IF(E6&lt;&gt;"","Valor razonable","Costo (VR no fiable)"),"Costo"))</f>
        <v/>
      </c>
      <c r="D6" s="21">
        <f>IF('03_Inmuebles'!M6="","",'03_Inmuebles'!M6)</f>
        <v/>
      </c>
      <c r="E6" s="21">
        <f>IF('03_Inmuebles'!N6="","",'03_Inmuebles'!N6)</f>
        <v/>
      </c>
      <c r="F6" s="21">
        <f>IF(OR(D6="",E6=""),"",E6-D6)</f>
        <v/>
      </c>
      <c r="G6" s="21">
        <f>'03_Inmuebles'!Q6</f>
        <v/>
      </c>
      <c r="H6" s="21">
        <f>IF(C6="Valor razonable",(E6-G6)*'04_Clasificacion'!K6,"")</f>
        <v/>
      </c>
      <c r="I6" s="19">
        <f>IF('03_Inmuebles'!O6="","",'03_Inmuebles'!O6)</f>
        <v/>
      </c>
      <c r="J6" s="19">
        <f>IF('03_Inmuebles'!P6="","",'03_Inmuebles'!P6)</f>
        <v/>
      </c>
    </row>
    <row r="7">
      <c r="A7" s="18" t="inlineStr">
        <is>
          <t>IP-03</t>
        </is>
      </c>
      <c r="B7" s="18">
        <f>'04_Clasificacion'!H7</f>
        <v/>
      </c>
      <c r="C7" s="18">
        <f>IF(B7="No","No es PI",IF('02_Parametros'!$B$11="valor_razonable",IF(E7&lt;&gt;"","Valor razonable","Costo (VR no fiable)"),"Costo"))</f>
        <v/>
      </c>
      <c r="D7" s="20">
        <f>IF('03_Inmuebles'!M7="","",'03_Inmuebles'!M7)</f>
        <v/>
      </c>
      <c r="E7" s="20">
        <f>IF('03_Inmuebles'!N7="","",'03_Inmuebles'!N7)</f>
        <v/>
      </c>
      <c r="F7" s="20">
        <f>IF(OR(D7="",E7=""),"",E7-D7)</f>
        <v/>
      </c>
      <c r="G7" s="20">
        <f>'03_Inmuebles'!Q7</f>
        <v/>
      </c>
      <c r="H7" s="20">
        <f>IF(C7="Valor razonable",(E7-G7)*'04_Clasificacion'!K7,"")</f>
        <v/>
      </c>
      <c r="I7" s="18">
        <f>IF('03_Inmuebles'!O7="","",'03_Inmuebles'!O7)</f>
        <v/>
      </c>
      <c r="J7" s="18">
        <f>IF('03_Inmuebles'!P7="","",'03_Inmuebles'!P7)</f>
        <v/>
      </c>
    </row>
    <row r="8">
      <c r="A8" s="19" t="inlineStr">
        <is>
          <t>IP-04</t>
        </is>
      </c>
      <c r="B8" s="19">
        <f>'04_Clasificacion'!H8</f>
        <v/>
      </c>
      <c r="C8" s="19">
        <f>IF(B8="No","No es PI",IF('02_Parametros'!$B$11="valor_razonable",IF(E8&lt;&gt;"","Valor razonable","Costo (VR no fiable)"),"Costo"))</f>
        <v/>
      </c>
      <c r="D8" s="21">
        <f>IF('03_Inmuebles'!M8="","",'03_Inmuebles'!M8)</f>
        <v/>
      </c>
      <c r="E8" s="21">
        <f>IF('03_Inmuebles'!N8="","",'03_Inmuebles'!N8)</f>
        <v/>
      </c>
      <c r="F8" s="21">
        <f>IF(OR(D8="",E8=""),"",E8-D8)</f>
        <v/>
      </c>
      <c r="G8" s="21">
        <f>'03_Inmuebles'!Q8</f>
        <v/>
      </c>
      <c r="H8" s="21">
        <f>IF(C8="Valor razonable",(E8-G8)*'04_Clasificacion'!K8,"")</f>
        <v/>
      </c>
      <c r="I8" s="19">
        <f>IF('03_Inmuebles'!O8="","",'03_Inmuebles'!O8)</f>
        <v/>
      </c>
      <c r="J8" s="19">
        <f>IF('03_Inmuebles'!P8="","",'03_Inmuebles'!P8)</f>
        <v/>
      </c>
    </row>
    <row r="9">
      <c r="A9" s="18" t="inlineStr">
        <is>
          <t>IP-05</t>
        </is>
      </c>
      <c r="B9" s="18">
        <f>'04_Clasificacion'!H9</f>
        <v/>
      </c>
      <c r="C9" s="18">
        <f>IF(B9="No","No es PI",IF('02_Parametros'!$B$11="valor_razonable",IF(E9&lt;&gt;"","Valor razonable","Costo (VR no fiable)"),"Costo"))</f>
        <v/>
      </c>
      <c r="D9" s="20">
        <f>IF('03_Inmuebles'!M9="","",'03_Inmuebles'!M9)</f>
        <v/>
      </c>
      <c r="E9" s="20">
        <f>IF('03_Inmuebles'!N9="","",'03_Inmuebles'!N9)</f>
        <v/>
      </c>
      <c r="F9" s="20">
        <f>IF(OR(D9="",E9=""),"",E9-D9)</f>
        <v/>
      </c>
      <c r="G9" s="20">
        <f>'03_Inmuebles'!Q9</f>
        <v/>
      </c>
      <c r="H9" s="20">
        <f>IF(C9="Valor razonable",(E9-G9)*'04_Clasificacion'!K9,"")</f>
        <v/>
      </c>
      <c r="I9" s="18">
        <f>IF('03_Inmuebles'!O9="","",'03_Inmuebles'!O9)</f>
        <v/>
      </c>
      <c r="J9" s="18">
        <f>IF('03_Inmuebles'!P9="","",'03_Inmuebles'!P9)</f>
        <v/>
      </c>
    </row>
    <row r="10">
      <c r="A10" s="19" t="inlineStr">
        <is>
          <t>IP-06</t>
        </is>
      </c>
      <c r="B10" s="19">
        <f>'04_Clasificacion'!H10</f>
        <v/>
      </c>
      <c r="C10" s="19">
        <f>IF(B10="No","No es PI",IF('02_Parametros'!$B$11="valor_razonable",IF(E10&lt;&gt;"","Valor razonable","Costo (VR no fiable)"),"Costo"))</f>
        <v/>
      </c>
      <c r="D10" s="21">
        <f>IF('03_Inmuebles'!M10="","",'03_Inmuebles'!M10)</f>
        <v/>
      </c>
      <c r="E10" s="21">
        <f>IF('03_Inmuebles'!N10="","",'03_Inmuebles'!N10)</f>
        <v/>
      </c>
      <c r="F10" s="21">
        <f>IF(OR(D10="",E10=""),"",E10-D10)</f>
        <v/>
      </c>
      <c r="G10" s="21">
        <f>'03_Inmuebles'!Q10</f>
        <v/>
      </c>
      <c r="H10" s="21">
        <f>IF(C10="Valor razonable",(E10-G10)*'04_Clasificacion'!K10,"")</f>
        <v/>
      </c>
      <c r="I10" s="19">
        <f>IF('03_Inmuebles'!O10="","",'03_Inmuebles'!O10)</f>
        <v/>
      </c>
      <c r="J10" s="19">
        <f>IF('03_Inmuebles'!P10="","",'03_Inmuebles'!P10)</f>
        <v/>
      </c>
    </row>
    <row r="11">
      <c r="A11" s="18" t="inlineStr">
        <is>
          <t>IP-07</t>
        </is>
      </c>
      <c r="B11" s="18">
        <f>'04_Clasificacion'!H11</f>
        <v/>
      </c>
      <c r="C11" s="18">
        <f>IF(B11="No","No es PI",IF('02_Parametros'!$B$11="valor_razonable",IF(E11&lt;&gt;"","Valor razonable","Costo (VR no fiable)"),"Costo"))</f>
        <v/>
      </c>
      <c r="D11" s="20">
        <f>IF('03_Inmuebles'!M11="","",'03_Inmuebles'!M11)</f>
        <v/>
      </c>
      <c r="E11" s="20">
        <f>IF('03_Inmuebles'!N11="","",'03_Inmuebles'!N11)</f>
        <v/>
      </c>
      <c r="F11" s="20">
        <f>IF(OR(D11="",E11=""),"",E11-D11)</f>
        <v/>
      </c>
      <c r="G11" s="20">
        <f>'03_Inmuebles'!Q11</f>
        <v/>
      </c>
      <c r="H11" s="20">
        <f>IF(C11="Valor razonable",(E11-G11)*'04_Clasificacion'!K11,"")</f>
        <v/>
      </c>
      <c r="I11" s="18">
        <f>IF('03_Inmuebles'!O11="","",'03_Inmuebles'!O11)</f>
        <v/>
      </c>
      <c r="J11" s="18">
        <f>IF('03_Inmuebles'!P11="","",'03_Inmuebles'!P11)</f>
        <v/>
      </c>
    </row>
    <row r="12">
      <c r="A12" s="19" t="inlineStr">
        <is>
          <t>IP-08</t>
        </is>
      </c>
      <c r="B12" s="19">
        <f>'04_Clasificacion'!H12</f>
        <v/>
      </c>
      <c r="C12" s="19">
        <f>IF(B12="No","No es PI",IF('02_Parametros'!$B$11="valor_razonable",IF(E12&lt;&gt;"","Valor razonable","Costo (VR no fiable)"),"Costo"))</f>
        <v/>
      </c>
      <c r="D12" s="21">
        <f>IF('03_Inmuebles'!M12="","",'03_Inmuebles'!M12)</f>
        <v/>
      </c>
      <c r="E12" s="21">
        <f>IF('03_Inmuebles'!N12="","",'03_Inmuebles'!N12)</f>
        <v/>
      </c>
      <c r="F12" s="21">
        <f>IF(OR(D12="",E12=""),"",E12-D12)</f>
        <v/>
      </c>
      <c r="G12" s="21">
        <f>'03_Inmuebles'!Q12</f>
        <v/>
      </c>
      <c r="H12" s="21">
        <f>IF(C12="Valor razonable",(E12-G12)*'04_Clasificacion'!K12,"")</f>
        <v/>
      </c>
      <c r="I12" s="19">
        <f>IF('03_Inmuebles'!O12="","",'03_Inmuebles'!O12)</f>
        <v/>
      </c>
      <c r="J12" s="19">
        <f>IF('03_Inmuebles'!P12="","",'03_Inmuebles'!P12)</f>
        <v/>
      </c>
    </row>
    <row r="13">
      <c r="A13" s="18" t="inlineStr">
        <is>
          <t>IP-09</t>
        </is>
      </c>
      <c r="B13" s="18">
        <f>'04_Clasificacion'!H13</f>
        <v/>
      </c>
      <c r="C13" s="18">
        <f>IF(B13="No","No es PI",IF('02_Parametros'!$B$11="valor_razonable",IF(E13&lt;&gt;"","Valor razonable","Costo (VR no fiable)"),"Costo"))</f>
        <v/>
      </c>
      <c r="D13" s="20">
        <f>IF('03_Inmuebles'!M13="","",'03_Inmuebles'!M13)</f>
        <v/>
      </c>
      <c r="E13" s="20">
        <f>IF('03_Inmuebles'!N13="","",'03_Inmuebles'!N13)</f>
        <v/>
      </c>
      <c r="F13" s="20">
        <f>IF(OR(D13="",E13=""),"",E13-D13)</f>
        <v/>
      </c>
      <c r="G13" s="20">
        <f>'03_Inmuebles'!Q13</f>
        <v/>
      </c>
      <c r="H13" s="20">
        <f>IF(C13="Valor razonable",(E13-G13)*'04_Clasificacion'!K13,"")</f>
        <v/>
      </c>
      <c r="I13" s="18">
        <f>IF('03_Inmuebles'!O13="","",'03_Inmuebles'!O13)</f>
        <v/>
      </c>
      <c r="J13" s="18">
        <f>IF('03_Inmuebles'!P13="","",'03_Inmuebles'!P13)</f>
        <v/>
      </c>
    </row>
    <row r="14">
      <c r="A14" s="19" t="inlineStr">
        <is>
          <t>IP-10</t>
        </is>
      </c>
      <c r="B14" s="19">
        <f>'04_Clasificacion'!H14</f>
        <v/>
      </c>
      <c r="C14" s="19">
        <f>IF(B14="No","No es PI",IF('02_Parametros'!$B$11="valor_razonable",IF(E14&lt;&gt;"","Valor razonable","Costo (VR no fiable)"),"Costo"))</f>
        <v/>
      </c>
      <c r="D14" s="21">
        <f>IF('03_Inmuebles'!M14="","",'03_Inmuebles'!M14)</f>
        <v/>
      </c>
      <c r="E14" s="21">
        <f>IF('03_Inmuebles'!N14="","",'03_Inmuebles'!N14)</f>
        <v/>
      </c>
      <c r="F14" s="21">
        <f>IF(OR(D14="",E14=""),"",E14-D14)</f>
        <v/>
      </c>
      <c r="G14" s="21">
        <f>'03_Inmuebles'!Q14</f>
        <v/>
      </c>
      <c r="H14" s="21">
        <f>IF(C14="Valor razonable",(E14-G14)*'04_Clasificacion'!K14,"")</f>
        <v/>
      </c>
      <c r="I14" s="19">
        <f>IF('03_Inmuebles'!O14="","",'03_Inmuebles'!O14)</f>
        <v/>
      </c>
      <c r="J14" s="19">
        <f>IF('03_Inmuebles'!P14="","",'03_Inmuebles'!P14)</f>
        <v/>
      </c>
    </row>
    <row r="15">
      <c r="A15" s="34" t="inlineStr">
        <is>
          <t>TOTAL</t>
        </is>
      </c>
      <c r="B15" s="34" t="inlineStr"/>
      <c r="C15" s="34" t="inlineStr"/>
      <c r="D15" s="35" t="n"/>
      <c r="E15" s="35" t="n"/>
      <c r="F15" s="35">
        <f>SUM(F5:F14)</f>
        <v/>
      </c>
      <c r="G15" s="35">
        <f>SUM(G5:G14)</f>
        <v/>
      </c>
      <c r="H15" s="35">
        <f>SUM(H5:H14)</f>
        <v/>
      </c>
      <c r="I15" s="34" t="inlineStr"/>
      <c r="J15" s="34" t="inlineStr"/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¿PI?</t>
        </is>
      </c>
      <c r="B19" s="25" t="inlineStr">
        <is>
          <t>'='04_Clasificacion'!H5</t>
        </is>
      </c>
      <c r="C19" s="24" t="inlineStr">
        <is>
          <t>Trae de la hoja 04 (Clasificación) si el inmueble es, total o parcialmente, propiedad de inversión.</t>
        </is>
      </c>
      <c r="D19" s="24" t="inlineStr">
        <is>
          <t>Fila 1: «Sí» → Sí</t>
        </is>
      </c>
      <c r="E19" s="24" t="inlineStr">
        <is>
          <t>hoja «Clasificación»</t>
        </is>
      </c>
      <c r="F19" s="24" t="inlineStr">
        <is>
          <t>—</t>
        </is>
      </c>
    </row>
    <row r="20">
      <c r="A20" s="24" t="inlineStr">
        <is>
          <t>Medición</t>
        </is>
      </c>
      <c r="B20" s="25" t="inlineStr">
        <is>
          <t>'=IF(B5="No","No es PI",IF('02_Parametros'!$B$11="valor_razonable",IF(E5&lt;&gt;"","Valor razonable","Costo (VR no fiable)"),"Costo"))</t>
        </is>
      </c>
      <c r="C20" s="24" t="inlineStr">
        <is>
          <t>Si el inmueble no es propiedad de inversión indica «No es PI». Si la ruta de la hoja 02 (Parámetros) es valor razonable, usa «Valor razonable» cuando hay VR al corte y «Costo (VR no fiable)» cuando falta; si la ruta es el costo, indica «Costo».</t>
        </is>
      </c>
      <c r="D20" s="24" t="inlineStr">
        <is>
          <t>Fila 1: IF(«Sí»="No"; "No es PI"; IF(«valor_razonable»="valor_razonable"; IF(720.000,00&lt;&gt;""; "Valor razonable"; "Costo (VR no fiable)"); "Costo")) → Valor razonable</t>
        </is>
      </c>
      <c r="E20" s="24" t="inlineStr">
        <is>
          <t>«¿PI?» (esta hoja), «VR al corte» (esta hoja), hoja «Parámetros y ruta por marco»</t>
        </is>
      </c>
      <c r="F20" s="24" t="inlineStr">
        <is>
          <t>—</t>
        </is>
      </c>
    </row>
    <row r="21">
      <c r="A21" s="24" t="inlineStr">
        <is>
          <t>VR año anterior</t>
        </is>
      </c>
      <c r="B21" s="25" t="inlineStr">
        <is>
          <t>'=IF('03_Inmuebles'!M5="","",'03_Inmuebles'!M5)</t>
        </is>
      </c>
      <c r="C21" s="24" t="inlineStr">
        <is>
          <t>Trae el valor razonable del año anterior de la hoja 03 (Registro de inmuebles); en blanco si el cliente no lo informó.</t>
        </is>
      </c>
      <c r="D21" s="24" t="inlineStr">
        <is>
          <t>Fila 1: IF(700.000,00=""; ""; 700.000,00) → 700.000,00</t>
        </is>
      </c>
      <c r="E21" s="24" t="inlineStr">
        <is>
          <t>hoja «Registro de inmuebles»</t>
        </is>
      </c>
      <c r="F21" s="24" t="inlineStr">
        <is>
          <t>—</t>
        </is>
      </c>
    </row>
    <row r="22">
      <c r="A22" s="24" t="inlineStr">
        <is>
          <t>VR al corte</t>
        </is>
      </c>
      <c r="B22" s="25" t="inlineStr">
        <is>
          <t>'=IF('03_Inmuebles'!N5="","",'03_Inmuebles'!N5)</t>
        </is>
      </c>
      <c r="C22" s="24" t="inlineStr">
        <is>
          <t>Trae el valor razonable a la fecha de corte (avalúo o tasación) de la hoja 03 (Registro de inmuebles); en blanco si no existe.</t>
        </is>
      </c>
      <c r="D22" s="24" t="inlineStr">
        <is>
          <t>Fila 1: IF(720.000,00=""; ""; 720.000,00) → 720.000,00</t>
        </is>
      </c>
      <c r="E22" s="24" t="inlineStr">
        <is>
          <t>hoja «Registro de inmuebles»</t>
        </is>
      </c>
      <c r="F22" s="24" t="inlineStr">
        <is>
          <t>—</t>
        </is>
      </c>
    </row>
    <row r="23">
      <c r="A23" s="24" t="inlineStr">
        <is>
          <t>Variación del año</t>
        </is>
      </c>
      <c r="B23" s="25" t="inlineStr">
        <is>
          <t>'=IF(OR(D5="",E5=""),"",E5-D5)</t>
        </is>
      </c>
      <c r="C23" s="24" t="inlineStr">
        <is>
          <t>Resta el VR del año anterior del VR al corte; si falta cualquiera de los dos, queda en blanco.</t>
        </is>
      </c>
      <c r="D23" s="24" t="inlineStr">
        <is>
          <t>Fila 1: IF(OR(700.000,00=""; 720.000,00=""); ""; 720.000,00-700.000,00) → 20.000,00</t>
        </is>
      </c>
      <c r="E23" s="24" t="inlineStr">
        <is>
          <t>«VR año anterior» (esta hoja), «VR al corte» (esta hoja)</t>
        </is>
      </c>
      <c r="F23" s="24" t="inlineStr">
        <is>
          <t>—</t>
        </is>
      </c>
    </row>
    <row r="24">
      <c r="A24" s="24" t="inlineStr">
        <is>
          <t>Importe en libros</t>
        </is>
      </c>
      <c r="B24" s="25" t="inlineStr">
        <is>
          <t>'='03_Inmuebles'!Q5</t>
        </is>
      </c>
      <c r="C24" s="24" t="inlineStr">
        <is>
          <t>Trae de la hoja 03 (Registro de inmuebles) el importe en libros al corte, para compararlo con el valor razonable.</t>
        </is>
      </c>
      <c r="D24" s="24" t="inlineStr">
        <is>
          <t>Fila 1: 700.000,00 → 700.000,00</t>
        </is>
      </c>
      <c r="E24" s="24" t="inlineStr">
        <is>
          <t>hoja «Registro de inmuebles»</t>
        </is>
      </c>
      <c r="F24" s="24" t="inlineStr">
        <is>
          <t>—</t>
        </is>
      </c>
    </row>
    <row r="25">
      <c r="A25" s="24" t="inlineStr">
        <is>
          <t>Ajuste VR no reconocido (VR − libros)</t>
        </is>
      </c>
      <c r="B25" s="25" t="inlineStr">
        <is>
          <t>'=IF(C5="Valor razonable",(E5-G5)*'04_Clasificacion'!K5,"")</t>
        </is>
      </c>
      <c r="C25" s="24" t="inlineStr">
        <is>
          <t>Solo para inmuebles medidos a valor razonable: resta el importe en libros del VR al corte y lo multiplica por la parte que es propiedad de inversión (hoja 04, Clasificación). En los demás queda en blanco.</t>
        </is>
      </c>
      <c r="D25" s="24" t="inlineStr">
        <is>
          <t>Fila 1: IF(«Valor razonable»="Valor razonable"; (720.000,00-700.000,00)*100,00 %; "") → 20.000,00</t>
        </is>
      </c>
      <c r="E25" s="24" t="inlineStr">
        <is>
          <t>«Medición» (esta hoja), «VR al corte» (esta hoja), «Importe en libros» (esta hoja), hoja «Clasificación»</t>
        </is>
      </c>
      <c r="F25" s="24" t="inlineStr">
        <is>
          <t>—</t>
        </is>
      </c>
    </row>
    <row r="26">
      <c r="A26" s="24" t="inlineStr">
        <is>
          <t>Fuente / tasador</t>
        </is>
      </c>
      <c r="B26" s="25" t="inlineStr">
        <is>
          <t>'=IF('03_Inmuebles'!O5="","",'03_Inmuebles'!O5)</t>
        </is>
      </c>
      <c r="C26" s="24" t="inlineStr">
        <is>
          <t>Trae de la hoja 03 (Registro de inmuebles) quién determinó el valor razonable (perito, tasador u otra fuente); en blanco si no se informó.</t>
        </is>
      </c>
      <c r="D26" s="24" t="inlineStr">
        <is>
          <t>Fila 1: IF(«Perito independiente (tasación dic-2025)»=""; ""; «Perito independiente (tasación dic-2025)») → Perito independiente (tasación dic-2025)</t>
        </is>
      </c>
      <c r="E26" s="24" t="inlineStr">
        <is>
          <t>hoja «Registro de inmuebles»</t>
        </is>
      </c>
      <c r="F26" s="24" t="inlineStr">
        <is>
          <t>—</t>
        </is>
      </c>
    </row>
    <row r="27">
      <c r="A27" s="24" t="inlineStr">
        <is>
          <t>Nivel</t>
        </is>
      </c>
      <c r="B27" s="25" t="inlineStr">
        <is>
          <t>'=IF('03_Inmuebles'!P5="","",'03_Inmuebles'!P5)</t>
        </is>
      </c>
      <c r="C27" s="24" t="inlineStr">
        <is>
          <t>Trae el nivel de jerarquía del valor razonable (1, 2 o 3) declarado en la hoja 03 (Registro de inmuebles); en blanco si falta.</t>
        </is>
      </c>
      <c r="D27" s="24" t="inlineStr">
        <is>
          <t>Fila 1: IF(«Nivel 2»=""; ""; «Nivel 2») → Nivel 2</t>
        </is>
      </c>
      <c r="E27" s="24" t="inlineStr">
        <is>
          <t>hoja «Registro de inmuebles»</t>
        </is>
      </c>
      <c r="F27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54" customWidth="1" min="4" max="4"/>
    <col width="12" customWidth="1" min="5" max="5"/>
    <col width="18" customWidth="1" min="6" max="6"/>
    <col width="18" customWidth="1" min="7" max="7"/>
    <col width="28" customWidth="1" min="8" max="8"/>
    <col width="17" customWidth="1" min="9" max="9"/>
    <col width="28" customWidth="1" min="10" max="10"/>
    <col width="22" customWidth="1" min="11" max="11"/>
    <col width="27" customWidth="1" min="12" max="12"/>
    <col width="28" customWidth="1" min="13" max="13"/>
    <col width="12" customWidth="1" min="14" max="14"/>
    <col width="21" customWidth="1" min="15" max="15"/>
    <col width="12" customWidth="1" min="16" max="16"/>
    <col width="19" customWidth="1" min="17" max="17"/>
  </cols>
  <sheetData>
    <row r="1">
      <c r="A1" s="3" t="inlineStr">
        <is>
          <t>Modelo del costo: depreciación y deterioro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</row>
    <row r="4" ht="30" customHeight="1">
      <c r="A4" s="17" t="inlineStr">
        <is>
          <t>Código</t>
        </is>
      </c>
      <c r="B4" s="17" t="inlineStr">
        <is>
          <t>Medición</t>
        </is>
      </c>
      <c r="C4" s="17" t="inlineStr">
        <is>
          <t>¿Aplica?</t>
        </is>
      </c>
      <c r="D4" s="17" t="inlineStr">
        <is>
          <t>Costo del modelo (PYMES 16.8: libros al cesar el VR)</t>
        </is>
      </c>
      <c r="E4" s="17" t="inlineStr">
        <is>
          <t>Terreno</t>
        </is>
      </c>
      <c r="F4" s="17" t="inlineStr">
        <is>
          <t>Base depreciable</t>
        </is>
      </c>
      <c r="G4" s="17" t="inlineStr">
        <is>
          <t>Vida útil (años)</t>
        </is>
      </c>
      <c r="H4" s="17" t="inlineStr">
        <is>
          <t>Fecha base de depreciación</t>
        </is>
      </c>
      <c r="I4" s="17" t="inlineStr">
        <is>
          <t>Meses completos</t>
        </is>
      </c>
      <c r="J4" s="17" t="inlineStr">
        <is>
          <t>Dep. acumulada recalculada</t>
        </is>
      </c>
      <c r="K4" s="17" t="inlineStr">
        <is>
          <t>Depreciación del año</t>
        </is>
      </c>
      <c r="L4" s="17" t="inlineStr">
        <is>
          <t>Dep. acumulada registrada</t>
        </is>
      </c>
      <c r="M4" s="17" t="inlineStr">
        <is>
          <t>Diferencia de depreciación</t>
        </is>
      </c>
      <c r="N4" s="17" t="inlineStr">
        <is>
          <t>Valor neto</t>
        </is>
      </c>
      <c r="O4" s="17" t="inlineStr">
        <is>
          <t>Importe recuperable</t>
        </is>
      </c>
      <c r="P4" s="17" t="inlineStr">
        <is>
          <t>Deterioro</t>
        </is>
      </c>
      <c r="Q4" s="17" t="inlineStr">
        <is>
          <t>Medición al costo</t>
        </is>
      </c>
    </row>
    <row r="5">
      <c r="A5" s="18" t="inlineStr">
        <is>
          <t>IP-01</t>
        </is>
      </c>
      <c r="B5" s="18">
        <f>'06_Valor_razonable'!C5</f>
        <v/>
      </c>
      <c r="C5" s="18">
        <f>IF(LEFT(B5,5)="Costo","Sí","No")</f>
        <v/>
      </c>
      <c r="D5" s="20">
        <f>IF(C5="No","",IF(AND('02_Parametros'!$B$8="Sí",B5="Costo (VR no fiable)",'03_Inmuebles'!V5&lt;&gt;""),'03_Inmuebles'!V5,'05_Costo_inicial'!H5))</f>
        <v/>
      </c>
      <c r="E5" s="20">
        <f>IF(C5="Sí",IF('03_Inmuebles'!J5="",0,'03_Inmuebles'!J5),"")</f>
        <v/>
      </c>
      <c r="F5" s="20">
        <f>IF(C5="Sí",D5-E5,"")</f>
        <v/>
      </c>
      <c r="G5" s="20">
        <f>IF(C5="Sí",IF('03_Inmuebles'!K5="","",'03_Inmuebles'!K5),"")</f>
        <v/>
      </c>
      <c r="H5" s="31" t="n"/>
      <c r="I5" s="40">
        <f>IF(OR(C5="No",H5=""),"",IF(H5&gt;'02_Parametros'!$B$5,0,DATEDIF(H5,'02_Parametros'!$B$5,"m")))</f>
        <v/>
      </c>
      <c r="J5" s="20">
        <f>IF(C5="No","",IF(F5=0,0,IF(OR(G5="",I5=""),"",F5*MIN(1,I5/(G5*12)))))</f>
        <v/>
      </c>
      <c r="K5" s="20">
        <f>IF(J5="","",IF(F5=0,0,J5-F5*MIN(1,MAX(0,I5-12)/(G5*12))))</f>
        <v/>
      </c>
      <c r="L5" s="20">
        <f>IF(C5="Sí",IF('03_Inmuebles'!L5="","",'03_Inmuebles'!L5),"")</f>
        <v/>
      </c>
      <c r="M5" s="20">
        <f>IF(OR(J5="",L5=""),"",J5-L5)</f>
        <v/>
      </c>
      <c r="N5" s="20">
        <f>IF(C5="No","",D5-IF(J5&lt;&gt;"",J5,IF(L5&lt;&gt;"",L5,0)))</f>
        <v/>
      </c>
      <c r="O5" s="20">
        <f>IF(C5="Sí",IF('03_Inmuebles'!Y5="","",'03_Inmuebles'!Y5),"")</f>
        <v/>
      </c>
      <c r="P5" s="20">
        <f>IF(OR(C5="No",O5=""),"",MAX(0,N5-O5))</f>
        <v/>
      </c>
      <c r="Q5" s="20">
        <f>IF(C5="No","",N5-IF(P5="",0,P5))</f>
        <v/>
      </c>
    </row>
    <row r="6">
      <c r="A6" s="19" t="inlineStr">
        <is>
          <t>IP-02</t>
        </is>
      </c>
      <c r="B6" s="19">
        <f>'06_Valor_razonable'!C6</f>
        <v/>
      </c>
      <c r="C6" s="19">
        <f>IF(LEFT(B6,5)="Costo","Sí","No")</f>
        <v/>
      </c>
      <c r="D6" s="21">
        <f>IF(C6="No","",IF(AND('02_Parametros'!$B$8="Sí",B6="Costo (VR no fiable)",'03_Inmuebles'!V6&lt;&gt;""),'03_Inmuebles'!V6,'05_Costo_inicial'!H6))</f>
        <v/>
      </c>
      <c r="E6" s="21">
        <f>IF(C6="Sí",IF('03_Inmuebles'!J6="",0,'03_Inmuebles'!J6),"")</f>
        <v/>
      </c>
      <c r="F6" s="21">
        <f>IF(C6="Sí",D6-E6,"")</f>
        <v/>
      </c>
      <c r="G6" s="21">
        <f>IF(C6="Sí",IF('03_Inmuebles'!K6="","",'03_Inmuebles'!K6),"")</f>
        <v/>
      </c>
      <c r="H6" s="32" t="n"/>
      <c r="I6" s="41">
        <f>IF(OR(C6="No",H6=""),"",IF(H6&gt;'02_Parametros'!$B$5,0,DATEDIF(H6,'02_Parametros'!$B$5,"m")))</f>
        <v/>
      </c>
      <c r="J6" s="21">
        <f>IF(C6="No","",IF(F6=0,0,IF(OR(G6="",I6=""),"",F6*MIN(1,I6/(G6*12)))))</f>
        <v/>
      </c>
      <c r="K6" s="21">
        <f>IF(J6="","",IF(F6=0,0,J6-F6*MIN(1,MAX(0,I6-12)/(G6*12))))</f>
        <v/>
      </c>
      <c r="L6" s="21">
        <f>IF(C6="Sí",IF('03_Inmuebles'!L6="","",'03_Inmuebles'!L6),"")</f>
        <v/>
      </c>
      <c r="M6" s="21">
        <f>IF(OR(J6="",L6=""),"",J6-L6)</f>
        <v/>
      </c>
      <c r="N6" s="21">
        <f>IF(C6="No","",D6-IF(J6&lt;&gt;"",J6,IF(L6&lt;&gt;"",L6,0)))</f>
        <v/>
      </c>
      <c r="O6" s="21">
        <f>IF(C6="Sí",IF('03_Inmuebles'!Y6="","",'03_Inmuebles'!Y6),"")</f>
        <v/>
      </c>
      <c r="P6" s="21">
        <f>IF(OR(C6="No",O6=""),"",MAX(0,N6-O6))</f>
        <v/>
      </c>
      <c r="Q6" s="21">
        <f>IF(C6="No","",N6-IF(P6="",0,P6))</f>
        <v/>
      </c>
    </row>
    <row r="7">
      <c r="A7" s="18" t="inlineStr">
        <is>
          <t>IP-03</t>
        </is>
      </c>
      <c r="B7" s="18">
        <f>'06_Valor_razonable'!C7</f>
        <v/>
      </c>
      <c r="C7" s="18">
        <f>IF(LEFT(B7,5)="Costo","Sí","No")</f>
        <v/>
      </c>
      <c r="D7" s="20">
        <f>IF(C7="No","",IF(AND('02_Parametros'!$B$8="Sí",B7="Costo (VR no fiable)",'03_Inmuebles'!V7&lt;&gt;""),'03_Inmuebles'!V7,'05_Costo_inicial'!H7))</f>
        <v/>
      </c>
      <c r="E7" s="20">
        <f>IF(C7="Sí",IF('03_Inmuebles'!J7="",0,'03_Inmuebles'!J7),"")</f>
        <v/>
      </c>
      <c r="F7" s="20">
        <f>IF(C7="Sí",D7-E7,"")</f>
        <v/>
      </c>
      <c r="G7" s="20">
        <f>IF(C7="Sí",IF('03_Inmuebles'!K7="","",'03_Inmuebles'!K7),"")</f>
        <v/>
      </c>
      <c r="H7" s="31" t="n"/>
      <c r="I7" s="40">
        <f>IF(OR(C7="No",H7=""),"",IF(H7&gt;'02_Parametros'!$B$5,0,DATEDIF(H7,'02_Parametros'!$B$5,"m")))</f>
        <v/>
      </c>
      <c r="J7" s="20">
        <f>IF(C7="No","",IF(F7=0,0,IF(OR(G7="",I7=""),"",F7*MIN(1,I7/(G7*12)))))</f>
        <v/>
      </c>
      <c r="K7" s="20">
        <f>IF(J7="","",IF(F7=0,0,J7-F7*MIN(1,MAX(0,I7-12)/(G7*12))))</f>
        <v/>
      </c>
      <c r="L7" s="20">
        <f>IF(C7="Sí",IF('03_Inmuebles'!L7="","",'03_Inmuebles'!L7),"")</f>
        <v/>
      </c>
      <c r="M7" s="20">
        <f>IF(OR(J7="",L7=""),"",J7-L7)</f>
        <v/>
      </c>
      <c r="N7" s="20">
        <f>IF(C7="No","",D7-IF(J7&lt;&gt;"",J7,IF(L7&lt;&gt;"",L7,0)))</f>
        <v/>
      </c>
      <c r="O7" s="20">
        <f>IF(C7="Sí",IF('03_Inmuebles'!Y7="","",'03_Inmuebles'!Y7),"")</f>
        <v/>
      </c>
      <c r="P7" s="20">
        <f>IF(OR(C7="No",O7=""),"",MAX(0,N7-O7))</f>
        <v/>
      </c>
      <c r="Q7" s="20">
        <f>IF(C7="No","",N7-IF(P7="",0,P7))</f>
        <v/>
      </c>
    </row>
    <row r="8">
      <c r="A8" s="19" t="inlineStr">
        <is>
          <t>IP-04</t>
        </is>
      </c>
      <c r="B8" s="19">
        <f>'06_Valor_razonable'!C8</f>
        <v/>
      </c>
      <c r="C8" s="19">
        <f>IF(LEFT(B8,5)="Costo","Sí","No")</f>
        <v/>
      </c>
      <c r="D8" s="21">
        <f>IF(C8="No","",IF(AND('02_Parametros'!$B$8="Sí",B8="Costo (VR no fiable)",'03_Inmuebles'!V8&lt;&gt;""),'03_Inmuebles'!V8,'05_Costo_inicial'!H8))</f>
        <v/>
      </c>
      <c r="E8" s="21">
        <f>IF(C8="Sí",IF('03_Inmuebles'!J8="",0,'03_Inmuebles'!J8),"")</f>
        <v/>
      </c>
      <c r="F8" s="21">
        <f>IF(C8="Sí",D8-E8,"")</f>
        <v/>
      </c>
      <c r="G8" s="21">
        <f>IF(C8="Sí",IF('03_Inmuebles'!K8="","",'03_Inmuebles'!K8),"")</f>
        <v/>
      </c>
      <c r="H8" s="32" t="n"/>
      <c r="I8" s="41">
        <f>IF(OR(C8="No",H8=""),"",IF(H8&gt;'02_Parametros'!$B$5,0,DATEDIF(H8,'02_Parametros'!$B$5,"m")))</f>
        <v/>
      </c>
      <c r="J8" s="21">
        <f>IF(C8="No","",IF(F8=0,0,IF(OR(G8="",I8=""),"",F8*MIN(1,I8/(G8*12)))))</f>
        <v/>
      </c>
      <c r="K8" s="21">
        <f>IF(J8="","",IF(F8=0,0,J8-F8*MIN(1,MAX(0,I8-12)/(G8*12))))</f>
        <v/>
      </c>
      <c r="L8" s="21">
        <f>IF(C8="Sí",IF('03_Inmuebles'!L8="","",'03_Inmuebles'!L8),"")</f>
        <v/>
      </c>
      <c r="M8" s="21">
        <f>IF(OR(J8="",L8=""),"",J8-L8)</f>
        <v/>
      </c>
      <c r="N8" s="21">
        <f>IF(C8="No","",D8-IF(J8&lt;&gt;"",J8,IF(L8&lt;&gt;"",L8,0)))</f>
        <v/>
      </c>
      <c r="O8" s="21">
        <f>IF(C8="Sí",IF('03_Inmuebles'!Y8="","",'03_Inmuebles'!Y8),"")</f>
        <v/>
      </c>
      <c r="P8" s="21">
        <f>IF(OR(C8="No",O8=""),"",MAX(0,N8-O8))</f>
        <v/>
      </c>
      <c r="Q8" s="21">
        <f>IF(C8="No","",N8-IF(P8="",0,P8))</f>
        <v/>
      </c>
    </row>
    <row r="9">
      <c r="A9" s="18" t="inlineStr">
        <is>
          <t>IP-05</t>
        </is>
      </c>
      <c r="B9" s="18">
        <f>'06_Valor_razonable'!C9</f>
        <v/>
      </c>
      <c r="C9" s="18">
        <f>IF(LEFT(B9,5)="Costo","Sí","No")</f>
        <v/>
      </c>
      <c r="D9" s="20">
        <f>IF(C9="No","",IF(AND('02_Parametros'!$B$8="Sí",B9="Costo (VR no fiable)",'03_Inmuebles'!V9&lt;&gt;""),'03_Inmuebles'!V9,'05_Costo_inicial'!H9))</f>
        <v/>
      </c>
      <c r="E9" s="20">
        <f>IF(C9="Sí",IF('03_Inmuebles'!J9="",0,'03_Inmuebles'!J9),"")</f>
        <v/>
      </c>
      <c r="F9" s="20">
        <f>IF(C9="Sí",D9-E9,"")</f>
        <v/>
      </c>
      <c r="G9" s="20">
        <f>IF(C9="Sí",IF('03_Inmuebles'!K9="","",'03_Inmuebles'!K9),"")</f>
        <v/>
      </c>
      <c r="H9" s="31" t="n"/>
      <c r="I9" s="40">
        <f>IF(OR(C9="No",H9=""),"",IF(H9&gt;'02_Parametros'!$B$5,0,DATEDIF(H9,'02_Parametros'!$B$5,"m")))</f>
        <v/>
      </c>
      <c r="J9" s="20">
        <f>IF(C9="No","",IF(F9=0,0,IF(OR(G9="",I9=""),"",F9*MIN(1,I9/(G9*12)))))</f>
        <v/>
      </c>
      <c r="K9" s="20">
        <f>IF(J9="","",IF(F9=0,0,J9-F9*MIN(1,MAX(0,I9-12)/(G9*12))))</f>
        <v/>
      </c>
      <c r="L9" s="20">
        <f>IF(C9="Sí",IF('03_Inmuebles'!L9="","",'03_Inmuebles'!L9),"")</f>
        <v/>
      </c>
      <c r="M9" s="20">
        <f>IF(OR(J9="",L9=""),"",J9-L9)</f>
        <v/>
      </c>
      <c r="N9" s="20">
        <f>IF(C9="No","",D9-IF(J9&lt;&gt;"",J9,IF(L9&lt;&gt;"",L9,0)))</f>
        <v/>
      </c>
      <c r="O9" s="20">
        <f>IF(C9="Sí",IF('03_Inmuebles'!Y9="","",'03_Inmuebles'!Y9),"")</f>
        <v/>
      </c>
      <c r="P9" s="20">
        <f>IF(OR(C9="No",O9=""),"",MAX(0,N9-O9))</f>
        <v/>
      </c>
      <c r="Q9" s="20">
        <f>IF(C9="No","",N9-IF(P9="",0,P9))</f>
        <v/>
      </c>
    </row>
    <row r="10">
      <c r="A10" s="19" t="inlineStr">
        <is>
          <t>IP-06</t>
        </is>
      </c>
      <c r="B10" s="19">
        <f>'06_Valor_razonable'!C10</f>
        <v/>
      </c>
      <c r="C10" s="19">
        <f>IF(LEFT(B10,5)="Costo","Sí","No")</f>
        <v/>
      </c>
      <c r="D10" s="21">
        <f>IF(C10="No","",IF(AND('02_Parametros'!$B$8="Sí",B10="Costo (VR no fiable)",'03_Inmuebles'!V10&lt;&gt;""),'03_Inmuebles'!V10,'05_Costo_inicial'!H10))</f>
        <v/>
      </c>
      <c r="E10" s="21">
        <f>IF(C10="Sí",IF('03_Inmuebles'!J10="",0,'03_Inmuebles'!J10),"")</f>
        <v/>
      </c>
      <c r="F10" s="21">
        <f>IF(C10="Sí",D10-E10,"")</f>
        <v/>
      </c>
      <c r="G10" s="21">
        <f>IF(C10="Sí",IF('03_Inmuebles'!K10="","",'03_Inmuebles'!K10),"")</f>
        <v/>
      </c>
      <c r="H10" s="32" t="n"/>
      <c r="I10" s="41">
        <f>IF(OR(C10="No",H10=""),"",IF(H10&gt;'02_Parametros'!$B$5,0,DATEDIF(H10,'02_Parametros'!$B$5,"m")))</f>
        <v/>
      </c>
      <c r="J10" s="21">
        <f>IF(C10="No","",IF(F10=0,0,IF(OR(G10="",I10=""),"",F10*MIN(1,I10/(G10*12)))))</f>
        <v/>
      </c>
      <c r="K10" s="21">
        <f>IF(J10="","",IF(F10=0,0,J10-F10*MIN(1,MAX(0,I10-12)/(G10*12))))</f>
        <v/>
      </c>
      <c r="L10" s="21">
        <f>IF(C10="Sí",IF('03_Inmuebles'!L10="","",'03_Inmuebles'!L10),"")</f>
        <v/>
      </c>
      <c r="M10" s="21">
        <f>IF(OR(J10="",L10=""),"",J10-L10)</f>
        <v/>
      </c>
      <c r="N10" s="21">
        <f>IF(C10="No","",D10-IF(J10&lt;&gt;"",J10,IF(L10&lt;&gt;"",L10,0)))</f>
        <v/>
      </c>
      <c r="O10" s="21">
        <f>IF(C10="Sí",IF('03_Inmuebles'!Y10="","",'03_Inmuebles'!Y10),"")</f>
        <v/>
      </c>
      <c r="P10" s="21">
        <f>IF(OR(C10="No",O10=""),"",MAX(0,N10-O10))</f>
        <v/>
      </c>
      <c r="Q10" s="21">
        <f>IF(C10="No","",N10-IF(P10="",0,P10))</f>
        <v/>
      </c>
    </row>
    <row r="11">
      <c r="A11" s="18" t="inlineStr">
        <is>
          <t>IP-07</t>
        </is>
      </c>
      <c r="B11" s="18">
        <f>'06_Valor_razonable'!C11</f>
        <v/>
      </c>
      <c r="C11" s="18">
        <f>IF(LEFT(B11,5)="Costo","Sí","No")</f>
        <v/>
      </c>
      <c r="D11" s="20">
        <f>IF(C11="No","",IF(AND('02_Parametros'!$B$8="Sí",B11="Costo (VR no fiable)",'03_Inmuebles'!V11&lt;&gt;""),'03_Inmuebles'!V11,'05_Costo_inicial'!H11))</f>
        <v/>
      </c>
      <c r="E11" s="20">
        <f>IF(C11="Sí",IF('03_Inmuebles'!J11="",0,'03_Inmuebles'!J11),"")</f>
        <v/>
      </c>
      <c r="F11" s="20">
        <f>IF(C11="Sí",D11-E11,"")</f>
        <v/>
      </c>
      <c r="G11" s="20">
        <f>IF(C11="Sí",IF('03_Inmuebles'!K11="","",'03_Inmuebles'!K11),"")</f>
        <v/>
      </c>
      <c r="H11" s="30" t="n">
        <v>42369</v>
      </c>
      <c r="I11" s="40">
        <f>IF(OR(C11="No",H11=""),"",IF(H11&gt;'02_Parametros'!$B$5,0,DATEDIF(H11,'02_Parametros'!$B$5,"m")))</f>
        <v/>
      </c>
      <c r="J11" s="20">
        <f>IF(C11="No","",IF(F11=0,0,IF(OR(G11="",I11=""),"",F11*MIN(1,I11/(G11*12)))))</f>
        <v/>
      </c>
      <c r="K11" s="20">
        <f>IF(J11="","",IF(F11=0,0,J11-F11*MIN(1,MAX(0,I11-12)/(G11*12))))</f>
        <v/>
      </c>
      <c r="L11" s="20">
        <f>IF(C11="Sí",IF('03_Inmuebles'!L11="","",'03_Inmuebles'!L11),"")</f>
        <v/>
      </c>
      <c r="M11" s="20">
        <f>IF(OR(J11="",L11=""),"",J11-L11)</f>
        <v/>
      </c>
      <c r="N11" s="20">
        <f>IF(C11="No","",D11-IF(J11&lt;&gt;"",J11,IF(L11&lt;&gt;"",L11,0)))</f>
        <v/>
      </c>
      <c r="O11" s="20">
        <f>IF(C11="Sí",IF('03_Inmuebles'!Y11="","",'03_Inmuebles'!Y11),"")</f>
        <v/>
      </c>
      <c r="P11" s="20">
        <f>IF(OR(C11="No",O11=""),"",MAX(0,N11-O11))</f>
        <v/>
      </c>
      <c r="Q11" s="20">
        <f>IF(C11="No","",N11-IF(P11="",0,P11))</f>
        <v/>
      </c>
    </row>
    <row r="12">
      <c r="A12" s="19" t="inlineStr">
        <is>
          <t>IP-08</t>
        </is>
      </c>
      <c r="B12" s="19">
        <f>'06_Valor_razonable'!C12</f>
        <v/>
      </c>
      <c r="C12" s="19">
        <f>IF(LEFT(B12,5)="Costo","Sí","No")</f>
        <v/>
      </c>
      <c r="D12" s="21">
        <f>IF(C12="No","",IF(AND('02_Parametros'!$B$8="Sí",B12="Costo (VR no fiable)",'03_Inmuebles'!V12&lt;&gt;""),'03_Inmuebles'!V12,'05_Costo_inicial'!H12))</f>
        <v/>
      </c>
      <c r="E12" s="21">
        <f>IF(C12="Sí",IF('03_Inmuebles'!J12="",0,'03_Inmuebles'!J12),"")</f>
        <v/>
      </c>
      <c r="F12" s="21">
        <f>IF(C12="Sí",D12-E12,"")</f>
        <v/>
      </c>
      <c r="G12" s="21">
        <f>IF(C12="Sí",IF('03_Inmuebles'!K12="","",'03_Inmuebles'!K12),"")</f>
        <v/>
      </c>
      <c r="H12" s="32" t="n"/>
      <c r="I12" s="41">
        <f>IF(OR(C12="No",H12=""),"",IF(H12&gt;'02_Parametros'!$B$5,0,DATEDIF(H12,'02_Parametros'!$B$5,"m")))</f>
        <v/>
      </c>
      <c r="J12" s="21">
        <f>IF(C12="No","",IF(F12=0,0,IF(OR(G12="",I12=""),"",F12*MIN(1,I12/(G12*12)))))</f>
        <v/>
      </c>
      <c r="K12" s="21">
        <f>IF(J12="","",IF(F12=0,0,J12-F12*MIN(1,MAX(0,I12-12)/(G12*12))))</f>
        <v/>
      </c>
      <c r="L12" s="21">
        <f>IF(C12="Sí",IF('03_Inmuebles'!L12="","",'03_Inmuebles'!L12),"")</f>
        <v/>
      </c>
      <c r="M12" s="21">
        <f>IF(OR(J12="",L12=""),"",J12-L12)</f>
        <v/>
      </c>
      <c r="N12" s="21">
        <f>IF(C12="No","",D12-IF(J12&lt;&gt;"",J12,IF(L12&lt;&gt;"",L12,0)))</f>
        <v/>
      </c>
      <c r="O12" s="21">
        <f>IF(C12="Sí",IF('03_Inmuebles'!Y12="","",'03_Inmuebles'!Y12),"")</f>
        <v/>
      </c>
      <c r="P12" s="21">
        <f>IF(OR(C12="No",O12=""),"",MAX(0,N12-O12))</f>
        <v/>
      </c>
      <c r="Q12" s="21">
        <f>IF(C12="No","",N12-IF(P12="",0,P12))</f>
        <v/>
      </c>
    </row>
    <row r="13">
      <c r="A13" s="18" t="inlineStr">
        <is>
          <t>IP-09</t>
        </is>
      </c>
      <c r="B13" s="18">
        <f>'06_Valor_razonable'!C13</f>
        <v/>
      </c>
      <c r="C13" s="18">
        <f>IF(LEFT(B13,5)="Costo","Sí","No")</f>
        <v/>
      </c>
      <c r="D13" s="20">
        <f>IF(C13="No","",IF(AND('02_Parametros'!$B$8="Sí",B13="Costo (VR no fiable)",'03_Inmuebles'!V13&lt;&gt;""),'03_Inmuebles'!V13,'05_Costo_inicial'!H13))</f>
        <v/>
      </c>
      <c r="E13" s="20">
        <f>IF(C13="Sí",IF('03_Inmuebles'!J13="",0,'03_Inmuebles'!J13),"")</f>
        <v/>
      </c>
      <c r="F13" s="20">
        <f>IF(C13="Sí",D13-E13,"")</f>
        <v/>
      </c>
      <c r="G13" s="20">
        <f>IF(C13="Sí",IF('03_Inmuebles'!K13="","",'03_Inmuebles'!K13),"")</f>
        <v/>
      </c>
      <c r="H13" s="31" t="n"/>
      <c r="I13" s="40">
        <f>IF(OR(C13="No",H13=""),"",IF(H13&gt;'02_Parametros'!$B$5,0,DATEDIF(H13,'02_Parametros'!$B$5,"m")))</f>
        <v/>
      </c>
      <c r="J13" s="20">
        <f>IF(C13="No","",IF(F13=0,0,IF(OR(G13="",I13=""),"",F13*MIN(1,I13/(G13*12)))))</f>
        <v/>
      </c>
      <c r="K13" s="20">
        <f>IF(J13="","",IF(F13=0,0,J13-F13*MIN(1,MAX(0,I13-12)/(G13*12))))</f>
        <v/>
      </c>
      <c r="L13" s="20">
        <f>IF(C13="Sí",IF('03_Inmuebles'!L13="","",'03_Inmuebles'!L13),"")</f>
        <v/>
      </c>
      <c r="M13" s="20">
        <f>IF(OR(J13="",L13=""),"",J13-L13)</f>
        <v/>
      </c>
      <c r="N13" s="20">
        <f>IF(C13="No","",D13-IF(J13&lt;&gt;"",J13,IF(L13&lt;&gt;"",L13,0)))</f>
        <v/>
      </c>
      <c r="O13" s="20">
        <f>IF(C13="Sí",IF('03_Inmuebles'!Y13="","",'03_Inmuebles'!Y13),"")</f>
        <v/>
      </c>
      <c r="P13" s="20">
        <f>IF(OR(C13="No",O13=""),"",MAX(0,N13-O13))</f>
        <v/>
      </c>
      <c r="Q13" s="20">
        <f>IF(C13="No","",N13-IF(P13="",0,P13))</f>
        <v/>
      </c>
    </row>
    <row r="14">
      <c r="A14" s="19" t="inlineStr">
        <is>
          <t>IP-10</t>
        </is>
      </c>
      <c r="B14" s="19">
        <f>'06_Valor_razonable'!C14</f>
        <v/>
      </c>
      <c r="C14" s="19">
        <f>IF(LEFT(B14,5)="Costo","Sí","No")</f>
        <v/>
      </c>
      <c r="D14" s="21">
        <f>IF(C14="No","",IF(AND('02_Parametros'!$B$8="Sí",B14="Costo (VR no fiable)",'03_Inmuebles'!V14&lt;&gt;""),'03_Inmuebles'!V14,'05_Costo_inicial'!H14))</f>
        <v/>
      </c>
      <c r="E14" s="21">
        <f>IF(C14="Sí",IF('03_Inmuebles'!J14="",0,'03_Inmuebles'!J14),"")</f>
        <v/>
      </c>
      <c r="F14" s="21">
        <f>IF(C14="Sí",D14-E14,"")</f>
        <v/>
      </c>
      <c r="G14" s="21">
        <f>IF(C14="Sí",IF('03_Inmuebles'!K14="","",'03_Inmuebles'!K14),"")</f>
        <v/>
      </c>
      <c r="H14" s="32" t="n"/>
      <c r="I14" s="41">
        <f>IF(OR(C14="No",H14=""),"",IF(H14&gt;'02_Parametros'!$B$5,0,DATEDIF(H14,'02_Parametros'!$B$5,"m")))</f>
        <v/>
      </c>
      <c r="J14" s="21">
        <f>IF(C14="No","",IF(F14=0,0,IF(OR(G14="",I14=""),"",F14*MIN(1,I14/(G14*12)))))</f>
        <v/>
      </c>
      <c r="K14" s="21">
        <f>IF(J14="","",IF(F14=0,0,J14-F14*MIN(1,MAX(0,I14-12)/(G14*12))))</f>
        <v/>
      </c>
      <c r="L14" s="21">
        <f>IF(C14="Sí",IF('03_Inmuebles'!L14="","",'03_Inmuebles'!L14),"")</f>
        <v/>
      </c>
      <c r="M14" s="21">
        <f>IF(OR(J14="",L14=""),"",J14-L14)</f>
        <v/>
      </c>
      <c r="N14" s="21">
        <f>IF(C14="No","",D14-IF(J14&lt;&gt;"",J14,IF(L14&lt;&gt;"",L14,0)))</f>
        <v/>
      </c>
      <c r="O14" s="21">
        <f>IF(C14="Sí",IF('03_Inmuebles'!Y14="","",'03_Inmuebles'!Y14),"")</f>
        <v/>
      </c>
      <c r="P14" s="21">
        <f>IF(OR(C14="No",O14=""),"",MAX(0,N14-O14))</f>
        <v/>
      </c>
      <c r="Q14" s="21">
        <f>IF(C14="No","",N14-IF(P14="",0,P14))</f>
        <v/>
      </c>
    </row>
    <row r="15">
      <c r="A15" s="34" t="inlineStr">
        <is>
          <t>TOTAL</t>
        </is>
      </c>
      <c r="B15" s="34" t="inlineStr"/>
      <c r="C15" s="34" t="inlineStr"/>
      <c r="D15" s="35" t="n"/>
      <c r="E15" s="35" t="n"/>
      <c r="F15" s="35" t="n"/>
      <c r="G15" s="35" t="n"/>
      <c r="H15" s="36" t="n"/>
      <c r="I15" s="42" t="n"/>
      <c r="J15" s="35" t="n"/>
      <c r="K15" s="35">
        <f>SUM(K5:K14)</f>
        <v/>
      </c>
      <c r="L15" s="35" t="n"/>
      <c r="M15" s="35">
        <f>SUM(M5:M14)</f>
        <v/>
      </c>
      <c r="N15" s="35" t="n"/>
      <c r="O15" s="35" t="n"/>
      <c r="P15" s="35">
        <f>SUM(P5:P14)</f>
        <v/>
      </c>
      <c r="Q15" s="35">
        <f>SUM(Q5:Q14)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Medición</t>
        </is>
      </c>
      <c r="B19" s="25" t="inlineStr">
        <is>
          <t>'='06_Valor_razonable'!C5</t>
        </is>
      </c>
      <c r="C19" s="24" t="inlineStr">
        <is>
          <t>Trae la medición que corresponde al inmueble según la hoja 06 (Valor razonable): valor razonable, costo, costo por VR no fiable o no es PI.</t>
        </is>
      </c>
      <c r="D19" s="24" t="inlineStr">
        <is>
          <t>Fila 1: «Valor razonable» → Valor razonable</t>
        </is>
      </c>
      <c r="E19" s="24" t="inlineStr">
        <is>
          <t>hoja «Valor razonable»</t>
        </is>
      </c>
      <c r="F19" s="24" t="inlineStr">
        <is>
          <t>—</t>
        </is>
      </c>
    </row>
    <row r="20">
      <c r="A20" s="24" t="inlineStr">
        <is>
          <t>¿Aplica?</t>
        </is>
      </c>
      <c r="B20" s="25" t="inlineStr">
        <is>
          <t>'=IF(LEFT(B5,5)="Costo","Sí","No")</t>
        </is>
      </c>
      <c r="C20" s="24" t="inlineStr">
        <is>
          <t>Marca «Sí» cuando la medición empieza por «Costo» (modelo del costo o VR no fiable); solo en esos inmuebles se recalculan la depreciación y el deterioro.</t>
        </is>
      </c>
      <c r="D20" s="24" t="inlineStr">
        <is>
          <t>Fila 1: IF(LEFT(«Valor razonable»; 5)="Costo"; "Sí"; "No") → No</t>
        </is>
      </c>
      <c r="E20" s="24" t="inlineStr">
        <is>
          <t>«Medición» (esta hoja)</t>
        </is>
      </c>
      <c r="F20" s="24" t="inlineStr">
        <is>
          <t>—</t>
        </is>
      </c>
    </row>
    <row r="21">
      <c r="A21" s="24" t="inlineStr">
        <is>
          <t>Costo del modelo (PYMES 16.8: libros al cesar el VR)</t>
        </is>
      </c>
      <c r="B21" s="25" t="inlineStr">
        <is>
          <t>'=IF(C5="No","",IF(AND('02_Parametros'!$B$8="Sí",B5="Costo (VR no fiable)",'03_Inmuebles'!V5&lt;&gt;""),'03_Inmuebles'!V5,'05_Costo_inicial'!H5))</t>
        </is>
      </c>
      <c r="C21" s="24" t="inlineStr">
        <is>
          <t>Si aplica el modelo del costo, toma el costo auditado de la hoja 05 (Costo inicial). En PYMES, cuando el VR dejó de ser fiable y la hoja 03 trae el importe en libros a esa fecha («Libros al cambio»), usa ese importe como nuevo costo. Si no aplica, queda en blanco.</t>
        </is>
      </c>
      <c r="D21" s="24" t="inlineStr">
        <is>
          <t>Fila 1: IF(«No»="No"; ""; IF(AND(«No»="Sí"; «Valor razonable»="Costo (VR no fiable)"; (vacío)&lt;&gt;""); (vacío); 500.000,00)) → (en blanco)</t>
        </is>
      </c>
      <c r="E21" s="24" t="inlineStr">
        <is>
          <t>«¿Aplica?» (esta hoja), «Medición» (esta hoja), hoja «Parámetros y ruta por marco», hoja «Registro de inmuebles», hoja «Costo inicial»</t>
        </is>
      </c>
      <c r="F21" s="24" t="inlineStr">
        <is>
          <t>—</t>
        </is>
      </c>
    </row>
    <row r="22">
      <c r="A22" s="24" t="inlineStr">
        <is>
          <t>Terreno</t>
        </is>
      </c>
      <c r="B22" s="25" t="inlineStr">
        <is>
          <t>'=IF(C5="Sí",IF('03_Inmuebles'!J5="",0,'03_Inmuebles'!J5),"")</t>
        </is>
      </c>
      <c r="C22" s="24" t="inlineStr">
        <is>
          <t>Si aplica el modelo del costo, trae de la hoja 03 (Registro de inmuebles) la parte del costo que es terreno, que no se deprecia; sin dato cuenta cero.</t>
        </is>
      </c>
      <c r="D22" s="24" t="inlineStr">
        <is>
          <t>Fila 1: IF(«No»="Sí"; IF(100.000,00=""; 0; 100.000,00); "") → (en blanco)</t>
        </is>
      </c>
      <c r="E22" s="24" t="inlineStr">
        <is>
          <t>«¿Aplica?» (esta hoja), hoja «Registro de inmuebles»</t>
        </is>
      </c>
      <c r="F22" s="24" t="inlineStr">
        <is>
          <t>—</t>
        </is>
      </c>
    </row>
    <row r="23">
      <c r="A23" s="24" t="inlineStr">
        <is>
          <t>Base depreciable</t>
        </is>
      </c>
      <c r="B23" s="25" t="inlineStr">
        <is>
          <t>'=IF(C5="Sí",D5-E5,"")</t>
        </is>
      </c>
      <c r="C23" s="24" t="inlineStr">
        <is>
          <t>Resta el terreno del costo del modelo: es la parte del inmueble que sí se deprecia. En blanco si no aplica el modelo del costo.</t>
        </is>
      </c>
      <c r="D23" s="24" t="inlineStr">
        <is>
          <t>Fila 1: IF(«No»="Sí"; (vacío)-(vacío); "") → (en blanco)</t>
        </is>
      </c>
      <c r="E23" s="24" t="inlineStr">
        <is>
          <t>«¿Aplica?» (esta hoja), «Costo del modelo (PYMES 16.8: libros al cesar el VR)» (esta hoja), «Terreno» (esta hoja)</t>
        </is>
      </c>
      <c r="F23" s="24" t="inlineStr">
        <is>
          <t>—</t>
        </is>
      </c>
    </row>
    <row r="24">
      <c r="A24" s="24" t="inlineStr">
        <is>
          <t>Vida útil (años)</t>
        </is>
      </c>
      <c r="B24" s="25" t="inlineStr">
        <is>
          <t>'=IF(C5="Sí",IF('03_Inmuebles'!K5="","",'03_Inmuebles'!K5),"")</t>
        </is>
      </c>
      <c r="C24" s="24" t="inlineStr">
        <is>
          <t>Si aplica el modelo del costo, trae la vida útil en años de la hoja 03 (Registro de inmuebles); en blanco si falta el dato o si no aplica.</t>
        </is>
      </c>
      <c r="D24" s="24" t="inlineStr">
        <is>
          <t>Fila 1: IF(«No»="Sí"; IF(40,00=""; ""; 40,00); "") → (en blanco)</t>
        </is>
      </c>
      <c r="E24" s="24" t="inlineStr">
        <is>
          <t>«¿Aplica?» (esta hoja), hoja «Registro de inmuebles»</t>
        </is>
      </c>
      <c r="F24" s="24" t="inlineStr">
        <is>
          <t>—</t>
        </is>
      </c>
    </row>
    <row r="25">
      <c r="A25" s="24" t="inlineStr">
        <is>
          <t>Meses completos</t>
        </is>
      </c>
      <c r="B25" s="25" t="inlineStr">
        <is>
          <t>'=IF(OR(C5="No",H5=""),"",IF(H5&gt;'02_Parametros'!$B$5,0,DATEDIF(H5,'02_Parametros'!$B$5,"m")))</t>
        </is>
      </c>
      <c r="C25" s="24" t="inlineStr">
        <is>
          <t>Cuenta los meses completos desde la fecha base de depreciación hasta el corte de la hoja 02 (Parámetros); si la fecha base es posterior al corte da 0, y queda en blanco si no aplica o falta la fecha.</t>
        </is>
      </c>
      <c r="D25" s="24" t="inlineStr">
        <is>
          <t>Fila 1: IF(OR(«No»="No"; (vacío)=""); ""; IF((vacío)&gt;«2025-12-31»; 0; DATEDIF((vacío); «2025-12-31»; "m"))) → (en blanco)</t>
        </is>
      </c>
      <c r="E25" s="24" t="inlineStr">
        <is>
          <t>«¿Aplica?» (esta hoja), «Fecha base de depreciación» (esta hoja), hoja «Parámetros y ruta por marco»</t>
        </is>
      </c>
      <c r="F25" s="24" t="inlineStr">
        <is>
          <t>—</t>
        </is>
      </c>
    </row>
    <row r="26">
      <c r="A26" s="24" t="inlineStr">
        <is>
          <t>Dep. acumulada recalculada</t>
        </is>
      </c>
      <c r="B26" s="25" t="inlineStr">
        <is>
          <t>'=IF(C5="No","",IF(F5=0,0,IF(OR(G5="",I5=""),"",F5*MIN(1,I5/(G5*12)))))</t>
        </is>
      </c>
      <c r="C26" s="24" t="inlineStr">
        <is>
          <t>Deprecia la base en línea recta: base depreciable × meses completos ÷ (vida útil × 12), sin pasar del 100 % de la base. Si la base es cero da 0; si falta la vida útil o los meses, queda en blanco.</t>
        </is>
      </c>
      <c r="D26" s="24" t="inlineStr">
        <is>
          <t>Fila 1: IF(«No»="No"; ""; IF((vacío)=0; 0; IF(OR((vacío)=""; (vacío)=""); ""; (vacío)*MIN(1; (vacío)/((vacío)*12))))) → (en blanco)</t>
        </is>
      </c>
      <c r="E26" s="24" t="inlineStr">
        <is>
          <t>«¿Aplica?» (esta hoja), «Base depreciable» (esta hoja), «Vida útil (años)» (esta hoja), «Meses completos» (esta hoja)</t>
        </is>
      </c>
      <c r="F26" s="24" t="inlineStr">
        <is>
          <t>—</t>
        </is>
      </c>
    </row>
    <row r="27">
      <c r="A27" s="24" t="inlineStr">
        <is>
          <t>Depreciación del año</t>
        </is>
      </c>
      <c r="B27" s="25" t="inlineStr">
        <is>
          <t>'=IF(J5="","",IF(F5=0,0,J5-F5*MIN(1,MAX(0,I5-12)/(G5*12))))</t>
        </is>
      </c>
      <c r="C27" s="24" t="inlineStr">
        <is>
          <t>A la depreciación acumulada recalculada le resta la que ya existía 12 meses antes (la misma cuenta con 12 meses menos): es el gasto de depreciación del año. En blanco si no hay acumulada recalculada.</t>
        </is>
      </c>
      <c r="D27" s="24" t="inlineStr">
        <is>
          <t>Fila 1: IF((vacío)=""; ""; IF((vacío)=0; 0; (vacío)-(vacío)*MIN(1; MAX(0; (vacío)-12)/((vacío)*12)))) → (en blanco)</t>
        </is>
      </c>
      <c r="E27" s="24" t="inlineStr">
        <is>
          <t>«Dep. acumulada recalculada» (esta hoja), «Base depreciable» (esta hoja), «Meses completos» (esta hoja), «Vida útil (años)» (esta hoja)</t>
        </is>
      </c>
      <c r="F27" s="24" t="inlineStr">
        <is>
          <t>—</t>
        </is>
      </c>
    </row>
    <row r="28">
      <c r="A28" s="24" t="inlineStr">
        <is>
          <t>Dep. acumulada registrada</t>
        </is>
      </c>
      <c r="B28" s="25" t="inlineStr">
        <is>
          <t>'=IF(C5="Sí",IF('03_Inmuebles'!L5="","",'03_Inmuebles'!L5),"")</t>
        </is>
      </c>
      <c r="C28" s="24" t="inlineStr">
        <is>
          <t>Si aplica el modelo del costo, trae la depreciación acumulada que el cliente tiene registrada, de la hoja 03 (Registro de inmuebles); en blanco si no la informó.</t>
        </is>
      </c>
      <c r="D28" s="24" t="inlineStr">
        <is>
          <t>Fila 1: IF(«No»="Sí"; IF((vacío)=""; ""; (vacío)); "") → (en blanco)</t>
        </is>
      </c>
      <c r="E28" s="24" t="inlineStr">
        <is>
          <t>«¿Aplica?» (esta hoja), hoja «Registro de inmuebles»</t>
        </is>
      </c>
      <c r="F28" s="24" t="inlineStr">
        <is>
          <t>—</t>
        </is>
      </c>
    </row>
    <row r="29">
      <c r="A29" s="24" t="inlineStr">
        <is>
          <t>Diferencia de depreciación</t>
        </is>
      </c>
      <c r="B29" s="25" t="inlineStr">
        <is>
          <t>'=IF(OR(J5="",L5=""),"",J5-L5)</t>
        </is>
      </c>
      <c r="C29" s="24" t="inlineStr">
        <is>
          <t>Resta la depreciación acumulada registrada de la recalculada; queda en blanco si falta alguna de las dos.</t>
        </is>
      </c>
      <c r="D29" s="24" t="inlineStr">
        <is>
          <t>Fila 1: IF(OR((vacío)=""; (vacío)=""); ""; (vacío)-(vacío)) → (en blanco)</t>
        </is>
      </c>
      <c r="E29" s="24" t="inlineStr">
        <is>
          <t>«Dep. acumulada recalculada» (esta hoja), «Dep. acumulada registrada» (esta hoja)</t>
        </is>
      </c>
      <c r="F29" s="24" t="inlineStr">
        <is>
          <t>—</t>
        </is>
      </c>
    </row>
    <row r="30">
      <c r="A30" s="24" t="inlineStr">
        <is>
          <t>Valor neto</t>
        </is>
      </c>
      <c r="B30" s="25" t="inlineStr">
        <is>
          <t>'=IF(C5="No","",D5-IF(J5&lt;&gt;"",J5,IF(L5&lt;&gt;"",L5,0)))</t>
        </is>
      </c>
      <c r="C30" s="24" t="inlineStr">
        <is>
          <t>Resta al costo del modelo la depreciación acumulada recalculada; si no se pudo recalcular usa la registrada por el cliente y, si tampoco hay, no resta nada.</t>
        </is>
      </c>
      <c r="D30" s="24" t="inlineStr">
        <is>
          <t>Fila 1: IF(«No»="No"; ""; (vacío)-IF((vacío)&lt;&gt;""; (vacío); IF((vacío)&lt;&gt;""; (vacío); 0))) → (en blanco)</t>
        </is>
      </c>
      <c r="E30" s="24" t="inlineStr">
        <is>
          <t>«¿Aplica?» (esta hoja), «Costo del modelo (PYMES 16.8: libros al cesar el VR)» (esta hoja), «Dep. acumulada recalculada» (esta hoja), «Dep. acumulada registrada» (esta hoja)</t>
        </is>
      </c>
      <c r="F30" s="24" t="inlineStr">
        <is>
          <t>—</t>
        </is>
      </c>
    </row>
    <row r="31">
      <c r="A31" s="24" t="inlineStr">
        <is>
          <t>Importe recuperable</t>
        </is>
      </c>
      <c r="B31" s="25" t="inlineStr">
        <is>
          <t>'=IF(C5="Sí",IF('03_Inmuebles'!Y5="","",'03_Inmuebles'!Y5),"")</t>
        </is>
      </c>
      <c r="C31" s="24" t="inlineStr">
        <is>
          <t>Si aplica el modelo del costo, trae el importe recuperable que el cliente informó por indicios de deterioro en la hoja 03 (Registro de inmuebles); en blanco si no lo informó.</t>
        </is>
      </c>
      <c r="D31" s="24" t="inlineStr">
        <is>
          <t>Fila 1: IF(«No»="Sí"; IF((vacío)=""; ""; (vacío)); "") → (en blanco)</t>
        </is>
      </c>
      <c r="E31" s="24" t="inlineStr">
        <is>
          <t>«¿Aplica?» (esta hoja), hoja «Registro de inmuebles»</t>
        </is>
      </c>
      <c r="F31" s="24" t="inlineStr">
        <is>
          <t>—</t>
        </is>
      </c>
    </row>
    <row r="32">
      <c r="A32" s="24" t="inlineStr">
        <is>
          <t>Deterioro</t>
        </is>
      </c>
      <c r="B32" s="25" t="inlineStr">
        <is>
          <t>'=IF(OR(C5="No",O5=""),"",MAX(0,N5-O5))</t>
        </is>
      </c>
      <c r="C32" s="24" t="inlineStr">
        <is>
          <t>Compara el valor neto con el importe recuperable: si el neto es mayor, la diferencia es el deterioro; si no, 0. En blanco si no hay importe recuperable o no aplica.</t>
        </is>
      </c>
      <c r="D32" s="24" t="inlineStr">
        <is>
          <t>Fila 1: IF(OR(«No»="No"; (vacío)=""); ""; MAX(0; (vacío)-(vacío))) → (en blanco)</t>
        </is>
      </c>
      <c r="E32" s="24" t="inlineStr">
        <is>
          <t>«¿Aplica?» (esta hoja), «Importe recuperable» (esta hoja), «Valor neto» (esta hoja)</t>
        </is>
      </c>
      <c r="F32" s="24" t="inlineStr">
        <is>
          <t>—</t>
        </is>
      </c>
    </row>
    <row r="33">
      <c r="A33" s="24" t="inlineStr">
        <is>
          <t>Medición al costo</t>
        </is>
      </c>
      <c r="B33" s="25" t="inlineStr">
        <is>
          <t>'=IF(C5="No","",N5-IF(P5="",0,P5))</t>
        </is>
      </c>
      <c r="C33" s="24" t="inlineStr">
        <is>
          <t>Valor neto menos el deterioro (sin deterioro no resta nada): es el importe por el que el inmueble debe quedar medido con el modelo del costo.</t>
        </is>
      </c>
      <c r="D33" s="24" t="inlineStr">
        <is>
          <t>Fila 1: IF(«No»="No"; ""; (vacío)-IF((vacío)=""; 0; (vacío))) → (en blanco)</t>
        </is>
      </c>
      <c r="E33" s="24" t="inlineStr">
        <is>
          <t>«¿Aplica?» (esta hoja), «Valor neto» (esta hoja), «Deterioro» (esta hoja)</t>
        </is>
      </c>
      <c r="F33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9" customWidth="1" min="4" max="4"/>
    <col width="23" customWidth="1" min="5" max="5"/>
    <col width="12" customWidth="1" min="6" max="6"/>
    <col width="24" customWidth="1" min="7" max="7"/>
    <col width="25" customWidth="1" min="8" max="8"/>
    <col width="17" customWidth="1" min="9" max="9"/>
  </cols>
  <sheetData>
    <row r="1">
      <c r="A1" s="3" t="inlineStr">
        <is>
          <t>Medición auditada por inmueble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Código</t>
        </is>
      </c>
      <c r="B4" s="17" t="inlineStr">
        <is>
          <t>Clasificación</t>
        </is>
      </c>
      <c r="C4" s="17" t="inlineStr">
        <is>
          <t>Medición</t>
        </is>
      </c>
      <c r="D4" s="17" t="inlineStr">
        <is>
          <t>Importe en libros</t>
        </is>
      </c>
      <c r="E4" s="17" t="inlineStr">
        <is>
          <t>Auditado en la cuenta</t>
        </is>
      </c>
      <c r="F4" s="17" t="inlineStr">
        <is>
          <t>Ajuste</t>
        </is>
      </c>
      <c r="G4" s="17" t="inlineStr">
        <is>
          <t>Ajuste VR (resultados)</t>
        </is>
      </c>
      <c r="H4" s="17" t="inlineStr">
        <is>
          <t>Efecto modelo del costo</t>
        </is>
      </c>
      <c r="I4" s="17" t="inlineStr">
        <is>
          <t>Reclasificación</t>
        </is>
      </c>
    </row>
    <row r="5">
      <c r="A5" s="18" t="inlineStr">
        <is>
          <t>IP-01</t>
        </is>
      </c>
      <c r="B5" s="18">
        <f>'04_Clasificacion'!G5</f>
        <v/>
      </c>
      <c r="C5" s="18">
        <f>'06_Valor_razonable'!C5</f>
        <v/>
      </c>
      <c r="D5" s="20">
        <f>'03_Inmuebles'!Q5</f>
        <v/>
      </c>
      <c r="E5" s="20">
        <f>IF('04_Clasificacion'!H5="No",0,IF(C5="Valor razonable",'06_Valor_razonable'!E5,'07_Modelo_costo'!Q5)*'04_Clasificacion'!K5)</f>
        <v/>
      </c>
      <c r="F5" s="20">
        <f>E5-D5</f>
        <v/>
      </c>
      <c r="G5" s="20">
        <f>IF('06_Valor_razonable'!H5="","",'06_Valor_razonable'!H5)</f>
        <v/>
      </c>
      <c r="H5" s="20">
        <f>IF('07_Modelo_costo'!C5="Sí",('07_Modelo_costo'!Q5-D5)*'04_Clasificacion'!K5,"")</f>
        <v/>
      </c>
      <c r="I5" s="20">
        <f>IF('04_Clasificacion'!J5="","",'04_Clasificacion'!J5)</f>
        <v/>
      </c>
    </row>
    <row r="6">
      <c r="A6" s="19" t="inlineStr">
        <is>
          <t>IP-02</t>
        </is>
      </c>
      <c r="B6" s="19">
        <f>'04_Clasificacion'!G6</f>
        <v/>
      </c>
      <c r="C6" s="19">
        <f>'06_Valor_razonable'!C6</f>
        <v/>
      </c>
      <c r="D6" s="21">
        <f>'03_Inmuebles'!Q6</f>
        <v/>
      </c>
      <c r="E6" s="21">
        <f>IF('04_Clasificacion'!H6="No",0,IF(C6="Valor razonable",'06_Valor_razonable'!E6,'07_Modelo_costo'!Q6)*'04_Clasificacion'!K6)</f>
        <v/>
      </c>
      <c r="F6" s="21">
        <f>E6-D6</f>
        <v/>
      </c>
      <c r="G6" s="21">
        <f>IF('06_Valor_razonable'!H6="","",'06_Valor_razonable'!H6)</f>
        <v/>
      </c>
      <c r="H6" s="21">
        <f>IF('07_Modelo_costo'!C6="Sí",('07_Modelo_costo'!Q6-D6)*'04_Clasificacion'!K6,"")</f>
        <v/>
      </c>
      <c r="I6" s="21">
        <f>IF('04_Clasificacion'!J6="","",'04_Clasificacion'!J6)</f>
        <v/>
      </c>
    </row>
    <row r="7">
      <c r="A7" s="18" t="inlineStr">
        <is>
          <t>IP-03</t>
        </is>
      </c>
      <c r="B7" s="18">
        <f>'04_Clasificacion'!G7</f>
        <v/>
      </c>
      <c r="C7" s="18">
        <f>'06_Valor_razonable'!C7</f>
        <v/>
      </c>
      <c r="D7" s="20">
        <f>'03_Inmuebles'!Q7</f>
        <v/>
      </c>
      <c r="E7" s="20">
        <f>IF('04_Clasificacion'!H7="No",0,IF(C7="Valor razonable",'06_Valor_razonable'!E7,'07_Modelo_costo'!Q7)*'04_Clasificacion'!K7)</f>
        <v/>
      </c>
      <c r="F7" s="20">
        <f>E7-D7</f>
        <v/>
      </c>
      <c r="G7" s="20">
        <f>IF('06_Valor_razonable'!H7="","",'06_Valor_razonable'!H7)</f>
        <v/>
      </c>
      <c r="H7" s="20">
        <f>IF('07_Modelo_costo'!C7="Sí",('07_Modelo_costo'!Q7-D7)*'04_Clasificacion'!K7,"")</f>
        <v/>
      </c>
      <c r="I7" s="20">
        <f>IF('04_Clasificacion'!J7="","",'04_Clasificacion'!J7)</f>
        <v/>
      </c>
    </row>
    <row r="8">
      <c r="A8" s="19" t="inlineStr">
        <is>
          <t>IP-04</t>
        </is>
      </c>
      <c r="B8" s="19">
        <f>'04_Clasificacion'!G8</f>
        <v/>
      </c>
      <c r="C8" s="19">
        <f>'06_Valor_razonable'!C8</f>
        <v/>
      </c>
      <c r="D8" s="21">
        <f>'03_Inmuebles'!Q8</f>
        <v/>
      </c>
      <c r="E8" s="21">
        <f>IF('04_Clasificacion'!H8="No",0,IF(C8="Valor razonable",'06_Valor_razonable'!E8,'07_Modelo_costo'!Q8)*'04_Clasificacion'!K8)</f>
        <v/>
      </c>
      <c r="F8" s="21">
        <f>E8-D8</f>
        <v/>
      </c>
      <c r="G8" s="21">
        <f>IF('06_Valor_razonable'!H8="","",'06_Valor_razonable'!H8)</f>
        <v/>
      </c>
      <c r="H8" s="21">
        <f>IF('07_Modelo_costo'!C8="Sí",('07_Modelo_costo'!Q8-D8)*'04_Clasificacion'!K8,"")</f>
        <v/>
      </c>
      <c r="I8" s="21">
        <f>IF('04_Clasificacion'!J8="","",'04_Clasificacion'!J8)</f>
        <v/>
      </c>
    </row>
    <row r="9">
      <c r="A9" s="18" t="inlineStr">
        <is>
          <t>IP-05</t>
        </is>
      </c>
      <c r="B9" s="18">
        <f>'04_Clasificacion'!G9</f>
        <v/>
      </c>
      <c r="C9" s="18">
        <f>'06_Valor_razonable'!C9</f>
        <v/>
      </c>
      <c r="D9" s="20">
        <f>'03_Inmuebles'!Q9</f>
        <v/>
      </c>
      <c r="E9" s="20">
        <f>IF('04_Clasificacion'!H9="No",0,IF(C9="Valor razonable",'06_Valor_razonable'!E9,'07_Modelo_costo'!Q9)*'04_Clasificacion'!K9)</f>
        <v/>
      </c>
      <c r="F9" s="20">
        <f>E9-D9</f>
        <v/>
      </c>
      <c r="G9" s="20">
        <f>IF('06_Valor_razonable'!H9="","",'06_Valor_razonable'!H9)</f>
        <v/>
      </c>
      <c r="H9" s="20">
        <f>IF('07_Modelo_costo'!C9="Sí",('07_Modelo_costo'!Q9-D9)*'04_Clasificacion'!K9,"")</f>
        <v/>
      </c>
      <c r="I9" s="20">
        <f>IF('04_Clasificacion'!J9="","",'04_Clasificacion'!J9)</f>
        <v/>
      </c>
    </row>
    <row r="10">
      <c r="A10" s="19" t="inlineStr">
        <is>
          <t>IP-06</t>
        </is>
      </c>
      <c r="B10" s="19">
        <f>'04_Clasificacion'!G10</f>
        <v/>
      </c>
      <c r="C10" s="19">
        <f>'06_Valor_razonable'!C10</f>
        <v/>
      </c>
      <c r="D10" s="21">
        <f>'03_Inmuebles'!Q10</f>
        <v/>
      </c>
      <c r="E10" s="21">
        <f>IF('04_Clasificacion'!H10="No",0,IF(C10="Valor razonable",'06_Valor_razonable'!E10,'07_Modelo_costo'!Q10)*'04_Clasificacion'!K10)</f>
        <v/>
      </c>
      <c r="F10" s="21">
        <f>E10-D10</f>
        <v/>
      </c>
      <c r="G10" s="21">
        <f>IF('06_Valor_razonable'!H10="","",'06_Valor_razonable'!H10)</f>
        <v/>
      </c>
      <c r="H10" s="21">
        <f>IF('07_Modelo_costo'!C10="Sí",('07_Modelo_costo'!Q10-D10)*'04_Clasificacion'!K10,"")</f>
        <v/>
      </c>
      <c r="I10" s="21">
        <f>IF('04_Clasificacion'!J10="","",'04_Clasificacion'!J10)</f>
        <v/>
      </c>
    </row>
    <row r="11">
      <c r="A11" s="18" t="inlineStr">
        <is>
          <t>IP-07</t>
        </is>
      </c>
      <c r="B11" s="18">
        <f>'04_Clasificacion'!G11</f>
        <v/>
      </c>
      <c r="C11" s="18">
        <f>'06_Valor_razonable'!C11</f>
        <v/>
      </c>
      <c r="D11" s="20">
        <f>'03_Inmuebles'!Q11</f>
        <v/>
      </c>
      <c r="E11" s="20">
        <f>IF('04_Clasificacion'!H11="No",0,IF(C11="Valor razonable",'06_Valor_razonable'!E11,'07_Modelo_costo'!Q11)*'04_Clasificacion'!K11)</f>
        <v/>
      </c>
      <c r="F11" s="20">
        <f>E11-D11</f>
        <v/>
      </c>
      <c r="G11" s="20">
        <f>IF('06_Valor_razonable'!H11="","",'06_Valor_razonable'!H11)</f>
        <v/>
      </c>
      <c r="H11" s="20">
        <f>IF('07_Modelo_costo'!C11="Sí",('07_Modelo_costo'!Q11-D11)*'04_Clasificacion'!K11,"")</f>
        <v/>
      </c>
      <c r="I11" s="20">
        <f>IF('04_Clasificacion'!J11="","",'04_Clasificacion'!J11)</f>
        <v/>
      </c>
    </row>
    <row r="12">
      <c r="A12" s="19" t="inlineStr">
        <is>
          <t>IP-08</t>
        </is>
      </c>
      <c r="B12" s="19">
        <f>'04_Clasificacion'!G12</f>
        <v/>
      </c>
      <c r="C12" s="19">
        <f>'06_Valor_razonable'!C12</f>
        <v/>
      </c>
      <c r="D12" s="21">
        <f>'03_Inmuebles'!Q12</f>
        <v/>
      </c>
      <c r="E12" s="21">
        <f>IF('04_Clasificacion'!H12="No",0,IF(C12="Valor razonable",'06_Valor_razonable'!E12,'07_Modelo_costo'!Q12)*'04_Clasificacion'!K12)</f>
        <v/>
      </c>
      <c r="F12" s="21">
        <f>E12-D12</f>
        <v/>
      </c>
      <c r="G12" s="21">
        <f>IF('06_Valor_razonable'!H12="","",'06_Valor_razonable'!H12)</f>
        <v/>
      </c>
      <c r="H12" s="21">
        <f>IF('07_Modelo_costo'!C12="Sí",('07_Modelo_costo'!Q12-D12)*'04_Clasificacion'!K12,"")</f>
        <v/>
      </c>
      <c r="I12" s="21">
        <f>IF('04_Clasificacion'!J12="","",'04_Clasificacion'!J12)</f>
        <v/>
      </c>
    </row>
    <row r="13">
      <c r="A13" s="18" t="inlineStr">
        <is>
          <t>IP-09</t>
        </is>
      </c>
      <c r="B13" s="18">
        <f>'04_Clasificacion'!G13</f>
        <v/>
      </c>
      <c r="C13" s="18">
        <f>'06_Valor_razonable'!C13</f>
        <v/>
      </c>
      <c r="D13" s="20">
        <f>'03_Inmuebles'!Q13</f>
        <v/>
      </c>
      <c r="E13" s="20">
        <f>IF('04_Clasificacion'!H13="No",0,IF(C13="Valor razonable",'06_Valor_razonable'!E13,'07_Modelo_costo'!Q13)*'04_Clasificacion'!K13)</f>
        <v/>
      </c>
      <c r="F13" s="20">
        <f>E13-D13</f>
        <v/>
      </c>
      <c r="G13" s="20">
        <f>IF('06_Valor_razonable'!H13="","",'06_Valor_razonable'!H13)</f>
        <v/>
      </c>
      <c r="H13" s="20">
        <f>IF('07_Modelo_costo'!C13="Sí",('07_Modelo_costo'!Q13-D13)*'04_Clasificacion'!K13,"")</f>
        <v/>
      </c>
      <c r="I13" s="20">
        <f>IF('04_Clasificacion'!J13="","",'04_Clasificacion'!J13)</f>
        <v/>
      </c>
    </row>
    <row r="14">
      <c r="A14" s="19" t="inlineStr">
        <is>
          <t>IP-10</t>
        </is>
      </c>
      <c r="B14" s="19">
        <f>'04_Clasificacion'!G14</f>
        <v/>
      </c>
      <c r="C14" s="19">
        <f>'06_Valor_razonable'!C14</f>
        <v/>
      </c>
      <c r="D14" s="21">
        <f>'03_Inmuebles'!Q14</f>
        <v/>
      </c>
      <c r="E14" s="21">
        <f>IF('04_Clasificacion'!H14="No",0,IF(C14="Valor razonable",'06_Valor_razonable'!E14,'07_Modelo_costo'!Q14)*'04_Clasificacion'!K14)</f>
        <v/>
      </c>
      <c r="F14" s="21">
        <f>E14-D14</f>
        <v/>
      </c>
      <c r="G14" s="21">
        <f>IF('06_Valor_razonable'!H14="","",'06_Valor_razonable'!H14)</f>
        <v/>
      </c>
      <c r="H14" s="21">
        <f>IF('07_Modelo_costo'!C14="Sí",('07_Modelo_costo'!Q14-D14)*'04_Clasificacion'!K14,"")</f>
        <v/>
      </c>
      <c r="I14" s="21">
        <f>IF('04_Clasificacion'!J14="","",'04_Clasificacion'!J14)</f>
        <v/>
      </c>
    </row>
    <row r="15">
      <c r="A15" s="34" t="inlineStr">
        <is>
          <t>TOTAL</t>
        </is>
      </c>
      <c r="B15" s="34" t="inlineStr"/>
      <c r="C15" s="34" t="inlineStr"/>
      <c r="D15" s="35">
        <f>SUM(D5:D14)</f>
        <v/>
      </c>
      <c r="E15" s="35">
        <f>SUM(E5:E14)</f>
        <v/>
      </c>
      <c r="F15" s="35">
        <f>SUM(F5:F14)</f>
        <v/>
      </c>
      <c r="G15" s="35">
        <f>SUM(G5:G14)</f>
        <v/>
      </c>
      <c r="H15" s="35">
        <f>SUM(H5:H14)</f>
        <v/>
      </c>
      <c r="I15" s="35">
        <f>SUM(I5:I14)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Clasificación</t>
        </is>
      </c>
      <c r="B19" s="25" t="inlineStr">
        <is>
          <t>'='04_Clasificacion'!G5</t>
        </is>
      </c>
      <c r="C19" s="24" t="inlineStr">
        <is>
          <t>Trae de la hoja 04 (Clasificación) la clasificación auditada del inmueble.</t>
        </is>
      </c>
      <c r="D19" s="24" t="inlineStr">
        <is>
          <t>Fila 1: «Propiedad de inversión» → Propiedad de inversión</t>
        </is>
      </c>
      <c r="E19" s="24" t="inlineStr">
        <is>
          <t>hoja «Clasificación»</t>
        </is>
      </c>
      <c r="F19" s="24" t="inlineStr">
        <is>
          <t>—</t>
        </is>
      </c>
    </row>
    <row r="20">
      <c r="A20" s="24" t="inlineStr">
        <is>
          <t>Medición</t>
        </is>
      </c>
      <c r="B20" s="25" t="inlineStr">
        <is>
          <t>'='06_Valor_razonable'!C5</t>
        </is>
      </c>
      <c r="C20" s="24" t="inlineStr">
        <is>
          <t>Trae de la hoja 06 (Valor razonable) la base con que se mide el inmueble: valor razonable, costo o no es PI.</t>
        </is>
      </c>
      <c r="D20" s="24" t="inlineStr">
        <is>
          <t>Fila 1: «Valor razonable» → Valor razonable</t>
        </is>
      </c>
      <c r="E20" s="24" t="inlineStr">
        <is>
          <t>hoja «Valor razonable»</t>
        </is>
      </c>
      <c r="F20" s="24" t="inlineStr">
        <is>
          <t>—</t>
        </is>
      </c>
    </row>
    <row r="21">
      <c r="A21" s="24" t="inlineStr">
        <is>
          <t>Importe en libros</t>
        </is>
      </c>
      <c r="B21" s="25" t="inlineStr">
        <is>
          <t>'='03_Inmuebles'!Q5</t>
        </is>
      </c>
      <c r="C21" s="24" t="inlineStr">
        <is>
          <t>Trae de la hoja 03 (Registro de inmuebles) el importe en libros que el cliente registró al corte.</t>
        </is>
      </c>
      <c r="D21" s="24" t="inlineStr">
        <is>
          <t>Fila 1: 700.000,00 → 700.000,00</t>
        </is>
      </c>
      <c r="E21" s="24" t="inlineStr">
        <is>
          <t>hoja «Registro de inmuebles»</t>
        </is>
      </c>
      <c r="F21" s="24" t="inlineStr">
        <is>
          <t>—</t>
        </is>
      </c>
    </row>
    <row r="22">
      <c r="A22" s="24" t="inlineStr">
        <is>
          <t>Auditado en la cuenta</t>
        </is>
      </c>
      <c r="B22" s="25" t="inlineStr">
        <is>
          <t>'=IF('04_Clasificacion'!H5="No",0,IF(C5="Valor razonable",'06_Valor_razonable'!E5,'07_Modelo_costo'!Q5)*'04_Clasificacion'!K5)</t>
        </is>
      </c>
      <c r="C22" s="24" t="inlineStr">
        <is>
          <t>Si el inmueble no es propiedad de inversión pone 0. Si lo es, toma el VR al corte (hoja 06) o la medición al costo (hoja 07), según su medición, y lo multiplica por la parte que es propiedad de inversión (hoja 04).</t>
        </is>
      </c>
      <c r="D22" s="24" t="inlineStr">
        <is>
          <t>Fila 1: IF(«Sí»="No"; 0; IF(«Valor razonable»="Valor razonable"; 720.000,00; (vacío))*100,00 %) → 720.000,00</t>
        </is>
      </c>
      <c r="E22" s="24" t="inlineStr">
        <is>
          <t>«Medición» (esta hoja), hoja «Clasificación», hoja «Valor razonable», hoja «Modelo del costo: depreciación y deterioro»</t>
        </is>
      </c>
      <c r="F22" s="24" t="inlineStr">
        <is>
          <t>—</t>
        </is>
      </c>
    </row>
    <row r="23">
      <c r="A23" s="24" t="inlineStr">
        <is>
          <t>Ajuste</t>
        </is>
      </c>
      <c r="B23" s="25" t="inlineStr">
        <is>
          <t>'=E5-D5</t>
        </is>
      </c>
      <c r="C23" s="24" t="inlineStr">
        <is>
          <t>Resta el importe en libros del importe auditado en la cuenta: lo que hay que subir o bajar en propiedades de inversión por este inmueble.</t>
        </is>
      </c>
      <c r="D23" s="24" t="inlineStr">
        <is>
          <t>Fila 1: 720.000,00-700.000,00 → 20.000,00</t>
        </is>
      </c>
      <c r="E23" s="24" t="inlineStr">
        <is>
          <t>«Auditado en la cuenta» (esta hoja), «Importe en libros» (esta hoja)</t>
        </is>
      </c>
      <c r="F23" s="24" t="inlineStr">
        <is>
          <t>—</t>
        </is>
      </c>
    </row>
    <row r="24">
      <c r="A24" s="24" t="inlineStr">
        <is>
          <t>Ajuste VR (resultados)</t>
        </is>
      </c>
      <c r="B24" s="25" t="inlineStr">
        <is>
          <t>'=IF('06_Valor_razonable'!H5="","",'06_Valor_razonable'!H5)</t>
        </is>
      </c>
      <c r="C24" s="24" t="inlineStr">
        <is>
          <t>Trae el ajuste de valor razonable no reconocido calculado en la hoja 06 (Valor razonable); en blanco cuando el inmueble no se mide a valor razonable.</t>
        </is>
      </c>
      <c r="D24" s="24" t="inlineStr">
        <is>
          <t>Fila 1: IF(20.000,00=""; ""; 20.000,00) → 20.000,00</t>
        </is>
      </c>
      <c r="E24" s="24" t="inlineStr">
        <is>
          <t>hoja «Valor razonable»</t>
        </is>
      </c>
      <c r="F24" s="24" t="inlineStr">
        <is>
          <t>—</t>
        </is>
      </c>
    </row>
    <row r="25">
      <c r="A25" s="24" t="inlineStr">
        <is>
          <t>Efecto modelo del costo</t>
        </is>
      </c>
      <c r="B25" s="25" t="inlineStr">
        <is>
          <t>'=IF('07_Modelo_costo'!C5="Sí",('07_Modelo_costo'!Q5-D5)*'04_Clasificacion'!K5,"")</t>
        </is>
      </c>
      <c r="C25" s="24" t="inlineStr">
        <is>
          <t>Si aplica el modelo del costo, resta el importe en libros de la medición al costo (hoja 07) y lo multiplica por la parte que es propiedad de inversión (hoja 04); en blanco en los demás casos.</t>
        </is>
      </c>
      <c r="D25" s="24" t="inlineStr">
        <is>
          <t>Fila 1: IF(«No»="Sí"; ((vacío)-700.000,00)*100,00 %; "") → (en blanco)</t>
        </is>
      </c>
      <c r="E25" s="24" t="inlineStr">
        <is>
          <t>«Importe en libros» (esta hoja), hoja «Modelo del costo: depreciación y deterioro», hoja «Clasificación»</t>
        </is>
      </c>
      <c r="F25" s="24" t="inlineStr">
        <is>
          <t>—</t>
        </is>
      </c>
    </row>
    <row r="26">
      <c r="A26" s="24" t="inlineStr">
        <is>
          <t>Reclasificación</t>
        </is>
      </c>
      <c r="B26" s="25" t="inlineStr">
        <is>
          <t>'=IF('04_Clasificacion'!J5="","",'04_Clasificacion'!J5)</t>
        </is>
      </c>
      <c r="C26" s="24" t="inlineStr">
        <is>
          <t>Trae de la hoja 04 (Clasificación) el importe que sale de propiedades de inversión por uso propio, venta o uso mixto; en blanco si no hay reclasificación.</t>
        </is>
      </c>
      <c r="D26" s="24" t="inlineStr">
        <is>
          <t>Fila 1: IF((vacío)=""; ""; (vacío)) → (en blanco)</t>
        </is>
      </c>
      <c r="E26" s="24" t="inlineStr">
        <is>
          <t>hoja «Clasificación»</t>
        </is>
      </c>
      <c r="F26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9" customWidth="1" min="4" max="4"/>
    <col width="24" customWidth="1" min="5" max="5"/>
    <col width="19" customWidth="1" min="6" max="6"/>
    <col width="15" customWidth="1" min="7" max="7"/>
    <col width="24" customWidth="1" min="8" max="8"/>
    <col width="37" customWidth="1" min="9" max="9"/>
    <col width="33" customWidth="1" min="10" max="10"/>
    <col width="14" customWidth="1" min="11" max="11"/>
    <col width="27" customWidth="1" min="12" max="12"/>
    <col width="60" customWidth="1" min="13" max="13"/>
    <col width="58" customWidth="1" min="14" max="14"/>
  </cols>
  <sheetData>
    <row r="1">
      <c r="A1" s="3" t="inlineStr">
        <is>
          <t>Transferencias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4" ht="30" customHeight="1">
      <c r="A4" s="17" t="inlineStr">
        <is>
          <t>Código</t>
        </is>
      </c>
      <c r="B4" s="17" t="inlineStr">
        <is>
          <t>Cambio de uso</t>
        </is>
      </c>
      <c r="C4" s="17" t="inlineStr">
        <is>
          <t>Fecha del cambio</t>
        </is>
      </c>
      <c r="D4" s="17" t="inlineStr">
        <is>
          <t>¿En el ejercicio?</t>
        </is>
      </c>
      <c r="E4" s="17" t="inlineStr">
        <is>
          <t>Clasificación actual</t>
        </is>
      </c>
      <c r="F4" s="17" t="inlineStr">
        <is>
          <t>Libros a la fecha</t>
        </is>
      </c>
      <c r="G4" s="17" t="inlineStr">
        <is>
          <t>VR a la fecha</t>
        </is>
      </c>
      <c r="H4" s="17" t="inlineStr">
        <is>
          <t>Diferencia VR − libros</t>
        </is>
      </c>
      <c r="I4" s="17" t="inlineStr">
        <is>
          <t>Superávit de revaluación a la fecha</t>
        </is>
      </c>
      <c r="J4" s="17" t="inlineStr">
        <is>
          <t>Uso del superávit (disminución)</t>
        </is>
      </c>
      <c r="K4" s="17" t="inlineStr">
        <is>
          <t>A resultados</t>
        </is>
      </c>
      <c r="L4" s="17" t="inlineStr">
        <is>
          <t>A otro resultado integral</t>
        </is>
      </c>
      <c r="M4" s="17" t="inlineStr">
        <is>
          <t>Tratamiento</t>
        </is>
      </c>
      <c r="N4" s="17" t="inlineStr">
        <is>
          <t>Estado</t>
        </is>
      </c>
    </row>
    <row r="5">
      <c r="A5" s="18" t="inlineStr">
        <is>
          <t>IP-08</t>
        </is>
      </c>
      <c r="B5" s="18" t="inlineStr">
        <is>
          <t>PPE→PI</t>
        </is>
      </c>
      <c r="C5" s="30" t="n">
        <v>45930</v>
      </c>
      <c r="D5" s="18">
        <f>IF(C5="","Sin fecha",IF(AND(C5&gt;='02_Parametros'!$B$6,C5&lt;='02_Parametros'!$B$5),"Sí","No"))</f>
        <v/>
      </c>
      <c r="E5" s="18">
        <f>'04_Clasificacion'!G12</f>
        <v/>
      </c>
      <c r="F5" s="20">
        <f>IF('03_Inmuebles'!V12="","",'03_Inmuebles'!V12)</f>
        <v/>
      </c>
      <c r="G5" s="20">
        <f>IF('03_Inmuebles'!W12="","",'03_Inmuebles'!W12)</f>
        <v/>
      </c>
      <c r="H5" s="20">
        <f>IF(OR('02_Parametros'!$B$8="Sí",'02_Parametros'!$B$11&lt;&gt;"valor_razonable",F5="",G5=""),"",G5-F5)</f>
        <v/>
      </c>
      <c r="I5" s="20">
        <f>IF('03_Inmuebles'!X12="","",'03_Inmuebles'!X12)</f>
        <v/>
      </c>
      <c r="J5" s="20">
        <f>IF(H5="","",IF(B5&lt;&gt;"PPE→PI",0,IF(H5&gt;=0,0,IF(I5="","",MIN(I5,-H5)))))</f>
        <v/>
      </c>
      <c r="K5" s="20">
        <f>IF(OR(H5="",J5=""),"",IF(B5="Inventario→PI",H5,IF(B5="PPE→PI",IF(H5&gt;=0,0,H5+J5),0)))</f>
        <v/>
      </c>
      <c r="L5" s="20">
        <f>IF(OR(H5="",J5=""),"",IF(B5="PPE→PI",IF(H5&gt;=0,H5,-J5),0))</f>
        <v/>
      </c>
      <c r="M5" s="18">
        <f>IF('02_Parametros'!$B$8="Sí","PYMES 16.9: transferir solo cuando cumple o deja de cumplir la definición de PI; la sección 16 no regula la medición de la diferencia (juicio, sección 10)",IF('02_Parametros'!$B$11&lt;&gt;"valor_razonable","Modelo del costo: sin cambio del importe en libros (NIC 40.59)",IF(B5="PPE→PI","Revaluación NIC 16: el aumento a otro resultado integral (superávit de revaluación) y la disminución contra el superávit de ese inmueble, el exceso a resultados (NIC 40.61-62)",IF(B5="Inventario→PI","Diferencia a resultados (NIC 40.63)",IF(OR(B5="PI→PPE",B5="PI→Inventario"),"Costo atribuido = VR a la fecha del cambio (NIC 40.60)","Transferencia no reconocida")))))</f>
        <v/>
      </c>
      <c r="N5" s="18">
        <f>IF(AND(B5&lt;&gt;"PPE→PI",B5&lt;&gt;"Inventario→PI",B5&lt;&gt;"PI→PPE",B5&lt;&gt;"PI→Inventario"),"Transferencia no reconocida",IF(C5="","Sin tratamiento: falta la fecha del cambio",IF(AND('02_Parametros'!$B$8="No",'02_Parametros'!$B$11="valor_razonable",OR(F5="",G5="")),"Sin tratamiento: falta importe en libros o VR a la fecha",IF(AND(B5="PPE→PI",H5&lt;&gt;"",H5&lt;0,I5=""),"Sin tratamiento: falta el superávit de revaluación a la fecha",IF(OR(AND(RIGHT(B5,2)="PI",'04_Clasificacion'!H12="No"),AND(LEFT(B5,2)="PI",'04_Clasificacion'!H12="Sí")),"Incoherente con la clasificación actual","Completa")))))</f>
        <v/>
      </c>
    </row>
    <row r="6">
      <c r="A6" s="19" t="inlineStr">
        <is>
          <t>IP-09</t>
        </is>
      </c>
      <c r="B6" s="19" t="inlineStr">
        <is>
          <t>Inventario→PI</t>
        </is>
      </c>
      <c r="C6" s="33" t="n">
        <v>45792</v>
      </c>
      <c r="D6" s="19">
        <f>IF(C6="","Sin fecha",IF(AND(C6&gt;='02_Parametros'!$B$6,C6&lt;='02_Parametros'!$B$5),"Sí","No"))</f>
        <v/>
      </c>
      <c r="E6" s="19">
        <f>'04_Clasificacion'!G13</f>
        <v/>
      </c>
      <c r="F6" s="21">
        <f>IF('03_Inmuebles'!V13="","",'03_Inmuebles'!V13)</f>
        <v/>
      </c>
      <c r="G6" s="21">
        <f>IF('03_Inmuebles'!W13="","",'03_Inmuebles'!W13)</f>
        <v/>
      </c>
      <c r="H6" s="21">
        <f>IF(OR('02_Parametros'!$B$8="Sí",'02_Parametros'!$B$11&lt;&gt;"valor_razonable",F6="",G6=""),"",G6-F6)</f>
        <v/>
      </c>
      <c r="I6" s="21">
        <f>IF('03_Inmuebles'!X13="","",'03_Inmuebles'!X13)</f>
        <v/>
      </c>
      <c r="J6" s="21">
        <f>IF(H6="","",IF(B6&lt;&gt;"PPE→PI",0,IF(H6&gt;=0,0,IF(I6="","",MIN(I6,-H6)))))</f>
        <v/>
      </c>
      <c r="K6" s="21">
        <f>IF(OR(H6="",J6=""),"",IF(B6="Inventario→PI",H6,IF(B6="PPE→PI",IF(H6&gt;=0,0,H6+J6),0)))</f>
        <v/>
      </c>
      <c r="L6" s="21">
        <f>IF(OR(H6="",J6=""),"",IF(B6="PPE→PI",IF(H6&gt;=0,H6,-J6),0))</f>
        <v/>
      </c>
      <c r="M6" s="19">
        <f>IF('02_Parametros'!$B$8="Sí","PYMES 16.9: transferir solo cuando cumple o deja de cumplir la definición de PI; la sección 16 no regula la medición de la diferencia (juicio, sección 10)",IF('02_Parametros'!$B$11&lt;&gt;"valor_razonable","Modelo del costo: sin cambio del importe en libros (NIC 40.59)",IF(B6="PPE→PI","Revaluación NIC 16: el aumento a otro resultado integral (superávit de revaluación) y la disminución contra el superávit de ese inmueble, el exceso a resultados (NIC 40.61-62)",IF(B6="Inventario→PI","Diferencia a resultados (NIC 40.63)",IF(OR(B6="PI→PPE",B6="PI→Inventario"),"Costo atribuido = VR a la fecha del cambio (NIC 40.60)","Transferencia no reconocida")))))</f>
        <v/>
      </c>
      <c r="N6" s="19">
        <f>IF(AND(B6&lt;&gt;"PPE→PI",B6&lt;&gt;"Inventario→PI",B6&lt;&gt;"PI→PPE",B6&lt;&gt;"PI→Inventario"),"Transferencia no reconocida",IF(C6="","Sin tratamiento: falta la fecha del cambio",IF(AND('02_Parametros'!$B$8="No",'02_Parametros'!$B$11="valor_razonable",OR(F6="",G6="")),"Sin tratamiento: falta importe en libros o VR a la fecha",IF(AND(B6="PPE→PI",H6&lt;&gt;"",H6&lt;0,I6=""),"Sin tratamiento: falta el superávit de revaluación a la fecha",IF(OR(AND(RIGHT(B6,2)="PI",'04_Clasificacion'!H13="No"),AND(LEFT(B6,2)="PI",'04_Clasificacion'!H13="Sí")),"Incoherente con la clasificación actual","Completa")))))</f>
        <v/>
      </c>
    </row>
    <row r="7">
      <c r="A7" s="34" t="inlineStr">
        <is>
          <t>TOTAL</t>
        </is>
      </c>
      <c r="B7" s="34" t="inlineStr"/>
      <c r="C7" s="36" t="n"/>
      <c r="D7" s="34" t="inlineStr"/>
      <c r="E7" s="34" t="inlineStr"/>
      <c r="F7" s="35" t="n"/>
      <c r="G7" s="35" t="n"/>
      <c r="H7" s="35">
        <f>SUM(H5:H6)</f>
        <v/>
      </c>
      <c r="I7" s="35">
        <f>SUM(I5:I6)</f>
        <v/>
      </c>
      <c r="J7" s="35">
        <f>SUM(J5:J6)</f>
        <v/>
      </c>
      <c r="K7" s="35">
        <f>SUM(K5:K6)</f>
        <v/>
      </c>
      <c r="L7" s="35">
        <f>SUM(L5:L6)</f>
        <v/>
      </c>
      <c r="M7" s="34" t="inlineStr"/>
      <c r="N7" s="34" t="inlineStr"/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¿En el ejercicio?</t>
        </is>
      </c>
      <c r="B11" s="25" t="inlineStr">
        <is>
          <t>'=IF(C5="","Sin fecha",IF(AND(C5&gt;='02_Parametros'!$B$6,C5&lt;='02_Parametros'!$B$5),"Sí","No"))</t>
        </is>
      </c>
      <c r="C11" s="24" t="inlineStr">
        <is>
          <t>Revisa si la fecha del cambio de uso cae entre el inicio y el corte del ejercicio (hoja 02, Parámetros) y marca «Sí» o «No»; si falta la fecha, indica «Sin fecha».</t>
        </is>
      </c>
      <c r="D11" s="24" t="inlineStr">
        <is>
          <t>Fila 1: IF(«2025-09-30»=""; "Sin fecha"; IF(AND(«2025-09-30»&gt;=«2025-01-01»; «2025-09-30»&lt;=«2025-12-31»); "Sí"; "No")) → Sí</t>
        </is>
      </c>
      <c r="E11" s="24" t="inlineStr">
        <is>
          <t>«Fecha del cambio» (esta hoja), hoja «Parámetros y ruta por marco»</t>
        </is>
      </c>
      <c r="F11" s="24" t="inlineStr">
        <is>
          <t>—</t>
        </is>
      </c>
    </row>
    <row r="12">
      <c r="A12" s="24" t="inlineStr">
        <is>
          <t>Clasificación actual</t>
        </is>
      </c>
      <c r="B12" s="25" t="inlineStr">
        <is>
          <t>'='04_Clasificacion'!G12</t>
        </is>
      </c>
      <c r="C12" s="24" t="inlineStr">
        <is>
          <t>Trae de la hoja 04 (Clasificación) la clasificación auditada al corte del inmueble transferido, para compararla con el sentido del cambio de uso.</t>
        </is>
      </c>
      <c r="D12" s="24" t="inlineStr">
        <is>
          <t>Fila 1: «Propiedad de inversión» → Propiedad de inversión</t>
        </is>
      </c>
      <c r="E12" s="24" t="inlineStr">
        <is>
          <t>hoja «Clasificación»</t>
        </is>
      </c>
      <c r="F12" s="24" t="inlineStr">
        <is>
          <t>—</t>
        </is>
      </c>
    </row>
    <row r="13">
      <c r="A13" s="24" t="inlineStr">
        <is>
          <t>Libros a la fecha</t>
        </is>
      </c>
      <c r="B13" s="25" t="inlineStr">
        <is>
          <t>'=IF('03_Inmuebles'!V12="","",'03_Inmuebles'!V12)</t>
        </is>
      </c>
      <c r="C13" s="24" t="inlineStr">
        <is>
          <t>Trae de la hoja 03 (Registro de inmuebles) el importe en libros a la fecha del cambio de uso; en blanco si no se informó.</t>
        </is>
      </c>
      <c r="D13" s="24" t="inlineStr">
        <is>
          <t>Fila 1: IF(125.000,00=""; ""; 125.000,00) → 125.000,00</t>
        </is>
      </c>
      <c r="E13" s="24" t="inlineStr">
        <is>
          <t>hoja «Registro de inmuebles»</t>
        </is>
      </c>
      <c r="F13" s="24" t="inlineStr">
        <is>
          <t>—</t>
        </is>
      </c>
    </row>
    <row r="14">
      <c r="A14" s="24" t="inlineStr">
        <is>
          <t>VR a la fecha</t>
        </is>
      </c>
      <c r="B14" s="25" t="inlineStr">
        <is>
          <t>'=IF('03_Inmuebles'!W12="","",'03_Inmuebles'!W12)</t>
        </is>
      </c>
      <c r="C14" s="24" t="inlineStr">
        <is>
          <t>Trae de la hoja 03 (Registro de inmuebles) el valor razonable a la fecha del cambio de uso; en blanco si no se informó.</t>
        </is>
      </c>
      <c r="D14" s="24" t="inlineStr">
        <is>
          <t>Fila 1: IF(205.000,00=""; ""; 205.000,00) → 205.000,00</t>
        </is>
      </c>
      <c r="E14" s="24" t="inlineStr">
        <is>
          <t>hoja «Registro de inmuebles»</t>
        </is>
      </c>
      <c r="F14" s="24" t="inlineStr">
        <is>
          <t>—</t>
        </is>
      </c>
    </row>
    <row r="15">
      <c r="A15" s="24" t="inlineStr">
        <is>
          <t>Diferencia VR − libros</t>
        </is>
      </c>
      <c r="B15" s="25" t="inlineStr">
        <is>
          <t>'=IF(OR('02_Parametros'!$B$8="Sí",'02_Parametros'!$B$11&lt;&gt;"valor_razonable",F5="",G5=""),"",G5-F5)</t>
        </is>
      </c>
      <c r="C15" s="24" t="inlineStr">
        <is>
          <t>Resta los libros del VR a la fecha del cambio. Solo se calcula en NIIF completas con la ruta de valor razonable (hoja 02) y con ambos datos; en PYMES, con modelo del costo o sin datos, queda en blanco.</t>
        </is>
      </c>
      <c r="D15" s="24" t="inlineStr">
        <is>
          <t>Fila 1: IF(OR(«No»="Sí"; «valor_razonable»&lt;&gt;"valor_razonable"; 125.000,00=""; 205.000,00=""); ""; 205.000,00-125.000,00) → 80.000,00</t>
        </is>
      </c>
      <c r="E15" s="24" t="inlineStr">
        <is>
          <t>«Libros a la fecha» (esta hoja), «VR a la fecha» (esta hoja), hoja «Parámetros y ruta por marco»</t>
        </is>
      </c>
      <c r="F15" s="24" t="inlineStr">
        <is>
          <t>—</t>
        </is>
      </c>
    </row>
    <row r="16">
      <c r="A16" s="24" t="inlineStr">
        <is>
          <t>Superávit de revaluación a la fecha</t>
        </is>
      </c>
      <c r="B16" s="25" t="inlineStr">
        <is>
          <t>'=IF('03_Inmuebles'!X12="","",'03_Inmuebles'!X12)</t>
        </is>
      </c>
      <c r="C16" s="24" t="inlineStr">
        <is>
          <t>Trae de la hoja 03 (Registro de inmuebles) el superávit de revaluación acumulado de este inmueble a la fecha del cambio; en blanco si no se informó.</t>
        </is>
      </c>
      <c r="D16" s="24" t="inlineStr">
        <is>
          <t>Fila 1: IF(30.000,00=""; ""; 30.000,00) → 30.000,00</t>
        </is>
      </c>
      <c r="E16" s="24" t="inlineStr">
        <is>
          <t>hoja «Registro de inmuebles»</t>
        </is>
      </c>
      <c r="F16" s="24" t="inlineStr">
        <is>
          <t>—</t>
        </is>
      </c>
    </row>
    <row r="17">
      <c r="A17" s="24" t="inlineStr">
        <is>
          <t>Uso del superávit (disminución)</t>
        </is>
      </c>
      <c r="B17" s="25" t="inlineStr">
        <is>
          <t>'=IF(H5="","",IF(B5&lt;&gt;"PPE→PI",0,IF(H5&gt;=0,0,IF(I5="","",MIN(I5,-H5)))))</t>
        </is>
      </c>
      <c r="C17" s="24" t="inlineStr">
        <is>
          <t>Solo en cambios PPE→PI con disminución (diferencia negativa): usa el superávit del inmueble hasta cubrir la disminución, sin pasar de lo disponible. En otros cambios o con aumento es 0; en blanco si no hay diferencia o falta el superávit que se necesita.</t>
        </is>
      </c>
      <c r="D17" s="24" t="inlineStr">
        <is>
          <t>Fila 1: IF(80.000,00=""; ""; IF(«PPE→PI»&lt;&gt;"PPE→PI"; 0; IF(80.000,00&gt;=0; 0; IF(30.000,00=""; ""; MIN(30.000,00; -80.000,00))))) → 0,00</t>
        </is>
      </c>
      <c r="E17" s="24" t="inlineStr">
        <is>
          <t>«Diferencia VR − libros» (esta hoja), «Cambio de uso» (esta hoja), «Superávit de revaluación a la fecha» (esta hoja)</t>
        </is>
      </c>
      <c r="F17" s="24" t="inlineStr">
        <is>
          <t>—</t>
        </is>
      </c>
    </row>
    <row r="18">
      <c r="A18" s="24" t="inlineStr">
        <is>
          <t>A resultados</t>
        </is>
      </c>
      <c r="B18" s="25" t="inlineStr">
        <is>
          <t>'=IF(OR(H5="",J5=""),"",IF(B5="Inventario→PI",H5,IF(B5="PPE→PI",IF(H5&gt;=0,0,H5+J5),0)))</t>
        </is>
      </c>
      <c r="C18" s="24" t="inlineStr">
        <is>
          <t>Desde inventario, toda la diferencia va a resultados. Desde PPE, un aumento no va a resultados (0) y una disminución solo por el exceso no cubierto con el superávit (diferencia + uso del superávit); en los demás cambios es 0.</t>
        </is>
      </c>
      <c r="D18" s="24" t="inlineStr">
        <is>
          <t>Fila 1: IF(OR(80.000,00=""; 0,00=""); ""; IF(«PPE→PI»="Inventario→PI"; 80.000,00; IF(«PPE→PI»="PPE→PI"; IF(80.000,00&gt;=0; 0; 80.000,00+0,00); 0))) → 0,00</t>
        </is>
      </c>
      <c r="E18" s="24" t="inlineStr">
        <is>
          <t>«Diferencia VR − libros» (esta hoja), «Uso del superávit (disminución)» (esta hoja), «Cambio de uso» (esta hoja)</t>
        </is>
      </c>
      <c r="F18" s="24" t="inlineStr">
        <is>
          <t>—</t>
        </is>
      </c>
    </row>
    <row r="19">
      <c r="A19" s="24" t="inlineStr">
        <is>
          <t>A otro resultado integral</t>
        </is>
      </c>
      <c r="B19" s="25" t="inlineStr">
        <is>
          <t>'=IF(OR(H5="",J5=""),"",IF(B5="PPE→PI",IF(H5&gt;=0,H5,-J5),0))</t>
        </is>
      </c>
      <c r="C19" s="24" t="inlineStr">
        <is>
          <t>Solo en cambios PPE→PI: el aumento va completo a otro resultado integral y, si es disminución, registra con signo negativo el superávit usado. En otros cambios es 0; en blanco si falta la diferencia o el uso del superávit.</t>
        </is>
      </c>
      <c r="D19" s="24" t="inlineStr">
        <is>
          <t>Fila 1: IF(OR(80.000,00=""; 0,00=""); ""; IF(«PPE→PI»="PPE→PI"; IF(80.000,00&gt;=0; 80.000,00; -0,00); 0)) → 80.000,00</t>
        </is>
      </c>
      <c r="E19" s="24" t="inlineStr">
        <is>
          <t>«Diferencia VR − libros» (esta hoja), «Uso del superávit (disminución)» (esta hoja), «Cambio de uso» (esta hoja)</t>
        </is>
      </c>
      <c r="F19" s="24" t="inlineStr">
        <is>
          <t>—</t>
        </is>
      </c>
    </row>
    <row r="20">
      <c r="A20" s="24" t="inlineStr">
        <is>
          <t>Tratamiento</t>
        </is>
      </c>
      <c r="B20" s="25" t="inlineStr">
        <is>
          <t>'=IF('02_Parametros'!$B$8="Sí","PYMES 16.9: transferir solo cuando cumple o deja de cumplir la definición de PI; la sección 16 no regula la medición de la diferencia (juicio, sección 10)",IF('02_Parametros'!$B$11&lt;&gt;"valor_razonable","Modelo del costo: sin cambio del importe en libros (NIC 40.59)",IF(B5="PPE→PI","Revaluación NIC 16: el aumento a otro resultado integral (superávit de revaluación) y la disminución contra el superávit de ese inmueble, el exceso a resultados (NIC 40.61-62)",IF(B5="Inventario→PI","Diferencia a resultados (NIC 40.63)",IF(OR(B5="PI→PPE",B5="PI→Inventario"),"Costo atribuido = VR a la fecha del cambio (NIC 40.60)","Transferencia no reconocida")))))</t>
        </is>
      </c>
      <c r="C20" s="24" t="inlineStr">
        <is>
          <t>Escribe el tratamiento contable que corresponde: en PYMES, la regla de transferencias de la sección 16; con modelo del costo, sin cambio del importe en libros; y con valor razonable, según el sentido del cambio (desde PPE, desde inventario o al salir de propiedades de inversión).</t>
        </is>
      </c>
      <c r="D20" s="24" t="inlineStr">
        <is>
          <t>Fila 1: IF(«No»="Sí"; "PYMES 16.9: transferir solo cuando cumple o deja de cumplir la definición de PI; la sección 16 no regula la medición de la diferencia (juicio, sección 10)"; IF(«valor_razonable»&lt;&gt;"valor_razonable"; "Modelo del costo: sin cambio del importe en libros (NIC 40.59)"; IF(«PPE→PI»="PPE→PI"; "Revaluación NIC 16: el aumento a otro resultado integral (superávit de revaluación) y la disminución contra el superávit de ese inmueble, el exceso a resultados (NIC 40.61-62)"; IF(«PPE→PI»="Inventario→PI"; "Diferencia a resultados (NIC 40.63)"; IF(OR(«PPE→PI»="PI→PPE"; «PPE→PI»="PI→Inventario"); "Costo atribuido = VR a la fecha del cambio (NIC 40.60)"; "Transferencia no reconocida"))))) → Revaluación NIC 16: el aumento a otro resultado integral (superávit de revaluación) y la disminución contra el superávit de ese inmueble, el exceso a resultados (NIC 40.61-62)</t>
        </is>
      </c>
      <c r="E20" s="24" t="inlineStr">
        <is>
          <t>«Cambio de uso» (esta hoja), hoja «Parámetros y ruta por marco»</t>
        </is>
      </c>
      <c r="F20" s="24" t="inlineStr">
        <is>
          <t>—</t>
        </is>
      </c>
    </row>
    <row r="21">
      <c r="A21" s="24" t="inlineStr">
        <is>
          <t>Estado</t>
        </is>
      </c>
      <c r="B21" s="25" t="inlineStr">
        <is>
          <t>'=IF(AND(B5&lt;&gt;"PPE→PI",B5&lt;&gt;"Inventario→PI",B5&lt;&gt;"PI→PPE",B5&lt;&gt;"PI→Inventario"),"Transferencia no reconocida",IF(C5="","Sin tratamiento: falta la fecha del cambio",IF(AND('02_Parametros'!$B$8="No",'02_Parametros'!$B$11="valor_razonable",OR(F5="",G5="")),"Sin tratamiento: falta importe en libros o VR a la fecha",IF(AND(B5="PPE→PI",H5&lt;&gt;"",H5&lt;0,I5=""),"Sin tratamiento: falta el superávit de revaluación a la fecha",IF(OR(AND(RIGHT(B5,2)="PI",'04_Clasificacion'!H12="No"),AND(LEFT(B5,2)="PI",'04_Clasificacion'!H12="Sí")),"Incoherente con la clasificación actual","Completa")))))</t>
        </is>
      </c>
      <c r="C21" s="24" t="inlineStr">
        <is>
          <t>Revisa si la transferencia se puede tratar: señala si el tipo de cambio no se reconoce, si falta la fecha, los importes a la fecha o el superávit necesario, o si es incoherente con la clasificación actual de la hoja 04; si todo cuadra, indica «Completa».</t>
        </is>
      </c>
      <c r="D21" s="24" t="inlineStr">
        <is>
          <t>Fila 1: IF(AND(«PPE→PI»&lt;&gt;"PPE→PI"; «PPE→PI»&lt;&gt;"Inventario→PI"; «PPE→PI»&lt;&gt;"PI→PPE"; «PPE→PI»&lt;&gt;"PI→Inventario"); "Transferencia no reconocida"; IF(«2025-09-30»=""; "Sin tratamiento: falta la fecha del cambio"; IF(AND(«No»="No"; «valor_razonable»="valor_razonable"; OR(125.000,00=""; 205.000,00="")); "Sin tratamiento: falta importe en libros o VR a la fecha"; IF(AND(«PPE→PI»="PPE→PI"; 80.000,00&lt;&gt;""; 80.000,00&lt;0; 30.000,00=""); "Sin tratamiento: falta el superávit de revaluación a la fecha"; IF(OR(AND(RIGHT(«PPE→PI»; 2)="PI"; «Sí»="No"); AND(LEFT(«PPE→PI»; 2)="PI"; «Sí»="Sí")); "Incoherente con la clasificación actual"; "Completa"))))) → Completa</t>
        </is>
      </c>
      <c r="E21" s="24" t="inlineStr">
        <is>
          <t>«Cambio de uso» (esta hoja), «Fecha del cambio» (esta hoja), «Libros a la fecha» (esta hoja), «VR a la fecha» (esta hoja), «Diferencia VR − libros» (esta hoja), «Superávit de revaluación a la fecha» (esta hoja), hoja «Parámetros y ruta por marco», hoja «Clasificación»</t>
        </is>
      </c>
      <c r="F21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42" customWidth="1" min="4" max="4"/>
    <col width="42" customWidth="1" min="5" max="5"/>
    <col width="27" customWidth="1" min="6" max="6"/>
    <col width="13" customWidth="1" min="7" max="7"/>
    <col width="60" customWidth="1" min="8" max="8"/>
  </cols>
  <sheetData>
    <row r="1">
      <c r="A1" s="3" t="inlineStr">
        <is>
          <t>Historial del superávit de revaluación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Cambio de uso</t>
        </is>
      </c>
      <c r="C4" s="17" t="inlineStr">
        <is>
          <t>Fecha del cambio</t>
        </is>
      </c>
      <c r="D4" s="17" t="inlineStr">
        <is>
          <t>Saldo inicial en otro resultado integral</t>
        </is>
      </c>
      <c r="E4" s="17" t="inlineStr">
        <is>
          <t>Movimiento de la transferencia (aumento)</t>
        </is>
      </c>
      <c r="F4" s="17" t="inlineStr">
        <is>
          <t>Uso contra la disminución</t>
        </is>
      </c>
      <c r="G4" s="17" t="inlineStr">
        <is>
          <t>Saldo final</t>
        </is>
      </c>
      <c r="H4" s="17" t="inlineStr">
        <is>
          <t>Destino</t>
        </is>
      </c>
    </row>
    <row r="5">
      <c r="A5" s="18" t="inlineStr">
        <is>
          <t>IP-08</t>
        </is>
      </c>
      <c r="B5" s="18">
        <f>'09_Transferencias'!B5</f>
        <v/>
      </c>
      <c r="C5" s="30" t="n">
        <v>45930</v>
      </c>
      <c r="D5" s="20">
        <f>IF('03_Inmuebles'!X12="","",'03_Inmuebles'!X12)</f>
        <v/>
      </c>
      <c r="E5" s="20">
        <f>IF(AND('02_Parametros'!$B$8="No",'02_Parametros'!$B$11&lt;&gt;"valor_razonable"),0,IF('09_Transferencias'!L5="","",MAX(0,'09_Transferencias'!L5)))</f>
        <v/>
      </c>
      <c r="F5" s="20">
        <f>IF(AND('02_Parametros'!$B$8="No",'02_Parametros'!$B$11&lt;&gt;"valor_razonable"),0,IF('09_Transferencias'!J5="","",'09_Transferencias'!J5))</f>
        <v/>
      </c>
      <c r="G5" s="20">
        <f>IF(OR(D5="",E5="",F5=""),"",D5+E5-F5)</f>
        <v/>
      </c>
      <c r="H5" s="18">
        <f>IF(G5="","",IF(G5&gt;0.005,"Permanece en patrimonio: transferible a resultados acumulados, nunca a resultados del ejercicio (NIC 40.62 b ii y NIC 16.41)","Sin saldo de superávit al cierre"))</f>
        <v/>
      </c>
    </row>
    <row r="6">
      <c r="A6" s="34" t="inlineStr">
        <is>
          <t>TOTAL</t>
        </is>
      </c>
      <c r="B6" s="34" t="inlineStr"/>
      <c r="C6" s="36" t="n"/>
      <c r="D6" s="35">
        <f>SUM(D5:D5)</f>
        <v/>
      </c>
      <c r="E6" s="35">
        <f>SUM(E5:E5)</f>
        <v/>
      </c>
      <c r="F6" s="35">
        <f>SUM(F5:F5)</f>
        <v/>
      </c>
      <c r="G6" s="35">
        <f>SUM(G5:G5)</f>
        <v/>
      </c>
      <c r="H6" s="34" t="inlineStr"/>
    </row>
    <row r="8">
      <c r="A8" s="22" t="inlineStr">
        <is>
          <t>ⓘ  Cómo se calcula esta hoja</t>
        </is>
      </c>
    </row>
    <row r="9">
      <c r="A9" s="23" t="inlineStr">
        <is>
          <t>Columna</t>
        </is>
      </c>
      <c r="B9" s="23" t="inlineStr">
        <is>
          <t>Fórmula (Excel)</t>
        </is>
      </c>
      <c r="C9" s="23" t="inlineStr">
        <is>
          <t>Cómo se calcula (sencillo)</t>
        </is>
      </c>
      <c r="D9" s="23" t="inlineStr">
        <is>
          <t>Ejemplo con números reales</t>
        </is>
      </c>
      <c r="E9" s="23" t="inlineStr">
        <is>
          <t>De dónde viene</t>
        </is>
      </c>
      <c r="F9" s="23" t="inlineStr">
        <is>
          <t>Norma</t>
        </is>
      </c>
    </row>
    <row r="10">
      <c r="A10" s="24" t="inlineStr">
        <is>
          <t>Cambio de uso</t>
        </is>
      </c>
      <c r="B10" s="25" t="inlineStr">
        <is>
          <t>'='09_Transferencias'!B5</t>
        </is>
      </c>
      <c r="C10" s="24" t="inlineStr">
        <is>
          <t>Trae de la hoja 09 (Transferencias) el cambio de uso de este inmueble, para seguir su superávit de revaluación.</t>
        </is>
      </c>
      <c r="D10" s="24" t="inlineStr">
        <is>
          <t>Fila 1: «PPE→PI» → PPE→PI</t>
        </is>
      </c>
      <c r="E10" s="24" t="inlineStr">
        <is>
          <t>hoja «Transferencias»</t>
        </is>
      </c>
      <c r="F10" s="24" t="inlineStr">
        <is>
          <t>—</t>
        </is>
      </c>
    </row>
    <row r="11">
      <c r="A11" s="24" t="inlineStr">
        <is>
          <t>Saldo inicial en otro resultado integral</t>
        </is>
      </c>
      <c r="B11" s="25" t="inlineStr">
        <is>
          <t>'=IF('03_Inmuebles'!X12="","",'03_Inmuebles'!X12)</t>
        </is>
      </c>
      <c r="C11" s="24" t="inlineStr">
        <is>
          <t>Trae de la hoja 03 (Registro de inmuebles) el superávit de revaluación acumulado del inmueble a la fecha del cambio; en blanco si no se informó.</t>
        </is>
      </c>
      <c r="D11" s="24" t="inlineStr">
        <is>
          <t>Fila 1: IF(30.000,00=""; ""; 30.000,00) → 30.000,00</t>
        </is>
      </c>
      <c r="E11" s="24" t="inlineStr">
        <is>
          <t>hoja «Registro de inmuebles»</t>
        </is>
      </c>
      <c r="F11" s="24" t="inlineStr">
        <is>
          <t>—</t>
        </is>
      </c>
    </row>
    <row r="12">
      <c r="A12" s="24" t="inlineStr">
        <is>
          <t>Movimiento de la transferencia (aumento)</t>
        </is>
      </c>
      <c r="B12" s="25" t="inlineStr">
        <is>
          <t>'=IF(AND('02_Parametros'!$B$8="No",'02_Parametros'!$B$11&lt;&gt;"valor_razonable"),0,IF('09_Transferencias'!L5="","",MAX(0,'09_Transferencias'!L5)))</t>
        </is>
      </c>
      <c r="C12" s="24" t="inlineStr">
        <is>
          <t>Toma lo que la hoja 09 (Transferencias) envió a otro resultado integral, solo si es positivo (un aumento). En NIIF completas con modelo del costo, o si no hubo transferencia, es 0.</t>
        </is>
      </c>
      <c r="D12" s="24" t="inlineStr">
        <is>
          <t>Fila 1: IF(AND(«No»="No"; «valor_razonable»&lt;&gt;"valor_razonable"); 0; IF(80.000,00=""; ""; MAX(0; 80.000,00))) → 80.000,00</t>
        </is>
      </c>
      <c r="E12" s="24" t="inlineStr">
        <is>
          <t>hoja «Parámetros y ruta por marco», hoja «Transferencias»</t>
        </is>
      </c>
      <c r="F12" s="24" t="inlineStr">
        <is>
          <t>—</t>
        </is>
      </c>
    </row>
    <row r="13">
      <c r="A13" s="24" t="inlineStr">
        <is>
          <t>Uso contra la disminución</t>
        </is>
      </c>
      <c r="B13" s="25" t="inlineStr">
        <is>
          <t>'=IF(AND('02_Parametros'!$B$8="No",'02_Parametros'!$B$11&lt;&gt;"valor_razonable"),0,IF('09_Transferencias'!J5="","",'09_Transferencias'!J5))</t>
        </is>
      </c>
      <c r="C13" s="24" t="inlineStr">
        <is>
          <t>Trae de la hoja 09 (Transferencias) el superávit usado para absorber una disminución. En NIIF completas con modelo del costo, o si no hubo transferencia, es 0.</t>
        </is>
      </c>
      <c r="D13" s="24" t="inlineStr">
        <is>
          <t>Fila 1: IF(AND(«No»="No"; «valor_razonable»&lt;&gt;"valor_razonable"); 0; IF(0,00=""; ""; 0,00)) → 0,00</t>
        </is>
      </c>
      <c r="E13" s="24" t="inlineStr">
        <is>
          <t>hoja «Parámetros y ruta por marco», hoja «Transferencias»</t>
        </is>
      </c>
      <c r="F13" s="24" t="inlineStr">
        <is>
          <t>—</t>
        </is>
      </c>
    </row>
    <row r="14">
      <c r="A14" s="24" t="inlineStr">
        <is>
          <t>Saldo final</t>
        </is>
      </c>
      <c r="B14" s="25" t="inlineStr">
        <is>
          <t>'=IF(OR(D5="",E5="",F5=""),"",D5+E5-F5)</t>
        </is>
      </c>
      <c r="C14" s="24" t="inlineStr">
        <is>
          <t>Saldo inicial más el aumento menos el uso contra disminuciones: es el superávit que queda en patrimonio al cierre. En blanco si falta alguno de los tres datos.</t>
        </is>
      </c>
      <c r="D14" s="24" t="inlineStr">
        <is>
          <t>Fila 1: IF(OR(30.000,00=""; 80.000,00=""; 0,00=""); ""; 30.000,00+80.000,00-0,00) → 110.000,00</t>
        </is>
      </c>
      <c r="E14" s="24" t="inlineStr">
        <is>
          <t>«Saldo inicial en otro resultado integral» (esta hoja), «Movimiento de la transferencia (aumento)» (esta hoja), «Uso contra la disminución» (esta hoja)</t>
        </is>
      </c>
      <c r="F14" s="24" t="inlineStr">
        <is>
          <t>—</t>
        </is>
      </c>
    </row>
    <row r="15">
      <c r="A15" s="24" t="inlineStr">
        <is>
          <t>Destino</t>
        </is>
      </c>
      <c r="B15" s="25" t="inlineStr">
        <is>
          <t>'=IF(G5="","",IF(G5&gt;0.005,"Permanece en patrimonio: transferible a resultados acumulados, nunca a resultados del ejercicio (NIC 40.62 b ii y NIC 16.41)","Sin saldo de superávit al cierre"))</t>
        </is>
      </c>
      <c r="C15" s="24" t="inlineStr">
        <is>
          <t>Si queda saldo de superávit al cierre, recuerda que permanece en patrimonio y solo puede pasar a resultados acumulados, nunca al resultado del ejercicio; si no queda saldo, lo indica.</t>
        </is>
      </c>
      <c r="D15" s="24" t="inlineStr">
        <is>
          <t>Fila 1: IF(110.000,00=""; ""; IF(110.000,00&gt;0.005; "Permanece en patrimonio: transferible a resultados acumulados, nunca a resultados del ejercicio (NIC 40.62 b ii y NIC 16.41)"; "Sin saldo de superávit al cierre")) → Permanece en patrimonio: transferible a resultados acumulados, nunca a resultados del ejercicio (NIC 40.62 b ii y NIC 16.41)</t>
        </is>
      </c>
      <c r="E15" s="24" t="inlineStr">
        <is>
          <t>«Saldo final» (esta hoja)</t>
        </is>
      </c>
      <c r="F15" s="24" t="inlineStr">
        <is>
          <t>—</t>
        </is>
      </c>
    </row>
  </sheetData>
  <mergeCells count="3">
    <mergeCell ref="A8:F8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2" customWidth="1" min="4" max="4"/>
    <col width="12" customWidth="1" min="5" max="5"/>
  </cols>
  <sheetData>
    <row r="1">
      <c r="A1" s="3" t="inlineStr">
        <is>
          <t>Ingresos por alquiler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Uso actual</t>
        </is>
      </c>
      <c r="C4" s="17" t="inlineStr">
        <is>
          <t>Ingresos según contratos</t>
        </is>
      </c>
      <c r="D4" s="17" t="inlineStr">
        <is>
          <t>Ingresos registrados</t>
        </is>
      </c>
      <c r="E4" s="17" t="inlineStr">
        <is>
          <t>Diferencia</t>
        </is>
      </c>
    </row>
    <row r="5">
      <c r="A5" s="18" t="inlineStr">
        <is>
          <t>IP-01</t>
        </is>
      </c>
      <c r="B5" s="18">
        <f>'03_Inmuebles'!C5</f>
        <v/>
      </c>
      <c r="C5" s="20">
        <f>IF('03_Inmuebles'!R5="","",'03_Inmuebles'!R5)</f>
        <v/>
      </c>
      <c r="D5" s="20">
        <f>IF('03_Inmuebles'!S5="","",'03_Inmuebles'!S5)</f>
        <v/>
      </c>
      <c r="E5" s="20">
        <f>IF(OR(C5="",D5=""),"",C5-D5)</f>
        <v/>
      </c>
    </row>
    <row r="6">
      <c r="A6" s="19" t="inlineStr">
        <is>
          <t>IP-02</t>
        </is>
      </c>
      <c r="B6" s="19">
        <f>'03_Inmuebles'!C6</f>
        <v/>
      </c>
      <c r="C6" s="21">
        <f>IF('03_Inmuebles'!R6="","",'03_Inmuebles'!R6)</f>
        <v/>
      </c>
      <c r="D6" s="21">
        <f>IF('03_Inmuebles'!S6="","",'03_Inmuebles'!S6)</f>
        <v/>
      </c>
      <c r="E6" s="21">
        <f>IF(OR(C6="",D6=""),"",C6-D6)</f>
        <v/>
      </c>
    </row>
    <row r="7">
      <c r="A7" s="18" t="inlineStr">
        <is>
          <t>IP-03</t>
        </is>
      </c>
      <c r="B7" s="18">
        <f>'03_Inmuebles'!C7</f>
        <v/>
      </c>
      <c r="C7" s="20">
        <f>IF('03_Inmuebles'!R7="","",'03_Inmuebles'!R7)</f>
        <v/>
      </c>
      <c r="D7" s="20">
        <f>IF('03_Inmuebles'!S7="","",'03_Inmuebles'!S7)</f>
        <v/>
      </c>
      <c r="E7" s="20">
        <f>IF(OR(C7="",D7=""),"",C7-D7)</f>
        <v/>
      </c>
    </row>
    <row r="8">
      <c r="A8" s="19" t="inlineStr">
        <is>
          <t>IP-04</t>
        </is>
      </c>
      <c r="B8" s="19">
        <f>'03_Inmuebles'!C8</f>
        <v/>
      </c>
      <c r="C8" s="21">
        <f>IF('03_Inmuebles'!R8="","",'03_Inmuebles'!R8)</f>
        <v/>
      </c>
      <c r="D8" s="21">
        <f>IF('03_Inmuebles'!S8="","",'03_Inmuebles'!S8)</f>
        <v/>
      </c>
      <c r="E8" s="21">
        <f>IF(OR(C8="",D8=""),"",C8-D8)</f>
        <v/>
      </c>
    </row>
    <row r="9">
      <c r="A9" s="18" t="inlineStr">
        <is>
          <t>IP-05</t>
        </is>
      </c>
      <c r="B9" s="18">
        <f>'03_Inmuebles'!C9</f>
        <v/>
      </c>
      <c r="C9" s="20">
        <f>IF('03_Inmuebles'!R9="","",'03_Inmuebles'!R9)</f>
        <v/>
      </c>
      <c r="D9" s="20">
        <f>IF('03_Inmuebles'!S9="","",'03_Inmuebles'!S9)</f>
        <v/>
      </c>
      <c r="E9" s="20">
        <f>IF(OR(C9="",D9=""),"",C9-D9)</f>
        <v/>
      </c>
    </row>
    <row r="10">
      <c r="A10" s="19" t="inlineStr">
        <is>
          <t>IP-06</t>
        </is>
      </c>
      <c r="B10" s="19">
        <f>'03_Inmuebles'!C10</f>
        <v/>
      </c>
      <c r="C10" s="21">
        <f>IF('03_Inmuebles'!R10="","",'03_Inmuebles'!R10)</f>
        <v/>
      </c>
      <c r="D10" s="21">
        <f>IF('03_Inmuebles'!S10="","",'03_Inmuebles'!S10)</f>
        <v/>
      </c>
      <c r="E10" s="21">
        <f>IF(OR(C10="",D10=""),"",C10-D10)</f>
        <v/>
      </c>
    </row>
    <row r="11">
      <c r="A11" s="18" t="inlineStr">
        <is>
          <t>IP-07</t>
        </is>
      </c>
      <c r="B11" s="18">
        <f>'03_Inmuebles'!C11</f>
        <v/>
      </c>
      <c r="C11" s="20">
        <f>IF('03_Inmuebles'!R11="","",'03_Inmuebles'!R11)</f>
        <v/>
      </c>
      <c r="D11" s="20">
        <f>IF('03_Inmuebles'!S11="","",'03_Inmuebles'!S11)</f>
        <v/>
      </c>
      <c r="E11" s="20">
        <f>IF(OR(C11="",D11=""),"",C11-D11)</f>
        <v/>
      </c>
    </row>
    <row r="12">
      <c r="A12" s="19" t="inlineStr">
        <is>
          <t>IP-08</t>
        </is>
      </c>
      <c r="B12" s="19">
        <f>'03_Inmuebles'!C12</f>
        <v/>
      </c>
      <c r="C12" s="21">
        <f>IF('03_Inmuebles'!R12="","",'03_Inmuebles'!R12)</f>
        <v/>
      </c>
      <c r="D12" s="21">
        <f>IF('03_Inmuebles'!S12="","",'03_Inmuebles'!S12)</f>
        <v/>
      </c>
      <c r="E12" s="21">
        <f>IF(OR(C12="",D12=""),"",C12-D12)</f>
        <v/>
      </c>
    </row>
    <row r="13">
      <c r="A13" s="18" t="inlineStr">
        <is>
          <t>IP-09</t>
        </is>
      </c>
      <c r="B13" s="18">
        <f>'03_Inmuebles'!C13</f>
        <v/>
      </c>
      <c r="C13" s="20">
        <f>IF('03_Inmuebles'!R13="","",'03_Inmuebles'!R13)</f>
        <v/>
      </c>
      <c r="D13" s="20">
        <f>IF('03_Inmuebles'!S13="","",'03_Inmuebles'!S13)</f>
        <v/>
      </c>
      <c r="E13" s="20">
        <f>IF(OR(C13="",D13=""),"",C13-D13)</f>
        <v/>
      </c>
    </row>
    <row r="14">
      <c r="A14" s="19" t="inlineStr">
        <is>
          <t>IP-10</t>
        </is>
      </c>
      <c r="B14" s="19">
        <f>'03_Inmuebles'!C14</f>
        <v/>
      </c>
      <c r="C14" s="21">
        <f>IF('03_Inmuebles'!R14="","",'03_Inmuebles'!R14)</f>
        <v/>
      </c>
      <c r="D14" s="21">
        <f>IF('03_Inmuebles'!S14="","",'03_Inmuebles'!S14)</f>
        <v/>
      </c>
      <c r="E14" s="21">
        <f>IF(OR(C14="",D14=""),"",C14-D14)</f>
        <v/>
      </c>
    </row>
    <row r="15">
      <c r="A15" s="34" t="inlineStr">
        <is>
          <t>TOTAL</t>
        </is>
      </c>
      <c r="B15" s="34" t="inlineStr"/>
      <c r="C15" s="35">
        <f>SUM(C5:C14)</f>
        <v/>
      </c>
      <c r="D15" s="35">
        <f>SUM(D5:D14)</f>
        <v/>
      </c>
      <c r="E15" s="35">
        <f>SUM(E5:E14)</f>
        <v/>
      </c>
    </row>
    <row r="17">
      <c r="A17" s="22" t="inlineStr">
        <is>
          <t>ⓘ  Cómo se calcula esta hoja</t>
        </is>
      </c>
    </row>
    <row r="18">
      <c r="A18" s="23" t="inlineStr">
        <is>
          <t>Columna</t>
        </is>
      </c>
      <c r="B18" s="23" t="inlineStr">
        <is>
          <t>Fórmula (Excel)</t>
        </is>
      </c>
      <c r="C18" s="23" t="inlineStr">
        <is>
          <t>Cómo se calcula (sencillo)</t>
        </is>
      </c>
      <c r="D18" s="23" t="inlineStr">
        <is>
          <t>Ejemplo con números reales</t>
        </is>
      </c>
      <c r="E18" s="23" t="inlineStr">
        <is>
          <t>De dónde viene</t>
        </is>
      </c>
      <c r="F18" s="23" t="inlineStr">
        <is>
          <t>Norma</t>
        </is>
      </c>
    </row>
    <row r="19">
      <c r="A19" s="24" t="inlineStr">
        <is>
          <t>Uso actual</t>
        </is>
      </c>
      <c r="B19" s="25" t="inlineStr">
        <is>
          <t>'='03_Inmuebles'!C5</t>
        </is>
      </c>
      <c r="C19" s="24" t="inlineStr">
        <is>
          <t>Trae el uso actual del inmueble de la hoja 03 (Registro de inmuebles), para ver cuáles deberían generar ingresos por alquiler.</t>
        </is>
      </c>
      <c r="D19" s="24" t="inlineStr">
        <is>
          <t>Fila 1: «Alquiler» → Alquiler</t>
        </is>
      </c>
      <c r="E19" s="24" t="inlineStr">
        <is>
          <t>hoja «Registro de inmuebles»</t>
        </is>
      </c>
      <c r="F19" s="24" t="inlineStr">
        <is>
          <t>—</t>
        </is>
      </c>
    </row>
    <row r="20">
      <c r="A20" s="24" t="inlineStr">
        <is>
          <t>Ingresos según contratos</t>
        </is>
      </c>
      <c r="B20" s="25" t="inlineStr">
        <is>
          <t>'=IF('03_Inmuebles'!R5="","",'03_Inmuebles'!R5)</t>
        </is>
      </c>
      <c r="C20" s="24" t="inlineStr">
        <is>
          <t>Trae de la hoja 03 (Registro de inmuebles) los ingresos por alquiler del año según los contratos; en blanco si no se informaron.</t>
        </is>
      </c>
      <c r="D20" s="24" t="inlineStr">
        <is>
          <t>Fila 1: IF(48.000,00=""; ""; 48.000,00) → 48.000,00</t>
        </is>
      </c>
      <c r="E20" s="24" t="inlineStr">
        <is>
          <t>hoja «Registro de inmuebles»</t>
        </is>
      </c>
      <c r="F20" s="24" t="inlineStr">
        <is>
          <t>—</t>
        </is>
      </c>
    </row>
    <row r="21">
      <c r="A21" s="24" t="inlineStr">
        <is>
          <t>Ingresos registrados</t>
        </is>
      </c>
      <c r="B21" s="25" t="inlineStr">
        <is>
          <t>'=IF('03_Inmuebles'!S5="","",'03_Inmuebles'!S5)</t>
        </is>
      </c>
      <c r="C21" s="24" t="inlineStr">
        <is>
          <t>Trae de la hoja 03 (Registro de inmuebles) los ingresos por alquiler que el cliente registró en contabilidad; en blanco si no hay dato.</t>
        </is>
      </c>
      <c r="D21" s="24" t="inlineStr">
        <is>
          <t>Fila 1: IF(48.000,00=""; ""; 48.000,00) → 48.000,00</t>
        </is>
      </c>
      <c r="E21" s="24" t="inlineStr">
        <is>
          <t>hoja «Registro de inmuebles»</t>
        </is>
      </c>
      <c r="F21" s="24" t="inlineStr">
        <is>
          <t>—</t>
        </is>
      </c>
    </row>
    <row r="22">
      <c r="A22" s="24" t="inlineStr">
        <is>
          <t>Diferencia</t>
        </is>
      </c>
      <c r="B22" s="25" t="inlineStr">
        <is>
          <t>'=IF(OR(C5="",D5=""),"",C5-D5)</t>
        </is>
      </c>
      <c r="C22" s="24" t="inlineStr">
        <is>
          <t>Resta los ingresos registrados de los ingresos según contratos; queda en blanco si falta alguno de los dos.</t>
        </is>
      </c>
      <c r="D22" s="24" t="inlineStr">
        <is>
          <t>Fila 1: IF(OR(48.000,00=""; 48.000,00=""); ""; 48.000,00-48.000,00) → 0,00</t>
        </is>
      </c>
      <c r="E22" s="24" t="inlineStr">
        <is>
          <t>«Ingresos según contratos» (esta hoja), «Ingresos registrados» (esta hoja)</t>
        </is>
      </c>
      <c r="F22" s="24" t="inlineStr">
        <is>
          <t>—</t>
        </is>
      </c>
    </row>
  </sheetData>
  <mergeCells count="3">
    <mergeCell ref="A2:F2"/>
    <mergeCell ref="A1:F1"/>
    <mergeCell ref="A17:F17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9" customWidth="1" min="5" max="5"/>
    <col width="23" customWidth="1" min="6" max="6"/>
    <col width="22" customWidth="1" min="7" max="7"/>
    <col width="12" customWidth="1" min="8" max="8"/>
  </cols>
  <sheetData>
    <row r="1">
      <c r="A1" s="3" t="inlineStr">
        <is>
          <t>Bajas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Fecha de baja</t>
        </is>
      </c>
      <c r="D4" s="17" t="inlineStr">
        <is>
          <t>Producto neto</t>
        </is>
      </c>
      <c r="E4" s="17" t="inlineStr">
        <is>
          <t>Importe en libros</t>
        </is>
      </c>
      <c r="F4" s="17" t="inlineStr">
        <is>
          <t>Resultado recalculado</t>
        </is>
      </c>
      <c r="G4" s="17" t="inlineStr">
        <is>
          <t>Resultado registrado</t>
        </is>
      </c>
      <c r="H4" s="17" t="inlineStr">
        <is>
          <t>Diferencia</t>
        </is>
      </c>
    </row>
    <row r="5">
      <c r="A5" s="18" t="inlineStr">
        <is>
          <t>B-01</t>
        </is>
      </c>
      <c r="B5" s="18" t="inlineStr">
        <is>
          <t>Local Quevedo</t>
        </is>
      </c>
      <c r="C5" s="30" t="n">
        <v>45900</v>
      </c>
      <c r="D5" s="20" t="n">
        <v>130000</v>
      </c>
      <c r="E5" s="20" t="n">
        <v>110000</v>
      </c>
      <c r="F5" s="20">
        <f>D5-E5</f>
        <v/>
      </c>
      <c r="G5" s="20" t="n">
        <v>20000</v>
      </c>
      <c r="H5" s="20">
        <f>IF(G5="","",F5-G5)</f>
        <v/>
      </c>
    </row>
    <row r="6">
      <c r="A6" s="19" t="inlineStr">
        <is>
          <t>B-02</t>
        </is>
      </c>
      <c r="B6" s="19" t="inlineStr">
        <is>
          <t>Terreno Manta</t>
        </is>
      </c>
      <c r="C6" s="33" t="n">
        <v>45991</v>
      </c>
      <c r="D6" s="21" t="n">
        <v>85000</v>
      </c>
      <c r="E6" s="21" t="n">
        <v>95000</v>
      </c>
      <c r="F6" s="21">
        <f>D6-E6</f>
        <v/>
      </c>
      <c r="G6" s="21" t="n">
        <v>0</v>
      </c>
      <c r="H6" s="21">
        <f>IF(G6="","",F6-G6)</f>
        <v/>
      </c>
    </row>
    <row r="7">
      <c r="A7" s="34" t="inlineStr">
        <is>
          <t>TOTAL</t>
        </is>
      </c>
      <c r="B7" s="34" t="inlineStr"/>
      <c r="C7" s="36" t="n"/>
      <c r="D7" s="35">
        <f>SUM(D5:D6)</f>
        <v/>
      </c>
      <c r="E7" s="35">
        <f>SUM(E5:E6)</f>
        <v/>
      </c>
      <c r="F7" s="35">
        <f>SUM(F5:F6)</f>
        <v/>
      </c>
      <c r="G7" s="35" t="n"/>
      <c r="H7" s="35">
        <f>SUM(H5:H6)</f>
        <v/>
      </c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Resultado recalculado</t>
        </is>
      </c>
      <c r="B11" s="25" t="inlineStr">
        <is>
          <t>'=D5-E5</t>
        </is>
      </c>
      <c r="C11" s="24" t="inlineStr">
        <is>
          <t>Resta el importe en libros a la fecha de baja del producto neto de la venta: ganancia (positivo) o pérdida (negativo) que debió reconocerse.</t>
        </is>
      </c>
      <c r="D11" s="24" t="inlineStr">
        <is>
          <t>Fila 1: 130.000,00-110.000,00 → 20.000,00</t>
        </is>
      </c>
      <c r="E11" s="24" t="inlineStr">
        <is>
          <t>«Producto neto» (esta hoja), «Importe en libros» (esta hoja)</t>
        </is>
      </c>
      <c r="F11" s="24" t="inlineStr">
        <is>
          <t>—</t>
        </is>
      </c>
    </row>
    <row r="12">
      <c r="A12" s="24" t="inlineStr">
        <is>
          <t>Diferencia</t>
        </is>
      </c>
      <c r="B12" s="25" t="inlineStr">
        <is>
          <t>'=IF(G5="","",F5-G5)</t>
        </is>
      </c>
      <c r="C12" s="24" t="inlineStr">
        <is>
          <t>Resta el resultado registrado por el cliente del resultado recalculado; en blanco si el cliente no informó su resultado.</t>
        </is>
      </c>
      <c r="D12" s="24" t="inlineStr">
        <is>
          <t>Fila 1: IF(20.000,00=""; ""; 20.000,00-20.000,00) → 0,00</t>
        </is>
      </c>
      <c r="E12" s="24" t="inlineStr">
        <is>
          <t>«Resultado registrado» (esta hoja), «Resultado recalculado» (esta hoja)</t>
        </is>
      </c>
      <c r="F12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3" t="inlineStr">
        <is>
          <t>Sumaria y conciliación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Saldo según el mayor</t>
        </is>
      </c>
      <c r="B5" s="20">
        <f>IF('02_Parametros'!$B$13="",SUM('03_Inmuebles'!$Q$5:$Q$14),'02_Parametros'!$B$13)</f>
        <v/>
      </c>
    </row>
    <row r="6">
      <c r="A6" s="19" t="inlineStr">
        <is>
          <t>Importe en libros según el detalle</t>
        </is>
      </c>
      <c r="B6" s="21">
        <f>SUM('03_Inmuebles'!$Q$5:$Q$14)</f>
        <v/>
      </c>
    </row>
    <row r="7">
      <c r="A7" s="18" t="inlineStr">
        <is>
          <t>Diferencia detalle − mayor</t>
        </is>
      </c>
      <c r="B7" s="20">
        <f>B6-B5</f>
        <v/>
      </c>
    </row>
    <row r="8">
      <c r="A8" s="19" t="inlineStr">
        <is>
          <t>(+) Ajuste de valor razonable no reconocido</t>
        </is>
      </c>
      <c r="B8" s="21">
        <f>SUM('06_Valor_razonable'!$H$5:$H$14)</f>
        <v/>
      </c>
    </row>
    <row r="9">
      <c r="A9" s="18" t="inlineStr">
        <is>
          <t>(+) Efecto de la medición al costo</t>
        </is>
      </c>
      <c r="B9" s="20">
        <f>SUM('08_Medicion'!$H$5:$H$14)</f>
        <v/>
      </c>
    </row>
    <row r="10">
      <c r="A10" s="19" t="inlineStr">
        <is>
          <t>(−) Reclasificación fuera de propiedades de inversión</t>
        </is>
      </c>
      <c r="B10" s="21">
        <f>SUM('04_Clasificacion'!$J$5:$J$14)</f>
        <v/>
      </c>
    </row>
    <row r="11">
      <c r="A11" s="18" t="inlineStr">
        <is>
          <t>Propiedades de inversión auditadas (puente desde el detalle)</t>
        </is>
      </c>
      <c r="B11" s="20">
        <f>B6+B8+B9+B10</f>
        <v/>
      </c>
    </row>
    <row r="12">
      <c r="A12" s="19" t="inlineStr">
        <is>
          <t>Control: medición auditada según 08</t>
        </is>
      </c>
      <c r="B12" s="21">
        <f>SUM('08_Medicion'!$E$5:$E$14)</f>
        <v/>
      </c>
    </row>
    <row r="13">
      <c r="A13" s="18" t="inlineStr">
        <is>
          <t>Diferencia de control (debe ser 0)</t>
        </is>
      </c>
      <c r="B13" s="20">
        <f>B11-B12</f>
        <v/>
      </c>
    </row>
    <row r="14">
      <c r="A14" s="19" t="inlineStr">
        <is>
          <t>Ajuste propuesto (auditado − mayor)</t>
        </is>
      </c>
      <c r="B14" s="21">
        <f>B12-B5</f>
        <v/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Importe</t>
        </is>
      </c>
      <c r="B18" s="25" t="inlineStr">
        <is>
          <t>'=IF('02_Parametros'!$B$13="",SUM('03_Inmuebles'!$Q$5:$Q$14),'02_Parametros'!$B$13)</t>
        </is>
      </c>
      <c r="C18" s="24" t="inlineStr">
        <is>
          <t>Arma el puente concepto por concepto: compara el saldo del mayor (hoja 02, o la suma del detalle si no se informó) con el importe en libros de la hoja 03, le suma los ajustes de las hojas 06, 08 y 04, controla que el puente iguale la medición auditada de la hoja 08 y calcula el ajuste propuesto (auditado − mayor).</t>
        </is>
      </c>
      <c r="D18" s="24" t="inlineStr">
        <is>
          <t>Fila 1: IF(2.785.000,00=""; SUM([«Importe en libros» de «Registro de inmuebles», 10 filas]); 2.785.000,00) → 2.785.000,00</t>
        </is>
      </c>
      <c r="E18" s="24" t="inlineStr">
        <is>
          <t>hoja «Parámetros y ruta por marco», hoja «Registro de inmuebles»</t>
        </is>
      </c>
      <c r="F18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MAL_CLASIFICADO</t>
        </is>
      </c>
      <c r="B5" s="18" t="inlineStr">
        <is>
          <t>Inmuebles que no son propiedad de inversión: IP-05 (Inventario (NIC 2)). Reclasificar 150.000,00 fuera de la cuenta y medirlos con su norma (NIC 40.9 y 40.10; si venían a VR, el costo atribuido es el VR a la fecha del cambio, 40.60).</t>
        </is>
      </c>
      <c r="C5" s="20" t="n">
        <v>-216500</v>
      </c>
    </row>
    <row r="6">
      <c r="A6" s="19" t="inlineStr">
        <is>
          <t>USO_MIXTO_SEPARADO</t>
        </is>
      </c>
      <c r="B6" s="19" t="inlineStr">
        <is>
          <t>Uso mixto separado en partes: IP-04 (35,00 % de uso propio). NIC 40.10: las partes pueden venderse por separado, así que se contabilizan por separado. La parte de uso propio se reclasifica a PPE por 66.500,00 y la de inversión se mide como propiedad de inversión. La herramienta separa a prorrata del % de uso propio: divida la fila del anexo y mida cada parte por separado.</t>
        </is>
      </c>
      <c r="C6" s="21" t="n">
        <v>-66500</v>
      </c>
    </row>
    <row r="7">
      <c r="A7" s="18" t="inlineStr">
        <is>
          <t>VR_NO_RECONOCIDO</t>
        </is>
      </c>
      <c r="B7" s="18" t="inlineStr">
        <is>
          <t>Diferencia entre el valor razonable al corte y el importe en libros no reconocida en IP-01, IP-03, IP-04, IP-06, IP-08, IP-09: 48.000,00, a resultados del ejercicio (NIC 40.35).</t>
        </is>
      </c>
      <c r="C7" s="20" t="n">
        <v>48000</v>
      </c>
    </row>
    <row r="8">
      <c r="A8" s="19" t="inlineStr">
        <is>
          <t>VR_NO_FIABLE</t>
        </is>
      </c>
      <c r="B8" s="19" t="inlineStr">
        <is>
          <t>IP-07 sin valor razonable con modelo de VR: se miden al costo. Solo procede si al adquirirlo o cambiar su uso el VR no podía medirse de forma fiable y continua (NIC 40.53); el resto sigue a VR (40.54) y se revela 78.</t>
        </is>
      </c>
      <c r="C8" s="21" t="n">
        <v>0</v>
      </c>
    </row>
    <row r="9">
      <c r="A9" s="18" t="inlineStr">
        <is>
          <t>SIN_FUENTE_VR</t>
        </is>
      </c>
      <c r="B9" s="18" t="inlineStr">
        <is>
          <t>Valor razonable sin fuente ni tasador en IP-09: documente la tasación (NIC 40.32 y 75 e; NIIF 13) y evalúe el trabajo del experto (NIA 500.8; NIA 620 si el experto es del auditor).</t>
        </is>
      </c>
      <c r="C9" s="20" t="n">
        <v>0</v>
      </c>
    </row>
    <row r="10">
      <c r="A10" s="19" t="inlineStr">
        <is>
          <t>SIN_NIVEL_VR</t>
        </is>
      </c>
      <c r="B10" s="19" t="inlineStr">
        <is>
          <t>Falta el nivel de la jerarquía del VR en IP-09 (NIIF 13.72 y 93 b).</t>
        </is>
      </c>
      <c r="C10" s="21" t="n">
        <v>0</v>
      </c>
    </row>
    <row r="11">
      <c r="A11" s="18" t="inlineStr">
        <is>
          <t>COSTO_INICIAL</t>
        </is>
      </c>
      <c r="B11" s="18" t="inlineStr">
        <is>
          <t>El costo registrado no es precio de compra + desembolsos directamente atribuibles en IP-06: 12.000,00 (NIC 40.20-21).</t>
        </is>
      </c>
      <c r="C11" s="20" t="n">
        <v>12000</v>
      </c>
    </row>
    <row r="12">
      <c r="A12" s="19" t="inlineStr">
        <is>
          <t>DEP_DIFERENCIA</t>
        </is>
      </c>
      <c r="B12" s="19" t="inlineStr">
        <is>
          <t>La depreciación acumulada recalculada difiere de la registrada en IP-07: 3.000,00 (NIC 40.56 → NIC 16).</t>
        </is>
      </c>
      <c r="C12" s="21" t="n">
        <v>3000</v>
      </c>
    </row>
    <row r="13">
      <c r="A13" s="18" t="inlineStr">
        <is>
          <t>DETERIORO</t>
        </is>
      </c>
      <c r="B13" s="18" t="inlineStr">
        <is>
          <t>Modelo del costo: el importe recuperable es menor que el valor neto en IP-07: deterioro 22.000,00 (NIC 36.9 y 59).</t>
        </is>
      </c>
      <c r="C13" s="20" t="n">
        <v>22000</v>
      </c>
    </row>
    <row r="14">
      <c r="A14" s="19" t="inlineStr">
        <is>
          <t>ALQUILER_NO_CONCILIADO</t>
        </is>
      </c>
      <c r="B14" s="19" t="inlineStr">
        <is>
          <t>Ingresos por alquiler según contratos distintos de los registrados en IP-03, IP-06: 8.000,00 (NIIF 16.81 y NIC 40.75 f).</t>
        </is>
      </c>
      <c r="C14" s="21" t="n">
        <v>8000</v>
      </c>
    </row>
    <row r="15">
      <c r="A15" s="18" t="inlineStr">
        <is>
          <t>ALQUILER_SIN_CONTRATO</t>
        </is>
      </c>
      <c r="B15" s="18" t="inlineStr">
        <is>
          <t>Inmuebles en alquiler sin ingresos según contrato en IP-09: no se concilian las rentas.</t>
        </is>
      </c>
      <c r="C15" s="20" t="n">
        <v>0</v>
      </c>
    </row>
    <row r="16">
      <c r="A16" s="19" t="inlineStr">
        <is>
          <t>TRANSFERENCIA_SIN_TRATAMIENTO</t>
        </is>
      </c>
      <c r="B16" s="19" t="inlineStr">
        <is>
          <t>Cambios de uso sin tratamiento completo: IP-09 (Sin tratamiento: falta importe en libros o VR a la fecha) (NIC 40.57-65).</t>
        </is>
      </c>
      <c r="C16" s="21" t="n">
        <v>0</v>
      </c>
    </row>
    <row r="17">
      <c r="A17" s="18" t="inlineStr">
        <is>
          <t>TRANSFERENCIA</t>
        </is>
      </c>
      <c r="B17" s="18" t="inlineStr">
        <is>
          <t>Diferencias a la fecha del cambio de uso: a resultados 0,00, a otro resultado integral (superávit de revaluación) 80.000,00. Verifique que se registraron así (NIC 40.61-63).</t>
        </is>
      </c>
      <c r="C17" s="20" t="n">
        <v>80000</v>
      </c>
    </row>
    <row r="18">
      <c r="A18" s="19" t="inlineStr">
        <is>
          <t>SUPERAVIT_AUMENTO</t>
        </is>
      </c>
      <c r="B18" s="19" t="inlineStr">
        <is>
          <t>Aumento del importe en libros al transferir de propiedad ocupada por el dueño a propiedad de inversión en IP-08: 80.000,00 se reconoce en otro resultado integral e incrementa el superávit de revaluación, no en resultados (NIC 40.61-62 b ii y NIC 16.39). Revise el auxiliar de deterioros de esos inmuebles: la parte del aumento que revierta una pérdida por deterioro reconocida antes en resultados sí va a resultados (NIC 40.62 b i) y la herramienta no la separa.</t>
        </is>
      </c>
      <c r="C18" s="21" t="n">
        <v>80000</v>
      </c>
    </row>
    <row r="19">
      <c r="A19" s="18" t="inlineStr">
        <is>
          <t>SUPERAVIT_EN_PATRIMONIO</t>
        </is>
      </c>
      <c r="B19" s="18" t="inlineStr">
        <is>
          <t>Superávit de revaluación de propiedades transferidas al cierre: 110.000,00. Permanece en patrimonio y solo puede transferirse directamente a resultados acumulados (al dar de baja el inmueble o a medida que se usa); esa transferencia nunca pasa por el resultado del ejercicio (NIC 40.62 b ii y NIC 16.41). Revise el estado de cambios en el patrimonio.</t>
        </is>
      </c>
      <c r="C19" s="20" t="n">
        <v>110000</v>
      </c>
    </row>
    <row r="20">
      <c r="A20" s="19" t="inlineStr">
        <is>
          <t>BAJA_RESULTADO</t>
        </is>
      </c>
      <c r="B20" s="19" t="inlineStr">
        <is>
          <t>Resultado de la baja mal determinado en B-02: -10.000,00; resultado = producto neto − importe en libros (NIC 40.69).</t>
        </is>
      </c>
      <c r="C20" s="21" t="n">
        <v>-10000</v>
      </c>
    </row>
    <row r="21">
      <c r="A21" s="18" t="inlineStr">
        <is>
          <t>DETALLE_MAYOR</t>
        </is>
      </c>
      <c r="B21" s="18" t="inlineStr">
        <is>
          <t>El detalle de inmuebles (2.780.000,00) no concilia con el mayor (2.785.000,00): -5.000,00.</t>
        </is>
      </c>
      <c r="C21" s="20" t="n">
        <v>-5000</v>
      </c>
    </row>
    <row r="22">
      <c r="A22" s="19" t="inlineStr">
        <is>
          <t>AJUSTE</t>
        </is>
      </c>
      <c r="B22" s="19" t="inlineStr">
        <is>
          <t>Las propiedades de inversión auditadas (2.586.500,00) difieren del mayor (2.785.000,00).</t>
        </is>
      </c>
      <c r="C22" s="21" t="n">
        <v>-198500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Propiedades de inversión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2026-09-24T04:19:34Z</dcterms:created>
  <dcterms:modified xmlns:dcterms="http://purl.org/dc/terms/" xmlns:xsi="http://www.w3.org/2001/XMLSchema-instance" xsi:type="dcterms:W3CDTF">2026-09-24T04:19:34Z</dcterms:modified>
</cp:coreProperties>
</file>