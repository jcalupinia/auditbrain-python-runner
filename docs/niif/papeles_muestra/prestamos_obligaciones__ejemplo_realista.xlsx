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icio" sheetId="1" state="visible" r:id="rId1"/>
    <sheet xmlns:r="http://schemas.openxmlformats.org/officeDocument/2006/relationships" name="00_Caratula" sheetId="2" state="visible" r:id="rId2"/>
    <sheet xmlns:r="http://schemas.openxmlformats.org/officeDocument/2006/relationships" name="00_Programa" sheetId="3" state="visible" r:id="rId3"/>
    <sheet xmlns:r="http://schemas.openxmlformats.org/officeDocument/2006/relationships" name="00_Fuentes" sheetId="4" state="visible" r:id="rId4"/>
    <sheet xmlns:r="http://schemas.openxmlformats.org/officeDocument/2006/relationships" name="01_Resumen" sheetId="5" state="visible" r:id="rId5"/>
    <sheet xmlns:r="http://schemas.openxmlformats.org/officeDocument/2006/relationships" name="02_Parametros" sheetId="6" state="visible" r:id="rId6"/>
    <sheet xmlns:r="http://schemas.openxmlformats.org/officeDocument/2006/relationships" name="03_Prestamos" sheetId="7" state="visible" r:id="rId7"/>
    <sheet xmlns:r="http://schemas.openxmlformats.org/officeDocument/2006/relationships" name="04_Condiciones_TIE" sheetId="8" state="visible" r:id="rId8"/>
    <sheet xmlns:r="http://schemas.openxmlformats.org/officeDocument/2006/relationships" name="05_Tabla_amortizacion" sheetId="9" state="visible" r:id="rId9"/>
    <sheet xmlns:r="http://schemas.openxmlformats.org/officeDocument/2006/relationships" name="06_Costo_amortizado" sheetId="10" state="visible" r:id="rId10"/>
    <sheet xmlns:r="http://schemas.openxmlformats.org/officeDocument/2006/relationships" name="07_Comisiones" sheetId="11" state="visible" r:id="rId11"/>
    <sheet xmlns:r="http://schemas.openxmlformats.org/officeDocument/2006/relationships" name="08_Intereses" sheetId="12" state="visible" r:id="rId12"/>
    <sheet xmlns:r="http://schemas.openxmlformats.org/officeDocument/2006/relationships" name="09_Confirmacion" sheetId="13" state="visible" r:id="rId13"/>
    <sheet xmlns:r="http://schemas.openxmlformats.org/officeDocument/2006/relationships" name="10_Covenants" sheetId="14" state="visible" r:id="rId14"/>
    <sheet xmlns:r="http://schemas.openxmlformats.org/officeDocument/2006/relationships" name="11_Clasificacion" sheetId="15" state="visible" r:id="rId15"/>
    <sheet xmlns:r="http://schemas.openxmlformats.org/officeDocument/2006/relationships" name="12_Endeudamiento" sheetId="16" state="visible" r:id="rId16"/>
    <sheet xmlns:r="http://schemas.openxmlformats.org/officeDocument/2006/relationships" name="13_Conciliacion" sheetId="17" state="visible" r:id="rId17"/>
    <sheet xmlns:r="http://schemas.openxmlformats.org/officeDocument/2006/relationships" name="14_Flujos_modificacion" sheetId="18" state="visible" r:id="rId18"/>
    <sheet xmlns:r="http://schemas.openxmlformats.org/officeDocument/2006/relationships" name="15_Prueba_10pct" sheetId="19" state="visible" r:id="rId19"/>
    <sheet xmlns:r="http://schemas.openxmlformats.org/officeDocument/2006/relationships" name="16_Problemas" sheetId="20" state="visible" r:id="rId20"/>
    <sheet xmlns:r="http://schemas.openxmlformats.org/officeDocument/2006/relationships" name="13_Conclusion" sheetId="21" state="visible" r:id="rId21"/>
    <sheet xmlns:r="http://schemas.openxmlformats.org/officeDocument/2006/relationships" name="14_Control_Revision" sheetId="22" state="visible" r:id="rId22"/>
  </sheets>
  <definedNames>
    <definedName name="_xlnm.Print_Area" localSheetId="0">'00_Inicio'!$A$1:$L$68</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4">
    <font>
      <name val="Calibri"/>
      <family val="2"/>
      <color theme="1"/>
      <sz val="11"/>
      <scheme val="minor"/>
    </font>
    <font>
      <name val="Montserrat"/>
      <b val="1"/>
      <color rgb="00FFFFFF"/>
      <sz val="16"/>
    </font>
    <font>
      <name val="Montserrat"/>
      <b val="1"/>
      <color rgb="000A2342"/>
      <sz val="15"/>
    </font>
    <font>
      <name val="Montserrat"/>
      <b val="1"/>
      <color rgb="000D7377"/>
      <sz val="9"/>
    </font>
    <font>
      <name val="Calibri"/>
      <color rgb="001A1A1A"/>
      <sz val="9"/>
    </font>
    <font>
      <name val="Montserrat"/>
      <b val="1"/>
      <color rgb="00C7A83C"/>
      <sz val="10"/>
    </font>
    <font>
      <name val="Consolas"/>
      <b val="1"/>
      <color rgb="000A2342"/>
      <sz val="18"/>
    </font>
    <font>
      <name val="Consolas"/>
      <b val="1"/>
      <color rgb="00C0392B"/>
      <sz val="18"/>
    </font>
    <font>
      <name val="Montserrat"/>
      <b val="1"/>
      <color rgb="00FFFFFF"/>
      <sz val="10"/>
    </font>
    <font>
      <name val="Calibri"/>
      <i val="1"/>
      <color rgb="006B7280"/>
      <sz val="8"/>
    </font>
    <font>
      <name val="Calibri"/>
      <color rgb="008A94A6"/>
      <sz val="8"/>
    </font>
    <font>
      <name val="Montserrat"/>
      <b val="1"/>
      <color rgb="000A2342"/>
      <sz val="9"/>
    </font>
    <font>
      <name val="Consolas"/>
      <color rgb="001A1A1A"/>
      <sz val="9"/>
    </font>
    <font>
      <name val="Consolas"/>
      <b val="1"/>
      <color rgb="000A2342"/>
      <sz val="10"/>
    </font>
  </fonts>
  <fills count="8">
    <fill>
      <patternFill/>
    </fill>
    <fill>
      <patternFill patternType="gray125"/>
    </fill>
    <fill>
      <patternFill patternType="solid">
        <fgColor rgb="000A2342"/>
      </patternFill>
    </fill>
    <fill>
      <patternFill patternType="solid">
        <fgColor rgb="00F4F6F9"/>
      </patternFill>
    </fill>
    <fill>
      <patternFill patternType="solid">
        <fgColor rgb="000D7377"/>
      </patternFill>
    </fill>
    <fill>
      <patternFill patternType="solid">
        <fgColor rgb="00DCE6F1"/>
      </patternFill>
    </fill>
    <fill>
      <patternFill patternType="solid">
        <fgColor rgb="00F7F9FC"/>
      </patternFill>
    </fill>
    <fill>
      <patternFill patternType="solid">
        <fgColor rgb="00C7A83C"/>
      </patternFill>
    </fill>
  </fills>
  <borders count="5">
    <border>
      <left/>
      <right/>
      <top/>
      <bottom/>
      <diagonal/>
    </border>
    <border>
      <left style="thin">
        <color rgb="00B7C0CC"/>
      </left>
      <right style="thin">
        <color rgb="00B7C0CC"/>
      </right>
      <top style="thin">
        <color rgb="00B7C0CC"/>
      </top>
      <bottom style="thin">
        <color rgb="00B7C0CC"/>
      </bottom>
    </border>
    <border>
      <bottom style="medium">
        <color rgb="00C7A83C"/>
      </bottom>
    </border>
    <border>
      <bottom style="thin">
        <color rgb="00E3E8EF"/>
      </bottom>
    </border>
    <border>
      <left style="thin">
        <color rgb="00B7C0CC"/>
      </left>
      <right style="thin">
        <color rgb="00B7C0CC"/>
      </right>
      <top style="double">
        <color rgb="000A2342"/>
      </top>
      <bottom style="double">
        <color rgb="000A2342"/>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3" borderId="1" applyAlignment="1" pivotButton="0" quotePrefix="0" xfId="0">
      <alignment vertical="bottom" wrapText="1"/>
    </xf>
    <xf numFmtId="4" fontId="6" fillId="3" borderId="1" pivotButton="0" quotePrefix="0" xfId="0"/>
    <xf numFmtId="3" fontId="7" fillId="3" borderId="1" pivotButton="0" quotePrefix="0" xfId="0"/>
    <xf numFmtId="0" fontId="8" fillId="4" borderId="1" applyAlignment="1" pivotButton="0" quotePrefix="0" xfId="0">
      <alignment horizontal="center" vertical="center" wrapText="1"/>
    </xf>
    <xf numFmtId="0" fontId="9" fillId="0" borderId="0" pivotButton="0" quotePrefix="0" xfId="0"/>
    <xf numFmtId="0" fontId="10" fillId="0" borderId="0" pivotButton="0" quotePrefix="0" xfId="0"/>
    <xf numFmtId="4" fontId="10" fillId="0" borderId="0" pivotButton="0" quotePrefix="0" xfId="0"/>
    <xf numFmtId="0" fontId="11" fillId="5" borderId="1" applyAlignment="1" pivotButton="0" quotePrefix="0" xfId="0">
      <alignment horizontal="center" vertical="center" wrapText="1"/>
    </xf>
    <xf numFmtId="0" fontId="5" fillId="0" borderId="2" pivotButton="0" quotePrefix="0" xfId="0"/>
    <xf numFmtId="0" fontId="0" fillId="0" borderId="2" pivotButton="0" quotePrefix="0" xfId="0"/>
    <xf numFmtId="0" fontId="8" fillId="2" borderId="2" applyAlignment="1" pivotButton="0" quotePrefix="0" xfId="0">
      <alignment horizontal="center" vertical="center" wrapText="1"/>
    </xf>
    <xf numFmtId="0" fontId="4" fillId="0" borderId="3" applyAlignment="1" pivotButton="0" quotePrefix="0" xfId="0">
      <alignment horizontal="left" vertical="top" wrapText="1"/>
    </xf>
    <xf numFmtId="0" fontId="4" fillId="6" borderId="3" applyAlignment="1" pivotButton="0" quotePrefix="0" xfId="0">
      <alignment horizontal="left" vertical="top" wrapText="1"/>
    </xf>
    <xf numFmtId="4" fontId="12" fillId="0" borderId="3" applyAlignment="1" pivotButton="0" quotePrefix="0" xfId="0">
      <alignment horizontal="right" vertical="center"/>
    </xf>
    <xf numFmtId="4" fontId="12" fillId="6" borderId="3" applyAlignment="1" pivotButton="0" quotePrefix="0" xfId="0">
      <alignment horizontal="right" vertical="center"/>
    </xf>
    <xf numFmtId="0" fontId="5" fillId="7" borderId="0" applyAlignment="1" pivotButton="0" quotePrefix="0" xfId="0">
      <alignment horizontal="left" vertical="top" wrapText="1"/>
    </xf>
    <xf numFmtId="0" fontId="8" fillId="2" borderId="1" applyAlignment="1" pivotButton="0" quotePrefix="0" xfId="0">
      <alignment horizontal="center" vertical="center" wrapText="1"/>
    </xf>
    <xf numFmtId="0" fontId="4" fillId="3" borderId="1" applyAlignment="1" pivotButton="0" quotePrefix="0" xfId="0">
      <alignment horizontal="left" vertical="top" wrapText="1"/>
    </xf>
    <xf numFmtId="0" fontId="12" fillId="3" borderId="1" applyAlignment="1" pivotButton="0" quotePrefix="0" xfId="0">
      <alignment horizontal="left" vertical="top" wrapText="1"/>
    </xf>
    <xf numFmtId="165" fontId="4" fillId="0" borderId="3" applyAlignment="1" pivotButton="0" quotePrefix="0" xfId="0">
      <alignment horizontal="center" vertical="center" wrapText="1"/>
    </xf>
    <xf numFmtId="165" fontId="4" fillId="6" borderId="3" applyAlignment="1" pivotButton="0" quotePrefix="0" xfId="0">
      <alignment horizontal="center" vertical="center" wrapText="1"/>
    </xf>
    <xf numFmtId="0" fontId="12" fillId="6" borderId="3" applyAlignment="1" pivotButton="0" quotePrefix="0" xfId="0">
      <alignment horizontal="right" vertical="center"/>
    </xf>
    <xf numFmtId="0" fontId="12" fillId="0" borderId="3" applyAlignment="1" pivotButton="0" quotePrefix="0" xfId="0">
      <alignment horizontal="right" vertical="center"/>
    </xf>
    <xf numFmtId="165" fontId="12" fillId="0" borderId="3" applyAlignment="1" pivotButton="0" quotePrefix="0" xfId="0">
      <alignment horizontal="center" vertical="center" wrapText="1"/>
    </xf>
    <xf numFmtId="165" fontId="12" fillId="0" borderId="3" applyAlignment="1" pivotButton="0" quotePrefix="0" xfId="0">
      <alignment horizontal="right" vertical="center"/>
    </xf>
    <xf numFmtId="165" fontId="12" fillId="6" borderId="3" applyAlignment="1" pivotButton="0" quotePrefix="0" xfId="0">
      <alignment horizontal="center" vertical="center" wrapText="1"/>
    </xf>
    <xf numFmtId="165" fontId="12" fillId="6" borderId="3" applyAlignment="1" pivotButton="0" quotePrefix="0" xfId="0">
      <alignment horizontal="right" vertical="center"/>
    </xf>
    <xf numFmtId="3" fontId="12" fillId="0" borderId="3" applyAlignment="1" pivotButton="0" quotePrefix="0" xfId="0">
      <alignment horizontal="right" vertical="center"/>
    </xf>
    <xf numFmtId="10" fontId="12" fillId="0" borderId="3" applyAlignment="1" pivotButton="0" quotePrefix="0" xfId="0">
      <alignment horizontal="right" vertical="center"/>
    </xf>
    <xf numFmtId="3" fontId="12" fillId="6" borderId="3" applyAlignment="1" pivotButton="0" quotePrefix="0" xfId="0">
      <alignment horizontal="right" vertical="center"/>
    </xf>
    <xf numFmtId="10" fontId="12" fillId="6" borderId="3" applyAlignment="1" pivotButton="0" quotePrefix="0" xfId="0">
      <alignment horizontal="right" vertical="center"/>
    </xf>
    <xf numFmtId="0" fontId="13" fillId="5" borderId="4" applyAlignment="1" pivotButton="0" quotePrefix="0" xfId="0">
      <alignment horizontal="left" vertical="top" wrapText="1"/>
    </xf>
    <xf numFmtId="4" fontId="13" fillId="5" borderId="4" applyAlignment="1" pivotButton="0" quotePrefix="0" xfId="0">
      <alignment horizontal="right" vertical="center"/>
    </xf>
    <xf numFmtId="3" fontId="13" fillId="5" borderId="4" applyAlignment="1" pivotButton="0" quotePrefix="0" xfId="0">
      <alignment horizontal="right" vertical="center"/>
    </xf>
    <xf numFmtId="10" fontId="13" fillId="5" borderId="4" applyAlignment="1" pivotButton="0" quotePrefix="0" xfId="0">
      <alignment horizontal="right" vertical="center"/>
    </xf>
    <xf numFmtId="165" fontId="13" fillId="5" borderId="4"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Cifras del resumen (USD)</a:t>
            </a:r>
          </a:p>
        </rich>
      </tx>
    </title>
    <plotArea>
      <barChart>
        <barDir val="bar"/>
        <grouping val="clustered"/>
        <ser>
          <idx val="0"/>
          <order val="0"/>
          <tx>
            <strRef>
              <f>'00_Inicio'!O24</f>
            </strRef>
          </tx>
          <spPr>
            <a:solidFill xmlns:a="http://schemas.openxmlformats.org/drawingml/2006/main">
              <a:srgbClr val="0093A3"/>
            </a:solidFill>
            <a:ln xmlns:a="http://schemas.openxmlformats.org/drawingml/2006/main">
              <a:noFill/>
              <a:prstDash val="solid"/>
            </a:ln>
          </spPr>
          <invertIfNegative val="0"/>
          <cat>
            <numRef>
              <f>'00_Inicio'!$N$25:$N$36</f>
            </numRef>
          </cat>
          <val>
            <numRef>
              <f>'00_Inicio'!$O$25:$O$36</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Hallazgos de mayor impacto (USD)</a:t>
            </a:r>
          </a:p>
        </rich>
      </tx>
    </title>
    <plotArea>
      <barChart>
        <barDir val="bar"/>
        <grouping val="clustered"/>
        <ser>
          <idx val="0"/>
          <order val="0"/>
          <tx>
            <strRef>
              <f>'00_Inicio'!O38</f>
            </strRef>
          </tx>
          <spPr>
            <a:solidFill xmlns:a="http://schemas.openxmlformats.org/drawingml/2006/main">
              <a:srgbClr val="0093A3"/>
            </a:solidFill>
            <a:ln xmlns:a="http://schemas.openxmlformats.org/drawingml/2006/main">
              <a:noFill/>
              <a:prstDash val="solid"/>
            </a:ln>
          </spPr>
          <invertIfNegative val="0"/>
          <cat>
            <numRef>
              <f>'00_Inicio'!$N$39:$N$46</f>
            </numRef>
          </cat>
          <val>
            <numRef>
              <f>'00_Inicio'!$O$39:$O$46</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24</row>
      <rowOff>0</rowOff>
    </from>
    <ext cx="7740000" cy="41904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48</row>
      <rowOff>0</rowOff>
    </from>
    <ext cx="7740000" cy="3153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Caratula'!A1" TargetMode="External" Id="rId1"/><Relationship Type="http://schemas.openxmlformats.org/officeDocument/2006/relationships/hyperlink" Target="#'00_Programa'!A1" TargetMode="External" Id="rId2"/><Relationship Type="http://schemas.openxmlformats.org/officeDocument/2006/relationships/hyperlink" Target="#'00_Fuentes'!A1" TargetMode="External" Id="rId3"/><Relationship Type="http://schemas.openxmlformats.org/officeDocument/2006/relationships/hyperlink" Target="#'01_Resumen'!A1" TargetMode="External" Id="rId4"/><Relationship Type="http://schemas.openxmlformats.org/officeDocument/2006/relationships/hyperlink" Target="#'02_Parametros'!A1" TargetMode="External" Id="rId5"/><Relationship Type="http://schemas.openxmlformats.org/officeDocument/2006/relationships/hyperlink" Target="#'03_Prestamos'!A1" TargetMode="External" Id="rId6"/><Relationship Type="http://schemas.openxmlformats.org/officeDocument/2006/relationships/hyperlink" Target="#'04_Condiciones_TIE'!A1" TargetMode="External" Id="rId7"/><Relationship Type="http://schemas.openxmlformats.org/officeDocument/2006/relationships/hyperlink" Target="#'05_Tabla_amortizacion'!A1" TargetMode="External" Id="rId8"/><Relationship Type="http://schemas.openxmlformats.org/officeDocument/2006/relationships/hyperlink" Target="#'06_Costo_amortizado'!A1" TargetMode="External" Id="rId9"/><Relationship Type="http://schemas.openxmlformats.org/officeDocument/2006/relationships/hyperlink" Target="#'07_Comisiones'!A1" TargetMode="External" Id="rId10"/><Relationship Type="http://schemas.openxmlformats.org/officeDocument/2006/relationships/hyperlink" Target="#'08_Intereses'!A1" TargetMode="External" Id="rId11"/><Relationship Type="http://schemas.openxmlformats.org/officeDocument/2006/relationships/hyperlink" Target="#'09_Confirmacion'!A1" TargetMode="External" Id="rId12"/><Relationship Type="http://schemas.openxmlformats.org/officeDocument/2006/relationships/hyperlink" Target="#'10_Covenants'!A1" TargetMode="External" Id="rId13"/><Relationship Type="http://schemas.openxmlformats.org/officeDocument/2006/relationships/hyperlink" Target="#'11_Clasificacion'!A1" TargetMode="External" Id="rId14"/><Relationship Type="http://schemas.openxmlformats.org/officeDocument/2006/relationships/hyperlink" Target="#'12_Endeudamiento'!A1" TargetMode="External" Id="rId15"/><Relationship Type="http://schemas.openxmlformats.org/officeDocument/2006/relationships/hyperlink" Target="#'13_Conciliacion'!A1" TargetMode="External" Id="rId16"/><Relationship Type="http://schemas.openxmlformats.org/officeDocument/2006/relationships/hyperlink" Target="#'14_Flujos_modificacion'!A1" TargetMode="External" Id="rId17"/><Relationship Type="http://schemas.openxmlformats.org/officeDocument/2006/relationships/hyperlink" Target="#'15_Prueba_10pct'!A1" TargetMode="External" Id="rId18"/><Relationship Type="http://schemas.openxmlformats.org/officeDocument/2006/relationships/hyperlink" Target="#'16_Problemas'!A1" TargetMode="External" Id="rId19"/><Relationship Type="http://schemas.openxmlformats.org/officeDocument/2006/relationships/hyperlink" Target="#'13_Conclusion'!A1" TargetMode="External" Id="rId20"/><Relationship Type="http://schemas.openxmlformats.org/officeDocument/2006/relationships/hyperlink" Target="#'14_Control_Revision'!A1" TargetMode="External" Id="rId21"/><Relationship Type="http://schemas.openxmlformats.org/officeDocument/2006/relationships/drawing" Target="/xl/drawings/drawing1.xml" Id="rId22"/></Relationships>
</file>

<file path=xl/worksheets/_rels/sheet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s>
</file>

<file path=xl/worksheets/_rels/sheet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Caratula'!A1" TargetMode="External" Id="rId2"/><Relationship Type="http://schemas.openxmlformats.org/officeDocument/2006/relationships/hyperlink" Target="#'00_Fuentes'!A1" TargetMode="External" Id="rId3"/></Relationships>
</file>

<file path=xl/worksheets/_rels/sheet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 Type="http://schemas.openxmlformats.org/officeDocument/2006/relationships/hyperlink" Target="#'01_Resumen'!A1" TargetMode="External" Id="rId3"/></Relationships>
</file>

<file path=xl/worksheets/_rels/sheet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Fuentes'!A1" TargetMode="External" Id="rId2"/><Relationship Type="http://schemas.openxmlformats.org/officeDocument/2006/relationships/hyperlink" Target="#'02_Parametros'!A1" TargetMode="External" Id="rId3"/></Relationships>
</file>

<file path=xl/worksheets/_rels/sheet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1_Resumen'!A1" TargetMode="External" Id="rId2"/><Relationship Type="http://schemas.openxmlformats.org/officeDocument/2006/relationships/hyperlink" Target="#'03_Prestamos'!A1" TargetMode="External" Id="rId3"/></Relationships>
</file>

<file path=xl/worksheets/_rels/sheet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2_Parametros'!A1" TargetMode="External" Id="rId2"/><Relationship Type="http://schemas.openxmlformats.org/officeDocument/2006/relationships/hyperlink" Target="#'04_Condiciones_TIE'!A1" TargetMode="External" Id="rId3"/></Relationships>
</file>

<file path=xl/worksheets/_rels/sheet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3_Prestamos'!A1" TargetMode="External" Id="rId2"/><Relationship Type="http://schemas.openxmlformats.org/officeDocument/2006/relationships/hyperlink" Target="#'05_Tabla_amortizacion'!A1" TargetMode="External" Id="rId3"/></Relationships>
</file>

<file path=xl/worksheets/_rels/sheet9.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4_Condiciones_TIE'!A1" TargetMode="External" Id="rId2"/><Relationship Type="http://schemas.openxmlformats.org/officeDocument/2006/relationships/hyperlink" Target="#'06_Costo_amortizado'!A1" TargetMode="External" Id="rId3"/></Relationships>
</file>

<file path=xl/worksheets/_rels/sheet10.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5_Tabla_amortizacion'!A1" TargetMode="External" Id="rId2"/><Relationship Type="http://schemas.openxmlformats.org/officeDocument/2006/relationships/hyperlink" Target="#'07_Comisiones'!A1" TargetMode="External" Id="rId3"/></Relationships>
</file>

<file path=xl/worksheets/_rels/sheet11.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6_Costo_amortizado'!A1" TargetMode="External" Id="rId2"/><Relationship Type="http://schemas.openxmlformats.org/officeDocument/2006/relationships/hyperlink" Target="#'08_Intereses'!A1" TargetMode="External" Id="rId3"/></Relationships>
</file>

<file path=xl/worksheets/_rels/sheet1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7_Comisiones'!A1" TargetMode="External" Id="rId2"/><Relationship Type="http://schemas.openxmlformats.org/officeDocument/2006/relationships/hyperlink" Target="#'09_Confirmacion'!A1" TargetMode="External" Id="rId3"/></Relationships>
</file>

<file path=xl/worksheets/_rels/sheet1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8_Intereses'!A1" TargetMode="External" Id="rId2"/><Relationship Type="http://schemas.openxmlformats.org/officeDocument/2006/relationships/hyperlink" Target="#'10_Covenants'!A1" TargetMode="External" Id="rId3"/></Relationships>
</file>

<file path=xl/worksheets/_rels/sheet1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9_Confirmacion'!A1" TargetMode="External" Id="rId2"/><Relationship Type="http://schemas.openxmlformats.org/officeDocument/2006/relationships/hyperlink" Target="#'11_Clasificacion'!A1" TargetMode="External" Id="rId3"/></Relationships>
</file>

<file path=xl/worksheets/_rels/sheet1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0_Covenants'!A1" TargetMode="External" Id="rId2"/><Relationship Type="http://schemas.openxmlformats.org/officeDocument/2006/relationships/hyperlink" Target="#'12_Endeudamiento'!A1" TargetMode="External" Id="rId3"/></Relationships>
</file>

<file path=xl/worksheets/_rels/sheet1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1_Clasificacion'!A1" TargetMode="External" Id="rId2"/><Relationship Type="http://schemas.openxmlformats.org/officeDocument/2006/relationships/hyperlink" Target="#'13_Conciliacion'!A1" TargetMode="External" Id="rId3"/></Relationships>
</file>

<file path=xl/worksheets/_rels/sheet1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2_Endeudamiento'!A1" TargetMode="External" Id="rId2"/><Relationship Type="http://schemas.openxmlformats.org/officeDocument/2006/relationships/hyperlink" Target="#'14_Flujos_modificacion'!A1" TargetMode="External" Id="rId3"/></Relationships>
</file>

<file path=xl/worksheets/_rels/sheet1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3_Conciliacion'!A1" TargetMode="External" Id="rId2"/><Relationship Type="http://schemas.openxmlformats.org/officeDocument/2006/relationships/hyperlink" Target="#'15_Prueba_10pct'!A1" TargetMode="External" Id="rId3"/></Relationships>
</file>

<file path=xl/worksheets/_rels/sheet19.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4_Flujos_modificacion'!A1" TargetMode="External" Id="rId2"/><Relationship Type="http://schemas.openxmlformats.org/officeDocument/2006/relationships/hyperlink" Target="#'16_Problemas'!A1" TargetMode="External" Id="rId3"/></Relationships>
</file>

<file path=xl/worksheets/_rels/sheet20.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5_Prueba_10pct'!A1" TargetMode="External" Id="rId2"/><Relationship Type="http://schemas.openxmlformats.org/officeDocument/2006/relationships/hyperlink" Target="#'13_Conclusion'!A1" TargetMode="External" Id="rId3"/></Relationships>
</file>

<file path=xl/worksheets/_rels/sheet21.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6_Problemas'!A1" TargetMode="External" Id="rId2"/><Relationship Type="http://schemas.openxmlformats.org/officeDocument/2006/relationships/hyperlink" Target="#'14_Control_Revision'!A1" TargetMode="External" Id="rId3"/></Relationships>
</file>

<file path=xl/worksheets/_rels/sheet2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3_Conclusion'!A1" TargetMode="External" Id="rId2"/></Relationships>
</file>

<file path=xl/worksheets/sheet1.xml><?xml version="1.0" encoding="utf-8"?>
<worksheet xmlns="http://schemas.openxmlformats.org/spreadsheetml/2006/main">
  <sheetPr>
    <outlinePr summaryBelow="1" summaryRight="1"/>
    <pageSetUpPr fitToPage="1"/>
  </sheetPr>
  <dimension ref="B2:O46"/>
  <sheetViews>
    <sheetView showGridLines="0" workbookViewId="0">
      <selection activeCell="A1" sqref="A1"/>
    </sheetView>
  </sheetViews>
  <sheetFormatPr baseColWidth="8" defaultRowHeight="15"/>
  <cols>
    <col width="3" customWidth="1" min="1" max="1"/>
    <col width="27" customWidth="1" min="2" max="2"/>
    <col width="27" customWidth="1" min="3" max="3"/>
    <col width="27" customWidth="1" min="4" max="4"/>
    <col width="27" customWidth="1" min="5" max="5"/>
    <col width="27" customWidth="1" min="6" max="6"/>
    <col width="34" customWidth="1" min="14" max="14"/>
    <col width="16" customWidth="1" min="15" max="15"/>
  </cols>
  <sheetData>
    <row r="2">
      <c r="B2" s="1" t="inlineStr">
        <is>
          <t>AuditConsulting Auditores Cía. Ltda.  ·  AUDIT-IA</t>
        </is>
      </c>
      <c r="C2" s="2" t="n"/>
      <c r="D2" s="2" t="n"/>
      <c r="E2" s="2" t="n"/>
      <c r="F2" s="2" t="n"/>
    </row>
    <row r="3">
      <c r="B3" s="2" t="n"/>
      <c r="C3" s="2" t="n"/>
      <c r="D3" s="2" t="n"/>
      <c r="E3" s="2" t="n"/>
      <c r="F3" s="2" t="n"/>
    </row>
    <row r="4">
      <c r="B4" s="3" t="inlineStr">
        <is>
          <t>Préstamos y obligaciones financieras</t>
        </is>
      </c>
    </row>
    <row r="6">
      <c r="B6" s="4" t="inlineStr">
        <is>
          <t>Cliente</t>
        </is>
      </c>
      <c r="C6" s="5" t="inlineStr">
        <is>
          <t>Cliente de muestra S.A.</t>
        </is>
      </c>
      <c r="D6" s="4" t="inlineStr">
        <is>
          <t>RUC</t>
        </is>
      </c>
      <c r="E6" s="5" t="inlineStr">
        <is>
          <t>1790000000001</t>
        </is>
      </c>
    </row>
    <row r="7">
      <c r="B7" s="4" t="inlineStr">
        <is>
          <t>Marco contable</t>
        </is>
      </c>
      <c r="C7" s="5" t="inlineStr">
        <is>
          <t>NIIF completas</t>
        </is>
      </c>
      <c r="D7" s="4" t="inlineStr">
        <is>
          <t>Fecha de corte</t>
        </is>
      </c>
      <c r="E7" s="5" t="inlineStr">
        <is>
          <t>2025-12-31</t>
        </is>
      </c>
    </row>
    <row r="8">
      <c r="B8" s="4" t="inlineStr">
        <is>
          <t>Preparó</t>
        </is>
      </c>
      <c r="C8" s="5" t="inlineStr">
        <is>
          <t>Ejercicio modelo</t>
        </is>
      </c>
      <c r="D8" s="4" t="inlineStr">
        <is>
          <t>Revisó</t>
        </is>
      </c>
      <c r="E8" s="5" t="inlineStr">
        <is>
          <t>Pendiente</t>
        </is>
      </c>
    </row>
    <row r="10">
      <c r="B10" s="6" t="inlineStr">
        <is>
          <t>INDICADORES CLAVE</t>
        </is>
      </c>
    </row>
    <row r="11" ht="30" customHeight="1">
      <c r="B11" s="7" t="inlineStr">
        <is>
          <t>Ajuste propuesto al pasivo</t>
        </is>
      </c>
      <c r="C11" s="7" t="inlineStr">
        <is>
          <t>Problemas encontrados</t>
        </is>
      </c>
    </row>
    <row r="12">
      <c r="B12" s="8" t="n">
        <v>5075.37</v>
      </c>
      <c r="C12" s="9" t="n">
        <v>24</v>
      </c>
    </row>
    <row r="15">
      <c r="B15" s="6" t="inlineStr">
        <is>
          <t>IR A LA CÉDULA</t>
        </is>
      </c>
    </row>
    <row r="16" ht="32" customHeight="1">
      <c r="B16" s="10" t="inlineStr">
        <is>
          <t>Carátula</t>
        </is>
      </c>
      <c r="C16" s="10" t="inlineStr">
        <is>
          <t>Programa</t>
        </is>
      </c>
      <c r="D16" s="10" t="inlineStr">
        <is>
          <t>Base técnica</t>
        </is>
      </c>
      <c r="E16" s="10" t="inlineStr">
        <is>
          <t>Resumen</t>
        </is>
      </c>
    </row>
    <row r="17" ht="32" customHeight="1">
      <c r="B17" s="10" t="inlineStr">
        <is>
          <t>Parámetros</t>
        </is>
      </c>
      <c r="C17" s="10" t="inlineStr">
        <is>
          <t>Universo de préstamos</t>
        </is>
      </c>
      <c r="D17" s="10" t="inlineStr">
        <is>
          <t>Condiciones y tasa de interés efectiva</t>
        </is>
      </c>
      <c r="E17" s="10" t="inlineStr">
        <is>
          <t>Tabla de amortización</t>
        </is>
      </c>
    </row>
    <row r="18" ht="32" customHeight="1">
      <c r="B18" s="10" t="inlineStr">
        <is>
          <t>Costo amortizado al corte y del ejercicio</t>
        </is>
      </c>
      <c r="C18" s="10" t="inlineStr">
        <is>
          <t>Comisiones y costos de transacción</t>
        </is>
      </c>
      <c r="D18" s="10" t="inlineStr">
        <is>
          <t>Recálculo de intereses</t>
        </is>
      </c>
      <c r="E18" s="10" t="inlineStr">
        <is>
          <t>Confirmación bancaria y pagos</t>
        </is>
      </c>
    </row>
    <row r="19" ht="32" customHeight="1">
      <c r="B19" s="10" t="inlineStr">
        <is>
          <t>Covenants y dispensas</t>
        </is>
      </c>
      <c r="C19" s="10" t="inlineStr">
        <is>
          <t>Clasificación corriente / no corriente</t>
        </is>
      </c>
      <c r="D19" s="10" t="inlineStr">
        <is>
          <t>Endeudamiento y ratios de covenants (analítica, no requisito NIIF)</t>
        </is>
      </c>
      <c r="E19" s="10" t="inlineStr">
        <is>
          <t>Conciliación y ajuste</t>
        </is>
      </c>
    </row>
    <row r="20" ht="32" customHeight="1">
      <c r="B20" s="10" t="inlineStr">
        <is>
          <t>Flujos de la modificación (adenda) descontados a la TIE original</t>
        </is>
      </c>
      <c r="C20" s="10" t="inlineStr">
        <is>
          <t>Prueba del 10 % (NIIF 9 3.3.2 y B3.3.6)</t>
        </is>
      </c>
      <c r="D20" s="10" t="inlineStr">
        <is>
          <t>Problemas encontrados</t>
        </is>
      </c>
      <c r="E20" s="10" t="inlineStr">
        <is>
          <t>Conclusión</t>
        </is>
      </c>
    </row>
    <row r="21" ht="32" customHeight="1">
      <c r="B21" s="10" t="inlineStr">
        <is>
          <t>Control de revisión</t>
        </is>
      </c>
    </row>
    <row r="23">
      <c r="B23" s="6" t="inlineStr">
        <is>
          <t>PANORAMA</t>
        </is>
      </c>
      <c r="N23" s="11" t="inlineStr">
        <is>
          <t>Datos de los gráficos (fórmulas a las cédulas)</t>
        </is>
      </c>
    </row>
    <row r="24">
      <c r="N24" s="12" t="inlineStr">
        <is>
          <t>Cifras del resumen</t>
        </is>
      </c>
      <c r="O24" s="12" t="inlineStr">
        <is>
          <t>Importe (USD)</t>
        </is>
      </c>
    </row>
    <row r="25">
      <c r="N25" s="12">
        <f>'01_Resumen'!A5</f>
        <v/>
      </c>
      <c r="O25" s="13">
        <f>'01_Resumen'!B5</f>
        <v/>
      </c>
    </row>
    <row r="26">
      <c r="N26" s="12">
        <f>'01_Resumen'!A6</f>
        <v/>
      </c>
      <c r="O26" s="13">
        <f>'01_Resumen'!B6</f>
        <v/>
      </c>
    </row>
    <row r="27">
      <c r="N27" s="12">
        <f>'01_Resumen'!A7</f>
        <v/>
      </c>
      <c r="O27" s="13">
        <f>'01_Resumen'!B7</f>
        <v/>
      </c>
    </row>
    <row r="28">
      <c r="N28" s="12">
        <f>'01_Resumen'!A8</f>
        <v/>
      </c>
      <c r="O28" s="13">
        <f>'01_Resumen'!B8</f>
        <v/>
      </c>
    </row>
    <row r="29">
      <c r="N29" s="12">
        <f>'01_Resumen'!A9</f>
        <v/>
      </c>
      <c r="O29" s="13">
        <f>'01_Resumen'!B9</f>
        <v/>
      </c>
    </row>
    <row r="30">
      <c r="N30" s="12">
        <f>'01_Resumen'!A10</f>
        <v/>
      </c>
      <c r="O30" s="13">
        <f>'01_Resumen'!B10</f>
        <v/>
      </c>
    </row>
    <row r="31">
      <c r="N31" s="12">
        <f>'01_Resumen'!A11</f>
        <v/>
      </c>
      <c r="O31" s="13">
        <f>'01_Resumen'!B11</f>
        <v/>
      </c>
    </row>
    <row r="32">
      <c r="N32" s="12">
        <f>'01_Resumen'!A12</f>
        <v/>
      </c>
      <c r="O32" s="13">
        <f>'01_Resumen'!B12</f>
        <v/>
      </c>
    </row>
    <row r="33">
      <c r="N33" s="12">
        <f>'01_Resumen'!A13</f>
        <v/>
      </c>
      <c r="O33" s="13">
        <f>'01_Resumen'!B13</f>
        <v/>
      </c>
    </row>
    <row r="34">
      <c r="N34" s="12">
        <f>'01_Resumen'!A14</f>
        <v/>
      </c>
      <c r="O34" s="13">
        <f>'01_Resumen'!B14</f>
        <v/>
      </c>
    </row>
    <row r="35">
      <c r="N35" s="12">
        <f>'01_Resumen'!A15</f>
        <v/>
      </c>
      <c r="O35" s="13">
        <f>'01_Resumen'!B15</f>
        <v/>
      </c>
    </row>
    <row r="36">
      <c r="N36" s="12">
        <f>'01_Resumen'!A16</f>
        <v/>
      </c>
      <c r="O36" s="13">
        <f>'01_Resumen'!B16</f>
        <v/>
      </c>
    </row>
    <row r="38">
      <c r="N38" s="12" t="inlineStr">
        <is>
          <t>Hallazgos de mayor impacto</t>
        </is>
      </c>
      <c r="O38" s="12" t="inlineStr">
        <is>
          <t>Importe (USD)</t>
        </is>
      </c>
    </row>
    <row r="39">
      <c r="N39" s="12" t="inlineStr">
        <is>
          <t>Revelacion incumplimiento (×3)</t>
        </is>
      </c>
      <c r="O39" s="13">
        <f>SUMIFS('16_Problemas'!$C$5:$C$28,'16_Problemas'!$A$5:$A$28,"REVELACION_INCUMPLIMIENTO",'16_Problemas'!$C$5:$C$28,"&gt;0")-SUMIFS('16_Problemas'!$C$5:$C$28,'16_Problemas'!$A$5:$A$28,"REVELACION_INCUMPLIMIENTO",'16_Problemas'!$C$5:$C$28,"&lt;0")</f>
        <v/>
      </c>
    </row>
    <row r="40">
      <c r="N40" s="12" t="inlineStr">
        <is>
          <t>Clasificacion cp lp (×2)</t>
        </is>
      </c>
      <c r="O40" s="13">
        <f>SUMIFS('16_Problemas'!$C$5:$C$28,'16_Problemas'!$A$5:$A$28,"CLASIFICACION_CP_LP",'16_Problemas'!$C$5:$C$28,"&gt;0")-SUMIFS('16_Problemas'!$C$5:$C$28,'16_Problemas'!$A$5:$A$28,"CLASIFICACION_CP_LP",'16_Problemas'!$C$5:$C$28,"&lt;0")</f>
        <v/>
      </c>
    </row>
    <row r="41">
      <c r="N41" s="12" t="inlineStr">
        <is>
          <t>Covenant sin dispensa</t>
        </is>
      </c>
      <c r="O41" s="13">
        <f>SUMIFS('16_Problemas'!$C$5:$C$28,'16_Problemas'!$A$5:$A$28,"COVENANT_SIN_DISPENSA",'16_Problemas'!$C$5:$C$28,"&gt;0")-SUMIFS('16_Problemas'!$C$5:$C$28,'16_Problemas'!$A$5:$A$28,"COVENANT_SIN_DISPENSA",'16_Problemas'!$C$5:$C$28,"&lt;0")</f>
        <v/>
      </c>
    </row>
    <row r="42">
      <c r="N42" s="12" t="inlineStr">
        <is>
          <t>Covenant posterior al corte</t>
        </is>
      </c>
      <c r="O42" s="13">
        <f>SUMIFS('16_Problemas'!$C$5:$C$28,'16_Problemas'!$A$5:$A$28,"COVENANT_POSTERIOR_AL_CORTE",'16_Problemas'!$C$5:$C$28,"&gt;0")-SUMIFS('16_Problemas'!$C$5:$C$28,'16_Problemas'!$A$5:$A$28,"COVENANT_POSTERIOR_AL_CORTE",'16_Problemas'!$C$5:$C$28,"&lt;0")</f>
        <v/>
      </c>
    </row>
    <row r="43">
      <c r="N43" s="12" t="inlineStr">
        <is>
          <t>Modificacion sustancial</t>
        </is>
      </c>
      <c r="O43" s="13">
        <f>SUMIFS('16_Problemas'!$C$5:$C$28,'16_Problemas'!$A$5:$A$28,"MODIFICACION_SUSTANCIAL",'16_Problemas'!$C$5:$C$28,"&gt;0")-SUMIFS('16_Problemas'!$C$5:$C$28,'16_Problemas'!$A$5:$A$28,"MODIFICACION_SUSTANCIAL",'16_Problemas'!$C$5:$C$28,"&lt;0")</f>
        <v/>
      </c>
    </row>
    <row r="44">
      <c r="N44" s="12" t="inlineStr">
        <is>
          <t>Pasivo diferencia (×4)</t>
        </is>
      </c>
      <c r="O44" s="13">
        <f>SUMIFS('16_Problemas'!$C$5:$C$28,'16_Problemas'!$A$5:$A$28,"PASIVO_DIFERENCIA",'16_Problemas'!$C$5:$C$28,"&gt;0")-SUMIFS('16_Problemas'!$C$5:$C$28,'16_Problemas'!$A$5:$A$28,"PASIVO_DIFERENCIA",'16_Problemas'!$C$5:$C$28,"&lt;0")</f>
        <v/>
      </c>
    </row>
    <row r="45">
      <c r="N45" s="12" t="inlineStr">
        <is>
          <t>Confirmacion diferencia</t>
        </is>
      </c>
      <c r="O45" s="13">
        <f>SUMIFS('16_Problemas'!$C$5:$C$28,'16_Problemas'!$A$5:$A$28,"CONFIRMACION_DIFERENCIA",'16_Problemas'!$C$5:$C$28,"&gt;0")-SUMIFS('16_Problemas'!$C$5:$C$28,'16_Problemas'!$A$5:$A$28,"CONFIRMACION_DIFERENCIA",'16_Problemas'!$C$5:$C$28,"&lt;0")</f>
        <v/>
      </c>
    </row>
    <row r="46">
      <c r="N46" s="12" t="inlineStr">
        <is>
          <t>Otros (4 tipos)</t>
        </is>
      </c>
      <c r="O46" s="13">
        <f>SUMIF('16_Problemas'!$C$5:$C$28,"&gt;0")-SUMIF('16_Problemas'!$C$5:$C$28,"&lt;0")-((SUMIFS('16_Problemas'!$C$5:$C$28,'16_Problemas'!$A$5:$A$28,"REVELACION_INCUMPLIMIENTO",'16_Problemas'!$C$5:$C$28,"&gt;0")-SUMIFS('16_Problemas'!$C$5:$C$28,'16_Problemas'!$A$5:$A$28,"REVELACION_INCUMPLIMIENTO",'16_Problemas'!$C$5:$C$28,"&lt;0"))+(SUMIFS('16_Problemas'!$C$5:$C$28,'16_Problemas'!$A$5:$A$28,"CLASIFICACION_CP_LP",'16_Problemas'!$C$5:$C$28,"&gt;0")-SUMIFS('16_Problemas'!$C$5:$C$28,'16_Problemas'!$A$5:$A$28,"CLASIFICACION_CP_LP",'16_Problemas'!$C$5:$C$28,"&lt;0"))+(SUMIFS('16_Problemas'!$C$5:$C$28,'16_Problemas'!$A$5:$A$28,"COVENANT_SIN_DISPENSA",'16_Problemas'!$C$5:$C$28,"&gt;0")-SUMIFS('16_Problemas'!$C$5:$C$28,'16_Problemas'!$A$5:$A$28,"COVENANT_SIN_DISPENSA",'16_Problemas'!$C$5:$C$28,"&lt;0"))+(SUMIFS('16_Problemas'!$C$5:$C$28,'16_Problemas'!$A$5:$A$28,"COVENANT_POSTERIOR_AL_CORTE",'16_Problemas'!$C$5:$C$28,"&gt;0")-SUMIFS('16_Problemas'!$C$5:$C$28,'16_Problemas'!$A$5:$A$28,"COVENANT_POSTERIOR_AL_CORTE",'16_Problemas'!$C$5:$C$28,"&lt;0"))+(SUMIFS('16_Problemas'!$C$5:$C$28,'16_Problemas'!$A$5:$A$28,"MODIFICACION_SUSTANCIAL",'16_Problemas'!$C$5:$C$28,"&gt;0")-SUMIFS('16_Problemas'!$C$5:$C$28,'16_Problemas'!$A$5:$A$28,"MODIFICACION_SUSTANCIAL",'16_Problemas'!$C$5:$C$28,"&lt;0"))+(SUMIFS('16_Problemas'!$C$5:$C$28,'16_Problemas'!$A$5:$A$28,"PASIVO_DIFERENCIA",'16_Problemas'!$C$5:$C$28,"&gt;0")-SUMIFS('16_Problemas'!$C$5:$C$28,'16_Problemas'!$A$5:$A$28,"PASIVO_DIFERENCIA",'16_Problemas'!$C$5:$C$28,"&lt;0"))+(SUMIFS('16_Problemas'!$C$5:$C$28,'16_Problemas'!$A$5:$A$28,"CONFIRMACION_DIFERENCIA",'16_Problemas'!$C$5:$C$28,"&gt;0")-SUMIFS('16_Problemas'!$C$5:$C$28,'16_Problemas'!$A$5:$A$28,"CONFIRMACION_DIFERENCIA",'16_Problemas'!$C$5:$C$28,"&lt;0")))</f>
        <v/>
      </c>
    </row>
  </sheetData>
  <mergeCells count="2">
    <mergeCell ref="B4:F4"/>
    <mergeCell ref="B2:F3"/>
  </mergeCells>
  <hyperlinks>
    <hyperlink xmlns:r="http://schemas.openxmlformats.org/officeDocument/2006/relationships" ref="B16" r:id="rId1"/>
    <hyperlink xmlns:r="http://schemas.openxmlformats.org/officeDocument/2006/relationships" ref="C16" r:id="rId2"/>
    <hyperlink xmlns:r="http://schemas.openxmlformats.org/officeDocument/2006/relationships" ref="D16" r:id="rId3"/>
    <hyperlink xmlns:r="http://schemas.openxmlformats.org/officeDocument/2006/relationships" ref="E16" r:id="rId4"/>
    <hyperlink xmlns:r="http://schemas.openxmlformats.org/officeDocument/2006/relationships" ref="B17" r:id="rId5"/>
    <hyperlink xmlns:r="http://schemas.openxmlformats.org/officeDocument/2006/relationships" ref="C17" r:id="rId6"/>
    <hyperlink xmlns:r="http://schemas.openxmlformats.org/officeDocument/2006/relationships" ref="D17" r:id="rId7"/>
    <hyperlink xmlns:r="http://schemas.openxmlformats.org/officeDocument/2006/relationships" ref="E17" r:id="rId8"/>
    <hyperlink xmlns:r="http://schemas.openxmlformats.org/officeDocument/2006/relationships" ref="B18" r:id="rId9"/>
    <hyperlink xmlns:r="http://schemas.openxmlformats.org/officeDocument/2006/relationships" ref="C18" r:id="rId10"/>
    <hyperlink xmlns:r="http://schemas.openxmlformats.org/officeDocument/2006/relationships" ref="D18" r:id="rId11"/>
    <hyperlink xmlns:r="http://schemas.openxmlformats.org/officeDocument/2006/relationships" ref="E18" r:id="rId12"/>
    <hyperlink xmlns:r="http://schemas.openxmlformats.org/officeDocument/2006/relationships" ref="B19" r:id="rId13"/>
    <hyperlink xmlns:r="http://schemas.openxmlformats.org/officeDocument/2006/relationships" ref="C19" r:id="rId14"/>
    <hyperlink xmlns:r="http://schemas.openxmlformats.org/officeDocument/2006/relationships" ref="D19" r:id="rId15"/>
    <hyperlink xmlns:r="http://schemas.openxmlformats.org/officeDocument/2006/relationships" ref="E19" r:id="rId16"/>
    <hyperlink xmlns:r="http://schemas.openxmlformats.org/officeDocument/2006/relationships" ref="B20" r:id="rId17"/>
    <hyperlink xmlns:r="http://schemas.openxmlformats.org/officeDocument/2006/relationships" ref="C20" r:id="rId18"/>
    <hyperlink xmlns:r="http://schemas.openxmlformats.org/officeDocument/2006/relationships" ref="D20" r:id="rId19"/>
    <hyperlink xmlns:r="http://schemas.openxmlformats.org/officeDocument/2006/relationships" ref="E20" r:id="rId20"/>
    <hyperlink xmlns:r="http://schemas.openxmlformats.org/officeDocument/2006/relationships" ref="B21" r:id="rId21"/>
  </hyperlinks>
  <printOptions horizontalCentered="1"/>
  <pageMargins left="0.75" right="0.75" top="1" bottom="1" header="0.5" footer="0.5"/>
  <pageSetup orientation="landscape" fitToHeight="0" fitToWidth="1"/>
  <headerFooter>
    <oddHeader/>
    <oddFooter>&amp;LAuditConsulting Auditores Cía. Ltda.&amp;CCliente de muestra S.A.&amp;RPágina &amp;P de &amp;N</oddFooter>
    <evenHeader/>
    <evenFooter/>
    <firstHeader/>
    <firstFooter/>
  </headerFooter>
  <drawing xmlns:r="http://schemas.openxmlformats.org/officeDocument/2006/relationships" r:id="rId22"/>
</worksheet>
</file>

<file path=xl/worksheets/sheet2.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34" customWidth="1" min="1" max="1"/>
    <col width="38" customWidth="1" min="2" max="2"/>
  </cols>
  <sheetData>
    <row r="1">
      <c r="A1" s="3" t="inlineStr">
        <is>
          <t>Carátula</t>
        </is>
      </c>
      <c r="H1" s="14" t="inlineStr">
        <is>
          <t>⟵ Inicio</t>
        </is>
      </c>
      <c r="J1" s="14" t="inlineStr">
        <is>
          <t>Siguiente ▶</t>
        </is>
      </c>
    </row>
    <row r="2">
      <c r="A2" s="15" t="inlineStr">
        <is>
          <t>Préstamos y obligaciones financieras · Cliente de muestra S.A. · corte 2025-12-31</t>
        </is>
      </c>
      <c r="B2" s="16" t="n"/>
      <c r="C2" s="16" t="n"/>
      <c r="D2" s="16" t="n"/>
      <c r="E2" s="16" t="n"/>
      <c r="F2" s="16" t="n"/>
    </row>
    <row r="4" ht="30" customHeight="1">
      <c r="A4" s="17" t="inlineStr">
        <is>
          <t>Concepto</t>
        </is>
      </c>
      <c r="B4" s="17" t="inlineStr">
        <is>
          <t>Detalle</t>
        </is>
      </c>
    </row>
    <row r="5">
      <c r="A5" s="18" t="inlineStr">
        <is>
          <t>Firma</t>
        </is>
      </c>
      <c r="B5" s="18" t="inlineStr">
        <is>
          <t>AuditConsulting Auditores Cía. Ltda.</t>
        </is>
      </c>
    </row>
    <row r="6">
      <c r="A6" s="19" t="inlineStr">
        <is>
          <t>Cliente</t>
        </is>
      </c>
      <c r="B6" s="19" t="inlineStr">
        <is>
          <t>Cliente de muestra S.A.</t>
        </is>
      </c>
    </row>
    <row r="7">
      <c r="A7" s="18" t="inlineStr">
        <is>
          <t>RUC</t>
        </is>
      </c>
      <c r="B7" s="18" t="inlineStr">
        <is>
          <t>1790000000001</t>
        </is>
      </c>
    </row>
    <row r="8">
      <c r="A8" s="19" t="inlineStr">
        <is>
          <t>Ejercicio</t>
        </is>
      </c>
      <c r="B8" s="19" t="inlineStr">
        <is>
          <t>2025</t>
        </is>
      </c>
    </row>
    <row r="9">
      <c r="A9" s="18" t="inlineStr">
        <is>
          <t>Fecha de corte</t>
        </is>
      </c>
      <c r="B9" s="18" t="inlineStr">
        <is>
          <t>2025-12-31</t>
        </is>
      </c>
    </row>
    <row r="10">
      <c r="A10" s="19" t="inlineStr">
        <is>
          <t>Marco contable</t>
        </is>
      </c>
      <c r="B10" s="19" t="inlineStr">
        <is>
          <t>NIIF completas</t>
        </is>
      </c>
    </row>
    <row r="11">
      <c r="A11" s="18" t="inlineStr">
        <is>
          <t>Herramienta</t>
        </is>
      </c>
      <c r="B11" s="18" t="inlineStr">
        <is>
          <t>Préstamos y obligaciones financieras</t>
        </is>
      </c>
    </row>
    <row r="12">
      <c r="A12" s="19" t="inlineStr">
        <is>
          <t>Rubro</t>
        </is>
      </c>
      <c r="B12" s="19" t="inlineStr">
        <is>
          <t>Préstamos y obligaciones financieras</t>
        </is>
      </c>
    </row>
    <row r="13">
      <c r="A13" s="18" t="inlineStr">
        <is>
          <t>Motor</t>
        </is>
      </c>
      <c r="B13" s="18" t="inlineStr">
        <is>
          <t>prestamos_obligaciones 1.0</t>
        </is>
      </c>
    </row>
    <row r="14">
      <c r="A14" s="19" t="inlineStr">
        <is>
          <t>Versión del papel</t>
        </is>
      </c>
      <c r="B14" s="19" t="inlineStr">
        <is>
          <t>v1</t>
        </is>
      </c>
    </row>
    <row r="15">
      <c r="A15" s="18" t="inlineStr">
        <is>
          <t>Estado</t>
        </is>
      </c>
      <c r="B15" s="18" t="inlineStr">
        <is>
          <t>MUESTRA</t>
        </is>
      </c>
    </row>
    <row r="16">
      <c r="A16" s="19" t="inlineStr">
        <is>
          <t>Preparó</t>
        </is>
      </c>
      <c r="B16" s="19" t="inlineStr">
        <is>
          <t>Ejercicio modelo</t>
        </is>
      </c>
    </row>
    <row r="17">
      <c r="A17" s="18" t="inlineStr">
        <is>
          <t>Revisó</t>
        </is>
      </c>
      <c r="B17" s="18" t="inlineStr">
        <is>
          <t>Pendiente</t>
        </is>
      </c>
    </row>
    <row r="18">
      <c r="A18" s="19" t="inlineStr">
        <is>
          <t>Aprobó</t>
        </is>
      </c>
      <c r="B18" s="19" t="inlineStr"/>
    </row>
    <row r="19">
      <c r="A19" s="18" t="inlineStr">
        <is>
          <t>Fecha de aprobación</t>
        </is>
      </c>
      <c r="B19" s="18" t="inlineStr"/>
    </row>
    <row r="20">
      <c r="A20" s="19" t="inlineStr">
        <is>
          <t>Huella de la ejecución (SHA-256)</t>
        </is>
      </c>
      <c r="B20" s="19" t="inlineStr"/>
    </row>
  </sheetData>
  <mergeCells count="2">
    <mergeCell ref="A2:F2"/>
    <mergeCell ref="A1:F1"/>
  </mergeCells>
  <hyperlinks>
    <hyperlink xmlns:r="http://schemas.openxmlformats.org/officeDocument/2006/relationships" ref="H1" r:id="rId1"/>
    <hyperlink xmlns:r="http://schemas.openxmlformats.org/officeDocument/2006/relationships" ref="J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2"/>
  <sheetViews>
    <sheetView showGridLines="0" workbookViewId="0">
      <pane ySplit="4" topLeftCell="A5" activePane="bottomLeft" state="frozen"/>
      <selection pane="bottomLeft" activeCell="A1" sqref="A1"/>
    </sheetView>
  </sheetViews>
  <sheetFormatPr baseColWidth="8" defaultRowHeight="15"/>
  <cols>
    <col width="12" customWidth="1" min="1" max="1"/>
    <col width="41" customWidth="1" min="2" max="2"/>
    <col width="27" customWidth="1" min="3" max="3"/>
    <col width="60" customWidth="1" min="4" max="4"/>
    <col width="60" customWidth="1" min="5" max="5"/>
    <col width="60" customWidth="1" min="6" max="6"/>
    <col width="60" customWidth="1" min="7" max="7"/>
  </cols>
  <sheetData>
    <row r="1">
      <c r="A1" s="3" t="inlineStr">
        <is>
          <t>Programa</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row>
    <row r="4" ht="30" customHeight="1">
      <c r="A4" s="17" t="inlineStr">
        <is>
          <t>Código</t>
        </is>
      </c>
      <c r="B4" s="17" t="inlineStr">
        <is>
          <t>Objetivo</t>
        </is>
      </c>
      <c r="C4" s="17" t="inlineStr">
        <is>
          <t>Afirmación</t>
        </is>
      </c>
      <c r="D4" s="17" t="inlineStr">
        <is>
          <t>Procedimiento</t>
        </is>
      </c>
      <c r="E4" s="17" t="inlineStr">
        <is>
          <t>Evidencia</t>
        </is>
      </c>
      <c r="F4" s="17" t="inlineStr">
        <is>
          <t>Criterio</t>
        </is>
      </c>
      <c r="G4" s="17" t="inlineStr">
        <is>
          <t>Referencia</t>
        </is>
      </c>
    </row>
    <row r="5">
      <c r="A5" s="18" t="inlineStr">
        <is>
          <t>DEU-01</t>
        </is>
      </c>
      <c r="B5" s="18" t="inlineStr">
        <is>
          <t>Existencia e integridad de la deuda</t>
        </is>
      </c>
      <c r="C5" s="18" t="inlineStr">
        <is>
          <t>Existencia / Integridad</t>
        </is>
      </c>
      <c r="D5" s="18" t="inlineStr">
        <is>
          <t>Confirmar con cada banco saldo, tasa, garantías y covenants; conciliar confirmado vs registrado y vs tabla</t>
        </is>
      </c>
      <c r="E5" s="18" t="inlineStr">
        <is>
          <t>Confirmaciones bancarias, cédula 09</t>
        </is>
      </c>
      <c r="F5" s="18" t="inlineStr">
        <is>
          <t>Diferencias explicadas</t>
        </is>
      </c>
      <c r="G5" s="18" t="inlineStr">
        <is>
          <t>NIA 505 · NIIF 9 3.1.1</t>
        </is>
      </c>
    </row>
    <row r="6">
      <c r="A6" s="19" t="inlineStr">
        <is>
          <t>DEU-02</t>
        </is>
      </c>
      <c r="B6" s="19" t="inlineStr">
        <is>
          <t>Tabla de amortización e intereses</t>
        </is>
      </c>
      <c r="C6" s="19" t="inlineStr">
        <is>
          <t>Valoración / Corte</t>
        </is>
      </c>
      <c r="D6" s="19" t="inlineStr">
        <is>
          <t>Rehacer la tabla contractual, recalcular el interés del ejercicio y el devengado al corte</t>
        </is>
      </c>
      <c r="E6" s="19" t="inlineStr">
        <is>
          <t>Contratos, tablas del banco, cédulas 05, 06 y 08</t>
        </is>
      </c>
      <c r="F6" s="19" t="inlineStr">
        <is>
          <t>Diferencias cuantificadas</t>
        </is>
      </c>
      <c r="G6" s="19" t="inlineStr">
        <is>
          <t>NIIF 9 4.2.1, 5.3.1 y Apéndice A (método del interés efectivo) · PYMES 11.15–11.20</t>
        </is>
      </c>
    </row>
    <row r="7">
      <c r="A7" s="18" t="inlineStr">
        <is>
          <t>DEU-03</t>
        </is>
      </c>
      <c r="B7" s="18" t="inlineStr">
        <is>
          <t>Tasa de interés efectiva y comisiones</t>
        </is>
      </c>
      <c r="C7" s="18" t="inlineStr">
        <is>
          <t>Valoración</t>
        </is>
      </c>
      <c r="D7" s="18" t="inlineStr">
        <is>
          <t>Calcular la TIE con los costos de transacción y comparar el costo amortizado con lo registrado</t>
        </is>
      </c>
      <c r="E7" s="18" t="inlineStr">
        <is>
          <t>Liquidaciones de desembolso, cédulas 04 y 07</t>
        </is>
      </c>
      <c r="F7" s="18" t="inlineStr">
        <is>
          <t>Costo amortizado a la TIE</t>
        </is>
      </c>
      <c r="G7" s="18" t="inlineStr">
        <is>
          <t>NIIF 9 5.1.1 y Apéndice A · PYMES 11.13</t>
        </is>
      </c>
    </row>
    <row r="8">
      <c r="A8" s="19" t="inlineStr">
        <is>
          <t>DEU-04</t>
        </is>
      </c>
      <c r="B8" s="19" t="inlineStr">
        <is>
          <t>Covenants y dispensas</t>
        </is>
      </c>
      <c r="C8" s="19" t="inlineStr">
        <is>
          <t>Presentación</t>
        </is>
      </c>
      <c r="D8" s="19" t="inlineStr">
        <is>
          <t>Recalcular los ratios pactados, verificar la fecha de medición de cada condición, los incumplimientos y la fecha y alcance de las dispensas</t>
        </is>
      </c>
      <c r="E8" s="19" t="inlineStr">
        <is>
          <t>Contratos, cartas de dispensa, cédulas 10 y 12</t>
        </is>
      </c>
      <c r="F8" s="19" t="inlineStr">
        <is>
          <t>NIC 1 72B (solo inciden las condiciones a cumplir al cierre o antes), 74–75 y 76ZA (revelación de las condiciones futuras)</t>
        </is>
      </c>
      <c r="G8" s="19" t="inlineStr">
        <is>
          <t>NIC 1 69–76 y 76ZA · PYMES 4.7 (NIC 1 72B por analogía, 10.6)</t>
        </is>
      </c>
    </row>
    <row r="9">
      <c r="A9" s="18" t="inlineStr">
        <is>
          <t>DEU-08</t>
        </is>
      </c>
      <c r="B9" s="18" t="inlineStr">
        <is>
          <t>Revelación de impagos e incumplimientos</t>
        </is>
      </c>
      <c r="C9" s="18" t="inlineStr">
        <is>
          <t>Presentación / Revelación</t>
        </is>
      </c>
      <c r="D9" s="18" t="inlineStr">
        <is>
          <t>Identificar impagos e infracciones no subsanados al cierre y verificar su revelación en las notas</t>
        </is>
      </c>
      <c r="E9" s="18" t="inlineStr">
        <is>
          <t>Contratos, estados de cuenta, cartas del banco, notas a los estados financieros</t>
        </is>
      </c>
      <c r="F9" s="18" t="inlineStr">
        <is>
          <t>Detalle del incumplimiento, importe en libros y si se subsanó o renegoció antes de la autorización</t>
        </is>
      </c>
      <c r="G9" s="18" t="inlineStr">
        <is>
          <t>NIIF 7 párr. 18–19 · PYMES 11.47 · NIA 560</t>
        </is>
      </c>
    </row>
    <row r="10">
      <c r="A10" s="19" t="inlineStr">
        <is>
          <t>DEU-05</t>
        </is>
      </c>
      <c r="B10" s="19" t="inlineStr">
        <is>
          <t>Clasificación corriente / no corriente</t>
        </is>
      </c>
      <c r="C10" s="19" t="inlineStr">
        <is>
          <t>Presentación</t>
        </is>
      </c>
      <c r="D10" s="19" t="inlineStr">
        <is>
          <t>Recalcular lo que vence en 12 meses y aplicar el efecto de los covenants</t>
        </is>
      </c>
      <c r="E10" s="19" t="inlineStr">
        <is>
          <t>Cédula 11</t>
        </is>
      </c>
      <c r="F10" s="19" t="inlineStr">
        <is>
          <t>NIC 1 69 c), 72B y 74</t>
        </is>
      </c>
      <c r="G10" s="19" t="inlineStr">
        <is>
          <t>NIC 1 69–76 · PYMES 4.7</t>
        </is>
      </c>
    </row>
    <row r="11">
      <c r="A11" s="18" t="inlineStr">
        <is>
          <t>DEU-06</t>
        </is>
      </c>
      <c r="B11" s="18" t="inlineStr">
        <is>
          <t>Endeudamiento y capacidad de pago</t>
        </is>
      </c>
      <c r="C11" s="18" t="inlineStr">
        <is>
          <t>Presentación / Revelación</t>
        </is>
      </c>
      <c r="D11" s="18" t="inlineStr">
        <is>
          <t>Analizar deuda/activos, deuda/patrimonio, deuda/EBITDA y cobertura (analítica, no requisito NIIF). Para el DSCR, obtener del contrato su definición (numerador y denominador) y usarla; sin definición contractual el DSCR se presenta como «DSCR analítico de la firma», como indicador</t>
        </is>
      </c>
      <c r="E11" s="18" t="inlineStr">
        <is>
          <t>Estados financieros, contratos de préstamo, cédula 12</t>
        </is>
      </c>
      <c r="F11" s="18" t="inlineStr">
        <is>
          <t>El contrato manda: el «DSCR analítico de la firma» no concluye incumplimiento del covenant</t>
        </is>
      </c>
      <c r="G11" s="18" t="inlineStr">
        <is>
          <t>NIA 520 párr. 5–6 · NIA 570 · NIIF 7 18–19</t>
        </is>
      </c>
    </row>
    <row r="12">
      <c r="A12" s="19" t="inlineStr">
        <is>
          <t>DEU-07</t>
        </is>
      </c>
      <c r="B12" s="19" t="inlineStr">
        <is>
          <t>Modificaciones y refinanciaciones</t>
        </is>
      </c>
      <c r="C12" s="19" t="inlineStr">
        <is>
          <t>Valoración</t>
        </is>
      </c>
      <c r="D12" s="19" t="inlineStr">
        <is>
          <t>Obtener la adenda con sus flujos, cargar en el anexo de flujos los contractuales originales restantes y los modificados y resolver la prueba del 10 % descontando a la tasa de interés efectiva original</t>
        </is>
      </c>
      <c r="E12" s="19" t="inlineStr">
        <is>
          <t>Adendas con su tabla de flujos, liquidaciones de comisiones, confirmaciones, cédulas 14 y 15</t>
        </is>
      </c>
      <c r="F12" s="19" t="inlineStr">
        <is>
          <t>Sin flujos comparables la prueba no concluye: «dato insuficiente: conclusión bloqueada»; nunca se presume «no sustancial»</t>
        </is>
      </c>
      <c r="G12" s="19" t="inlineStr">
        <is>
          <t>NIIF 9 3.3.2 y B3.3.6 · PYMES 11.37 (sin umbral; el 10 % por analogía, 10.6) · NIA 560</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9"/>
  <sheetViews>
    <sheetView showGridLines="0" workbookViewId="0">
      <pane ySplit="4" topLeftCell="A5" activePane="bottomLeft" state="frozen"/>
      <selection pane="bottomLeft" activeCell="A1" sqref="A1"/>
    </sheetView>
  </sheetViews>
  <sheetFormatPr baseColWidth="8" defaultRowHeight="15"/>
  <cols>
    <col width="26" customWidth="1" min="1" max="1"/>
    <col width="60" customWidth="1" min="2" max="2"/>
    <col width="60" customWidth="1" min="3" max="3"/>
    <col width="12" customWidth="1" min="4" max="4"/>
    <col width="12" customWidth="1" min="5" max="5"/>
  </cols>
  <sheetData>
    <row r="1">
      <c r="A1" s="3" t="inlineStr">
        <is>
          <t>Base técnica</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row>
    <row r="4" ht="30" customHeight="1">
      <c r="A4" s="17" t="inlineStr">
        <is>
          <t>Categoría</t>
        </is>
      </c>
      <c r="B4" s="17" t="inlineStr">
        <is>
          <t>Documento</t>
        </is>
      </c>
      <c r="C4" s="17" t="inlineStr">
        <is>
          <t>Párrafos</t>
        </is>
      </c>
      <c r="D4" s="17" t="inlineStr">
        <is>
          <t>URL</t>
        </is>
      </c>
      <c r="E4" s="17" t="inlineStr">
        <is>
          <t>Verificada</t>
        </is>
      </c>
    </row>
    <row r="5">
      <c r="A5" s="18" t="inlineStr">
        <is>
          <t>NIA · NIA 505</t>
        </is>
      </c>
      <c r="B5" s="18" t="inlineStr">
        <is>
          <t>Confirmación externa de saldos, tasas, garantías y covenants con los bancos.</t>
        </is>
      </c>
      <c r="C5" s="18" t="inlineStr">
        <is>
          <t>párr. 7 y 14</t>
        </is>
      </c>
      <c r="D5" s="18" t="inlineStr"/>
      <c r="E5" s="18" t="inlineStr"/>
    </row>
    <row r="6">
      <c r="A6" s="19" t="inlineStr">
        <is>
          <t>NIA · NIA 500</t>
        </is>
      </c>
      <c r="B6" s="19" t="inlineStr">
        <is>
          <t>Exactitud e integridad del anexo de préstamos contra el mayor y los contratos.</t>
        </is>
      </c>
      <c r="C6" s="19" t="inlineStr">
        <is>
          <t>párr. 9</t>
        </is>
      </c>
      <c r="D6" s="19" t="inlineStr"/>
      <c r="E6" s="19" t="inlineStr"/>
    </row>
    <row r="7">
      <c r="A7" s="18" t="inlineStr">
        <is>
          <t>NIA · NIA 540 (Revisada)</t>
        </is>
      </c>
      <c r="B7" s="18" t="inlineStr">
        <is>
          <t>Método (TIE), datos (contratos) y supuestos del costo amortizado.</t>
        </is>
      </c>
      <c r="C7" s="18" t="inlineStr">
        <is>
          <t>párr. 13, 18–30 (22–25: métodos, supuestos significativos y datos)</t>
        </is>
      </c>
      <c r="D7" s="18" t="inlineStr"/>
      <c r="E7" s="18" t="inlineStr"/>
    </row>
    <row r="8">
      <c r="A8" s="19" t="inlineStr">
        <is>
          <t>NIA · NIA 560</t>
        </is>
      </c>
      <c r="B8" s="19" t="inlineStr">
        <is>
          <t>Dispensas, refinanciaciones y pagos posteriores al cierre.</t>
        </is>
      </c>
      <c r="C8" s="19" t="inlineStr">
        <is>
          <t>párr. 6</t>
        </is>
      </c>
      <c r="D8" s="19" t="inlineStr"/>
      <c r="E8" s="19" t="inlineStr"/>
    </row>
    <row r="9">
      <c r="A9" s="18" t="inlineStr">
        <is>
          <t>NIA · NIA 570 (Revisada)</t>
        </is>
      </c>
      <c r="B9" s="18" t="inlineStr">
        <is>
          <t>Incumplimientos de covenants y capacidad de pago como indicios de empresa en marcha. La NIA 570 (Revisada 2024) rige para períodos desde el 15-12-2026.</t>
        </is>
      </c>
      <c r="C9" s="18" t="inlineStr">
        <is>
          <t>párr. 10–16</t>
        </is>
      </c>
      <c r="D9" s="18" t="inlineStr"/>
      <c r="E9" s="18"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60" customWidth="1" min="1" max="1"/>
    <col width="20" customWidth="1" min="2" max="2"/>
  </cols>
  <sheetData>
    <row r="1">
      <c r="A1" s="3" t="inlineStr">
        <is>
          <t>Resumen</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row>
    <row r="4" ht="30" customHeight="1">
      <c r="A4" s="17" t="inlineStr">
        <is>
          <t>Concepto</t>
        </is>
      </c>
      <c r="B4" s="17" t="inlineStr">
        <is>
          <t>Importe</t>
        </is>
      </c>
    </row>
    <row r="5">
      <c r="A5" s="18" t="inlineStr">
        <is>
          <t>Obligaciones financieras registradas (capital + intereses)</t>
        </is>
      </c>
      <c r="B5" s="20">
        <f>'13_Conciliacion'!E12</f>
        <v/>
      </c>
    </row>
    <row r="6">
      <c r="A6" s="19" t="inlineStr">
        <is>
          <t>Costo amortizado recalculado (con interés devengado)</t>
        </is>
      </c>
      <c r="B6" s="21">
        <f>'13_Conciliacion'!B12</f>
        <v/>
      </c>
    </row>
    <row r="7">
      <c r="A7" s="18" t="inlineStr">
        <is>
          <t>Ajuste propuesto al pasivo</t>
        </is>
      </c>
      <c r="B7" s="20">
        <f>B6-B5</f>
        <v/>
      </c>
    </row>
    <row r="8">
      <c r="A8" s="19" t="inlineStr">
        <is>
          <t>Capital contractual según tablas</t>
        </is>
      </c>
      <c r="B8" s="21">
        <f>SUM('06_Costo_amortizado'!E5:E11)</f>
        <v/>
      </c>
    </row>
    <row r="9">
      <c r="A9" s="18" t="inlineStr">
        <is>
          <t>Interés contractual devengado al corte</t>
        </is>
      </c>
      <c r="B9" s="20">
        <f>SUM('06_Costo_amortizado'!F5:F11)</f>
        <v/>
      </c>
    </row>
    <row r="10">
      <c r="A10" s="19" t="inlineStr">
        <is>
          <t>Intereses por pagar registrados</t>
        </is>
      </c>
      <c r="B10" s="21">
        <f>'13_Conciliacion'!D12</f>
        <v/>
      </c>
    </row>
    <row r="11">
      <c r="A11" s="18" t="inlineStr">
        <is>
          <t>Pasivo corriente auditado</t>
        </is>
      </c>
      <c r="B11" s="20">
        <f>'13_Conciliacion'!G12</f>
        <v/>
      </c>
    </row>
    <row r="12">
      <c r="A12" s="19" t="inlineStr">
        <is>
          <t>Pasivo no corriente auditado</t>
        </is>
      </c>
      <c r="B12" s="21">
        <f>'13_Conciliacion'!H12</f>
        <v/>
      </c>
    </row>
    <row r="13">
      <c r="A13" s="18" t="inlineStr">
        <is>
          <t>Reclasificación a corriente por covenants</t>
        </is>
      </c>
      <c r="B13" s="20">
        <f>SUM('11_Clasificacion'!G5:G11)-SUM('11_Clasificacion'!E5:E11)</f>
        <v/>
      </c>
    </row>
    <row r="14">
      <c r="A14" s="19" t="inlineStr">
        <is>
          <t>Gasto financiero del ejercicio (TIE)</t>
        </is>
      </c>
      <c r="B14" s="21">
        <f>'13_Conciliacion'!I12</f>
        <v/>
      </c>
    </row>
    <row r="15">
      <c r="A15" s="18" t="inlineStr">
        <is>
          <t>Diferencia de gasto financiero (préstamos con gasto registrado)</t>
        </is>
      </c>
      <c r="B15" s="20">
        <f>SUM('08_Intereses'!G5:G11)</f>
        <v/>
      </c>
    </row>
    <row r="16">
      <c r="A16" s="19" t="inlineStr">
        <is>
          <t>Costos de transacción por amortizar al corte</t>
        </is>
      </c>
      <c r="B16" s="21">
        <f>SUM('07_Comisiones'!G5:G11)</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Importe</t>
        </is>
      </c>
      <c r="B20" s="25" t="inlineStr">
        <is>
          <t>'='13_Conciliacion'!E12</t>
        </is>
      </c>
      <c r="C20" s="24" t="inlineStr">
        <is>
          <t>Trae cada importe de la cédula donde se calcula, concepto por concepto: los saldos auditados, registrados, el ajuste, la clasificación y el gasto salen de los totales de la hoja 13 (Conciliación y ajuste); el capital y el interés devengado, de la hoja 06 (Costo amortizado); la diferencia de gasto, de la hoja 08; los costos por amortizar, de la hoja 07; la reclasificación por covenants, de la hoja 11. El ajuste es el pasivo recalculado menos el registrado de este mismo resumen.</t>
        </is>
      </c>
      <c r="D20" s="24" t="inlineStr">
        <is>
          <t>Fila 1: 654.889,82 → 654.889,82</t>
        </is>
      </c>
      <c r="E20" s="24" t="inlineStr">
        <is>
          <t>hoja «Conciliación y ajuste»</t>
        </is>
      </c>
      <c r="F20"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60" customWidth="1" min="1" max="1"/>
    <col width="60" customWidth="1" min="2" max="2"/>
    <col width="60" customWidth="1" min="3" max="3"/>
  </cols>
  <sheetData>
    <row r="1">
      <c r="A1" s="3" t="inlineStr">
        <is>
          <t>Parámetros</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row>
    <row r="4" ht="30" customHeight="1">
      <c r="A4" s="17" t="inlineStr">
        <is>
          <t>Parámetro</t>
        </is>
      </c>
      <c r="B4" s="17" t="inlineStr">
        <is>
          <t>Valor</t>
        </is>
      </c>
      <c r="C4" s="17" t="inlineStr">
        <is>
          <t>Sustento</t>
        </is>
      </c>
    </row>
    <row r="5">
      <c r="A5" s="18" t="inlineStr">
        <is>
          <t>Fecha de corte</t>
        </is>
      </c>
      <c r="B5" s="26" t="n">
        <v>46022</v>
      </c>
      <c r="C5" s="18" t="inlineStr">
        <is>
          <t>Ficha del encargo</t>
        </is>
      </c>
    </row>
    <row r="6">
      <c r="A6" s="19" t="inlineStr">
        <is>
          <t>Inicio del ejercicio (corte − 12 meses)</t>
        </is>
      </c>
      <c r="B6" s="27" t="n">
        <v>45657</v>
      </c>
      <c r="C6" s="19" t="inlineStr">
        <is>
          <t>Base del gasto financiero del ejercicio</t>
        </is>
      </c>
    </row>
    <row r="7">
      <c r="A7" s="18" t="inlineStr">
        <is>
          <t>Marco y ruta de cálculo</t>
        </is>
      </c>
      <c r="B7" s="18" t="inlineStr">
        <is>
          <t>NIIF completas · NIIF 9 (5.1.1, 4.2.1, 5.3.1 y Apéndice A) y NIC 1 69–76 (modificaciones 2020/2022, vigentes desde 2024)</t>
        </is>
      </c>
      <c r="C7" s="18" t="inlineStr">
        <is>
          <t>El modelo de costo amortizado es el mismo en ambos marcos; cambian las citas</t>
        </is>
      </c>
    </row>
    <row r="8">
      <c r="A8" s="19" t="inlineStr">
        <is>
          <t>Total de activos de la entidad al corte</t>
        </is>
      </c>
      <c r="B8" s="28" t="n">
        <v>2500000</v>
      </c>
      <c r="C8" s="19" t="inlineStr">
        <is>
          <t>Estados financieros al corte</t>
        </is>
      </c>
    </row>
    <row r="9">
      <c r="A9" s="18" t="inlineStr">
        <is>
          <t>Patrimonio de la entidad al corte</t>
        </is>
      </c>
      <c r="B9" s="29" t="n">
        <v>800000</v>
      </c>
      <c r="C9" s="18" t="inlineStr">
        <is>
          <t>Estados financieros al corte (admite negativo)</t>
        </is>
      </c>
    </row>
    <row r="10">
      <c r="A10" s="19" t="inlineStr">
        <is>
          <t>EBITDA del ejercicio</t>
        </is>
      </c>
      <c r="B10" s="28" t="n">
        <v>300000</v>
      </c>
      <c r="C10" s="19" t="inlineStr">
        <is>
          <t>Estado de resultados; use la definición del contrato, que manda sobre cualquier otra</t>
        </is>
      </c>
    </row>
    <row r="11">
      <c r="A11" s="18" t="inlineStr">
        <is>
          <t>EBIT (utilidad operativa) del ejercicio</t>
        </is>
      </c>
      <c r="B11" s="29" t="n">
        <v>220000</v>
      </c>
      <c r="C11" s="18" t="inlineStr">
        <is>
          <t>Estado de resultados</t>
        </is>
      </c>
    </row>
    <row r="12">
      <c r="A12" s="19" t="inlineStr">
        <is>
          <t>Efectivo disponible para el servicio de la deuda</t>
        </is>
      </c>
      <c r="B12" s="28" t="n">
        <v>200000</v>
      </c>
      <c r="C12" s="19" t="inlineStr">
        <is>
          <t>Use la definición del contrato de préstamo, que manda sobre cualquier otra</t>
        </is>
      </c>
    </row>
    <row r="13">
      <c r="A13" s="18" t="inlineStr">
        <is>
          <t>Base de la cobertura de intereses (EBITDA / EBIT)</t>
        </is>
      </c>
      <c r="B13" s="18" t="inlineStr">
        <is>
          <t>EBITDA</t>
        </is>
      </c>
      <c r="C13" s="18" t="inlineStr">
        <is>
          <t>EBITDA o EBIT, según el contrato</t>
        </is>
      </c>
    </row>
    <row r="14">
      <c r="A14" s="19" t="inlineStr">
        <is>
          <t>Límite máximo deuda / activos (veces)</t>
        </is>
      </c>
      <c r="B14" s="28" t="n">
        <v>0.6</v>
      </c>
      <c r="C14" s="19" t="inlineStr">
        <is>
          <t>Contrato de préstamo</t>
        </is>
      </c>
    </row>
    <row r="15">
      <c r="A15" s="18" t="inlineStr">
        <is>
          <t>Límite máximo deuda / patrimonio (veces)</t>
        </is>
      </c>
      <c r="B15" s="29" t="n">
        <v>1.2</v>
      </c>
      <c r="C15" s="18" t="inlineStr">
        <is>
          <t>Contrato de préstamo</t>
        </is>
      </c>
    </row>
    <row r="16">
      <c r="A16" s="19" t="inlineStr">
        <is>
          <t>Límite máximo deuda / EBITDA (veces)</t>
        </is>
      </c>
      <c r="B16" s="28" t="n">
        <v>1.8</v>
      </c>
      <c r="C16" s="19" t="inlineStr">
        <is>
          <t>Contrato de préstamo</t>
        </is>
      </c>
    </row>
    <row r="17">
      <c r="A17" s="18" t="inlineStr">
        <is>
          <t>Límite mínimo de cobertura de intereses (veces)</t>
        </is>
      </c>
      <c r="B17" s="29" t="n">
        <v>3</v>
      </c>
      <c r="C17" s="18" t="inlineStr">
        <is>
          <t>Contrato de préstamo</t>
        </is>
      </c>
    </row>
    <row r="18">
      <c r="A18" s="19" t="inlineStr">
        <is>
          <t>Límite mínimo DSCR (veces)</t>
        </is>
      </c>
      <c r="B18" s="28" t="n">
        <v>1.25</v>
      </c>
      <c r="C18" s="19" t="inlineStr">
        <is>
          <t>Contrato de préstamo</t>
        </is>
      </c>
    </row>
    <row r="19">
      <c r="A19" s="18" t="inlineStr">
        <is>
          <t>Definición contractual del DSCR (numerador ÷ denominador, según el contrato)</t>
        </is>
      </c>
      <c r="B19" s="18" t="inlineStr">
        <is>
          <t>Flujo de caja operativo antes de intereses ÷ servicio de la deuda del ejercicio (cláusula 8.2 del contrato)</t>
        </is>
      </c>
      <c r="C19" s="18" t="inlineStr">
        <is>
          <t>Transcriba la definición del contrato (numerador ÷ denominador). El contrato manda: sin esta definición el DSCR se muestra como «DSCR analítico de la firma» y no concluye incumplimiento del covenant</t>
        </is>
      </c>
    </row>
    <row r="20">
      <c r="A20" s="19" t="inlineStr">
        <is>
          <t>Servicio de la deuda del DSCR según el contrato</t>
        </is>
      </c>
      <c r="B20" s="19" t="n"/>
      <c r="C20" s="19" t="inlineStr">
        <is>
          <t>Contrato de préstamo; vacío = servicio de la deuda del ejercicio según las tablas (cédula 12)</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X11"/>
  <sheetViews>
    <sheetView showGridLines="0" workbookViewId="0">
      <pane ySplit="4" topLeftCell="A5" activePane="bottomLeft" state="frozen"/>
      <selection pane="bottomLeft" activeCell="A1" sqref="A1"/>
    </sheetView>
  </sheetViews>
  <sheetFormatPr baseColWidth="8" defaultRowHeight="15"/>
  <cols>
    <col width="12" customWidth="1" min="1" max="1"/>
    <col width="33" customWidth="1" min="2" max="2"/>
    <col width="21" customWidth="1" min="3" max="3"/>
    <col width="20" customWidth="1" min="4" max="4"/>
    <col width="15" customWidth="1" min="5" max="5"/>
    <col width="24" customWidth="1" min="6" max="6"/>
    <col width="59" customWidth="1" min="7" max="7"/>
    <col width="49" customWidth="1" min="8" max="8"/>
    <col width="36" customWidth="1" min="9" max="9"/>
    <col width="58" customWidth="1" min="10" max="10"/>
    <col width="48" customWidth="1" min="11" max="11"/>
    <col width="42" customWidth="1" min="12" max="12"/>
    <col width="29" customWidth="1" min="13" max="13"/>
    <col width="33" customWidth="1" min="14" max="14"/>
    <col width="37" customWidth="1" min="15" max="15"/>
    <col width="30" customWidth="1" min="16" max="16"/>
    <col width="60" customWidth="1" min="17" max="17"/>
    <col width="46" customWidth="1" min="18" max="18"/>
    <col width="32" customWidth="1" min="19" max="19"/>
    <col width="42" customWidth="1" min="20" max="20"/>
    <col width="32" customWidth="1" min="21" max="21"/>
    <col width="53" customWidth="1" min="22" max="22"/>
    <col width="35" customWidth="1" min="23" max="23"/>
    <col width="60" customWidth="1" min="24" max="24"/>
  </cols>
  <sheetData>
    <row r="1">
      <c r="A1" s="3" t="inlineStr">
        <is>
          <t>Universo de préstamos</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c r="J2" s="16" t="n"/>
      <c r="K2" s="16" t="n"/>
      <c r="L2" s="16" t="n"/>
      <c r="M2" s="16" t="n"/>
      <c r="N2" s="16" t="n"/>
      <c r="O2" s="16" t="n"/>
      <c r="P2" s="16" t="n"/>
      <c r="Q2" s="16" t="n"/>
      <c r="R2" s="16" t="n"/>
      <c r="S2" s="16" t="n"/>
      <c r="T2" s="16" t="n"/>
      <c r="U2" s="16" t="n"/>
      <c r="V2" s="16" t="n"/>
      <c r="W2" s="16" t="n"/>
      <c r="X2" s="16" t="n"/>
    </row>
    <row r="4" ht="30" customHeight="1">
      <c r="A4" s="17" t="inlineStr">
        <is>
          <t>Operación</t>
        </is>
      </c>
      <c r="B4" s="17" t="inlineStr">
        <is>
          <t>Banco / acreedor</t>
        </is>
      </c>
      <c r="C4" s="17" t="inlineStr">
        <is>
          <t>Fecha de desembolso</t>
        </is>
      </c>
      <c r="D4" s="17" t="inlineStr">
        <is>
          <t>Monto desembolsado</t>
        </is>
      </c>
      <c r="E4" s="17" t="inlineStr">
        <is>
          <t>Plazo (meses)</t>
        </is>
      </c>
      <c r="F4" s="17" t="inlineStr">
        <is>
          <t>Tasa nominal anual (%)</t>
        </is>
      </c>
      <c r="G4" s="17" t="inlineStr">
        <is>
          <t>Periodicidad de pago (mensual/trimestral/semestral/anual)</t>
        </is>
      </c>
      <c r="H4" s="17" t="inlineStr">
        <is>
          <t>Sistema de amortización (francés/alemán/bullet)</t>
        </is>
      </c>
      <c r="I4" s="17" t="inlineStr">
        <is>
          <t>Comisiones y costos de transacción</t>
        </is>
      </c>
      <c r="J4" s="17" t="inlineStr">
        <is>
          <t>Tratamiento de las comisiones por el cliente (TIE/gasto)</t>
        </is>
      </c>
      <c r="K4" s="17" t="inlineStr">
        <is>
          <t>Pagos realizados en el año (capital + interés)</t>
        </is>
      </c>
      <c r="L4" s="17" t="inlineStr">
        <is>
          <t>Saldo de capital confirmado por el banco</t>
        </is>
      </c>
      <c r="M4" s="17" t="inlineStr">
        <is>
          <t>Saldo de capital registrado</t>
        </is>
      </c>
      <c r="N4" s="17" t="inlineStr">
        <is>
          <t>Intereses por pagar registrados</t>
        </is>
      </c>
      <c r="O4" s="17" t="inlineStr">
        <is>
          <t>Gasto financiero registrado del año</t>
        </is>
      </c>
      <c r="P4" s="17" t="inlineStr">
        <is>
          <t>Porción corriente registrada</t>
        </is>
      </c>
      <c r="Q4" s="17" t="inlineStr">
        <is>
          <t>Covenant (deuda/activos, deuda/patrimonio, deuda/EBITDA, cobertura de intereses, DSCR)</t>
        </is>
      </c>
      <c r="R4" s="17" t="inlineStr">
        <is>
          <t>Incumplimiento de covenant declarado (sí/no)</t>
        </is>
      </c>
      <c r="S4" s="17" t="inlineStr">
        <is>
          <t>Fecha de la dispensa del banco</t>
        </is>
      </c>
      <c r="T4" s="17" t="inlineStr">
        <is>
          <t>Fin del período de gracia de la dispensa</t>
        </is>
      </c>
      <c r="U4" s="17" t="inlineStr">
        <is>
          <t>Fecha de medición del covenant</t>
        </is>
      </c>
      <c r="V4" s="17" t="inlineStr">
        <is>
          <t>Modificación de condiciones en el ejercicio (sí/no)</t>
        </is>
      </c>
      <c r="W4" s="17" t="inlineStr">
        <is>
          <t>Fecha de la modificación (adenda)</t>
        </is>
      </c>
      <c r="X4" s="17" t="inlineStr">
        <is>
          <t>Comisiones pagadas al prestamista netas de las recibidas por la modificación</t>
        </is>
      </c>
    </row>
    <row r="5">
      <c r="A5" s="18" t="inlineStr">
        <is>
          <t>OP-101</t>
        </is>
      </c>
      <c r="B5" s="18" t="inlineStr">
        <is>
          <t>Banco Pichincha</t>
        </is>
      </c>
      <c r="C5" s="30" t="n">
        <v>45306</v>
      </c>
      <c r="D5" s="20" t="n">
        <v>120000</v>
      </c>
      <c r="E5" s="20" t="n">
        <v>36</v>
      </c>
      <c r="F5" s="20" t="n">
        <v>11</v>
      </c>
      <c r="G5" s="18" t="inlineStr">
        <is>
          <t>Mensual</t>
        </is>
      </c>
      <c r="H5" s="18" t="inlineStr">
        <is>
          <t>Francés</t>
        </is>
      </c>
      <c r="I5" s="20" t="n">
        <v>2400</v>
      </c>
      <c r="J5" s="18" t="inlineStr">
        <is>
          <t>Gasto</t>
        </is>
      </c>
      <c r="K5" s="20" t="n">
        <v>47143.75</v>
      </c>
      <c r="L5" s="20" t="n">
        <v>47940.12</v>
      </c>
      <c r="M5" s="20" t="n">
        <v>47940.12</v>
      </c>
      <c r="N5" s="20" t="n">
        <v>226.81</v>
      </c>
      <c r="O5" s="20" t="n">
        <v>7478.25</v>
      </c>
      <c r="P5" s="20" t="n"/>
      <c r="Q5" s="18" t="n"/>
      <c r="R5" s="18" t="n"/>
      <c r="S5" s="31" t="n"/>
      <c r="T5" s="31" t="n"/>
      <c r="U5" s="31" t="n"/>
      <c r="V5" s="18" t="inlineStr">
        <is>
          <t>No</t>
        </is>
      </c>
      <c r="W5" s="31" t="n"/>
      <c r="X5" s="20" t="n"/>
    </row>
    <row r="6">
      <c r="A6" s="19" t="inlineStr">
        <is>
          <t>OP-102</t>
        </is>
      </c>
      <c r="B6" s="19" t="inlineStr">
        <is>
          <t>Produbanco</t>
        </is>
      </c>
      <c r="C6" s="32" t="n">
        <v>45717</v>
      </c>
      <c r="D6" s="21" t="n">
        <v>200000</v>
      </c>
      <c r="E6" s="21" t="n">
        <v>60</v>
      </c>
      <c r="F6" s="21" t="n">
        <v>10</v>
      </c>
      <c r="G6" s="19" t="inlineStr">
        <is>
          <t>Trimestral</t>
        </is>
      </c>
      <c r="H6" s="19" t="inlineStr">
        <is>
          <t>Alemán</t>
        </is>
      </c>
      <c r="I6" s="21" t="n">
        <v>3000</v>
      </c>
      <c r="J6" s="19" t="inlineStr">
        <is>
          <t>TIE</t>
        </is>
      </c>
      <c r="K6" s="21" t="n">
        <v>44250</v>
      </c>
      <c r="L6" s="21" t="n">
        <v>170000</v>
      </c>
      <c r="M6" s="21" t="n">
        <v>167760.65</v>
      </c>
      <c r="N6" s="21" t="n"/>
      <c r="O6" s="21" t="n">
        <v>15010.65</v>
      </c>
      <c r="P6" s="21" t="n">
        <v>41494.17</v>
      </c>
      <c r="Q6" s="19" t="inlineStr">
        <is>
          <t>Deuda / EBITDA</t>
        </is>
      </c>
      <c r="R6" s="19" t="inlineStr">
        <is>
          <t>Sí</t>
        </is>
      </c>
      <c r="S6" s="32" t="n">
        <v>46042</v>
      </c>
      <c r="T6" s="32" t="n">
        <v>46568</v>
      </c>
      <c r="U6" s="32" t="n">
        <v>46022</v>
      </c>
      <c r="V6" s="19" t="inlineStr">
        <is>
          <t>No</t>
        </is>
      </c>
      <c r="W6" s="33" t="n"/>
      <c r="X6" s="21" t="n"/>
    </row>
    <row r="7">
      <c r="A7" s="18" t="inlineStr">
        <is>
          <t>OP-103</t>
        </is>
      </c>
      <c r="B7" s="18" t="inlineStr">
        <is>
          <t>Banco Guayaquil</t>
        </is>
      </c>
      <c r="C7" s="30" t="n">
        <v>45108</v>
      </c>
      <c r="D7" s="20" t="n">
        <v>300000</v>
      </c>
      <c r="E7" s="20" t="n">
        <v>48</v>
      </c>
      <c r="F7" s="20" t="n">
        <v>9.5</v>
      </c>
      <c r="G7" s="18" t="inlineStr">
        <is>
          <t>Semestral</t>
        </is>
      </c>
      <c r="H7" s="18" t="inlineStr">
        <is>
          <t>Francés</t>
        </is>
      </c>
      <c r="I7" s="20" t="n"/>
      <c r="J7" s="18" t="n"/>
      <c r="K7" s="20" t="n">
        <v>91897.17999999999</v>
      </c>
      <c r="L7" s="20" t="n">
        <v>163882.07</v>
      </c>
      <c r="M7" s="20" t="n">
        <v>163882.07</v>
      </c>
      <c r="N7" s="20" t="n">
        <v>7742.09</v>
      </c>
      <c r="O7" s="20" t="n">
        <v>17317.78</v>
      </c>
      <c r="P7" s="20" t="n">
        <v>70000</v>
      </c>
      <c r="Q7" s="18" t="inlineStr">
        <is>
          <t>Cobertura de intereses</t>
        </is>
      </c>
      <c r="R7" s="18" t="inlineStr">
        <is>
          <t>No</t>
        </is>
      </c>
      <c r="S7" s="31" t="n"/>
      <c r="T7" s="31" t="n"/>
      <c r="U7" s="31" t="n"/>
      <c r="V7" s="18" t="inlineStr">
        <is>
          <t>Sí</t>
        </is>
      </c>
      <c r="W7" s="30" t="n">
        <v>45992</v>
      </c>
      <c r="X7" s="20" t="n">
        <v>1500</v>
      </c>
    </row>
    <row r="8">
      <c r="A8" s="19" t="inlineStr">
        <is>
          <t>OP-104</t>
        </is>
      </c>
      <c r="B8" s="19" t="inlineStr">
        <is>
          <t>Banco del Pacífico</t>
        </is>
      </c>
      <c r="C8" s="32" t="n">
        <v>45838</v>
      </c>
      <c r="D8" s="21" t="n">
        <v>150000</v>
      </c>
      <c r="E8" s="21" t="n">
        <v>24</v>
      </c>
      <c r="F8" s="21" t="n">
        <v>12</v>
      </c>
      <c r="G8" s="19" t="inlineStr">
        <is>
          <t>Semestral</t>
        </is>
      </c>
      <c r="H8" s="19" t="inlineStr">
        <is>
          <t>Bullet</t>
        </is>
      </c>
      <c r="I8" s="21" t="n">
        <v>1500</v>
      </c>
      <c r="J8" s="19" t="inlineStr">
        <is>
          <t>TIE</t>
        </is>
      </c>
      <c r="K8" s="21" t="n">
        <v>9000</v>
      </c>
      <c r="L8" s="21" t="n">
        <v>150000</v>
      </c>
      <c r="M8" s="21" t="n">
        <v>145000</v>
      </c>
      <c r="N8" s="21" t="n">
        <v>49.45</v>
      </c>
      <c r="O8" s="21" t="n">
        <v>9392.860000000001</v>
      </c>
      <c r="P8" s="21" t="n"/>
      <c r="Q8" s="19" t="n"/>
      <c r="R8" s="19" t="n"/>
      <c r="S8" s="33" t="n"/>
      <c r="T8" s="33" t="n"/>
      <c r="U8" s="33" t="n"/>
      <c r="V8" s="19" t="inlineStr">
        <is>
          <t>No</t>
        </is>
      </c>
      <c r="W8" s="33" t="n"/>
      <c r="X8" s="21" t="n"/>
    </row>
    <row r="9">
      <c r="A9" s="18" t="inlineStr">
        <is>
          <t>OP-105</t>
        </is>
      </c>
      <c r="B9" s="18" t="inlineStr">
        <is>
          <t>Corporación Financiera Nacional</t>
        </is>
      </c>
      <c r="C9" s="30" t="n">
        <v>44562</v>
      </c>
      <c r="D9" s="20" t="n">
        <v>80000</v>
      </c>
      <c r="E9" s="20" t="n">
        <v>60</v>
      </c>
      <c r="F9" s="20" t="n">
        <v>8</v>
      </c>
      <c r="G9" s="18" t="inlineStr">
        <is>
          <t>Mensual</t>
        </is>
      </c>
      <c r="H9" s="18" t="inlineStr">
        <is>
          <t>Francés</t>
        </is>
      </c>
      <c r="I9" s="20" t="n"/>
      <c r="J9" s="18" t="n"/>
      <c r="K9" s="20" t="n">
        <v>19465.34</v>
      </c>
      <c r="L9" s="20" t="n">
        <v>20135.32</v>
      </c>
      <c r="M9" s="20" t="n">
        <v>20135.32</v>
      </c>
      <c r="N9" s="20" t="n">
        <v>129.91</v>
      </c>
      <c r="O9" s="20" t="n">
        <v>2250.69</v>
      </c>
      <c r="P9" s="20" t="n">
        <v>18653.85</v>
      </c>
      <c r="Q9" s="18" t="inlineStr">
        <is>
          <t>Deuda / patrimonio</t>
        </is>
      </c>
      <c r="R9" s="18" t="inlineStr">
        <is>
          <t>Sí</t>
        </is>
      </c>
      <c r="S9" s="30" t="n">
        <v>46006</v>
      </c>
      <c r="T9" s="30" t="n">
        <v>46477</v>
      </c>
      <c r="U9" s="30" t="n">
        <v>46022</v>
      </c>
      <c r="V9" s="18" t="inlineStr">
        <is>
          <t>Sí</t>
        </is>
      </c>
      <c r="W9" s="31" t="n"/>
      <c r="X9" s="20" t="n"/>
    </row>
    <row r="10">
      <c r="A10" s="19" t="inlineStr">
        <is>
          <t>OP-106</t>
        </is>
      </c>
      <c r="B10" s="19" t="inlineStr">
        <is>
          <t>Banco Internacional</t>
        </is>
      </c>
      <c r="C10" s="32" t="n">
        <v>45931</v>
      </c>
      <c r="D10" s="21" t="n">
        <v>50000</v>
      </c>
      <c r="E10" s="21" t="n">
        <v>12</v>
      </c>
      <c r="F10" s="21" t="n">
        <v>13</v>
      </c>
      <c r="G10" s="19" t="inlineStr">
        <is>
          <t>Mensual</t>
        </is>
      </c>
      <c r="H10" s="19" t="inlineStr">
        <is>
          <t>Francés</t>
        </is>
      </c>
      <c r="I10" s="21" t="n"/>
      <c r="J10" s="19" t="n"/>
      <c r="K10" s="21" t="n">
        <v>8931.73</v>
      </c>
      <c r="L10" s="21" t="n">
        <v>42109.09</v>
      </c>
      <c r="M10" s="21" t="n">
        <v>42109.09</v>
      </c>
      <c r="N10" s="21" t="n">
        <v>441.47</v>
      </c>
      <c r="O10" s="21" t="n">
        <v>1482.29</v>
      </c>
      <c r="P10" s="21" t="n">
        <v>42550.56</v>
      </c>
      <c r="Q10" s="19" t="n"/>
      <c r="R10" s="19" t="n"/>
      <c r="S10" s="33" t="n"/>
      <c r="T10" s="33" t="n"/>
      <c r="U10" s="33" t="n"/>
      <c r="V10" s="19" t="inlineStr">
        <is>
          <t>No</t>
        </is>
      </c>
      <c r="W10" s="33" t="n"/>
      <c r="X10" s="21" t="n"/>
    </row>
    <row r="11">
      <c r="A11" s="18" t="inlineStr">
        <is>
          <t>OP-107</t>
        </is>
      </c>
      <c r="B11" s="18" t="inlineStr">
        <is>
          <t>Banco Bolivariano</t>
        </is>
      </c>
      <c r="C11" s="30" t="n">
        <v>45474</v>
      </c>
      <c r="D11" s="20" t="n">
        <v>100000</v>
      </c>
      <c r="E11" s="20" t="n">
        <v>36</v>
      </c>
      <c r="F11" s="20" t="n">
        <v>10.5</v>
      </c>
      <c r="G11" s="18" t="inlineStr">
        <is>
          <t>Trimestral</t>
        </is>
      </c>
      <c r="H11" s="18" t="inlineStr">
        <is>
          <t>Alemán</t>
        </is>
      </c>
      <c r="I11" s="20" t="n">
        <v>1000</v>
      </c>
      <c r="J11" s="18" t="inlineStr">
        <is>
          <t>TIE</t>
        </is>
      </c>
      <c r="K11" s="20" t="n">
        <v>40000</v>
      </c>
      <c r="L11" s="20" t="n">
        <v>58333.33</v>
      </c>
      <c r="M11" s="20" t="n">
        <v>57958.23</v>
      </c>
      <c r="N11" s="20" t="n">
        <v>1514.61</v>
      </c>
      <c r="O11" s="20" t="n">
        <v>7881.2</v>
      </c>
      <c r="P11" s="20" t="n">
        <v>34938.2</v>
      </c>
      <c r="Q11" s="18" t="inlineStr">
        <is>
          <t>DSCR</t>
        </is>
      </c>
      <c r="R11" s="18" t="n"/>
      <c r="S11" s="31" t="n"/>
      <c r="T11" s="31" t="n"/>
      <c r="U11" s="30" t="n">
        <v>46203</v>
      </c>
      <c r="V11" s="18" t="inlineStr">
        <is>
          <t>No</t>
        </is>
      </c>
      <c r="W11" s="31" t="n"/>
      <c r="X11" s="20" t="n"/>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29"/>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21" customWidth="1" min="4" max="4"/>
    <col width="39" customWidth="1" min="5" max="5"/>
    <col width="15" customWidth="1" min="6" max="6"/>
    <col width="19" customWidth="1" min="7" max="7"/>
    <col width="12" customWidth="1" min="8" max="8"/>
    <col width="24" customWidth="1" min="9" max="9"/>
    <col width="24" customWidth="1" min="10" max="10"/>
    <col width="22" customWidth="1" min="11" max="11"/>
    <col width="35" customWidth="1" min="12" max="12"/>
    <col width="21" customWidth="1" min="13" max="13"/>
    <col width="33" customWidth="1" min="14" max="14"/>
    <col width="37" customWidth="1" min="15" max="15"/>
  </cols>
  <sheetData>
    <row r="1">
      <c r="A1" s="3" t="inlineStr">
        <is>
          <t>Condiciones y tasa de interés efectiva</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c r="J2" s="16" t="n"/>
      <c r="K2" s="16" t="n"/>
      <c r="L2" s="16" t="n"/>
      <c r="M2" s="16" t="n"/>
      <c r="N2" s="16" t="n"/>
      <c r="O2" s="16" t="n"/>
    </row>
    <row r="4" ht="30" customHeight="1">
      <c r="A4" s="17" t="inlineStr">
        <is>
          <t>Operación</t>
        </is>
      </c>
      <c r="B4" s="17" t="inlineStr">
        <is>
          <t>Sistema</t>
        </is>
      </c>
      <c r="C4" s="17" t="inlineStr">
        <is>
          <t>Monto</t>
        </is>
      </c>
      <c r="D4" s="17" t="inlineStr">
        <is>
          <t>Comisiones y costos</t>
        </is>
      </c>
      <c r="E4" s="17" t="inlineStr">
        <is>
          <t>Importe neto recibido (5.1.1 / 11.13)</t>
        </is>
      </c>
      <c r="F4" s="17" t="inlineStr">
        <is>
          <t>Plazo (meses)</t>
        </is>
      </c>
      <c r="G4" s="17" t="inlineStr">
        <is>
          <t>Meses por período</t>
        </is>
      </c>
      <c r="H4" s="17" t="inlineStr">
        <is>
          <t>Períodos</t>
        </is>
      </c>
      <c r="I4" s="17" t="inlineStr">
        <is>
          <t>Tasa nominal anual (%)</t>
        </is>
      </c>
      <c r="J4" s="17" t="inlineStr">
        <is>
          <t>Tasa periódica nominal</t>
        </is>
      </c>
      <c r="K4" s="17" t="inlineStr">
        <is>
          <t>Cuota fija (francés)</t>
        </is>
      </c>
      <c r="L4" s="17" t="inlineStr">
        <is>
          <t>TIE periódica (TIR de los flujos)</t>
        </is>
      </c>
      <c r="M4" s="17" t="inlineStr">
        <is>
          <t>TIE anual efectiva</t>
        </is>
      </c>
      <c r="N4" s="17" t="inlineStr">
        <is>
          <t>Tasa efectiva anual contractual</t>
        </is>
      </c>
      <c r="O4" s="17" t="inlineStr">
        <is>
          <t>Efecto de las comisiones en la tasa</t>
        </is>
      </c>
    </row>
    <row r="5">
      <c r="A5" s="18" t="inlineStr">
        <is>
          <t>OP-101</t>
        </is>
      </c>
      <c r="B5" s="18">
        <f>'03_Prestamos'!H5</f>
        <v/>
      </c>
      <c r="C5" s="20">
        <f>'03_Prestamos'!D5</f>
        <v/>
      </c>
      <c r="D5" s="20">
        <f>N('03_Prestamos'!I5)</f>
        <v/>
      </c>
      <c r="E5" s="20">
        <f>C5-D5</f>
        <v/>
      </c>
      <c r="F5" s="34">
        <f>'03_Prestamos'!E5</f>
        <v/>
      </c>
      <c r="G5" s="34">
        <f>IF('03_Prestamos'!G5="Mensual",1,IF('03_Prestamos'!G5="Trimestral",3,IF('03_Prestamos'!G5="Semestral",6,12)))</f>
        <v/>
      </c>
      <c r="H5" s="34">
        <f>F5/G5</f>
        <v/>
      </c>
      <c r="I5" s="29">
        <f>'03_Prestamos'!F5</f>
        <v/>
      </c>
      <c r="J5" s="35">
        <f>I5/100*G5/12</f>
        <v/>
      </c>
      <c r="K5" s="20">
        <f>IF(B5="Francés",PMT(J5,H5,-C5),"")</f>
        <v/>
      </c>
      <c r="L5" s="35">
        <f>IRR('05_Tabla_amortizacion'!I5:I41,J5)</f>
        <v/>
      </c>
      <c r="M5" s="35">
        <f>(1+L5)^(12/G5)-1</f>
        <v/>
      </c>
      <c r="N5" s="35">
        <f>(1+J5)^(12/G5)-1</f>
        <v/>
      </c>
      <c r="O5" s="35">
        <f>M5-N5</f>
        <v/>
      </c>
    </row>
    <row r="6">
      <c r="A6" s="19" t="inlineStr">
        <is>
          <t>OP-102</t>
        </is>
      </c>
      <c r="B6" s="19">
        <f>'03_Prestamos'!H6</f>
        <v/>
      </c>
      <c r="C6" s="21">
        <f>'03_Prestamos'!D6</f>
        <v/>
      </c>
      <c r="D6" s="21">
        <f>N('03_Prestamos'!I6)</f>
        <v/>
      </c>
      <c r="E6" s="21">
        <f>C6-D6</f>
        <v/>
      </c>
      <c r="F6" s="36">
        <f>'03_Prestamos'!E6</f>
        <v/>
      </c>
      <c r="G6" s="36">
        <f>IF('03_Prestamos'!G6="Mensual",1,IF('03_Prestamos'!G6="Trimestral",3,IF('03_Prestamos'!G6="Semestral",6,12)))</f>
        <v/>
      </c>
      <c r="H6" s="36">
        <f>F6/G6</f>
        <v/>
      </c>
      <c r="I6" s="28">
        <f>'03_Prestamos'!F6</f>
        <v/>
      </c>
      <c r="J6" s="37">
        <f>I6/100*G6/12</f>
        <v/>
      </c>
      <c r="K6" s="21">
        <f>IF(B6="Francés",PMT(J6,H6,-C6),"")</f>
        <v/>
      </c>
      <c r="L6" s="37">
        <f>IRR('05_Tabla_amortizacion'!I42:I62,J6)</f>
        <v/>
      </c>
      <c r="M6" s="37">
        <f>(1+L6)^(12/G6)-1</f>
        <v/>
      </c>
      <c r="N6" s="37">
        <f>(1+J6)^(12/G6)-1</f>
        <v/>
      </c>
      <c r="O6" s="37">
        <f>M6-N6</f>
        <v/>
      </c>
    </row>
    <row r="7">
      <c r="A7" s="18" t="inlineStr">
        <is>
          <t>OP-103</t>
        </is>
      </c>
      <c r="B7" s="18">
        <f>'03_Prestamos'!H7</f>
        <v/>
      </c>
      <c r="C7" s="20">
        <f>'03_Prestamos'!D7</f>
        <v/>
      </c>
      <c r="D7" s="20">
        <f>N('03_Prestamos'!I7)</f>
        <v/>
      </c>
      <c r="E7" s="20">
        <f>C7-D7</f>
        <v/>
      </c>
      <c r="F7" s="34">
        <f>'03_Prestamos'!E7</f>
        <v/>
      </c>
      <c r="G7" s="34">
        <f>IF('03_Prestamos'!G7="Mensual",1,IF('03_Prestamos'!G7="Trimestral",3,IF('03_Prestamos'!G7="Semestral",6,12)))</f>
        <v/>
      </c>
      <c r="H7" s="34">
        <f>F7/G7</f>
        <v/>
      </c>
      <c r="I7" s="29">
        <f>'03_Prestamos'!F7</f>
        <v/>
      </c>
      <c r="J7" s="35">
        <f>I7/100*G7/12</f>
        <v/>
      </c>
      <c r="K7" s="20">
        <f>IF(B7="Francés",PMT(J7,H7,-C7),"")</f>
        <v/>
      </c>
      <c r="L7" s="35">
        <f>IRR('05_Tabla_amortizacion'!I63:I71,J7)</f>
        <v/>
      </c>
      <c r="M7" s="35">
        <f>(1+L7)^(12/G7)-1</f>
        <v/>
      </c>
      <c r="N7" s="35">
        <f>(1+J7)^(12/G7)-1</f>
        <v/>
      </c>
      <c r="O7" s="35">
        <f>M7-N7</f>
        <v/>
      </c>
    </row>
    <row r="8">
      <c r="A8" s="19" t="inlineStr">
        <is>
          <t>OP-104</t>
        </is>
      </c>
      <c r="B8" s="19">
        <f>'03_Prestamos'!H8</f>
        <v/>
      </c>
      <c r="C8" s="21">
        <f>'03_Prestamos'!D8</f>
        <v/>
      </c>
      <c r="D8" s="21">
        <f>N('03_Prestamos'!I8)</f>
        <v/>
      </c>
      <c r="E8" s="21">
        <f>C8-D8</f>
        <v/>
      </c>
      <c r="F8" s="36">
        <f>'03_Prestamos'!E8</f>
        <v/>
      </c>
      <c r="G8" s="36">
        <f>IF('03_Prestamos'!G8="Mensual",1,IF('03_Prestamos'!G8="Trimestral",3,IF('03_Prestamos'!G8="Semestral",6,12)))</f>
        <v/>
      </c>
      <c r="H8" s="36">
        <f>F8/G8</f>
        <v/>
      </c>
      <c r="I8" s="28">
        <f>'03_Prestamos'!F8</f>
        <v/>
      </c>
      <c r="J8" s="37">
        <f>I8/100*G8/12</f>
        <v/>
      </c>
      <c r="K8" s="21">
        <f>IF(B8="Francés",PMT(J8,H8,-C8),"")</f>
        <v/>
      </c>
      <c r="L8" s="37">
        <f>IRR('05_Tabla_amortizacion'!I72:I76,J8)</f>
        <v/>
      </c>
      <c r="M8" s="37">
        <f>(1+L8)^(12/G8)-1</f>
        <v/>
      </c>
      <c r="N8" s="37">
        <f>(1+J8)^(12/G8)-1</f>
        <v/>
      </c>
      <c r="O8" s="37">
        <f>M8-N8</f>
        <v/>
      </c>
    </row>
    <row r="9">
      <c r="A9" s="18" t="inlineStr">
        <is>
          <t>OP-105</t>
        </is>
      </c>
      <c r="B9" s="18">
        <f>'03_Prestamos'!H9</f>
        <v/>
      </c>
      <c r="C9" s="20">
        <f>'03_Prestamos'!D9</f>
        <v/>
      </c>
      <c r="D9" s="20">
        <f>N('03_Prestamos'!I9)</f>
        <v/>
      </c>
      <c r="E9" s="20">
        <f>C9-D9</f>
        <v/>
      </c>
      <c r="F9" s="34">
        <f>'03_Prestamos'!E9</f>
        <v/>
      </c>
      <c r="G9" s="34">
        <f>IF('03_Prestamos'!G9="Mensual",1,IF('03_Prestamos'!G9="Trimestral",3,IF('03_Prestamos'!G9="Semestral",6,12)))</f>
        <v/>
      </c>
      <c r="H9" s="34">
        <f>F9/G9</f>
        <v/>
      </c>
      <c r="I9" s="29">
        <f>'03_Prestamos'!F9</f>
        <v/>
      </c>
      <c r="J9" s="35">
        <f>I9/100*G9/12</f>
        <v/>
      </c>
      <c r="K9" s="20">
        <f>IF(B9="Francés",PMT(J9,H9,-C9),"")</f>
        <v/>
      </c>
      <c r="L9" s="35">
        <f>IRR('05_Tabla_amortizacion'!I77:I137,J9)</f>
        <v/>
      </c>
      <c r="M9" s="35">
        <f>(1+L9)^(12/G9)-1</f>
        <v/>
      </c>
      <c r="N9" s="35">
        <f>(1+J9)^(12/G9)-1</f>
        <v/>
      </c>
      <c r="O9" s="35">
        <f>M9-N9</f>
        <v/>
      </c>
    </row>
    <row r="10">
      <c r="A10" s="19" t="inlineStr">
        <is>
          <t>OP-106</t>
        </is>
      </c>
      <c r="B10" s="19">
        <f>'03_Prestamos'!H10</f>
        <v/>
      </c>
      <c r="C10" s="21">
        <f>'03_Prestamos'!D10</f>
        <v/>
      </c>
      <c r="D10" s="21">
        <f>N('03_Prestamos'!I10)</f>
        <v/>
      </c>
      <c r="E10" s="21">
        <f>C10-D10</f>
        <v/>
      </c>
      <c r="F10" s="36">
        <f>'03_Prestamos'!E10</f>
        <v/>
      </c>
      <c r="G10" s="36">
        <f>IF('03_Prestamos'!G10="Mensual",1,IF('03_Prestamos'!G10="Trimestral",3,IF('03_Prestamos'!G10="Semestral",6,12)))</f>
        <v/>
      </c>
      <c r="H10" s="36">
        <f>F10/G10</f>
        <v/>
      </c>
      <c r="I10" s="28">
        <f>'03_Prestamos'!F10</f>
        <v/>
      </c>
      <c r="J10" s="37">
        <f>I10/100*G10/12</f>
        <v/>
      </c>
      <c r="K10" s="21">
        <f>IF(B10="Francés",PMT(J10,H10,-C10),"")</f>
        <v/>
      </c>
      <c r="L10" s="37">
        <f>IRR('05_Tabla_amortizacion'!I138:I150,J10)</f>
        <v/>
      </c>
      <c r="M10" s="37">
        <f>(1+L10)^(12/G10)-1</f>
        <v/>
      </c>
      <c r="N10" s="37">
        <f>(1+J10)^(12/G10)-1</f>
        <v/>
      </c>
      <c r="O10" s="37">
        <f>M10-N10</f>
        <v/>
      </c>
    </row>
    <row r="11">
      <c r="A11" s="18" t="inlineStr">
        <is>
          <t>OP-107</t>
        </is>
      </c>
      <c r="B11" s="18">
        <f>'03_Prestamos'!H11</f>
        <v/>
      </c>
      <c r="C11" s="20">
        <f>'03_Prestamos'!D11</f>
        <v/>
      </c>
      <c r="D11" s="20">
        <f>N('03_Prestamos'!I11)</f>
        <v/>
      </c>
      <c r="E11" s="20">
        <f>C11-D11</f>
        <v/>
      </c>
      <c r="F11" s="34">
        <f>'03_Prestamos'!E11</f>
        <v/>
      </c>
      <c r="G11" s="34">
        <f>IF('03_Prestamos'!G11="Mensual",1,IF('03_Prestamos'!G11="Trimestral",3,IF('03_Prestamos'!G11="Semestral",6,12)))</f>
        <v/>
      </c>
      <c r="H11" s="34">
        <f>F11/G11</f>
        <v/>
      </c>
      <c r="I11" s="29">
        <f>'03_Prestamos'!F11</f>
        <v/>
      </c>
      <c r="J11" s="35">
        <f>I11/100*G11/12</f>
        <v/>
      </c>
      <c r="K11" s="20">
        <f>IF(B11="Francés",PMT(J11,H11,-C11),"")</f>
        <v/>
      </c>
      <c r="L11" s="35">
        <f>IRR('05_Tabla_amortizacion'!I151:I163,J11)</f>
        <v/>
      </c>
      <c r="M11" s="35">
        <f>(1+L11)^(12/G11)-1</f>
        <v/>
      </c>
      <c r="N11" s="35">
        <f>(1+J11)^(12/G11)-1</f>
        <v/>
      </c>
      <c r="O11" s="35">
        <f>M11-N11</f>
        <v/>
      </c>
    </row>
    <row r="12">
      <c r="A12" s="38" t="inlineStr">
        <is>
          <t>TOTAL</t>
        </is>
      </c>
      <c r="B12" s="38" t="inlineStr"/>
      <c r="C12" s="39">
        <f>SUM(C5:C11)</f>
        <v/>
      </c>
      <c r="D12" s="39">
        <f>SUM(D5:D11)</f>
        <v/>
      </c>
      <c r="E12" s="39">
        <f>SUM(E5:E11)</f>
        <v/>
      </c>
      <c r="F12" s="40" t="n"/>
      <c r="G12" s="40" t="n"/>
      <c r="H12" s="40" t="n"/>
      <c r="I12" s="38" t="n"/>
      <c r="J12" s="41" t="n"/>
      <c r="K12" s="39" t="n"/>
      <c r="L12" s="41" t="n"/>
      <c r="M12" s="41" t="n"/>
      <c r="N12" s="41" t="n"/>
      <c r="O12" s="41" t="n"/>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Sistema</t>
        </is>
      </c>
      <c r="B16" s="25" t="inlineStr">
        <is>
          <t>'='03_Prestamos'!H5</t>
        </is>
      </c>
      <c r="C16" s="24" t="inlineStr">
        <is>
          <t>Copia el sistema de amortización del préstamo (francés, alemán o bullet) tal como quedó en la hoja 03 (Universo de préstamos).</t>
        </is>
      </c>
      <c r="D16" s="24" t="inlineStr">
        <is>
          <t>Fila 1: «Francés» → Francés</t>
        </is>
      </c>
      <c r="E16" s="24" t="inlineStr">
        <is>
          <t>hoja «Universo de préstamos»</t>
        </is>
      </c>
      <c r="F16" s="24" t="inlineStr">
        <is>
          <t>—</t>
        </is>
      </c>
    </row>
    <row r="17">
      <c r="A17" s="24" t="inlineStr">
        <is>
          <t>Monto</t>
        </is>
      </c>
      <c r="B17" s="25" t="inlineStr">
        <is>
          <t>'='03_Prestamos'!D5</t>
        </is>
      </c>
      <c r="C17" s="24" t="inlineStr">
        <is>
          <t>Copia el monto desembolsado por el banco para esta operación desde la hoja 03 (Universo de préstamos).</t>
        </is>
      </c>
      <c r="D17" s="24" t="inlineStr">
        <is>
          <t>Fila 1: 120.000,00 → 120.000,00</t>
        </is>
      </c>
      <c r="E17" s="24" t="inlineStr">
        <is>
          <t>hoja «Universo de préstamos»</t>
        </is>
      </c>
      <c r="F17" s="24" t="inlineStr">
        <is>
          <t>—</t>
        </is>
      </c>
    </row>
    <row r="18">
      <c r="A18" s="24" t="inlineStr">
        <is>
          <t>Comisiones y costos</t>
        </is>
      </c>
      <c r="B18" s="25" t="inlineStr">
        <is>
          <t>'=N('03_Prestamos'!I5)</t>
        </is>
      </c>
      <c r="C18" s="24" t="inlineStr">
        <is>
          <t>Trae las comisiones y costos de transacción pagados al obtener el préstamo desde la hoja 03 (Universo de préstamos); si el cliente no los informó, se toman como cero.</t>
        </is>
      </c>
      <c r="D18" s="24" t="inlineStr">
        <is>
          <t>Fila 1: N(2.400,00) → 2.400,00</t>
        </is>
      </c>
      <c r="E18" s="24" t="inlineStr">
        <is>
          <t>hoja «Universo de préstamos»</t>
        </is>
      </c>
      <c r="F18" s="24" t="inlineStr">
        <is>
          <t>—</t>
        </is>
      </c>
    </row>
    <row r="19">
      <c r="A19" s="24" t="inlineStr">
        <is>
          <t>Importe neto recibido (5.1.1 / 11.13)</t>
        </is>
      </c>
      <c r="B19" s="25" t="inlineStr">
        <is>
          <t>'=C5-D5</t>
        </is>
      </c>
      <c r="C19" s="24" t="inlineStr">
        <is>
          <t>Resta al monto desembolsado las comisiones y costos de transacción: es el dinero que realmente recibió la entidad y el punto de partida del costo amortizado.</t>
        </is>
      </c>
      <c r="D19" s="24" t="inlineStr">
        <is>
          <t>Fila 1: 120.000,00-2.400,00 → 117.600,00</t>
        </is>
      </c>
      <c r="E19" s="24" t="inlineStr">
        <is>
          <t>«Monto» (esta hoja), «Comisiones y costos» (esta hoja)</t>
        </is>
      </c>
      <c r="F19" s="24" t="inlineStr">
        <is>
          <t>—</t>
        </is>
      </c>
    </row>
    <row r="20">
      <c r="A20" s="24" t="inlineStr">
        <is>
          <t>Plazo (meses)</t>
        </is>
      </c>
      <c r="B20" s="25" t="inlineStr">
        <is>
          <t>'='03_Prestamos'!E5</t>
        </is>
      </c>
      <c r="C20" s="24" t="inlineStr">
        <is>
          <t>Copia el plazo total del préstamo, en meses, informado en la hoja 03 (Universo de préstamos).</t>
        </is>
      </c>
      <c r="D20" s="24" t="inlineStr">
        <is>
          <t>Fila 1: 36,00 → 36</t>
        </is>
      </c>
      <c r="E20" s="24" t="inlineStr">
        <is>
          <t>hoja «Universo de préstamos»</t>
        </is>
      </c>
      <c r="F20" s="24" t="inlineStr">
        <is>
          <t>—</t>
        </is>
      </c>
    </row>
    <row r="21">
      <c r="A21" s="24" t="inlineStr">
        <is>
          <t>Meses por período</t>
        </is>
      </c>
      <c r="B21" s="25" t="inlineStr">
        <is>
          <t>'=IF('03_Prestamos'!G5="Mensual",1,IF('03_Prestamos'!G5="Trimestral",3,IF('03_Prestamos'!G5="Semestral",6,12)))</t>
        </is>
      </c>
      <c r="C21" s="24" t="inlineStr">
        <is>
          <t>Convierte la periodicidad de pago de la hoja 03 en meses: mensual = 1, trimestral = 3, semestral = 6 y cualquier otra (anual) = 12.</t>
        </is>
      </c>
      <c r="D21" s="24" t="inlineStr">
        <is>
          <t>Fila 1: IF(«Mensual»="Mensual"; 1; IF(«Mensual»="Trimestral"; 3; IF(«Mensual»="Semestral"; 6; 12))) → 1</t>
        </is>
      </c>
      <c r="E21" s="24" t="inlineStr">
        <is>
          <t>hoja «Universo de préstamos»</t>
        </is>
      </c>
      <c r="F21" s="24" t="inlineStr">
        <is>
          <t>—</t>
        </is>
      </c>
    </row>
    <row r="22">
      <c r="A22" s="24" t="inlineStr">
        <is>
          <t>Períodos</t>
        </is>
      </c>
      <c r="B22" s="25" t="inlineStr">
        <is>
          <t>'=F5/G5</t>
        </is>
      </c>
      <c r="C22" s="24" t="inlineStr">
        <is>
          <t>Divide el plazo en meses para los meses de cada período: es el número de cuotas que tiene el préstamo.</t>
        </is>
      </c>
      <c r="D22" s="24" t="inlineStr">
        <is>
          <t>Fila 1: 36/1 → 36</t>
        </is>
      </c>
      <c r="E22" s="24" t="inlineStr">
        <is>
          <t>«Plazo (meses)» (esta hoja), «Meses por período» (esta hoja)</t>
        </is>
      </c>
      <c r="F22" s="24" t="inlineStr">
        <is>
          <t>—</t>
        </is>
      </c>
    </row>
    <row r="23">
      <c r="A23" s="24" t="inlineStr">
        <is>
          <t>Tasa nominal anual (%)</t>
        </is>
      </c>
      <c r="B23" s="25" t="inlineStr">
        <is>
          <t>'='03_Prestamos'!F5</t>
        </is>
      </c>
      <c r="C23" s="24" t="inlineStr">
        <is>
          <t>Copia la tasa de interés nominal anual pactada en el contrato, tal como figura en la hoja 03 (Universo de préstamos).</t>
        </is>
      </c>
      <c r="D23" s="24" t="inlineStr">
        <is>
          <t>Fila 1: 11,00 → 11,00</t>
        </is>
      </c>
      <c r="E23" s="24" t="inlineStr">
        <is>
          <t>hoja «Universo de préstamos»</t>
        </is>
      </c>
      <c r="F23" s="24" t="inlineStr">
        <is>
          <t>—</t>
        </is>
      </c>
    </row>
    <row r="24">
      <c r="A24" s="24" t="inlineStr">
        <is>
          <t>Tasa periódica nominal</t>
        </is>
      </c>
      <c r="B24" s="25" t="inlineStr">
        <is>
          <t>'=I5/100*G5/12</t>
        </is>
      </c>
      <c r="C24" s="24" t="inlineStr">
        <is>
          <t>Pasa la tasa nominal anual a la tasa de cada período: la divide para 100 y la multiplica por los meses del período sobre 12.</t>
        </is>
      </c>
      <c r="D24" s="24" t="inlineStr">
        <is>
          <t>Fila 1: 11,00/100*1/12 → 0,92 %</t>
        </is>
      </c>
      <c r="E24" s="24" t="inlineStr">
        <is>
          <t>«Tasa nominal anual (%)» (esta hoja), «Meses por período» (esta hoja)</t>
        </is>
      </c>
      <c r="F24" s="24" t="inlineStr">
        <is>
          <t>—</t>
        </is>
      </c>
    </row>
    <row r="25">
      <c r="A25" s="24" t="inlineStr">
        <is>
          <t>Cuota fija (francés)</t>
        </is>
      </c>
      <c r="B25" s="25" t="inlineStr">
        <is>
          <t>'=IF(B5="Francés",PMT(J5,H5,-C5),"")</t>
        </is>
      </c>
      <c r="C25" s="24" t="inlineStr">
        <is>
          <t>Solo para el sistema francés: calcula con la función PAGO la cuota constante que amortiza el monto en el número de períodos a la tasa periódica nominal. En alemán o bullet queda en blanco.</t>
        </is>
      </c>
      <c r="D25" s="24" t="inlineStr">
        <is>
          <t>Fila 1: IF(«Francés»="Francés"; PMT(0,92 %; 36; -120.000,00); "") → 3.928,65</t>
        </is>
      </c>
      <c r="E25" s="24" t="inlineStr">
        <is>
          <t>«Sistema» (esta hoja), «Tasa periódica nominal» (esta hoja), «Períodos» (esta hoja), «Monto» (esta hoja)</t>
        </is>
      </c>
      <c r="F25" s="24" t="inlineStr">
        <is>
          <t>—</t>
        </is>
      </c>
    </row>
    <row r="26">
      <c r="A26" s="24" t="inlineStr">
        <is>
          <t>TIE periódica (TIR de los flujos)</t>
        </is>
      </c>
      <c r="B26" s="25" t="inlineStr">
        <is>
          <t>'=IRR('05_Tabla_amortizacion'!I5:I41,J5)</t>
        </is>
      </c>
      <c r="C26" s="24" t="inlineStr">
        <is>
          <t>Calcula la TIR de los flujos de esta operación en la hoja 05 (Tabla de amortización): el importe neto recibido en negativo y luego cada pago. Es la tasa que iguala los pagos con lo recibido, e incluye el efecto de las comisiones.</t>
        </is>
      </c>
      <c r="D26" s="24" t="inlineStr">
        <is>
          <t>Fila 1: IRR([«Flujo para la TIE» de «Tabla de amortización», 37 filas]; 0,92 %) → 1,03 %</t>
        </is>
      </c>
      <c r="E26" s="24" t="inlineStr">
        <is>
          <t>«Tasa periódica nominal» (esta hoja), hoja «Tabla de amortización»</t>
        </is>
      </c>
      <c r="F26" s="24" t="inlineStr">
        <is>
          <t>—</t>
        </is>
      </c>
    </row>
    <row r="27">
      <c r="A27" s="24" t="inlineStr">
        <is>
          <t>TIE anual efectiva</t>
        </is>
      </c>
      <c r="B27" s="25" t="inlineStr">
        <is>
          <t>'=(1+L5)^(12/G5)-1</t>
        </is>
      </c>
      <c r="C27" s="24" t="inlineStr">
        <is>
          <t>Convierte la TIE periódica a tasa anual compuesta: (1 + TIE periódica) elevado al número de períodos del año, menos 1.</t>
        </is>
      </c>
      <c r="D27" s="24" t="inlineStr">
        <is>
          <t>Fila 1: (1+1,03 %)^(12/1)-1 → 13,13 %</t>
        </is>
      </c>
      <c r="E27" s="24" t="inlineStr">
        <is>
          <t>«TIE periódica (TIR de los flujos)» (esta hoja), «Meses por período» (esta hoja)</t>
        </is>
      </c>
      <c r="F27" s="24" t="inlineStr">
        <is>
          <t>—</t>
        </is>
      </c>
    </row>
    <row r="28">
      <c r="A28" s="24" t="inlineStr">
        <is>
          <t>Tasa efectiva anual contractual</t>
        </is>
      </c>
      <c r="B28" s="25" t="inlineStr">
        <is>
          <t>'=(1+J5)^(12/G5)-1</t>
        </is>
      </c>
      <c r="C28" s="24" t="inlineStr">
        <is>
          <t>Convierte la tasa periódica nominal del contrato a tasa anual compuesta, sin comisiones, para compararla con la TIE anual.</t>
        </is>
      </c>
      <c r="D28" s="24" t="inlineStr">
        <is>
          <t>Fila 1: (1+0,92 %)^(12/1)-1 → 11,57 %</t>
        </is>
      </c>
      <c r="E28" s="24" t="inlineStr">
        <is>
          <t>«Tasa periódica nominal» (esta hoja), «Meses por período» (esta hoja)</t>
        </is>
      </c>
      <c r="F28" s="24" t="inlineStr">
        <is>
          <t>—</t>
        </is>
      </c>
    </row>
    <row r="29">
      <c r="A29" s="24" t="inlineStr">
        <is>
          <t>Efecto de las comisiones en la tasa</t>
        </is>
      </c>
      <c r="B29" s="25" t="inlineStr">
        <is>
          <t>'=M5-N5</t>
        </is>
      </c>
      <c r="C29" s="24" t="inlineStr">
        <is>
          <t>Resta la tasa efectiva anual contractual de la TIE anual efectiva: muestra cuántos puntos de tasa suman las comisiones y costos de transacción.</t>
        </is>
      </c>
      <c r="D29" s="24" t="inlineStr">
        <is>
          <t>Fila 1: 13,13 %-11,57 % → 1,56 %</t>
        </is>
      </c>
      <c r="E29" s="24" t="inlineStr">
        <is>
          <t>«TIE anual efectiva» (esta hoja), «Tasa efectiva anual contractual» (esta hoja)</t>
        </is>
      </c>
      <c r="F29"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177"/>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3" customWidth="1" min="3" max="3"/>
    <col width="20" customWidth="1" min="4" max="4"/>
    <col width="20" customWidth="1" min="5" max="5"/>
    <col width="20" customWidth="1" min="6" max="6"/>
    <col width="20" customWidth="1" min="7" max="7"/>
    <col width="24" customWidth="1" min="8" max="8"/>
    <col width="20" customWidth="1" min="9" max="9"/>
    <col width="26" customWidth="1" min="10" max="10"/>
    <col width="31" customWidth="1" min="11" max="11"/>
    <col width="31" customWidth="1" min="12" max="12"/>
    <col width="25" customWidth="1" min="13" max="13"/>
  </cols>
  <sheetData>
    <row r="1">
      <c r="A1" s="3" t="inlineStr">
        <is>
          <t>Tabla de amortización</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c r="J2" s="16" t="n"/>
      <c r="K2" s="16" t="n"/>
      <c r="L2" s="16" t="n"/>
      <c r="M2" s="16" t="n"/>
    </row>
    <row r="4" ht="30" customHeight="1">
      <c r="A4" s="17" t="inlineStr">
        <is>
          <t>Operación</t>
        </is>
      </c>
      <c r="B4" s="17" t="inlineStr">
        <is>
          <t>Período</t>
        </is>
      </c>
      <c r="C4" s="17" t="inlineStr">
        <is>
          <t>Vencimiento</t>
        </is>
      </c>
      <c r="D4" s="17" t="inlineStr">
        <is>
          <t>Pago contractual</t>
        </is>
      </c>
      <c r="E4" s="17" t="inlineStr">
        <is>
          <t>Capital inicial</t>
        </is>
      </c>
      <c r="F4" s="17" t="inlineStr">
        <is>
          <t>Interés nominal</t>
        </is>
      </c>
      <c r="G4" s="17" t="inlineStr">
        <is>
          <t>Capital amortizado</t>
        </is>
      </c>
      <c r="H4" s="17" t="inlineStr">
        <is>
          <t>Capital final</t>
        </is>
      </c>
      <c r="I4" s="17" t="inlineStr">
        <is>
          <t>Flujo para la TIE</t>
        </is>
      </c>
      <c r="J4" s="17" t="inlineStr">
        <is>
          <t>Costo amortizado inicial</t>
        </is>
      </c>
      <c r="K4" s="17" t="inlineStr">
        <is>
          <t>Interés a la TIE (Apéndice A)</t>
        </is>
      </c>
      <c r="L4" s="17" t="inlineStr">
        <is>
          <t>Amortización (pago − interés)</t>
        </is>
      </c>
      <c r="M4" s="17" t="inlineStr">
        <is>
          <t>Costo amortizado final</t>
        </is>
      </c>
    </row>
    <row r="5">
      <c r="A5" s="18" t="inlineStr">
        <is>
          <t>OP-101</t>
        </is>
      </c>
      <c r="B5" s="34" t="n">
        <v>0</v>
      </c>
      <c r="C5" s="30" t="n">
        <v>45306</v>
      </c>
      <c r="D5" s="20" t="n"/>
      <c r="E5" s="20" t="n"/>
      <c r="F5" s="20" t="n"/>
      <c r="G5" s="20" t="n"/>
      <c r="H5" s="20">
        <f>'04_Condiciones_TIE'!C5</f>
        <v/>
      </c>
      <c r="I5" s="20">
        <f>-'04_Condiciones_TIE'!E5</f>
        <v/>
      </c>
      <c r="J5" s="20" t="n"/>
      <c r="K5" s="20" t="n"/>
      <c r="L5" s="20" t="n"/>
      <c r="M5" s="20">
        <f>'04_Condiciones_TIE'!E5</f>
        <v/>
      </c>
    </row>
    <row r="6">
      <c r="A6" s="19" t="inlineStr">
        <is>
          <t>OP-101</t>
        </is>
      </c>
      <c r="B6" s="36" t="n">
        <v>1</v>
      </c>
      <c r="C6" s="32" t="n">
        <v>45337</v>
      </c>
      <c r="D6" s="21">
        <f>IF('04_Condiciones_TIE'!B5="Francés",'04_Condiciones_TIE'!K5,IF('04_Condiciones_TIE'!B5="Alemán",'04_Condiciones_TIE'!C5/'04_Condiciones_TIE'!H5+F6,IF(B6&lt;'04_Condiciones_TIE'!H5,F6,F6+E6)))</f>
        <v/>
      </c>
      <c r="E6" s="21">
        <f>H5</f>
        <v/>
      </c>
      <c r="F6" s="21">
        <f>E6*'04_Condiciones_TIE'!J5</f>
        <v/>
      </c>
      <c r="G6" s="21">
        <f>D6-F6</f>
        <v/>
      </c>
      <c r="H6" s="21">
        <f>E6-G6</f>
        <v/>
      </c>
      <c r="I6" s="21">
        <f>D6</f>
        <v/>
      </c>
      <c r="J6" s="21">
        <f>M5</f>
        <v/>
      </c>
      <c r="K6" s="21">
        <f>J6*'04_Condiciones_TIE'!L5</f>
        <v/>
      </c>
      <c r="L6" s="21">
        <f>D6-K6</f>
        <v/>
      </c>
      <c r="M6" s="21">
        <f>J6-L6</f>
        <v/>
      </c>
    </row>
    <row r="7">
      <c r="A7" s="18" t="inlineStr">
        <is>
          <t>OP-101</t>
        </is>
      </c>
      <c r="B7" s="34" t="n">
        <v>2</v>
      </c>
      <c r="C7" s="30" t="n">
        <v>45366</v>
      </c>
      <c r="D7" s="20">
        <f>IF('04_Condiciones_TIE'!B5="Francés",'04_Condiciones_TIE'!K5,IF('04_Condiciones_TIE'!B5="Alemán",'04_Condiciones_TIE'!C5/'04_Condiciones_TIE'!H5+F7,IF(B7&lt;'04_Condiciones_TIE'!H5,F7,F7+E7)))</f>
        <v/>
      </c>
      <c r="E7" s="20">
        <f>H6</f>
        <v/>
      </c>
      <c r="F7" s="20">
        <f>E7*'04_Condiciones_TIE'!J5</f>
        <v/>
      </c>
      <c r="G7" s="20">
        <f>D7-F7</f>
        <v/>
      </c>
      <c r="H7" s="20">
        <f>E7-G7</f>
        <v/>
      </c>
      <c r="I7" s="20">
        <f>D7</f>
        <v/>
      </c>
      <c r="J7" s="20">
        <f>M6</f>
        <v/>
      </c>
      <c r="K7" s="20">
        <f>J7*'04_Condiciones_TIE'!L5</f>
        <v/>
      </c>
      <c r="L7" s="20">
        <f>D7-K7</f>
        <v/>
      </c>
      <c r="M7" s="20">
        <f>J7-L7</f>
        <v/>
      </c>
    </row>
    <row r="8">
      <c r="A8" s="19" t="inlineStr">
        <is>
          <t>OP-101</t>
        </is>
      </c>
      <c r="B8" s="36" t="n">
        <v>3</v>
      </c>
      <c r="C8" s="32" t="n">
        <v>45397</v>
      </c>
      <c r="D8" s="21">
        <f>IF('04_Condiciones_TIE'!B5="Francés",'04_Condiciones_TIE'!K5,IF('04_Condiciones_TIE'!B5="Alemán",'04_Condiciones_TIE'!C5/'04_Condiciones_TIE'!H5+F8,IF(B8&lt;'04_Condiciones_TIE'!H5,F8,F8+E8)))</f>
        <v/>
      </c>
      <c r="E8" s="21">
        <f>H7</f>
        <v/>
      </c>
      <c r="F8" s="21">
        <f>E8*'04_Condiciones_TIE'!J5</f>
        <v/>
      </c>
      <c r="G8" s="21">
        <f>D8-F8</f>
        <v/>
      </c>
      <c r="H8" s="21">
        <f>E8-G8</f>
        <v/>
      </c>
      <c r="I8" s="21">
        <f>D8</f>
        <v/>
      </c>
      <c r="J8" s="21">
        <f>M7</f>
        <v/>
      </c>
      <c r="K8" s="21">
        <f>J8*'04_Condiciones_TIE'!L5</f>
        <v/>
      </c>
      <c r="L8" s="21">
        <f>D8-K8</f>
        <v/>
      </c>
      <c r="M8" s="21">
        <f>J8-L8</f>
        <v/>
      </c>
    </row>
    <row r="9">
      <c r="A9" s="18" t="inlineStr">
        <is>
          <t>OP-101</t>
        </is>
      </c>
      <c r="B9" s="34" t="n">
        <v>4</v>
      </c>
      <c r="C9" s="30" t="n">
        <v>45427</v>
      </c>
      <c r="D9" s="20">
        <f>IF('04_Condiciones_TIE'!B5="Francés",'04_Condiciones_TIE'!K5,IF('04_Condiciones_TIE'!B5="Alemán",'04_Condiciones_TIE'!C5/'04_Condiciones_TIE'!H5+F9,IF(B9&lt;'04_Condiciones_TIE'!H5,F9,F9+E9)))</f>
        <v/>
      </c>
      <c r="E9" s="20">
        <f>H8</f>
        <v/>
      </c>
      <c r="F9" s="20">
        <f>E9*'04_Condiciones_TIE'!J5</f>
        <v/>
      </c>
      <c r="G9" s="20">
        <f>D9-F9</f>
        <v/>
      </c>
      <c r="H9" s="20">
        <f>E9-G9</f>
        <v/>
      </c>
      <c r="I9" s="20">
        <f>D9</f>
        <v/>
      </c>
      <c r="J9" s="20">
        <f>M8</f>
        <v/>
      </c>
      <c r="K9" s="20">
        <f>J9*'04_Condiciones_TIE'!L5</f>
        <v/>
      </c>
      <c r="L9" s="20">
        <f>D9-K9</f>
        <v/>
      </c>
      <c r="M9" s="20">
        <f>J9-L9</f>
        <v/>
      </c>
    </row>
    <row r="10">
      <c r="A10" s="19" t="inlineStr">
        <is>
          <t>OP-101</t>
        </is>
      </c>
      <c r="B10" s="36" t="n">
        <v>5</v>
      </c>
      <c r="C10" s="32" t="n">
        <v>45458</v>
      </c>
      <c r="D10" s="21">
        <f>IF('04_Condiciones_TIE'!B5="Francés",'04_Condiciones_TIE'!K5,IF('04_Condiciones_TIE'!B5="Alemán",'04_Condiciones_TIE'!C5/'04_Condiciones_TIE'!H5+F10,IF(B10&lt;'04_Condiciones_TIE'!H5,F10,F10+E10)))</f>
        <v/>
      </c>
      <c r="E10" s="21">
        <f>H9</f>
        <v/>
      </c>
      <c r="F10" s="21">
        <f>E10*'04_Condiciones_TIE'!J5</f>
        <v/>
      </c>
      <c r="G10" s="21">
        <f>D10-F10</f>
        <v/>
      </c>
      <c r="H10" s="21">
        <f>E10-G10</f>
        <v/>
      </c>
      <c r="I10" s="21">
        <f>D10</f>
        <v/>
      </c>
      <c r="J10" s="21">
        <f>M9</f>
        <v/>
      </c>
      <c r="K10" s="21">
        <f>J10*'04_Condiciones_TIE'!L5</f>
        <v/>
      </c>
      <c r="L10" s="21">
        <f>D10-K10</f>
        <v/>
      </c>
      <c r="M10" s="21">
        <f>J10-L10</f>
        <v/>
      </c>
    </row>
    <row r="11">
      <c r="A11" s="18" t="inlineStr">
        <is>
          <t>OP-101</t>
        </is>
      </c>
      <c r="B11" s="34" t="n">
        <v>6</v>
      </c>
      <c r="C11" s="30" t="n">
        <v>45488</v>
      </c>
      <c r="D11" s="20">
        <f>IF('04_Condiciones_TIE'!B5="Francés",'04_Condiciones_TIE'!K5,IF('04_Condiciones_TIE'!B5="Alemán",'04_Condiciones_TIE'!C5/'04_Condiciones_TIE'!H5+F11,IF(B11&lt;'04_Condiciones_TIE'!H5,F11,F11+E11)))</f>
        <v/>
      </c>
      <c r="E11" s="20">
        <f>H10</f>
        <v/>
      </c>
      <c r="F11" s="20">
        <f>E11*'04_Condiciones_TIE'!J5</f>
        <v/>
      </c>
      <c r="G11" s="20">
        <f>D11-F11</f>
        <v/>
      </c>
      <c r="H11" s="20">
        <f>E11-G11</f>
        <v/>
      </c>
      <c r="I11" s="20">
        <f>D11</f>
        <v/>
      </c>
      <c r="J11" s="20">
        <f>M10</f>
        <v/>
      </c>
      <c r="K11" s="20">
        <f>J11*'04_Condiciones_TIE'!L5</f>
        <v/>
      </c>
      <c r="L11" s="20">
        <f>D11-K11</f>
        <v/>
      </c>
      <c r="M11" s="20">
        <f>J11-L11</f>
        <v/>
      </c>
    </row>
    <row r="12">
      <c r="A12" s="19" t="inlineStr">
        <is>
          <t>OP-101</t>
        </is>
      </c>
      <c r="B12" s="36" t="n">
        <v>7</v>
      </c>
      <c r="C12" s="32" t="n">
        <v>45519</v>
      </c>
      <c r="D12" s="21">
        <f>IF('04_Condiciones_TIE'!B5="Francés",'04_Condiciones_TIE'!K5,IF('04_Condiciones_TIE'!B5="Alemán",'04_Condiciones_TIE'!C5/'04_Condiciones_TIE'!H5+F12,IF(B12&lt;'04_Condiciones_TIE'!H5,F12,F12+E12)))</f>
        <v/>
      </c>
      <c r="E12" s="21">
        <f>H11</f>
        <v/>
      </c>
      <c r="F12" s="21">
        <f>E12*'04_Condiciones_TIE'!J5</f>
        <v/>
      </c>
      <c r="G12" s="21">
        <f>D12-F12</f>
        <v/>
      </c>
      <c r="H12" s="21">
        <f>E12-G12</f>
        <v/>
      </c>
      <c r="I12" s="21">
        <f>D12</f>
        <v/>
      </c>
      <c r="J12" s="21">
        <f>M11</f>
        <v/>
      </c>
      <c r="K12" s="21">
        <f>J12*'04_Condiciones_TIE'!L5</f>
        <v/>
      </c>
      <c r="L12" s="21">
        <f>D12-K12</f>
        <v/>
      </c>
      <c r="M12" s="21">
        <f>J12-L12</f>
        <v/>
      </c>
    </row>
    <row r="13">
      <c r="A13" s="18" t="inlineStr">
        <is>
          <t>OP-101</t>
        </is>
      </c>
      <c r="B13" s="34" t="n">
        <v>8</v>
      </c>
      <c r="C13" s="30" t="n">
        <v>45550</v>
      </c>
      <c r="D13" s="20">
        <f>IF('04_Condiciones_TIE'!B5="Francés",'04_Condiciones_TIE'!K5,IF('04_Condiciones_TIE'!B5="Alemán",'04_Condiciones_TIE'!C5/'04_Condiciones_TIE'!H5+F13,IF(B13&lt;'04_Condiciones_TIE'!H5,F13,F13+E13)))</f>
        <v/>
      </c>
      <c r="E13" s="20">
        <f>H12</f>
        <v/>
      </c>
      <c r="F13" s="20">
        <f>E13*'04_Condiciones_TIE'!J5</f>
        <v/>
      </c>
      <c r="G13" s="20">
        <f>D13-F13</f>
        <v/>
      </c>
      <c r="H13" s="20">
        <f>E13-G13</f>
        <v/>
      </c>
      <c r="I13" s="20">
        <f>D13</f>
        <v/>
      </c>
      <c r="J13" s="20">
        <f>M12</f>
        <v/>
      </c>
      <c r="K13" s="20">
        <f>J13*'04_Condiciones_TIE'!L5</f>
        <v/>
      </c>
      <c r="L13" s="20">
        <f>D13-K13</f>
        <v/>
      </c>
      <c r="M13" s="20">
        <f>J13-L13</f>
        <v/>
      </c>
    </row>
    <row r="14">
      <c r="A14" s="19" t="inlineStr">
        <is>
          <t>OP-101</t>
        </is>
      </c>
      <c r="B14" s="36" t="n">
        <v>9</v>
      </c>
      <c r="C14" s="32" t="n">
        <v>45580</v>
      </c>
      <c r="D14" s="21">
        <f>IF('04_Condiciones_TIE'!B5="Francés",'04_Condiciones_TIE'!K5,IF('04_Condiciones_TIE'!B5="Alemán",'04_Condiciones_TIE'!C5/'04_Condiciones_TIE'!H5+F14,IF(B14&lt;'04_Condiciones_TIE'!H5,F14,F14+E14)))</f>
        <v/>
      </c>
      <c r="E14" s="21">
        <f>H13</f>
        <v/>
      </c>
      <c r="F14" s="21">
        <f>E14*'04_Condiciones_TIE'!J5</f>
        <v/>
      </c>
      <c r="G14" s="21">
        <f>D14-F14</f>
        <v/>
      </c>
      <c r="H14" s="21">
        <f>E14-G14</f>
        <v/>
      </c>
      <c r="I14" s="21">
        <f>D14</f>
        <v/>
      </c>
      <c r="J14" s="21">
        <f>M13</f>
        <v/>
      </c>
      <c r="K14" s="21">
        <f>J14*'04_Condiciones_TIE'!L5</f>
        <v/>
      </c>
      <c r="L14" s="21">
        <f>D14-K14</f>
        <v/>
      </c>
      <c r="M14" s="21">
        <f>J14-L14</f>
        <v/>
      </c>
    </row>
    <row r="15">
      <c r="A15" s="18" t="inlineStr">
        <is>
          <t>OP-101</t>
        </is>
      </c>
      <c r="B15" s="34" t="n">
        <v>10</v>
      </c>
      <c r="C15" s="30" t="n">
        <v>45611</v>
      </c>
      <c r="D15" s="20">
        <f>IF('04_Condiciones_TIE'!B5="Francés",'04_Condiciones_TIE'!K5,IF('04_Condiciones_TIE'!B5="Alemán",'04_Condiciones_TIE'!C5/'04_Condiciones_TIE'!H5+F15,IF(B15&lt;'04_Condiciones_TIE'!H5,F15,F15+E15)))</f>
        <v/>
      </c>
      <c r="E15" s="20">
        <f>H14</f>
        <v/>
      </c>
      <c r="F15" s="20">
        <f>E15*'04_Condiciones_TIE'!J5</f>
        <v/>
      </c>
      <c r="G15" s="20">
        <f>D15-F15</f>
        <v/>
      </c>
      <c r="H15" s="20">
        <f>E15-G15</f>
        <v/>
      </c>
      <c r="I15" s="20">
        <f>D15</f>
        <v/>
      </c>
      <c r="J15" s="20">
        <f>M14</f>
        <v/>
      </c>
      <c r="K15" s="20">
        <f>J15*'04_Condiciones_TIE'!L5</f>
        <v/>
      </c>
      <c r="L15" s="20">
        <f>D15-K15</f>
        <v/>
      </c>
      <c r="M15" s="20">
        <f>J15-L15</f>
        <v/>
      </c>
    </row>
    <row r="16">
      <c r="A16" s="19" t="inlineStr">
        <is>
          <t>OP-101</t>
        </is>
      </c>
      <c r="B16" s="36" t="n">
        <v>11</v>
      </c>
      <c r="C16" s="32" t="n">
        <v>45641</v>
      </c>
      <c r="D16" s="21">
        <f>IF('04_Condiciones_TIE'!B5="Francés",'04_Condiciones_TIE'!K5,IF('04_Condiciones_TIE'!B5="Alemán",'04_Condiciones_TIE'!C5/'04_Condiciones_TIE'!H5+F16,IF(B16&lt;'04_Condiciones_TIE'!H5,F16,F16+E16)))</f>
        <v/>
      </c>
      <c r="E16" s="21">
        <f>H15</f>
        <v/>
      </c>
      <c r="F16" s="21">
        <f>E16*'04_Condiciones_TIE'!J5</f>
        <v/>
      </c>
      <c r="G16" s="21">
        <f>D16-F16</f>
        <v/>
      </c>
      <c r="H16" s="21">
        <f>E16-G16</f>
        <v/>
      </c>
      <c r="I16" s="21">
        <f>D16</f>
        <v/>
      </c>
      <c r="J16" s="21">
        <f>M15</f>
        <v/>
      </c>
      <c r="K16" s="21">
        <f>J16*'04_Condiciones_TIE'!L5</f>
        <v/>
      </c>
      <c r="L16" s="21">
        <f>D16-K16</f>
        <v/>
      </c>
      <c r="M16" s="21">
        <f>J16-L16</f>
        <v/>
      </c>
    </row>
    <row r="17">
      <c r="A17" s="18" t="inlineStr">
        <is>
          <t>OP-101</t>
        </is>
      </c>
      <c r="B17" s="34" t="n">
        <v>12</v>
      </c>
      <c r="C17" s="30" t="n">
        <v>45672</v>
      </c>
      <c r="D17" s="20">
        <f>IF('04_Condiciones_TIE'!B5="Francés",'04_Condiciones_TIE'!K5,IF('04_Condiciones_TIE'!B5="Alemán",'04_Condiciones_TIE'!C5/'04_Condiciones_TIE'!H5+F17,IF(B17&lt;'04_Condiciones_TIE'!H5,F17,F17+E17)))</f>
        <v/>
      </c>
      <c r="E17" s="20">
        <f>H16</f>
        <v/>
      </c>
      <c r="F17" s="20">
        <f>E17*'04_Condiciones_TIE'!J5</f>
        <v/>
      </c>
      <c r="G17" s="20">
        <f>D17-F17</f>
        <v/>
      </c>
      <c r="H17" s="20">
        <f>E17-G17</f>
        <v/>
      </c>
      <c r="I17" s="20">
        <f>D17</f>
        <v/>
      </c>
      <c r="J17" s="20">
        <f>M16</f>
        <v/>
      </c>
      <c r="K17" s="20">
        <f>J17*'04_Condiciones_TIE'!L5</f>
        <v/>
      </c>
      <c r="L17" s="20">
        <f>D17-K17</f>
        <v/>
      </c>
      <c r="M17" s="20">
        <f>J17-L17</f>
        <v/>
      </c>
    </row>
    <row r="18">
      <c r="A18" s="19" t="inlineStr">
        <is>
          <t>OP-101</t>
        </is>
      </c>
      <c r="B18" s="36" t="n">
        <v>13</v>
      </c>
      <c r="C18" s="32" t="n">
        <v>45703</v>
      </c>
      <c r="D18" s="21">
        <f>IF('04_Condiciones_TIE'!B5="Francés",'04_Condiciones_TIE'!K5,IF('04_Condiciones_TIE'!B5="Alemán",'04_Condiciones_TIE'!C5/'04_Condiciones_TIE'!H5+F18,IF(B18&lt;'04_Condiciones_TIE'!H5,F18,F18+E18)))</f>
        <v/>
      </c>
      <c r="E18" s="21">
        <f>H17</f>
        <v/>
      </c>
      <c r="F18" s="21">
        <f>E18*'04_Condiciones_TIE'!J5</f>
        <v/>
      </c>
      <c r="G18" s="21">
        <f>D18-F18</f>
        <v/>
      </c>
      <c r="H18" s="21">
        <f>E18-G18</f>
        <v/>
      </c>
      <c r="I18" s="21">
        <f>D18</f>
        <v/>
      </c>
      <c r="J18" s="21">
        <f>M17</f>
        <v/>
      </c>
      <c r="K18" s="21">
        <f>J18*'04_Condiciones_TIE'!L5</f>
        <v/>
      </c>
      <c r="L18" s="21">
        <f>D18-K18</f>
        <v/>
      </c>
      <c r="M18" s="21">
        <f>J18-L18</f>
        <v/>
      </c>
    </row>
    <row r="19">
      <c r="A19" s="18" t="inlineStr">
        <is>
          <t>OP-101</t>
        </is>
      </c>
      <c r="B19" s="34" t="n">
        <v>14</v>
      </c>
      <c r="C19" s="30" t="n">
        <v>45731</v>
      </c>
      <c r="D19" s="20">
        <f>IF('04_Condiciones_TIE'!B5="Francés",'04_Condiciones_TIE'!K5,IF('04_Condiciones_TIE'!B5="Alemán",'04_Condiciones_TIE'!C5/'04_Condiciones_TIE'!H5+F19,IF(B19&lt;'04_Condiciones_TIE'!H5,F19,F19+E19)))</f>
        <v/>
      </c>
      <c r="E19" s="20">
        <f>H18</f>
        <v/>
      </c>
      <c r="F19" s="20">
        <f>E19*'04_Condiciones_TIE'!J5</f>
        <v/>
      </c>
      <c r="G19" s="20">
        <f>D19-F19</f>
        <v/>
      </c>
      <c r="H19" s="20">
        <f>E19-G19</f>
        <v/>
      </c>
      <c r="I19" s="20">
        <f>D19</f>
        <v/>
      </c>
      <c r="J19" s="20">
        <f>M18</f>
        <v/>
      </c>
      <c r="K19" s="20">
        <f>J19*'04_Condiciones_TIE'!L5</f>
        <v/>
      </c>
      <c r="L19" s="20">
        <f>D19-K19</f>
        <v/>
      </c>
      <c r="M19" s="20">
        <f>J19-L19</f>
        <v/>
      </c>
    </row>
    <row r="20">
      <c r="A20" s="19" t="inlineStr">
        <is>
          <t>OP-101</t>
        </is>
      </c>
      <c r="B20" s="36" t="n">
        <v>15</v>
      </c>
      <c r="C20" s="32" t="n">
        <v>45762</v>
      </c>
      <c r="D20" s="21">
        <f>IF('04_Condiciones_TIE'!B5="Francés",'04_Condiciones_TIE'!K5,IF('04_Condiciones_TIE'!B5="Alemán",'04_Condiciones_TIE'!C5/'04_Condiciones_TIE'!H5+F20,IF(B20&lt;'04_Condiciones_TIE'!H5,F20,F20+E20)))</f>
        <v/>
      </c>
      <c r="E20" s="21">
        <f>H19</f>
        <v/>
      </c>
      <c r="F20" s="21">
        <f>E20*'04_Condiciones_TIE'!J5</f>
        <v/>
      </c>
      <c r="G20" s="21">
        <f>D20-F20</f>
        <v/>
      </c>
      <c r="H20" s="21">
        <f>E20-G20</f>
        <v/>
      </c>
      <c r="I20" s="21">
        <f>D20</f>
        <v/>
      </c>
      <c r="J20" s="21">
        <f>M19</f>
        <v/>
      </c>
      <c r="K20" s="21">
        <f>J20*'04_Condiciones_TIE'!L5</f>
        <v/>
      </c>
      <c r="L20" s="21">
        <f>D20-K20</f>
        <v/>
      </c>
      <c r="M20" s="21">
        <f>J20-L20</f>
        <v/>
      </c>
    </row>
    <row r="21">
      <c r="A21" s="18" t="inlineStr">
        <is>
          <t>OP-101</t>
        </is>
      </c>
      <c r="B21" s="34" t="n">
        <v>16</v>
      </c>
      <c r="C21" s="30" t="n">
        <v>45792</v>
      </c>
      <c r="D21" s="20">
        <f>IF('04_Condiciones_TIE'!B5="Francés",'04_Condiciones_TIE'!K5,IF('04_Condiciones_TIE'!B5="Alemán",'04_Condiciones_TIE'!C5/'04_Condiciones_TIE'!H5+F21,IF(B21&lt;'04_Condiciones_TIE'!H5,F21,F21+E21)))</f>
        <v/>
      </c>
      <c r="E21" s="20">
        <f>H20</f>
        <v/>
      </c>
      <c r="F21" s="20">
        <f>E21*'04_Condiciones_TIE'!J5</f>
        <v/>
      </c>
      <c r="G21" s="20">
        <f>D21-F21</f>
        <v/>
      </c>
      <c r="H21" s="20">
        <f>E21-G21</f>
        <v/>
      </c>
      <c r="I21" s="20">
        <f>D21</f>
        <v/>
      </c>
      <c r="J21" s="20">
        <f>M20</f>
        <v/>
      </c>
      <c r="K21" s="20">
        <f>J21*'04_Condiciones_TIE'!L5</f>
        <v/>
      </c>
      <c r="L21" s="20">
        <f>D21-K21</f>
        <v/>
      </c>
      <c r="M21" s="20">
        <f>J21-L21</f>
        <v/>
      </c>
    </row>
    <row r="22">
      <c r="A22" s="19" t="inlineStr">
        <is>
          <t>OP-101</t>
        </is>
      </c>
      <c r="B22" s="36" t="n">
        <v>17</v>
      </c>
      <c r="C22" s="32" t="n">
        <v>45823</v>
      </c>
      <c r="D22" s="21">
        <f>IF('04_Condiciones_TIE'!B5="Francés",'04_Condiciones_TIE'!K5,IF('04_Condiciones_TIE'!B5="Alemán",'04_Condiciones_TIE'!C5/'04_Condiciones_TIE'!H5+F22,IF(B22&lt;'04_Condiciones_TIE'!H5,F22,F22+E22)))</f>
        <v/>
      </c>
      <c r="E22" s="21">
        <f>H21</f>
        <v/>
      </c>
      <c r="F22" s="21">
        <f>E22*'04_Condiciones_TIE'!J5</f>
        <v/>
      </c>
      <c r="G22" s="21">
        <f>D22-F22</f>
        <v/>
      </c>
      <c r="H22" s="21">
        <f>E22-G22</f>
        <v/>
      </c>
      <c r="I22" s="21">
        <f>D22</f>
        <v/>
      </c>
      <c r="J22" s="21">
        <f>M21</f>
        <v/>
      </c>
      <c r="K22" s="21">
        <f>J22*'04_Condiciones_TIE'!L5</f>
        <v/>
      </c>
      <c r="L22" s="21">
        <f>D22-K22</f>
        <v/>
      </c>
      <c r="M22" s="21">
        <f>J22-L22</f>
        <v/>
      </c>
    </row>
    <row r="23">
      <c r="A23" s="18" t="inlineStr">
        <is>
          <t>OP-101</t>
        </is>
      </c>
      <c r="B23" s="34" t="n">
        <v>18</v>
      </c>
      <c r="C23" s="30" t="n">
        <v>45853</v>
      </c>
      <c r="D23" s="20">
        <f>IF('04_Condiciones_TIE'!B5="Francés",'04_Condiciones_TIE'!K5,IF('04_Condiciones_TIE'!B5="Alemán",'04_Condiciones_TIE'!C5/'04_Condiciones_TIE'!H5+F23,IF(B23&lt;'04_Condiciones_TIE'!H5,F23,F23+E23)))</f>
        <v/>
      </c>
      <c r="E23" s="20">
        <f>H22</f>
        <v/>
      </c>
      <c r="F23" s="20">
        <f>E23*'04_Condiciones_TIE'!J5</f>
        <v/>
      </c>
      <c r="G23" s="20">
        <f>D23-F23</f>
        <v/>
      </c>
      <c r="H23" s="20">
        <f>E23-G23</f>
        <v/>
      </c>
      <c r="I23" s="20">
        <f>D23</f>
        <v/>
      </c>
      <c r="J23" s="20">
        <f>M22</f>
        <v/>
      </c>
      <c r="K23" s="20">
        <f>J23*'04_Condiciones_TIE'!L5</f>
        <v/>
      </c>
      <c r="L23" s="20">
        <f>D23-K23</f>
        <v/>
      </c>
      <c r="M23" s="20">
        <f>J23-L23</f>
        <v/>
      </c>
    </row>
    <row r="24">
      <c r="A24" s="19" t="inlineStr">
        <is>
          <t>OP-101</t>
        </is>
      </c>
      <c r="B24" s="36" t="n">
        <v>19</v>
      </c>
      <c r="C24" s="32" t="n">
        <v>45884</v>
      </c>
      <c r="D24" s="21">
        <f>IF('04_Condiciones_TIE'!B5="Francés",'04_Condiciones_TIE'!K5,IF('04_Condiciones_TIE'!B5="Alemán",'04_Condiciones_TIE'!C5/'04_Condiciones_TIE'!H5+F24,IF(B24&lt;'04_Condiciones_TIE'!H5,F24,F24+E24)))</f>
        <v/>
      </c>
      <c r="E24" s="21">
        <f>H23</f>
        <v/>
      </c>
      <c r="F24" s="21">
        <f>E24*'04_Condiciones_TIE'!J5</f>
        <v/>
      </c>
      <c r="G24" s="21">
        <f>D24-F24</f>
        <v/>
      </c>
      <c r="H24" s="21">
        <f>E24-G24</f>
        <v/>
      </c>
      <c r="I24" s="21">
        <f>D24</f>
        <v/>
      </c>
      <c r="J24" s="21">
        <f>M23</f>
        <v/>
      </c>
      <c r="K24" s="21">
        <f>J24*'04_Condiciones_TIE'!L5</f>
        <v/>
      </c>
      <c r="L24" s="21">
        <f>D24-K24</f>
        <v/>
      </c>
      <c r="M24" s="21">
        <f>J24-L24</f>
        <v/>
      </c>
    </row>
    <row r="25">
      <c r="A25" s="18" t="inlineStr">
        <is>
          <t>OP-101</t>
        </is>
      </c>
      <c r="B25" s="34" t="n">
        <v>20</v>
      </c>
      <c r="C25" s="30" t="n">
        <v>45915</v>
      </c>
      <c r="D25" s="20">
        <f>IF('04_Condiciones_TIE'!B5="Francés",'04_Condiciones_TIE'!K5,IF('04_Condiciones_TIE'!B5="Alemán",'04_Condiciones_TIE'!C5/'04_Condiciones_TIE'!H5+F25,IF(B25&lt;'04_Condiciones_TIE'!H5,F25,F25+E25)))</f>
        <v/>
      </c>
      <c r="E25" s="20">
        <f>H24</f>
        <v/>
      </c>
      <c r="F25" s="20">
        <f>E25*'04_Condiciones_TIE'!J5</f>
        <v/>
      </c>
      <c r="G25" s="20">
        <f>D25-F25</f>
        <v/>
      </c>
      <c r="H25" s="20">
        <f>E25-G25</f>
        <v/>
      </c>
      <c r="I25" s="20">
        <f>D25</f>
        <v/>
      </c>
      <c r="J25" s="20">
        <f>M24</f>
        <v/>
      </c>
      <c r="K25" s="20">
        <f>J25*'04_Condiciones_TIE'!L5</f>
        <v/>
      </c>
      <c r="L25" s="20">
        <f>D25-K25</f>
        <v/>
      </c>
      <c r="M25" s="20">
        <f>J25-L25</f>
        <v/>
      </c>
    </row>
    <row r="26">
      <c r="A26" s="19" t="inlineStr">
        <is>
          <t>OP-101</t>
        </is>
      </c>
      <c r="B26" s="36" t="n">
        <v>21</v>
      </c>
      <c r="C26" s="32" t="n">
        <v>45945</v>
      </c>
      <c r="D26" s="21">
        <f>IF('04_Condiciones_TIE'!B5="Francés",'04_Condiciones_TIE'!K5,IF('04_Condiciones_TIE'!B5="Alemán",'04_Condiciones_TIE'!C5/'04_Condiciones_TIE'!H5+F26,IF(B26&lt;'04_Condiciones_TIE'!H5,F26,F26+E26)))</f>
        <v/>
      </c>
      <c r="E26" s="21">
        <f>H25</f>
        <v/>
      </c>
      <c r="F26" s="21">
        <f>E26*'04_Condiciones_TIE'!J5</f>
        <v/>
      </c>
      <c r="G26" s="21">
        <f>D26-F26</f>
        <v/>
      </c>
      <c r="H26" s="21">
        <f>E26-G26</f>
        <v/>
      </c>
      <c r="I26" s="21">
        <f>D26</f>
        <v/>
      </c>
      <c r="J26" s="21">
        <f>M25</f>
        <v/>
      </c>
      <c r="K26" s="21">
        <f>J26*'04_Condiciones_TIE'!L5</f>
        <v/>
      </c>
      <c r="L26" s="21">
        <f>D26-K26</f>
        <v/>
      </c>
      <c r="M26" s="21">
        <f>J26-L26</f>
        <v/>
      </c>
    </row>
    <row r="27">
      <c r="A27" s="18" t="inlineStr">
        <is>
          <t>OP-101</t>
        </is>
      </c>
      <c r="B27" s="34" t="n">
        <v>22</v>
      </c>
      <c r="C27" s="30" t="n">
        <v>45976</v>
      </c>
      <c r="D27" s="20">
        <f>IF('04_Condiciones_TIE'!B5="Francés",'04_Condiciones_TIE'!K5,IF('04_Condiciones_TIE'!B5="Alemán",'04_Condiciones_TIE'!C5/'04_Condiciones_TIE'!H5+F27,IF(B27&lt;'04_Condiciones_TIE'!H5,F27,F27+E27)))</f>
        <v/>
      </c>
      <c r="E27" s="20">
        <f>H26</f>
        <v/>
      </c>
      <c r="F27" s="20">
        <f>E27*'04_Condiciones_TIE'!J5</f>
        <v/>
      </c>
      <c r="G27" s="20">
        <f>D27-F27</f>
        <v/>
      </c>
      <c r="H27" s="20">
        <f>E27-G27</f>
        <v/>
      </c>
      <c r="I27" s="20">
        <f>D27</f>
        <v/>
      </c>
      <c r="J27" s="20">
        <f>M26</f>
        <v/>
      </c>
      <c r="K27" s="20">
        <f>J27*'04_Condiciones_TIE'!L5</f>
        <v/>
      </c>
      <c r="L27" s="20">
        <f>D27-K27</f>
        <v/>
      </c>
      <c r="M27" s="20">
        <f>J27-L27</f>
        <v/>
      </c>
    </row>
    <row r="28">
      <c r="A28" s="19" t="inlineStr">
        <is>
          <t>OP-101</t>
        </is>
      </c>
      <c r="B28" s="36" t="n">
        <v>23</v>
      </c>
      <c r="C28" s="32" t="n">
        <v>46006</v>
      </c>
      <c r="D28" s="21">
        <f>IF('04_Condiciones_TIE'!B5="Francés",'04_Condiciones_TIE'!K5,IF('04_Condiciones_TIE'!B5="Alemán",'04_Condiciones_TIE'!C5/'04_Condiciones_TIE'!H5+F28,IF(B28&lt;'04_Condiciones_TIE'!H5,F28,F28+E28)))</f>
        <v/>
      </c>
      <c r="E28" s="21">
        <f>H27</f>
        <v/>
      </c>
      <c r="F28" s="21">
        <f>E28*'04_Condiciones_TIE'!J5</f>
        <v/>
      </c>
      <c r="G28" s="21">
        <f>D28-F28</f>
        <v/>
      </c>
      <c r="H28" s="21">
        <f>E28-G28</f>
        <v/>
      </c>
      <c r="I28" s="21">
        <f>D28</f>
        <v/>
      </c>
      <c r="J28" s="21">
        <f>M27</f>
        <v/>
      </c>
      <c r="K28" s="21">
        <f>J28*'04_Condiciones_TIE'!L5</f>
        <v/>
      </c>
      <c r="L28" s="21">
        <f>D28-K28</f>
        <v/>
      </c>
      <c r="M28" s="21">
        <f>J28-L28</f>
        <v/>
      </c>
    </row>
    <row r="29">
      <c r="A29" s="18" t="inlineStr">
        <is>
          <t>OP-101</t>
        </is>
      </c>
      <c r="B29" s="34" t="n">
        <v>24</v>
      </c>
      <c r="C29" s="30" t="n">
        <v>46037</v>
      </c>
      <c r="D29" s="20">
        <f>IF('04_Condiciones_TIE'!B5="Francés",'04_Condiciones_TIE'!K5,IF('04_Condiciones_TIE'!B5="Alemán",'04_Condiciones_TIE'!C5/'04_Condiciones_TIE'!H5+F29,IF(B29&lt;'04_Condiciones_TIE'!H5,F29,F29+E29)))</f>
        <v/>
      </c>
      <c r="E29" s="20">
        <f>H28</f>
        <v/>
      </c>
      <c r="F29" s="20">
        <f>E29*'04_Condiciones_TIE'!J5</f>
        <v/>
      </c>
      <c r="G29" s="20">
        <f>D29-F29</f>
        <v/>
      </c>
      <c r="H29" s="20">
        <f>E29-G29</f>
        <v/>
      </c>
      <c r="I29" s="20">
        <f>D29</f>
        <v/>
      </c>
      <c r="J29" s="20">
        <f>M28</f>
        <v/>
      </c>
      <c r="K29" s="20">
        <f>J29*'04_Condiciones_TIE'!L5</f>
        <v/>
      </c>
      <c r="L29" s="20">
        <f>D29-K29</f>
        <v/>
      </c>
      <c r="M29" s="20">
        <f>J29-L29</f>
        <v/>
      </c>
    </row>
    <row r="30">
      <c r="A30" s="19" t="inlineStr">
        <is>
          <t>OP-101</t>
        </is>
      </c>
      <c r="B30" s="36" t="n">
        <v>25</v>
      </c>
      <c r="C30" s="32" t="n">
        <v>46068</v>
      </c>
      <c r="D30" s="21">
        <f>IF('04_Condiciones_TIE'!B5="Francés",'04_Condiciones_TIE'!K5,IF('04_Condiciones_TIE'!B5="Alemán",'04_Condiciones_TIE'!C5/'04_Condiciones_TIE'!H5+F30,IF(B30&lt;'04_Condiciones_TIE'!H5,F30,F30+E30)))</f>
        <v/>
      </c>
      <c r="E30" s="21">
        <f>H29</f>
        <v/>
      </c>
      <c r="F30" s="21">
        <f>E30*'04_Condiciones_TIE'!J5</f>
        <v/>
      </c>
      <c r="G30" s="21">
        <f>D30-F30</f>
        <v/>
      </c>
      <c r="H30" s="21">
        <f>E30-G30</f>
        <v/>
      </c>
      <c r="I30" s="21">
        <f>D30</f>
        <v/>
      </c>
      <c r="J30" s="21">
        <f>M29</f>
        <v/>
      </c>
      <c r="K30" s="21">
        <f>J30*'04_Condiciones_TIE'!L5</f>
        <v/>
      </c>
      <c r="L30" s="21">
        <f>D30-K30</f>
        <v/>
      </c>
      <c r="M30" s="21">
        <f>J30-L30</f>
        <v/>
      </c>
    </row>
    <row r="31">
      <c r="A31" s="18" t="inlineStr">
        <is>
          <t>OP-101</t>
        </is>
      </c>
      <c r="B31" s="34" t="n">
        <v>26</v>
      </c>
      <c r="C31" s="30" t="n">
        <v>46096</v>
      </c>
      <c r="D31" s="20">
        <f>IF('04_Condiciones_TIE'!B5="Francés",'04_Condiciones_TIE'!K5,IF('04_Condiciones_TIE'!B5="Alemán",'04_Condiciones_TIE'!C5/'04_Condiciones_TIE'!H5+F31,IF(B31&lt;'04_Condiciones_TIE'!H5,F31,F31+E31)))</f>
        <v/>
      </c>
      <c r="E31" s="20">
        <f>H30</f>
        <v/>
      </c>
      <c r="F31" s="20">
        <f>E31*'04_Condiciones_TIE'!J5</f>
        <v/>
      </c>
      <c r="G31" s="20">
        <f>D31-F31</f>
        <v/>
      </c>
      <c r="H31" s="20">
        <f>E31-G31</f>
        <v/>
      </c>
      <c r="I31" s="20">
        <f>D31</f>
        <v/>
      </c>
      <c r="J31" s="20">
        <f>M30</f>
        <v/>
      </c>
      <c r="K31" s="20">
        <f>J31*'04_Condiciones_TIE'!L5</f>
        <v/>
      </c>
      <c r="L31" s="20">
        <f>D31-K31</f>
        <v/>
      </c>
      <c r="M31" s="20">
        <f>J31-L31</f>
        <v/>
      </c>
    </row>
    <row r="32">
      <c r="A32" s="19" t="inlineStr">
        <is>
          <t>OP-101</t>
        </is>
      </c>
      <c r="B32" s="36" t="n">
        <v>27</v>
      </c>
      <c r="C32" s="32" t="n">
        <v>46127</v>
      </c>
      <c r="D32" s="21">
        <f>IF('04_Condiciones_TIE'!B5="Francés",'04_Condiciones_TIE'!K5,IF('04_Condiciones_TIE'!B5="Alemán",'04_Condiciones_TIE'!C5/'04_Condiciones_TIE'!H5+F32,IF(B32&lt;'04_Condiciones_TIE'!H5,F32,F32+E32)))</f>
        <v/>
      </c>
      <c r="E32" s="21">
        <f>H31</f>
        <v/>
      </c>
      <c r="F32" s="21">
        <f>E32*'04_Condiciones_TIE'!J5</f>
        <v/>
      </c>
      <c r="G32" s="21">
        <f>D32-F32</f>
        <v/>
      </c>
      <c r="H32" s="21">
        <f>E32-G32</f>
        <v/>
      </c>
      <c r="I32" s="21">
        <f>D32</f>
        <v/>
      </c>
      <c r="J32" s="21">
        <f>M31</f>
        <v/>
      </c>
      <c r="K32" s="21">
        <f>J32*'04_Condiciones_TIE'!L5</f>
        <v/>
      </c>
      <c r="L32" s="21">
        <f>D32-K32</f>
        <v/>
      </c>
      <c r="M32" s="21">
        <f>J32-L32</f>
        <v/>
      </c>
    </row>
    <row r="33">
      <c r="A33" s="18" t="inlineStr">
        <is>
          <t>OP-101</t>
        </is>
      </c>
      <c r="B33" s="34" t="n">
        <v>28</v>
      </c>
      <c r="C33" s="30" t="n">
        <v>46157</v>
      </c>
      <c r="D33" s="20">
        <f>IF('04_Condiciones_TIE'!B5="Francés",'04_Condiciones_TIE'!K5,IF('04_Condiciones_TIE'!B5="Alemán",'04_Condiciones_TIE'!C5/'04_Condiciones_TIE'!H5+F33,IF(B33&lt;'04_Condiciones_TIE'!H5,F33,F33+E33)))</f>
        <v/>
      </c>
      <c r="E33" s="20">
        <f>H32</f>
        <v/>
      </c>
      <c r="F33" s="20">
        <f>E33*'04_Condiciones_TIE'!J5</f>
        <v/>
      </c>
      <c r="G33" s="20">
        <f>D33-F33</f>
        <v/>
      </c>
      <c r="H33" s="20">
        <f>E33-G33</f>
        <v/>
      </c>
      <c r="I33" s="20">
        <f>D33</f>
        <v/>
      </c>
      <c r="J33" s="20">
        <f>M32</f>
        <v/>
      </c>
      <c r="K33" s="20">
        <f>J33*'04_Condiciones_TIE'!L5</f>
        <v/>
      </c>
      <c r="L33" s="20">
        <f>D33-K33</f>
        <v/>
      </c>
      <c r="M33" s="20">
        <f>J33-L33</f>
        <v/>
      </c>
    </row>
    <row r="34">
      <c r="A34" s="19" t="inlineStr">
        <is>
          <t>OP-101</t>
        </is>
      </c>
      <c r="B34" s="36" t="n">
        <v>29</v>
      </c>
      <c r="C34" s="32" t="n">
        <v>46188</v>
      </c>
      <c r="D34" s="21">
        <f>IF('04_Condiciones_TIE'!B5="Francés",'04_Condiciones_TIE'!K5,IF('04_Condiciones_TIE'!B5="Alemán",'04_Condiciones_TIE'!C5/'04_Condiciones_TIE'!H5+F34,IF(B34&lt;'04_Condiciones_TIE'!H5,F34,F34+E34)))</f>
        <v/>
      </c>
      <c r="E34" s="21">
        <f>H33</f>
        <v/>
      </c>
      <c r="F34" s="21">
        <f>E34*'04_Condiciones_TIE'!J5</f>
        <v/>
      </c>
      <c r="G34" s="21">
        <f>D34-F34</f>
        <v/>
      </c>
      <c r="H34" s="21">
        <f>E34-G34</f>
        <v/>
      </c>
      <c r="I34" s="21">
        <f>D34</f>
        <v/>
      </c>
      <c r="J34" s="21">
        <f>M33</f>
        <v/>
      </c>
      <c r="K34" s="21">
        <f>J34*'04_Condiciones_TIE'!L5</f>
        <v/>
      </c>
      <c r="L34" s="21">
        <f>D34-K34</f>
        <v/>
      </c>
      <c r="M34" s="21">
        <f>J34-L34</f>
        <v/>
      </c>
    </row>
    <row r="35">
      <c r="A35" s="18" t="inlineStr">
        <is>
          <t>OP-101</t>
        </is>
      </c>
      <c r="B35" s="34" t="n">
        <v>30</v>
      </c>
      <c r="C35" s="30" t="n">
        <v>46218</v>
      </c>
      <c r="D35" s="20">
        <f>IF('04_Condiciones_TIE'!B5="Francés",'04_Condiciones_TIE'!K5,IF('04_Condiciones_TIE'!B5="Alemán",'04_Condiciones_TIE'!C5/'04_Condiciones_TIE'!H5+F35,IF(B35&lt;'04_Condiciones_TIE'!H5,F35,F35+E35)))</f>
        <v/>
      </c>
      <c r="E35" s="20">
        <f>H34</f>
        <v/>
      </c>
      <c r="F35" s="20">
        <f>E35*'04_Condiciones_TIE'!J5</f>
        <v/>
      </c>
      <c r="G35" s="20">
        <f>D35-F35</f>
        <v/>
      </c>
      <c r="H35" s="20">
        <f>E35-G35</f>
        <v/>
      </c>
      <c r="I35" s="20">
        <f>D35</f>
        <v/>
      </c>
      <c r="J35" s="20">
        <f>M34</f>
        <v/>
      </c>
      <c r="K35" s="20">
        <f>J35*'04_Condiciones_TIE'!L5</f>
        <v/>
      </c>
      <c r="L35" s="20">
        <f>D35-K35</f>
        <v/>
      </c>
      <c r="M35" s="20">
        <f>J35-L35</f>
        <v/>
      </c>
    </row>
    <row r="36">
      <c r="A36" s="19" t="inlineStr">
        <is>
          <t>OP-101</t>
        </is>
      </c>
      <c r="B36" s="36" t="n">
        <v>31</v>
      </c>
      <c r="C36" s="32" t="n">
        <v>46249</v>
      </c>
      <c r="D36" s="21">
        <f>IF('04_Condiciones_TIE'!B5="Francés",'04_Condiciones_TIE'!K5,IF('04_Condiciones_TIE'!B5="Alemán",'04_Condiciones_TIE'!C5/'04_Condiciones_TIE'!H5+F36,IF(B36&lt;'04_Condiciones_TIE'!H5,F36,F36+E36)))</f>
        <v/>
      </c>
      <c r="E36" s="21">
        <f>H35</f>
        <v/>
      </c>
      <c r="F36" s="21">
        <f>E36*'04_Condiciones_TIE'!J5</f>
        <v/>
      </c>
      <c r="G36" s="21">
        <f>D36-F36</f>
        <v/>
      </c>
      <c r="H36" s="21">
        <f>E36-G36</f>
        <v/>
      </c>
      <c r="I36" s="21">
        <f>D36</f>
        <v/>
      </c>
      <c r="J36" s="21">
        <f>M35</f>
        <v/>
      </c>
      <c r="K36" s="21">
        <f>J36*'04_Condiciones_TIE'!L5</f>
        <v/>
      </c>
      <c r="L36" s="21">
        <f>D36-K36</f>
        <v/>
      </c>
      <c r="M36" s="21">
        <f>J36-L36</f>
        <v/>
      </c>
    </row>
    <row r="37">
      <c r="A37" s="18" t="inlineStr">
        <is>
          <t>OP-101</t>
        </is>
      </c>
      <c r="B37" s="34" t="n">
        <v>32</v>
      </c>
      <c r="C37" s="30" t="n">
        <v>46280</v>
      </c>
      <c r="D37" s="20">
        <f>IF('04_Condiciones_TIE'!B5="Francés",'04_Condiciones_TIE'!K5,IF('04_Condiciones_TIE'!B5="Alemán",'04_Condiciones_TIE'!C5/'04_Condiciones_TIE'!H5+F37,IF(B37&lt;'04_Condiciones_TIE'!H5,F37,F37+E37)))</f>
        <v/>
      </c>
      <c r="E37" s="20">
        <f>H36</f>
        <v/>
      </c>
      <c r="F37" s="20">
        <f>E37*'04_Condiciones_TIE'!J5</f>
        <v/>
      </c>
      <c r="G37" s="20">
        <f>D37-F37</f>
        <v/>
      </c>
      <c r="H37" s="20">
        <f>E37-G37</f>
        <v/>
      </c>
      <c r="I37" s="20">
        <f>D37</f>
        <v/>
      </c>
      <c r="J37" s="20">
        <f>M36</f>
        <v/>
      </c>
      <c r="K37" s="20">
        <f>J37*'04_Condiciones_TIE'!L5</f>
        <v/>
      </c>
      <c r="L37" s="20">
        <f>D37-K37</f>
        <v/>
      </c>
      <c r="M37" s="20">
        <f>J37-L37</f>
        <v/>
      </c>
    </row>
    <row r="38">
      <c r="A38" s="19" t="inlineStr">
        <is>
          <t>OP-101</t>
        </is>
      </c>
      <c r="B38" s="36" t="n">
        <v>33</v>
      </c>
      <c r="C38" s="32" t="n">
        <v>46310</v>
      </c>
      <c r="D38" s="21">
        <f>IF('04_Condiciones_TIE'!B5="Francés",'04_Condiciones_TIE'!K5,IF('04_Condiciones_TIE'!B5="Alemán",'04_Condiciones_TIE'!C5/'04_Condiciones_TIE'!H5+F38,IF(B38&lt;'04_Condiciones_TIE'!H5,F38,F38+E38)))</f>
        <v/>
      </c>
      <c r="E38" s="21">
        <f>H37</f>
        <v/>
      </c>
      <c r="F38" s="21">
        <f>E38*'04_Condiciones_TIE'!J5</f>
        <v/>
      </c>
      <c r="G38" s="21">
        <f>D38-F38</f>
        <v/>
      </c>
      <c r="H38" s="21">
        <f>E38-G38</f>
        <v/>
      </c>
      <c r="I38" s="21">
        <f>D38</f>
        <v/>
      </c>
      <c r="J38" s="21">
        <f>M37</f>
        <v/>
      </c>
      <c r="K38" s="21">
        <f>J38*'04_Condiciones_TIE'!L5</f>
        <v/>
      </c>
      <c r="L38" s="21">
        <f>D38-K38</f>
        <v/>
      </c>
      <c r="M38" s="21">
        <f>J38-L38</f>
        <v/>
      </c>
    </row>
    <row r="39">
      <c r="A39" s="18" t="inlineStr">
        <is>
          <t>OP-101</t>
        </is>
      </c>
      <c r="B39" s="34" t="n">
        <v>34</v>
      </c>
      <c r="C39" s="30" t="n">
        <v>46341</v>
      </c>
      <c r="D39" s="20">
        <f>IF('04_Condiciones_TIE'!B5="Francés",'04_Condiciones_TIE'!K5,IF('04_Condiciones_TIE'!B5="Alemán",'04_Condiciones_TIE'!C5/'04_Condiciones_TIE'!H5+F39,IF(B39&lt;'04_Condiciones_TIE'!H5,F39,F39+E39)))</f>
        <v/>
      </c>
      <c r="E39" s="20">
        <f>H38</f>
        <v/>
      </c>
      <c r="F39" s="20">
        <f>E39*'04_Condiciones_TIE'!J5</f>
        <v/>
      </c>
      <c r="G39" s="20">
        <f>D39-F39</f>
        <v/>
      </c>
      <c r="H39" s="20">
        <f>E39-G39</f>
        <v/>
      </c>
      <c r="I39" s="20">
        <f>D39</f>
        <v/>
      </c>
      <c r="J39" s="20">
        <f>M38</f>
        <v/>
      </c>
      <c r="K39" s="20">
        <f>J39*'04_Condiciones_TIE'!L5</f>
        <v/>
      </c>
      <c r="L39" s="20">
        <f>D39-K39</f>
        <v/>
      </c>
      <c r="M39" s="20">
        <f>J39-L39</f>
        <v/>
      </c>
    </row>
    <row r="40">
      <c r="A40" s="19" t="inlineStr">
        <is>
          <t>OP-101</t>
        </is>
      </c>
      <c r="B40" s="36" t="n">
        <v>35</v>
      </c>
      <c r="C40" s="32" t="n">
        <v>46371</v>
      </c>
      <c r="D40" s="21">
        <f>IF('04_Condiciones_TIE'!B5="Francés",'04_Condiciones_TIE'!K5,IF('04_Condiciones_TIE'!B5="Alemán",'04_Condiciones_TIE'!C5/'04_Condiciones_TIE'!H5+F40,IF(B40&lt;'04_Condiciones_TIE'!H5,F40,F40+E40)))</f>
        <v/>
      </c>
      <c r="E40" s="21">
        <f>H39</f>
        <v/>
      </c>
      <c r="F40" s="21">
        <f>E40*'04_Condiciones_TIE'!J5</f>
        <v/>
      </c>
      <c r="G40" s="21">
        <f>D40-F40</f>
        <v/>
      </c>
      <c r="H40" s="21">
        <f>E40-G40</f>
        <v/>
      </c>
      <c r="I40" s="21">
        <f>D40</f>
        <v/>
      </c>
      <c r="J40" s="21">
        <f>M39</f>
        <v/>
      </c>
      <c r="K40" s="21">
        <f>J40*'04_Condiciones_TIE'!L5</f>
        <v/>
      </c>
      <c r="L40" s="21">
        <f>D40-K40</f>
        <v/>
      </c>
      <c r="M40" s="21">
        <f>J40-L40</f>
        <v/>
      </c>
    </row>
    <row r="41">
      <c r="A41" s="18" t="inlineStr">
        <is>
          <t>OP-101</t>
        </is>
      </c>
      <c r="B41" s="34" t="n">
        <v>36</v>
      </c>
      <c r="C41" s="30" t="n">
        <v>46402</v>
      </c>
      <c r="D41" s="20">
        <f>IF('04_Condiciones_TIE'!B5="Francés",'04_Condiciones_TIE'!K5,IF('04_Condiciones_TIE'!B5="Alemán",'04_Condiciones_TIE'!C5/'04_Condiciones_TIE'!H5+F41,IF(B41&lt;'04_Condiciones_TIE'!H5,F41,F41+E41)))</f>
        <v/>
      </c>
      <c r="E41" s="20">
        <f>H40</f>
        <v/>
      </c>
      <c r="F41" s="20">
        <f>E41*'04_Condiciones_TIE'!J5</f>
        <v/>
      </c>
      <c r="G41" s="20">
        <f>D41-F41</f>
        <v/>
      </c>
      <c r="H41" s="20">
        <f>E41-G41</f>
        <v/>
      </c>
      <c r="I41" s="20">
        <f>D41</f>
        <v/>
      </c>
      <c r="J41" s="20">
        <f>M40</f>
        <v/>
      </c>
      <c r="K41" s="20">
        <f>J41*'04_Condiciones_TIE'!L5</f>
        <v/>
      </c>
      <c r="L41" s="20">
        <f>D41-K41</f>
        <v/>
      </c>
      <c r="M41" s="20">
        <f>J41-L41</f>
        <v/>
      </c>
    </row>
    <row r="42">
      <c r="A42" s="19" t="inlineStr">
        <is>
          <t>OP-102</t>
        </is>
      </c>
      <c r="B42" s="36" t="n">
        <v>0</v>
      </c>
      <c r="C42" s="32" t="n">
        <v>45717</v>
      </c>
      <c r="D42" s="21" t="n"/>
      <c r="E42" s="21" t="n"/>
      <c r="F42" s="21" t="n"/>
      <c r="G42" s="21" t="n"/>
      <c r="H42" s="21">
        <f>'04_Condiciones_TIE'!C6</f>
        <v/>
      </c>
      <c r="I42" s="21">
        <f>-'04_Condiciones_TIE'!E6</f>
        <v/>
      </c>
      <c r="J42" s="21" t="n"/>
      <c r="K42" s="21" t="n"/>
      <c r="L42" s="21" t="n"/>
      <c r="M42" s="21">
        <f>'04_Condiciones_TIE'!E6</f>
        <v/>
      </c>
    </row>
    <row r="43">
      <c r="A43" s="18" t="inlineStr">
        <is>
          <t>OP-102</t>
        </is>
      </c>
      <c r="B43" s="34" t="n">
        <v>1</v>
      </c>
      <c r="C43" s="30" t="n">
        <v>45809</v>
      </c>
      <c r="D43" s="20">
        <f>IF('04_Condiciones_TIE'!B6="Francés",'04_Condiciones_TIE'!K6,IF('04_Condiciones_TIE'!B6="Alemán",'04_Condiciones_TIE'!C6/'04_Condiciones_TIE'!H6+F43,IF(B43&lt;'04_Condiciones_TIE'!H6,F43,F43+E43)))</f>
        <v/>
      </c>
      <c r="E43" s="20">
        <f>H42</f>
        <v/>
      </c>
      <c r="F43" s="20">
        <f>E43*'04_Condiciones_TIE'!J6</f>
        <v/>
      </c>
      <c r="G43" s="20">
        <f>D43-F43</f>
        <v/>
      </c>
      <c r="H43" s="20">
        <f>E43-G43</f>
        <v/>
      </c>
      <c r="I43" s="20">
        <f>D43</f>
        <v/>
      </c>
      <c r="J43" s="20">
        <f>M42</f>
        <v/>
      </c>
      <c r="K43" s="20">
        <f>J43*'04_Condiciones_TIE'!L6</f>
        <v/>
      </c>
      <c r="L43" s="20">
        <f>D43-K43</f>
        <v/>
      </c>
      <c r="M43" s="20">
        <f>J43-L43</f>
        <v/>
      </c>
    </row>
    <row r="44">
      <c r="A44" s="19" t="inlineStr">
        <is>
          <t>OP-102</t>
        </is>
      </c>
      <c r="B44" s="36" t="n">
        <v>2</v>
      </c>
      <c r="C44" s="32" t="n">
        <v>45901</v>
      </c>
      <c r="D44" s="21">
        <f>IF('04_Condiciones_TIE'!B6="Francés",'04_Condiciones_TIE'!K6,IF('04_Condiciones_TIE'!B6="Alemán",'04_Condiciones_TIE'!C6/'04_Condiciones_TIE'!H6+F44,IF(B44&lt;'04_Condiciones_TIE'!H6,F44,F44+E44)))</f>
        <v/>
      </c>
      <c r="E44" s="21">
        <f>H43</f>
        <v/>
      </c>
      <c r="F44" s="21">
        <f>E44*'04_Condiciones_TIE'!J6</f>
        <v/>
      </c>
      <c r="G44" s="21">
        <f>D44-F44</f>
        <v/>
      </c>
      <c r="H44" s="21">
        <f>E44-G44</f>
        <v/>
      </c>
      <c r="I44" s="21">
        <f>D44</f>
        <v/>
      </c>
      <c r="J44" s="21">
        <f>M43</f>
        <v/>
      </c>
      <c r="K44" s="21">
        <f>J44*'04_Condiciones_TIE'!L6</f>
        <v/>
      </c>
      <c r="L44" s="21">
        <f>D44-K44</f>
        <v/>
      </c>
      <c r="M44" s="21">
        <f>J44-L44</f>
        <v/>
      </c>
    </row>
    <row r="45">
      <c r="A45" s="18" t="inlineStr">
        <is>
          <t>OP-102</t>
        </is>
      </c>
      <c r="B45" s="34" t="n">
        <v>3</v>
      </c>
      <c r="C45" s="30" t="n">
        <v>45992</v>
      </c>
      <c r="D45" s="20">
        <f>IF('04_Condiciones_TIE'!B6="Francés",'04_Condiciones_TIE'!K6,IF('04_Condiciones_TIE'!B6="Alemán",'04_Condiciones_TIE'!C6/'04_Condiciones_TIE'!H6+F45,IF(B45&lt;'04_Condiciones_TIE'!H6,F45,F45+E45)))</f>
        <v/>
      </c>
      <c r="E45" s="20">
        <f>H44</f>
        <v/>
      </c>
      <c r="F45" s="20">
        <f>E45*'04_Condiciones_TIE'!J6</f>
        <v/>
      </c>
      <c r="G45" s="20">
        <f>D45-F45</f>
        <v/>
      </c>
      <c r="H45" s="20">
        <f>E45-G45</f>
        <v/>
      </c>
      <c r="I45" s="20">
        <f>D45</f>
        <v/>
      </c>
      <c r="J45" s="20">
        <f>M44</f>
        <v/>
      </c>
      <c r="K45" s="20">
        <f>J45*'04_Condiciones_TIE'!L6</f>
        <v/>
      </c>
      <c r="L45" s="20">
        <f>D45-K45</f>
        <v/>
      </c>
      <c r="M45" s="20">
        <f>J45-L45</f>
        <v/>
      </c>
    </row>
    <row r="46">
      <c r="A46" s="19" t="inlineStr">
        <is>
          <t>OP-102</t>
        </is>
      </c>
      <c r="B46" s="36" t="n">
        <v>4</v>
      </c>
      <c r="C46" s="32" t="n">
        <v>46082</v>
      </c>
      <c r="D46" s="21">
        <f>IF('04_Condiciones_TIE'!B6="Francés",'04_Condiciones_TIE'!K6,IF('04_Condiciones_TIE'!B6="Alemán",'04_Condiciones_TIE'!C6/'04_Condiciones_TIE'!H6+F46,IF(B46&lt;'04_Condiciones_TIE'!H6,F46,F46+E46)))</f>
        <v/>
      </c>
      <c r="E46" s="21">
        <f>H45</f>
        <v/>
      </c>
      <c r="F46" s="21">
        <f>E46*'04_Condiciones_TIE'!J6</f>
        <v/>
      </c>
      <c r="G46" s="21">
        <f>D46-F46</f>
        <v/>
      </c>
      <c r="H46" s="21">
        <f>E46-G46</f>
        <v/>
      </c>
      <c r="I46" s="21">
        <f>D46</f>
        <v/>
      </c>
      <c r="J46" s="21">
        <f>M45</f>
        <v/>
      </c>
      <c r="K46" s="21">
        <f>J46*'04_Condiciones_TIE'!L6</f>
        <v/>
      </c>
      <c r="L46" s="21">
        <f>D46-K46</f>
        <v/>
      </c>
      <c r="M46" s="21">
        <f>J46-L46</f>
        <v/>
      </c>
    </row>
    <row r="47">
      <c r="A47" s="18" t="inlineStr">
        <is>
          <t>OP-102</t>
        </is>
      </c>
      <c r="B47" s="34" t="n">
        <v>5</v>
      </c>
      <c r="C47" s="30" t="n">
        <v>46174</v>
      </c>
      <c r="D47" s="20">
        <f>IF('04_Condiciones_TIE'!B6="Francés",'04_Condiciones_TIE'!K6,IF('04_Condiciones_TIE'!B6="Alemán",'04_Condiciones_TIE'!C6/'04_Condiciones_TIE'!H6+F47,IF(B47&lt;'04_Condiciones_TIE'!H6,F47,F47+E47)))</f>
        <v/>
      </c>
      <c r="E47" s="20">
        <f>H46</f>
        <v/>
      </c>
      <c r="F47" s="20">
        <f>E47*'04_Condiciones_TIE'!J6</f>
        <v/>
      </c>
      <c r="G47" s="20">
        <f>D47-F47</f>
        <v/>
      </c>
      <c r="H47" s="20">
        <f>E47-G47</f>
        <v/>
      </c>
      <c r="I47" s="20">
        <f>D47</f>
        <v/>
      </c>
      <c r="J47" s="20">
        <f>M46</f>
        <v/>
      </c>
      <c r="K47" s="20">
        <f>J47*'04_Condiciones_TIE'!L6</f>
        <v/>
      </c>
      <c r="L47" s="20">
        <f>D47-K47</f>
        <v/>
      </c>
      <c r="M47" s="20">
        <f>J47-L47</f>
        <v/>
      </c>
    </row>
    <row r="48">
      <c r="A48" s="19" t="inlineStr">
        <is>
          <t>OP-102</t>
        </is>
      </c>
      <c r="B48" s="36" t="n">
        <v>6</v>
      </c>
      <c r="C48" s="32" t="n">
        <v>46266</v>
      </c>
      <c r="D48" s="21">
        <f>IF('04_Condiciones_TIE'!B6="Francés",'04_Condiciones_TIE'!K6,IF('04_Condiciones_TIE'!B6="Alemán",'04_Condiciones_TIE'!C6/'04_Condiciones_TIE'!H6+F48,IF(B48&lt;'04_Condiciones_TIE'!H6,F48,F48+E48)))</f>
        <v/>
      </c>
      <c r="E48" s="21">
        <f>H47</f>
        <v/>
      </c>
      <c r="F48" s="21">
        <f>E48*'04_Condiciones_TIE'!J6</f>
        <v/>
      </c>
      <c r="G48" s="21">
        <f>D48-F48</f>
        <v/>
      </c>
      <c r="H48" s="21">
        <f>E48-G48</f>
        <v/>
      </c>
      <c r="I48" s="21">
        <f>D48</f>
        <v/>
      </c>
      <c r="J48" s="21">
        <f>M47</f>
        <v/>
      </c>
      <c r="K48" s="21">
        <f>J48*'04_Condiciones_TIE'!L6</f>
        <v/>
      </c>
      <c r="L48" s="21">
        <f>D48-K48</f>
        <v/>
      </c>
      <c r="M48" s="21">
        <f>J48-L48</f>
        <v/>
      </c>
    </row>
    <row r="49">
      <c r="A49" s="18" t="inlineStr">
        <is>
          <t>OP-102</t>
        </is>
      </c>
      <c r="B49" s="34" t="n">
        <v>7</v>
      </c>
      <c r="C49" s="30" t="n">
        <v>46357</v>
      </c>
      <c r="D49" s="20">
        <f>IF('04_Condiciones_TIE'!B6="Francés",'04_Condiciones_TIE'!K6,IF('04_Condiciones_TIE'!B6="Alemán",'04_Condiciones_TIE'!C6/'04_Condiciones_TIE'!H6+F49,IF(B49&lt;'04_Condiciones_TIE'!H6,F49,F49+E49)))</f>
        <v/>
      </c>
      <c r="E49" s="20">
        <f>H48</f>
        <v/>
      </c>
      <c r="F49" s="20">
        <f>E49*'04_Condiciones_TIE'!J6</f>
        <v/>
      </c>
      <c r="G49" s="20">
        <f>D49-F49</f>
        <v/>
      </c>
      <c r="H49" s="20">
        <f>E49-G49</f>
        <v/>
      </c>
      <c r="I49" s="20">
        <f>D49</f>
        <v/>
      </c>
      <c r="J49" s="20">
        <f>M48</f>
        <v/>
      </c>
      <c r="K49" s="20">
        <f>J49*'04_Condiciones_TIE'!L6</f>
        <v/>
      </c>
      <c r="L49" s="20">
        <f>D49-K49</f>
        <v/>
      </c>
      <c r="M49" s="20">
        <f>J49-L49</f>
        <v/>
      </c>
    </row>
    <row r="50">
      <c r="A50" s="19" t="inlineStr">
        <is>
          <t>OP-102</t>
        </is>
      </c>
      <c r="B50" s="36" t="n">
        <v>8</v>
      </c>
      <c r="C50" s="32" t="n">
        <v>46447</v>
      </c>
      <c r="D50" s="21">
        <f>IF('04_Condiciones_TIE'!B6="Francés",'04_Condiciones_TIE'!K6,IF('04_Condiciones_TIE'!B6="Alemán",'04_Condiciones_TIE'!C6/'04_Condiciones_TIE'!H6+F50,IF(B50&lt;'04_Condiciones_TIE'!H6,F50,F50+E50)))</f>
        <v/>
      </c>
      <c r="E50" s="21">
        <f>H49</f>
        <v/>
      </c>
      <c r="F50" s="21">
        <f>E50*'04_Condiciones_TIE'!J6</f>
        <v/>
      </c>
      <c r="G50" s="21">
        <f>D50-F50</f>
        <v/>
      </c>
      <c r="H50" s="21">
        <f>E50-G50</f>
        <v/>
      </c>
      <c r="I50" s="21">
        <f>D50</f>
        <v/>
      </c>
      <c r="J50" s="21">
        <f>M49</f>
        <v/>
      </c>
      <c r="K50" s="21">
        <f>J50*'04_Condiciones_TIE'!L6</f>
        <v/>
      </c>
      <c r="L50" s="21">
        <f>D50-K50</f>
        <v/>
      </c>
      <c r="M50" s="21">
        <f>J50-L50</f>
        <v/>
      </c>
    </row>
    <row r="51">
      <c r="A51" s="18" t="inlineStr">
        <is>
          <t>OP-102</t>
        </is>
      </c>
      <c r="B51" s="34" t="n">
        <v>9</v>
      </c>
      <c r="C51" s="30" t="n">
        <v>46539</v>
      </c>
      <c r="D51" s="20">
        <f>IF('04_Condiciones_TIE'!B6="Francés",'04_Condiciones_TIE'!K6,IF('04_Condiciones_TIE'!B6="Alemán",'04_Condiciones_TIE'!C6/'04_Condiciones_TIE'!H6+F51,IF(B51&lt;'04_Condiciones_TIE'!H6,F51,F51+E51)))</f>
        <v/>
      </c>
      <c r="E51" s="20">
        <f>H50</f>
        <v/>
      </c>
      <c r="F51" s="20">
        <f>E51*'04_Condiciones_TIE'!J6</f>
        <v/>
      </c>
      <c r="G51" s="20">
        <f>D51-F51</f>
        <v/>
      </c>
      <c r="H51" s="20">
        <f>E51-G51</f>
        <v/>
      </c>
      <c r="I51" s="20">
        <f>D51</f>
        <v/>
      </c>
      <c r="J51" s="20">
        <f>M50</f>
        <v/>
      </c>
      <c r="K51" s="20">
        <f>J51*'04_Condiciones_TIE'!L6</f>
        <v/>
      </c>
      <c r="L51" s="20">
        <f>D51-K51</f>
        <v/>
      </c>
      <c r="M51" s="20">
        <f>J51-L51</f>
        <v/>
      </c>
    </row>
    <row r="52">
      <c r="A52" s="19" t="inlineStr">
        <is>
          <t>OP-102</t>
        </is>
      </c>
      <c r="B52" s="36" t="n">
        <v>10</v>
      </c>
      <c r="C52" s="32" t="n">
        <v>46631</v>
      </c>
      <c r="D52" s="21">
        <f>IF('04_Condiciones_TIE'!B6="Francés",'04_Condiciones_TIE'!K6,IF('04_Condiciones_TIE'!B6="Alemán",'04_Condiciones_TIE'!C6/'04_Condiciones_TIE'!H6+F52,IF(B52&lt;'04_Condiciones_TIE'!H6,F52,F52+E52)))</f>
        <v/>
      </c>
      <c r="E52" s="21">
        <f>H51</f>
        <v/>
      </c>
      <c r="F52" s="21">
        <f>E52*'04_Condiciones_TIE'!J6</f>
        <v/>
      </c>
      <c r="G52" s="21">
        <f>D52-F52</f>
        <v/>
      </c>
      <c r="H52" s="21">
        <f>E52-G52</f>
        <v/>
      </c>
      <c r="I52" s="21">
        <f>D52</f>
        <v/>
      </c>
      <c r="J52" s="21">
        <f>M51</f>
        <v/>
      </c>
      <c r="K52" s="21">
        <f>J52*'04_Condiciones_TIE'!L6</f>
        <v/>
      </c>
      <c r="L52" s="21">
        <f>D52-K52</f>
        <v/>
      </c>
      <c r="M52" s="21">
        <f>J52-L52</f>
        <v/>
      </c>
    </row>
    <row r="53">
      <c r="A53" s="18" t="inlineStr">
        <is>
          <t>OP-102</t>
        </is>
      </c>
      <c r="B53" s="34" t="n">
        <v>11</v>
      </c>
      <c r="C53" s="30" t="n">
        <v>46722</v>
      </c>
      <c r="D53" s="20">
        <f>IF('04_Condiciones_TIE'!B6="Francés",'04_Condiciones_TIE'!K6,IF('04_Condiciones_TIE'!B6="Alemán",'04_Condiciones_TIE'!C6/'04_Condiciones_TIE'!H6+F53,IF(B53&lt;'04_Condiciones_TIE'!H6,F53,F53+E53)))</f>
        <v/>
      </c>
      <c r="E53" s="20">
        <f>H52</f>
        <v/>
      </c>
      <c r="F53" s="20">
        <f>E53*'04_Condiciones_TIE'!J6</f>
        <v/>
      </c>
      <c r="G53" s="20">
        <f>D53-F53</f>
        <v/>
      </c>
      <c r="H53" s="20">
        <f>E53-G53</f>
        <v/>
      </c>
      <c r="I53" s="20">
        <f>D53</f>
        <v/>
      </c>
      <c r="J53" s="20">
        <f>M52</f>
        <v/>
      </c>
      <c r="K53" s="20">
        <f>J53*'04_Condiciones_TIE'!L6</f>
        <v/>
      </c>
      <c r="L53" s="20">
        <f>D53-K53</f>
        <v/>
      </c>
      <c r="M53" s="20">
        <f>J53-L53</f>
        <v/>
      </c>
    </row>
    <row r="54">
      <c r="A54" s="19" t="inlineStr">
        <is>
          <t>OP-102</t>
        </is>
      </c>
      <c r="B54" s="36" t="n">
        <v>12</v>
      </c>
      <c r="C54" s="32" t="n">
        <v>46813</v>
      </c>
      <c r="D54" s="21">
        <f>IF('04_Condiciones_TIE'!B6="Francés",'04_Condiciones_TIE'!K6,IF('04_Condiciones_TIE'!B6="Alemán",'04_Condiciones_TIE'!C6/'04_Condiciones_TIE'!H6+F54,IF(B54&lt;'04_Condiciones_TIE'!H6,F54,F54+E54)))</f>
        <v/>
      </c>
      <c r="E54" s="21">
        <f>H53</f>
        <v/>
      </c>
      <c r="F54" s="21">
        <f>E54*'04_Condiciones_TIE'!J6</f>
        <v/>
      </c>
      <c r="G54" s="21">
        <f>D54-F54</f>
        <v/>
      </c>
      <c r="H54" s="21">
        <f>E54-G54</f>
        <v/>
      </c>
      <c r="I54" s="21">
        <f>D54</f>
        <v/>
      </c>
      <c r="J54" s="21">
        <f>M53</f>
        <v/>
      </c>
      <c r="K54" s="21">
        <f>J54*'04_Condiciones_TIE'!L6</f>
        <v/>
      </c>
      <c r="L54" s="21">
        <f>D54-K54</f>
        <v/>
      </c>
      <c r="M54" s="21">
        <f>J54-L54</f>
        <v/>
      </c>
    </row>
    <row r="55">
      <c r="A55" s="18" t="inlineStr">
        <is>
          <t>OP-102</t>
        </is>
      </c>
      <c r="B55" s="34" t="n">
        <v>13</v>
      </c>
      <c r="C55" s="30" t="n">
        <v>46905</v>
      </c>
      <c r="D55" s="20">
        <f>IF('04_Condiciones_TIE'!B6="Francés",'04_Condiciones_TIE'!K6,IF('04_Condiciones_TIE'!B6="Alemán",'04_Condiciones_TIE'!C6/'04_Condiciones_TIE'!H6+F55,IF(B55&lt;'04_Condiciones_TIE'!H6,F55,F55+E55)))</f>
        <v/>
      </c>
      <c r="E55" s="20">
        <f>H54</f>
        <v/>
      </c>
      <c r="F55" s="20">
        <f>E55*'04_Condiciones_TIE'!J6</f>
        <v/>
      </c>
      <c r="G55" s="20">
        <f>D55-F55</f>
        <v/>
      </c>
      <c r="H55" s="20">
        <f>E55-G55</f>
        <v/>
      </c>
      <c r="I55" s="20">
        <f>D55</f>
        <v/>
      </c>
      <c r="J55" s="20">
        <f>M54</f>
        <v/>
      </c>
      <c r="K55" s="20">
        <f>J55*'04_Condiciones_TIE'!L6</f>
        <v/>
      </c>
      <c r="L55" s="20">
        <f>D55-K55</f>
        <v/>
      </c>
      <c r="M55" s="20">
        <f>J55-L55</f>
        <v/>
      </c>
    </row>
    <row r="56">
      <c r="A56" s="19" t="inlineStr">
        <is>
          <t>OP-102</t>
        </is>
      </c>
      <c r="B56" s="36" t="n">
        <v>14</v>
      </c>
      <c r="C56" s="32" t="n">
        <v>46997</v>
      </c>
      <c r="D56" s="21">
        <f>IF('04_Condiciones_TIE'!B6="Francés",'04_Condiciones_TIE'!K6,IF('04_Condiciones_TIE'!B6="Alemán",'04_Condiciones_TIE'!C6/'04_Condiciones_TIE'!H6+F56,IF(B56&lt;'04_Condiciones_TIE'!H6,F56,F56+E56)))</f>
        <v/>
      </c>
      <c r="E56" s="21">
        <f>H55</f>
        <v/>
      </c>
      <c r="F56" s="21">
        <f>E56*'04_Condiciones_TIE'!J6</f>
        <v/>
      </c>
      <c r="G56" s="21">
        <f>D56-F56</f>
        <v/>
      </c>
      <c r="H56" s="21">
        <f>E56-G56</f>
        <v/>
      </c>
      <c r="I56" s="21">
        <f>D56</f>
        <v/>
      </c>
      <c r="J56" s="21">
        <f>M55</f>
        <v/>
      </c>
      <c r="K56" s="21">
        <f>J56*'04_Condiciones_TIE'!L6</f>
        <v/>
      </c>
      <c r="L56" s="21">
        <f>D56-K56</f>
        <v/>
      </c>
      <c r="M56" s="21">
        <f>J56-L56</f>
        <v/>
      </c>
    </row>
    <row r="57">
      <c r="A57" s="18" t="inlineStr">
        <is>
          <t>OP-102</t>
        </is>
      </c>
      <c r="B57" s="34" t="n">
        <v>15</v>
      </c>
      <c r="C57" s="30" t="n">
        <v>47088</v>
      </c>
      <c r="D57" s="20">
        <f>IF('04_Condiciones_TIE'!B6="Francés",'04_Condiciones_TIE'!K6,IF('04_Condiciones_TIE'!B6="Alemán",'04_Condiciones_TIE'!C6/'04_Condiciones_TIE'!H6+F57,IF(B57&lt;'04_Condiciones_TIE'!H6,F57,F57+E57)))</f>
        <v/>
      </c>
      <c r="E57" s="20">
        <f>H56</f>
        <v/>
      </c>
      <c r="F57" s="20">
        <f>E57*'04_Condiciones_TIE'!J6</f>
        <v/>
      </c>
      <c r="G57" s="20">
        <f>D57-F57</f>
        <v/>
      </c>
      <c r="H57" s="20">
        <f>E57-G57</f>
        <v/>
      </c>
      <c r="I57" s="20">
        <f>D57</f>
        <v/>
      </c>
      <c r="J57" s="20">
        <f>M56</f>
        <v/>
      </c>
      <c r="K57" s="20">
        <f>J57*'04_Condiciones_TIE'!L6</f>
        <v/>
      </c>
      <c r="L57" s="20">
        <f>D57-K57</f>
        <v/>
      </c>
      <c r="M57" s="20">
        <f>J57-L57</f>
        <v/>
      </c>
    </row>
    <row r="58">
      <c r="A58" s="19" t="inlineStr">
        <is>
          <t>OP-102</t>
        </is>
      </c>
      <c r="B58" s="36" t="n">
        <v>16</v>
      </c>
      <c r="C58" s="32" t="n">
        <v>47178</v>
      </c>
      <c r="D58" s="21">
        <f>IF('04_Condiciones_TIE'!B6="Francés",'04_Condiciones_TIE'!K6,IF('04_Condiciones_TIE'!B6="Alemán",'04_Condiciones_TIE'!C6/'04_Condiciones_TIE'!H6+F58,IF(B58&lt;'04_Condiciones_TIE'!H6,F58,F58+E58)))</f>
        <v/>
      </c>
      <c r="E58" s="21">
        <f>H57</f>
        <v/>
      </c>
      <c r="F58" s="21">
        <f>E58*'04_Condiciones_TIE'!J6</f>
        <v/>
      </c>
      <c r="G58" s="21">
        <f>D58-F58</f>
        <v/>
      </c>
      <c r="H58" s="21">
        <f>E58-G58</f>
        <v/>
      </c>
      <c r="I58" s="21">
        <f>D58</f>
        <v/>
      </c>
      <c r="J58" s="21">
        <f>M57</f>
        <v/>
      </c>
      <c r="K58" s="21">
        <f>J58*'04_Condiciones_TIE'!L6</f>
        <v/>
      </c>
      <c r="L58" s="21">
        <f>D58-K58</f>
        <v/>
      </c>
      <c r="M58" s="21">
        <f>J58-L58</f>
        <v/>
      </c>
    </row>
    <row r="59">
      <c r="A59" s="18" t="inlineStr">
        <is>
          <t>OP-102</t>
        </is>
      </c>
      <c r="B59" s="34" t="n">
        <v>17</v>
      </c>
      <c r="C59" s="30" t="n">
        <v>47270</v>
      </c>
      <c r="D59" s="20">
        <f>IF('04_Condiciones_TIE'!B6="Francés",'04_Condiciones_TIE'!K6,IF('04_Condiciones_TIE'!B6="Alemán",'04_Condiciones_TIE'!C6/'04_Condiciones_TIE'!H6+F59,IF(B59&lt;'04_Condiciones_TIE'!H6,F59,F59+E59)))</f>
        <v/>
      </c>
      <c r="E59" s="20">
        <f>H58</f>
        <v/>
      </c>
      <c r="F59" s="20">
        <f>E59*'04_Condiciones_TIE'!J6</f>
        <v/>
      </c>
      <c r="G59" s="20">
        <f>D59-F59</f>
        <v/>
      </c>
      <c r="H59" s="20">
        <f>E59-G59</f>
        <v/>
      </c>
      <c r="I59" s="20">
        <f>D59</f>
        <v/>
      </c>
      <c r="J59" s="20">
        <f>M58</f>
        <v/>
      </c>
      <c r="K59" s="20">
        <f>J59*'04_Condiciones_TIE'!L6</f>
        <v/>
      </c>
      <c r="L59" s="20">
        <f>D59-K59</f>
        <v/>
      </c>
      <c r="M59" s="20">
        <f>J59-L59</f>
        <v/>
      </c>
    </row>
    <row r="60">
      <c r="A60" s="19" t="inlineStr">
        <is>
          <t>OP-102</t>
        </is>
      </c>
      <c r="B60" s="36" t="n">
        <v>18</v>
      </c>
      <c r="C60" s="32" t="n">
        <v>47362</v>
      </c>
      <c r="D60" s="21">
        <f>IF('04_Condiciones_TIE'!B6="Francés",'04_Condiciones_TIE'!K6,IF('04_Condiciones_TIE'!B6="Alemán",'04_Condiciones_TIE'!C6/'04_Condiciones_TIE'!H6+F60,IF(B60&lt;'04_Condiciones_TIE'!H6,F60,F60+E60)))</f>
        <v/>
      </c>
      <c r="E60" s="21">
        <f>H59</f>
        <v/>
      </c>
      <c r="F60" s="21">
        <f>E60*'04_Condiciones_TIE'!J6</f>
        <v/>
      </c>
      <c r="G60" s="21">
        <f>D60-F60</f>
        <v/>
      </c>
      <c r="H60" s="21">
        <f>E60-G60</f>
        <v/>
      </c>
      <c r="I60" s="21">
        <f>D60</f>
        <v/>
      </c>
      <c r="J60" s="21">
        <f>M59</f>
        <v/>
      </c>
      <c r="K60" s="21">
        <f>J60*'04_Condiciones_TIE'!L6</f>
        <v/>
      </c>
      <c r="L60" s="21">
        <f>D60-K60</f>
        <v/>
      </c>
      <c r="M60" s="21">
        <f>J60-L60</f>
        <v/>
      </c>
    </row>
    <row r="61">
      <c r="A61" s="18" t="inlineStr">
        <is>
          <t>OP-102</t>
        </is>
      </c>
      <c r="B61" s="34" t="n">
        <v>19</v>
      </c>
      <c r="C61" s="30" t="n">
        <v>47453</v>
      </c>
      <c r="D61" s="20">
        <f>IF('04_Condiciones_TIE'!B6="Francés",'04_Condiciones_TIE'!K6,IF('04_Condiciones_TIE'!B6="Alemán",'04_Condiciones_TIE'!C6/'04_Condiciones_TIE'!H6+F61,IF(B61&lt;'04_Condiciones_TIE'!H6,F61,F61+E61)))</f>
        <v/>
      </c>
      <c r="E61" s="20">
        <f>H60</f>
        <v/>
      </c>
      <c r="F61" s="20">
        <f>E61*'04_Condiciones_TIE'!J6</f>
        <v/>
      </c>
      <c r="G61" s="20">
        <f>D61-F61</f>
        <v/>
      </c>
      <c r="H61" s="20">
        <f>E61-G61</f>
        <v/>
      </c>
      <c r="I61" s="20">
        <f>D61</f>
        <v/>
      </c>
      <c r="J61" s="20">
        <f>M60</f>
        <v/>
      </c>
      <c r="K61" s="20">
        <f>J61*'04_Condiciones_TIE'!L6</f>
        <v/>
      </c>
      <c r="L61" s="20">
        <f>D61-K61</f>
        <v/>
      </c>
      <c r="M61" s="20">
        <f>J61-L61</f>
        <v/>
      </c>
    </row>
    <row r="62">
      <c r="A62" s="19" t="inlineStr">
        <is>
          <t>OP-102</t>
        </is>
      </c>
      <c r="B62" s="36" t="n">
        <v>20</v>
      </c>
      <c r="C62" s="32" t="n">
        <v>47543</v>
      </c>
      <c r="D62" s="21">
        <f>IF('04_Condiciones_TIE'!B6="Francés",'04_Condiciones_TIE'!K6,IF('04_Condiciones_TIE'!B6="Alemán",'04_Condiciones_TIE'!C6/'04_Condiciones_TIE'!H6+F62,IF(B62&lt;'04_Condiciones_TIE'!H6,F62,F62+E62)))</f>
        <v/>
      </c>
      <c r="E62" s="21">
        <f>H61</f>
        <v/>
      </c>
      <c r="F62" s="21">
        <f>E62*'04_Condiciones_TIE'!J6</f>
        <v/>
      </c>
      <c r="G62" s="21">
        <f>D62-F62</f>
        <v/>
      </c>
      <c r="H62" s="21">
        <f>E62-G62</f>
        <v/>
      </c>
      <c r="I62" s="21">
        <f>D62</f>
        <v/>
      </c>
      <c r="J62" s="21">
        <f>M61</f>
        <v/>
      </c>
      <c r="K62" s="21">
        <f>J62*'04_Condiciones_TIE'!L6</f>
        <v/>
      </c>
      <c r="L62" s="21">
        <f>D62-K62</f>
        <v/>
      </c>
      <c r="M62" s="21">
        <f>J62-L62</f>
        <v/>
      </c>
    </row>
    <row r="63">
      <c r="A63" s="18" t="inlineStr">
        <is>
          <t>OP-103</t>
        </is>
      </c>
      <c r="B63" s="34" t="n">
        <v>0</v>
      </c>
      <c r="C63" s="30" t="n">
        <v>45108</v>
      </c>
      <c r="D63" s="20" t="n"/>
      <c r="E63" s="20" t="n"/>
      <c r="F63" s="20" t="n"/>
      <c r="G63" s="20" t="n"/>
      <c r="H63" s="20">
        <f>'04_Condiciones_TIE'!C7</f>
        <v/>
      </c>
      <c r="I63" s="20">
        <f>-'04_Condiciones_TIE'!E7</f>
        <v/>
      </c>
      <c r="J63" s="20" t="n"/>
      <c r="K63" s="20" t="n"/>
      <c r="L63" s="20" t="n"/>
      <c r="M63" s="20">
        <f>'04_Condiciones_TIE'!E7</f>
        <v/>
      </c>
    </row>
    <row r="64">
      <c r="A64" s="19" t="inlineStr">
        <is>
          <t>OP-103</t>
        </is>
      </c>
      <c r="B64" s="36" t="n">
        <v>1</v>
      </c>
      <c r="C64" s="32" t="n">
        <v>45292</v>
      </c>
      <c r="D64" s="21">
        <f>IF('04_Condiciones_TIE'!B7="Francés",'04_Condiciones_TIE'!K7,IF('04_Condiciones_TIE'!B7="Alemán",'04_Condiciones_TIE'!C7/'04_Condiciones_TIE'!H7+F64,IF(B64&lt;'04_Condiciones_TIE'!H7,F64,F64+E64)))</f>
        <v/>
      </c>
      <c r="E64" s="21">
        <f>H63</f>
        <v/>
      </c>
      <c r="F64" s="21">
        <f>E64*'04_Condiciones_TIE'!J7</f>
        <v/>
      </c>
      <c r="G64" s="21">
        <f>D64-F64</f>
        <v/>
      </c>
      <c r="H64" s="21">
        <f>E64-G64</f>
        <v/>
      </c>
      <c r="I64" s="21">
        <f>D64</f>
        <v/>
      </c>
      <c r="J64" s="21">
        <f>M63</f>
        <v/>
      </c>
      <c r="K64" s="21">
        <f>J64*'04_Condiciones_TIE'!L7</f>
        <v/>
      </c>
      <c r="L64" s="21">
        <f>D64-K64</f>
        <v/>
      </c>
      <c r="M64" s="21">
        <f>J64-L64</f>
        <v/>
      </c>
    </row>
    <row r="65">
      <c r="A65" s="18" t="inlineStr">
        <is>
          <t>OP-103</t>
        </is>
      </c>
      <c r="B65" s="34" t="n">
        <v>2</v>
      </c>
      <c r="C65" s="30" t="n">
        <v>45474</v>
      </c>
      <c r="D65" s="20">
        <f>IF('04_Condiciones_TIE'!B7="Francés",'04_Condiciones_TIE'!K7,IF('04_Condiciones_TIE'!B7="Alemán",'04_Condiciones_TIE'!C7/'04_Condiciones_TIE'!H7+F65,IF(B65&lt;'04_Condiciones_TIE'!H7,F65,F65+E65)))</f>
        <v/>
      </c>
      <c r="E65" s="20">
        <f>H64</f>
        <v/>
      </c>
      <c r="F65" s="20">
        <f>E65*'04_Condiciones_TIE'!J7</f>
        <v/>
      </c>
      <c r="G65" s="20">
        <f>D65-F65</f>
        <v/>
      </c>
      <c r="H65" s="20">
        <f>E65-G65</f>
        <v/>
      </c>
      <c r="I65" s="20">
        <f>D65</f>
        <v/>
      </c>
      <c r="J65" s="20">
        <f>M64</f>
        <v/>
      </c>
      <c r="K65" s="20">
        <f>J65*'04_Condiciones_TIE'!L7</f>
        <v/>
      </c>
      <c r="L65" s="20">
        <f>D65-K65</f>
        <v/>
      </c>
      <c r="M65" s="20">
        <f>J65-L65</f>
        <v/>
      </c>
    </row>
    <row r="66">
      <c r="A66" s="19" t="inlineStr">
        <is>
          <t>OP-103</t>
        </is>
      </c>
      <c r="B66" s="36" t="n">
        <v>3</v>
      </c>
      <c r="C66" s="32" t="n">
        <v>45658</v>
      </c>
      <c r="D66" s="21">
        <f>IF('04_Condiciones_TIE'!B7="Francés",'04_Condiciones_TIE'!K7,IF('04_Condiciones_TIE'!B7="Alemán",'04_Condiciones_TIE'!C7/'04_Condiciones_TIE'!H7+F66,IF(B66&lt;'04_Condiciones_TIE'!H7,F66,F66+E66)))</f>
        <v/>
      </c>
      <c r="E66" s="21">
        <f>H65</f>
        <v/>
      </c>
      <c r="F66" s="21">
        <f>E66*'04_Condiciones_TIE'!J7</f>
        <v/>
      </c>
      <c r="G66" s="21">
        <f>D66-F66</f>
        <v/>
      </c>
      <c r="H66" s="21">
        <f>E66-G66</f>
        <v/>
      </c>
      <c r="I66" s="21">
        <f>D66</f>
        <v/>
      </c>
      <c r="J66" s="21">
        <f>M65</f>
        <v/>
      </c>
      <c r="K66" s="21">
        <f>J66*'04_Condiciones_TIE'!L7</f>
        <v/>
      </c>
      <c r="L66" s="21">
        <f>D66-K66</f>
        <v/>
      </c>
      <c r="M66" s="21">
        <f>J66-L66</f>
        <v/>
      </c>
    </row>
    <row r="67">
      <c r="A67" s="18" t="inlineStr">
        <is>
          <t>OP-103</t>
        </is>
      </c>
      <c r="B67" s="34" t="n">
        <v>4</v>
      </c>
      <c r="C67" s="30" t="n">
        <v>45839</v>
      </c>
      <c r="D67" s="20">
        <f>IF('04_Condiciones_TIE'!B7="Francés",'04_Condiciones_TIE'!K7,IF('04_Condiciones_TIE'!B7="Alemán",'04_Condiciones_TIE'!C7/'04_Condiciones_TIE'!H7+F67,IF(B67&lt;'04_Condiciones_TIE'!H7,F67,F67+E67)))</f>
        <v/>
      </c>
      <c r="E67" s="20">
        <f>H66</f>
        <v/>
      </c>
      <c r="F67" s="20">
        <f>E67*'04_Condiciones_TIE'!J7</f>
        <v/>
      </c>
      <c r="G67" s="20">
        <f>D67-F67</f>
        <v/>
      </c>
      <c r="H67" s="20">
        <f>E67-G67</f>
        <v/>
      </c>
      <c r="I67" s="20">
        <f>D67</f>
        <v/>
      </c>
      <c r="J67" s="20">
        <f>M66</f>
        <v/>
      </c>
      <c r="K67" s="20">
        <f>J67*'04_Condiciones_TIE'!L7</f>
        <v/>
      </c>
      <c r="L67" s="20">
        <f>D67-K67</f>
        <v/>
      </c>
      <c r="M67" s="20">
        <f>J67-L67</f>
        <v/>
      </c>
    </row>
    <row r="68">
      <c r="A68" s="19" t="inlineStr">
        <is>
          <t>OP-103</t>
        </is>
      </c>
      <c r="B68" s="36" t="n">
        <v>5</v>
      </c>
      <c r="C68" s="32" t="n">
        <v>46023</v>
      </c>
      <c r="D68" s="21">
        <f>IF('04_Condiciones_TIE'!B7="Francés",'04_Condiciones_TIE'!K7,IF('04_Condiciones_TIE'!B7="Alemán",'04_Condiciones_TIE'!C7/'04_Condiciones_TIE'!H7+F68,IF(B68&lt;'04_Condiciones_TIE'!H7,F68,F68+E68)))</f>
        <v/>
      </c>
      <c r="E68" s="21">
        <f>H67</f>
        <v/>
      </c>
      <c r="F68" s="21">
        <f>E68*'04_Condiciones_TIE'!J7</f>
        <v/>
      </c>
      <c r="G68" s="21">
        <f>D68-F68</f>
        <v/>
      </c>
      <c r="H68" s="21">
        <f>E68-G68</f>
        <v/>
      </c>
      <c r="I68" s="21">
        <f>D68</f>
        <v/>
      </c>
      <c r="J68" s="21">
        <f>M67</f>
        <v/>
      </c>
      <c r="K68" s="21">
        <f>J68*'04_Condiciones_TIE'!L7</f>
        <v/>
      </c>
      <c r="L68" s="21">
        <f>D68-K68</f>
        <v/>
      </c>
      <c r="M68" s="21">
        <f>J68-L68</f>
        <v/>
      </c>
    </row>
    <row r="69">
      <c r="A69" s="18" t="inlineStr">
        <is>
          <t>OP-103</t>
        </is>
      </c>
      <c r="B69" s="34" t="n">
        <v>6</v>
      </c>
      <c r="C69" s="30" t="n">
        <v>46204</v>
      </c>
      <c r="D69" s="20">
        <f>IF('04_Condiciones_TIE'!B7="Francés",'04_Condiciones_TIE'!K7,IF('04_Condiciones_TIE'!B7="Alemán",'04_Condiciones_TIE'!C7/'04_Condiciones_TIE'!H7+F69,IF(B69&lt;'04_Condiciones_TIE'!H7,F69,F69+E69)))</f>
        <v/>
      </c>
      <c r="E69" s="20">
        <f>H68</f>
        <v/>
      </c>
      <c r="F69" s="20">
        <f>E69*'04_Condiciones_TIE'!J7</f>
        <v/>
      </c>
      <c r="G69" s="20">
        <f>D69-F69</f>
        <v/>
      </c>
      <c r="H69" s="20">
        <f>E69-G69</f>
        <v/>
      </c>
      <c r="I69" s="20">
        <f>D69</f>
        <v/>
      </c>
      <c r="J69" s="20">
        <f>M68</f>
        <v/>
      </c>
      <c r="K69" s="20">
        <f>J69*'04_Condiciones_TIE'!L7</f>
        <v/>
      </c>
      <c r="L69" s="20">
        <f>D69-K69</f>
        <v/>
      </c>
      <c r="M69" s="20">
        <f>J69-L69</f>
        <v/>
      </c>
    </row>
    <row r="70">
      <c r="A70" s="19" t="inlineStr">
        <is>
          <t>OP-103</t>
        </is>
      </c>
      <c r="B70" s="36" t="n">
        <v>7</v>
      </c>
      <c r="C70" s="32" t="n">
        <v>46388</v>
      </c>
      <c r="D70" s="21">
        <f>IF('04_Condiciones_TIE'!B7="Francés",'04_Condiciones_TIE'!K7,IF('04_Condiciones_TIE'!B7="Alemán",'04_Condiciones_TIE'!C7/'04_Condiciones_TIE'!H7+F70,IF(B70&lt;'04_Condiciones_TIE'!H7,F70,F70+E70)))</f>
        <v/>
      </c>
      <c r="E70" s="21">
        <f>H69</f>
        <v/>
      </c>
      <c r="F70" s="21">
        <f>E70*'04_Condiciones_TIE'!J7</f>
        <v/>
      </c>
      <c r="G70" s="21">
        <f>D70-F70</f>
        <v/>
      </c>
      <c r="H70" s="21">
        <f>E70-G70</f>
        <v/>
      </c>
      <c r="I70" s="21">
        <f>D70</f>
        <v/>
      </c>
      <c r="J70" s="21">
        <f>M69</f>
        <v/>
      </c>
      <c r="K70" s="21">
        <f>J70*'04_Condiciones_TIE'!L7</f>
        <v/>
      </c>
      <c r="L70" s="21">
        <f>D70-K70</f>
        <v/>
      </c>
      <c r="M70" s="21">
        <f>J70-L70</f>
        <v/>
      </c>
    </row>
    <row r="71">
      <c r="A71" s="18" t="inlineStr">
        <is>
          <t>OP-103</t>
        </is>
      </c>
      <c r="B71" s="34" t="n">
        <v>8</v>
      </c>
      <c r="C71" s="30" t="n">
        <v>46569</v>
      </c>
      <c r="D71" s="20">
        <f>IF('04_Condiciones_TIE'!B7="Francés",'04_Condiciones_TIE'!K7,IF('04_Condiciones_TIE'!B7="Alemán",'04_Condiciones_TIE'!C7/'04_Condiciones_TIE'!H7+F71,IF(B71&lt;'04_Condiciones_TIE'!H7,F71,F71+E71)))</f>
        <v/>
      </c>
      <c r="E71" s="20">
        <f>H70</f>
        <v/>
      </c>
      <c r="F71" s="20">
        <f>E71*'04_Condiciones_TIE'!J7</f>
        <v/>
      </c>
      <c r="G71" s="20">
        <f>D71-F71</f>
        <v/>
      </c>
      <c r="H71" s="20">
        <f>E71-G71</f>
        <v/>
      </c>
      <c r="I71" s="20">
        <f>D71</f>
        <v/>
      </c>
      <c r="J71" s="20">
        <f>M70</f>
        <v/>
      </c>
      <c r="K71" s="20">
        <f>J71*'04_Condiciones_TIE'!L7</f>
        <v/>
      </c>
      <c r="L71" s="20">
        <f>D71-K71</f>
        <v/>
      </c>
      <c r="M71" s="20">
        <f>J71-L71</f>
        <v/>
      </c>
    </row>
    <row r="72">
      <c r="A72" s="19" t="inlineStr">
        <is>
          <t>OP-104</t>
        </is>
      </c>
      <c r="B72" s="36" t="n">
        <v>0</v>
      </c>
      <c r="C72" s="32" t="n">
        <v>45838</v>
      </c>
      <c r="D72" s="21" t="n"/>
      <c r="E72" s="21" t="n"/>
      <c r="F72" s="21" t="n"/>
      <c r="G72" s="21" t="n"/>
      <c r="H72" s="21">
        <f>'04_Condiciones_TIE'!C8</f>
        <v/>
      </c>
      <c r="I72" s="21">
        <f>-'04_Condiciones_TIE'!E8</f>
        <v/>
      </c>
      <c r="J72" s="21" t="n"/>
      <c r="K72" s="21" t="n"/>
      <c r="L72" s="21" t="n"/>
      <c r="M72" s="21">
        <f>'04_Condiciones_TIE'!E8</f>
        <v/>
      </c>
    </row>
    <row r="73">
      <c r="A73" s="18" t="inlineStr">
        <is>
          <t>OP-104</t>
        </is>
      </c>
      <c r="B73" s="34" t="n">
        <v>1</v>
      </c>
      <c r="C73" s="30" t="n">
        <v>46021</v>
      </c>
      <c r="D73" s="20">
        <f>IF('04_Condiciones_TIE'!B8="Francés",'04_Condiciones_TIE'!K8,IF('04_Condiciones_TIE'!B8="Alemán",'04_Condiciones_TIE'!C8/'04_Condiciones_TIE'!H8+F73,IF(B73&lt;'04_Condiciones_TIE'!H8,F73,F73+E73)))</f>
        <v/>
      </c>
      <c r="E73" s="20">
        <f>H72</f>
        <v/>
      </c>
      <c r="F73" s="20">
        <f>E73*'04_Condiciones_TIE'!J8</f>
        <v/>
      </c>
      <c r="G73" s="20">
        <f>D73-F73</f>
        <v/>
      </c>
      <c r="H73" s="20">
        <f>E73-G73</f>
        <v/>
      </c>
      <c r="I73" s="20">
        <f>D73</f>
        <v/>
      </c>
      <c r="J73" s="20">
        <f>M72</f>
        <v/>
      </c>
      <c r="K73" s="20">
        <f>J73*'04_Condiciones_TIE'!L8</f>
        <v/>
      </c>
      <c r="L73" s="20">
        <f>D73-K73</f>
        <v/>
      </c>
      <c r="M73" s="20">
        <f>J73-L73</f>
        <v/>
      </c>
    </row>
    <row r="74">
      <c r="A74" s="19" t="inlineStr">
        <is>
          <t>OP-104</t>
        </is>
      </c>
      <c r="B74" s="36" t="n">
        <v>2</v>
      </c>
      <c r="C74" s="32" t="n">
        <v>46203</v>
      </c>
      <c r="D74" s="21">
        <f>IF('04_Condiciones_TIE'!B8="Francés",'04_Condiciones_TIE'!K8,IF('04_Condiciones_TIE'!B8="Alemán",'04_Condiciones_TIE'!C8/'04_Condiciones_TIE'!H8+F74,IF(B74&lt;'04_Condiciones_TIE'!H8,F74,F74+E74)))</f>
        <v/>
      </c>
      <c r="E74" s="21">
        <f>H73</f>
        <v/>
      </c>
      <c r="F74" s="21">
        <f>E74*'04_Condiciones_TIE'!J8</f>
        <v/>
      </c>
      <c r="G74" s="21">
        <f>D74-F74</f>
        <v/>
      </c>
      <c r="H74" s="21">
        <f>E74-G74</f>
        <v/>
      </c>
      <c r="I74" s="21">
        <f>D74</f>
        <v/>
      </c>
      <c r="J74" s="21">
        <f>M73</f>
        <v/>
      </c>
      <c r="K74" s="21">
        <f>J74*'04_Condiciones_TIE'!L8</f>
        <v/>
      </c>
      <c r="L74" s="21">
        <f>D74-K74</f>
        <v/>
      </c>
      <c r="M74" s="21">
        <f>J74-L74</f>
        <v/>
      </c>
    </row>
    <row r="75">
      <c r="A75" s="18" t="inlineStr">
        <is>
          <t>OP-104</t>
        </is>
      </c>
      <c r="B75" s="34" t="n">
        <v>3</v>
      </c>
      <c r="C75" s="30" t="n">
        <v>46386</v>
      </c>
      <c r="D75" s="20">
        <f>IF('04_Condiciones_TIE'!B8="Francés",'04_Condiciones_TIE'!K8,IF('04_Condiciones_TIE'!B8="Alemán",'04_Condiciones_TIE'!C8/'04_Condiciones_TIE'!H8+F75,IF(B75&lt;'04_Condiciones_TIE'!H8,F75,F75+E75)))</f>
        <v/>
      </c>
      <c r="E75" s="20">
        <f>H74</f>
        <v/>
      </c>
      <c r="F75" s="20">
        <f>E75*'04_Condiciones_TIE'!J8</f>
        <v/>
      </c>
      <c r="G75" s="20">
        <f>D75-F75</f>
        <v/>
      </c>
      <c r="H75" s="20">
        <f>E75-G75</f>
        <v/>
      </c>
      <c r="I75" s="20">
        <f>D75</f>
        <v/>
      </c>
      <c r="J75" s="20">
        <f>M74</f>
        <v/>
      </c>
      <c r="K75" s="20">
        <f>J75*'04_Condiciones_TIE'!L8</f>
        <v/>
      </c>
      <c r="L75" s="20">
        <f>D75-K75</f>
        <v/>
      </c>
      <c r="M75" s="20">
        <f>J75-L75</f>
        <v/>
      </c>
    </row>
    <row r="76">
      <c r="A76" s="19" t="inlineStr">
        <is>
          <t>OP-104</t>
        </is>
      </c>
      <c r="B76" s="36" t="n">
        <v>4</v>
      </c>
      <c r="C76" s="32" t="n">
        <v>46568</v>
      </c>
      <c r="D76" s="21">
        <f>IF('04_Condiciones_TIE'!B8="Francés",'04_Condiciones_TIE'!K8,IF('04_Condiciones_TIE'!B8="Alemán",'04_Condiciones_TIE'!C8/'04_Condiciones_TIE'!H8+F76,IF(B76&lt;'04_Condiciones_TIE'!H8,F76,F76+E76)))</f>
        <v/>
      </c>
      <c r="E76" s="21">
        <f>H75</f>
        <v/>
      </c>
      <c r="F76" s="21">
        <f>E76*'04_Condiciones_TIE'!J8</f>
        <v/>
      </c>
      <c r="G76" s="21">
        <f>D76-F76</f>
        <v/>
      </c>
      <c r="H76" s="21">
        <f>E76-G76</f>
        <v/>
      </c>
      <c r="I76" s="21">
        <f>D76</f>
        <v/>
      </c>
      <c r="J76" s="21">
        <f>M75</f>
        <v/>
      </c>
      <c r="K76" s="21">
        <f>J76*'04_Condiciones_TIE'!L8</f>
        <v/>
      </c>
      <c r="L76" s="21">
        <f>D76-K76</f>
        <v/>
      </c>
      <c r="M76" s="21">
        <f>J76-L76</f>
        <v/>
      </c>
    </row>
    <row r="77">
      <c r="A77" s="18" t="inlineStr">
        <is>
          <t>OP-105</t>
        </is>
      </c>
      <c r="B77" s="34" t="n">
        <v>0</v>
      </c>
      <c r="C77" s="30" t="n">
        <v>44562</v>
      </c>
      <c r="D77" s="20" t="n"/>
      <c r="E77" s="20" t="n"/>
      <c r="F77" s="20" t="n"/>
      <c r="G77" s="20" t="n"/>
      <c r="H77" s="20">
        <f>'04_Condiciones_TIE'!C9</f>
        <v/>
      </c>
      <c r="I77" s="20">
        <f>-'04_Condiciones_TIE'!E9</f>
        <v/>
      </c>
      <c r="J77" s="20" t="n"/>
      <c r="K77" s="20" t="n"/>
      <c r="L77" s="20" t="n"/>
      <c r="M77" s="20">
        <f>'04_Condiciones_TIE'!E9</f>
        <v/>
      </c>
    </row>
    <row r="78">
      <c r="A78" s="19" t="inlineStr">
        <is>
          <t>OP-105</t>
        </is>
      </c>
      <c r="B78" s="36" t="n">
        <v>1</v>
      </c>
      <c r="C78" s="32" t="n">
        <v>44593</v>
      </c>
      <c r="D78" s="21">
        <f>IF('04_Condiciones_TIE'!B9="Francés",'04_Condiciones_TIE'!K9,IF('04_Condiciones_TIE'!B9="Alemán",'04_Condiciones_TIE'!C9/'04_Condiciones_TIE'!H9+F78,IF(B78&lt;'04_Condiciones_TIE'!H9,F78,F78+E78)))</f>
        <v/>
      </c>
      <c r="E78" s="21">
        <f>H77</f>
        <v/>
      </c>
      <c r="F78" s="21">
        <f>E78*'04_Condiciones_TIE'!J9</f>
        <v/>
      </c>
      <c r="G78" s="21">
        <f>D78-F78</f>
        <v/>
      </c>
      <c r="H78" s="21">
        <f>E78-G78</f>
        <v/>
      </c>
      <c r="I78" s="21">
        <f>D78</f>
        <v/>
      </c>
      <c r="J78" s="21">
        <f>M77</f>
        <v/>
      </c>
      <c r="K78" s="21">
        <f>J78*'04_Condiciones_TIE'!L9</f>
        <v/>
      </c>
      <c r="L78" s="21">
        <f>D78-K78</f>
        <v/>
      </c>
      <c r="M78" s="21">
        <f>J78-L78</f>
        <v/>
      </c>
    </row>
    <row r="79">
      <c r="A79" s="18" t="inlineStr">
        <is>
          <t>OP-105</t>
        </is>
      </c>
      <c r="B79" s="34" t="n">
        <v>2</v>
      </c>
      <c r="C79" s="30" t="n">
        <v>44621</v>
      </c>
      <c r="D79" s="20">
        <f>IF('04_Condiciones_TIE'!B9="Francés",'04_Condiciones_TIE'!K9,IF('04_Condiciones_TIE'!B9="Alemán",'04_Condiciones_TIE'!C9/'04_Condiciones_TIE'!H9+F79,IF(B79&lt;'04_Condiciones_TIE'!H9,F79,F79+E79)))</f>
        <v/>
      </c>
      <c r="E79" s="20">
        <f>H78</f>
        <v/>
      </c>
      <c r="F79" s="20">
        <f>E79*'04_Condiciones_TIE'!J9</f>
        <v/>
      </c>
      <c r="G79" s="20">
        <f>D79-F79</f>
        <v/>
      </c>
      <c r="H79" s="20">
        <f>E79-G79</f>
        <v/>
      </c>
      <c r="I79" s="20">
        <f>D79</f>
        <v/>
      </c>
      <c r="J79" s="20">
        <f>M78</f>
        <v/>
      </c>
      <c r="K79" s="20">
        <f>J79*'04_Condiciones_TIE'!L9</f>
        <v/>
      </c>
      <c r="L79" s="20">
        <f>D79-K79</f>
        <v/>
      </c>
      <c r="M79" s="20">
        <f>J79-L79</f>
        <v/>
      </c>
    </row>
    <row r="80">
      <c r="A80" s="19" t="inlineStr">
        <is>
          <t>OP-105</t>
        </is>
      </c>
      <c r="B80" s="36" t="n">
        <v>3</v>
      </c>
      <c r="C80" s="32" t="n">
        <v>44652</v>
      </c>
      <c r="D80" s="21">
        <f>IF('04_Condiciones_TIE'!B9="Francés",'04_Condiciones_TIE'!K9,IF('04_Condiciones_TIE'!B9="Alemán",'04_Condiciones_TIE'!C9/'04_Condiciones_TIE'!H9+F80,IF(B80&lt;'04_Condiciones_TIE'!H9,F80,F80+E80)))</f>
        <v/>
      </c>
      <c r="E80" s="21">
        <f>H79</f>
        <v/>
      </c>
      <c r="F80" s="21">
        <f>E80*'04_Condiciones_TIE'!J9</f>
        <v/>
      </c>
      <c r="G80" s="21">
        <f>D80-F80</f>
        <v/>
      </c>
      <c r="H80" s="21">
        <f>E80-G80</f>
        <v/>
      </c>
      <c r="I80" s="21">
        <f>D80</f>
        <v/>
      </c>
      <c r="J80" s="21">
        <f>M79</f>
        <v/>
      </c>
      <c r="K80" s="21">
        <f>J80*'04_Condiciones_TIE'!L9</f>
        <v/>
      </c>
      <c r="L80" s="21">
        <f>D80-K80</f>
        <v/>
      </c>
      <c r="M80" s="21">
        <f>J80-L80</f>
        <v/>
      </c>
    </row>
    <row r="81">
      <c r="A81" s="18" t="inlineStr">
        <is>
          <t>OP-105</t>
        </is>
      </c>
      <c r="B81" s="34" t="n">
        <v>4</v>
      </c>
      <c r="C81" s="30" t="n">
        <v>44682</v>
      </c>
      <c r="D81" s="20">
        <f>IF('04_Condiciones_TIE'!B9="Francés",'04_Condiciones_TIE'!K9,IF('04_Condiciones_TIE'!B9="Alemán",'04_Condiciones_TIE'!C9/'04_Condiciones_TIE'!H9+F81,IF(B81&lt;'04_Condiciones_TIE'!H9,F81,F81+E81)))</f>
        <v/>
      </c>
      <c r="E81" s="20">
        <f>H80</f>
        <v/>
      </c>
      <c r="F81" s="20">
        <f>E81*'04_Condiciones_TIE'!J9</f>
        <v/>
      </c>
      <c r="G81" s="20">
        <f>D81-F81</f>
        <v/>
      </c>
      <c r="H81" s="20">
        <f>E81-G81</f>
        <v/>
      </c>
      <c r="I81" s="20">
        <f>D81</f>
        <v/>
      </c>
      <c r="J81" s="20">
        <f>M80</f>
        <v/>
      </c>
      <c r="K81" s="20">
        <f>J81*'04_Condiciones_TIE'!L9</f>
        <v/>
      </c>
      <c r="L81" s="20">
        <f>D81-K81</f>
        <v/>
      </c>
      <c r="M81" s="20">
        <f>J81-L81</f>
        <v/>
      </c>
    </row>
    <row r="82">
      <c r="A82" s="19" t="inlineStr">
        <is>
          <t>OP-105</t>
        </is>
      </c>
      <c r="B82" s="36" t="n">
        <v>5</v>
      </c>
      <c r="C82" s="32" t="n">
        <v>44713</v>
      </c>
      <c r="D82" s="21">
        <f>IF('04_Condiciones_TIE'!B9="Francés",'04_Condiciones_TIE'!K9,IF('04_Condiciones_TIE'!B9="Alemán",'04_Condiciones_TIE'!C9/'04_Condiciones_TIE'!H9+F82,IF(B82&lt;'04_Condiciones_TIE'!H9,F82,F82+E82)))</f>
        <v/>
      </c>
      <c r="E82" s="21">
        <f>H81</f>
        <v/>
      </c>
      <c r="F82" s="21">
        <f>E82*'04_Condiciones_TIE'!J9</f>
        <v/>
      </c>
      <c r="G82" s="21">
        <f>D82-F82</f>
        <v/>
      </c>
      <c r="H82" s="21">
        <f>E82-G82</f>
        <v/>
      </c>
      <c r="I82" s="21">
        <f>D82</f>
        <v/>
      </c>
      <c r="J82" s="21">
        <f>M81</f>
        <v/>
      </c>
      <c r="K82" s="21">
        <f>J82*'04_Condiciones_TIE'!L9</f>
        <v/>
      </c>
      <c r="L82" s="21">
        <f>D82-K82</f>
        <v/>
      </c>
      <c r="M82" s="21">
        <f>J82-L82</f>
        <v/>
      </c>
    </row>
    <row r="83">
      <c r="A83" s="18" t="inlineStr">
        <is>
          <t>OP-105</t>
        </is>
      </c>
      <c r="B83" s="34" t="n">
        <v>6</v>
      </c>
      <c r="C83" s="30" t="n">
        <v>44743</v>
      </c>
      <c r="D83" s="20">
        <f>IF('04_Condiciones_TIE'!B9="Francés",'04_Condiciones_TIE'!K9,IF('04_Condiciones_TIE'!B9="Alemán",'04_Condiciones_TIE'!C9/'04_Condiciones_TIE'!H9+F83,IF(B83&lt;'04_Condiciones_TIE'!H9,F83,F83+E83)))</f>
        <v/>
      </c>
      <c r="E83" s="20">
        <f>H82</f>
        <v/>
      </c>
      <c r="F83" s="20">
        <f>E83*'04_Condiciones_TIE'!J9</f>
        <v/>
      </c>
      <c r="G83" s="20">
        <f>D83-F83</f>
        <v/>
      </c>
      <c r="H83" s="20">
        <f>E83-G83</f>
        <v/>
      </c>
      <c r="I83" s="20">
        <f>D83</f>
        <v/>
      </c>
      <c r="J83" s="20">
        <f>M82</f>
        <v/>
      </c>
      <c r="K83" s="20">
        <f>J83*'04_Condiciones_TIE'!L9</f>
        <v/>
      </c>
      <c r="L83" s="20">
        <f>D83-K83</f>
        <v/>
      </c>
      <c r="M83" s="20">
        <f>J83-L83</f>
        <v/>
      </c>
    </row>
    <row r="84">
      <c r="A84" s="19" t="inlineStr">
        <is>
          <t>OP-105</t>
        </is>
      </c>
      <c r="B84" s="36" t="n">
        <v>7</v>
      </c>
      <c r="C84" s="32" t="n">
        <v>44774</v>
      </c>
      <c r="D84" s="21">
        <f>IF('04_Condiciones_TIE'!B9="Francés",'04_Condiciones_TIE'!K9,IF('04_Condiciones_TIE'!B9="Alemán",'04_Condiciones_TIE'!C9/'04_Condiciones_TIE'!H9+F84,IF(B84&lt;'04_Condiciones_TIE'!H9,F84,F84+E84)))</f>
        <v/>
      </c>
      <c r="E84" s="21">
        <f>H83</f>
        <v/>
      </c>
      <c r="F84" s="21">
        <f>E84*'04_Condiciones_TIE'!J9</f>
        <v/>
      </c>
      <c r="G84" s="21">
        <f>D84-F84</f>
        <v/>
      </c>
      <c r="H84" s="21">
        <f>E84-G84</f>
        <v/>
      </c>
      <c r="I84" s="21">
        <f>D84</f>
        <v/>
      </c>
      <c r="J84" s="21">
        <f>M83</f>
        <v/>
      </c>
      <c r="K84" s="21">
        <f>J84*'04_Condiciones_TIE'!L9</f>
        <v/>
      </c>
      <c r="L84" s="21">
        <f>D84-K84</f>
        <v/>
      </c>
      <c r="M84" s="21">
        <f>J84-L84</f>
        <v/>
      </c>
    </row>
    <row r="85">
      <c r="A85" s="18" t="inlineStr">
        <is>
          <t>OP-105</t>
        </is>
      </c>
      <c r="B85" s="34" t="n">
        <v>8</v>
      </c>
      <c r="C85" s="30" t="n">
        <v>44805</v>
      </c>
      <c r="D85" s="20">
        <f>IF('04_Condiciones_TIE'!B9="Francés",'04_Condiciones_TIE'!K9,IF('04_Condiciones_TIE'!B9="Alemán",'04_Condiciones_TIE'!C9/'04_Condiciones_TIE'!H9+F85,IF(B85&lt;'04_Condiciones_TIE'!H9,F85,F85+E85)))</f>
        <v/>
      </c>
      <c r="E85" s="20">
        <f>H84</f>
        <v/>
      </c>
      <c r="F85" s="20">
        <f>E85*'04_Condiciones_TIE'!J9</f>
        <v/>
      </c>
      <c r="G85" s="20">
        <f>D85-F85</f>
        <v/>
      </c>
      <c r="H85" s="20">
        <f>E85-G85</f>
        <v/>
      </c>
      <c r="I85" s="20">
        <f>D85</f>
        <v/>
      </c>
      <c r="J85" s="20">
        <f>M84</f>
        <v/>
      </c>
      <c r="K85" s="20">
        <f>J85*'04_Condiciones_TIE'!L9</f>
        <v/>
      </c>
      <c r="L85" s="20">
        <f>D85-K85</f>
        <v/>
      </c>
      <c r="M85" s="20">
        <f>J85-L85</f>
        <v/>
      </c>
    </row>
    <row r="86">
      <c r="A86" s="19" t="inlineStr">
        <is>
          <t>OP-105</t>
        </is>
      </c>
      <c r="B86" s="36" t="n">
        <v>9</v>
      </c>
      <c r="C86" s="32" t="n">
        <v>44835</v>
      </c>
      <c r="D86" s="21">
        <f>IF('04_Condiciones_TIE'!B9="Francés",'04_Condiciones_TIE'!K9,IF('04_Condiciones_TIE'!B9="Alemán",'04_Condiciones_TIE'!C9/'04_Condiciones_TIE'!H9+F86,IF(B86&lt;'04_Condiciones_TIE'!H9,F86,F86+E86)))</f>
        <v/>
      </c>
      <c r="E86" s="21">
        <f>H85</f>
        <v/>
      </c>
      <c r="F86" s="21">
        <f>E86*'04_Condiciones_TIE'!J9</f>
        <v/>
      </c>
      <c r="G86" s="21">
        <f>D86-F86</f>
        <v/>
      </c>
      <c r="H86" s="21">
        <f>E86-G86</f>
        <v/>
      </c>
      <c r="I86" s="21">
        <f>D86</f>
        <v/>
      </c>
      <c r="J86" s="21">
        <f>M85</f>
        <v/>
      </c>
      <c r="K86" s="21">
        <f>J86*'04_Condiciones_TIE'!L9</f>
        <v/>
      </c>
      <c r="L86" s="21">
        <f>D86-K86</f>
        <v/>
      </c>
      <c r="M86" s="21">
        <f>J86-L86</f>
        <v/>
      </c>
    </row>
    <row r="87">
      <c r="A87" s="18" t="inlineStr">
        <is>
          <t>OP-105</t>
        </is>
      </c>
      <c r="B87" s="34" t="n">
        <v>10</v>
      </c>
      <c r="C87" s="30" t="n">
        <v>44866</v>
      </c>
      <c r="D87" s="20">
        <f>IF('04_Condiciones_TIE'!B9="Francés",'04_Condiciones_TIE'!K9,IF('04_Condiciones_TIE'!B9="Alemán",'04_Condiciones_TIE'!C9/'04_Condiciones_TIE'!H9+F87,IF(B87&lt;'04_Condiciones_TIE'!H9,F87,F87+E87)))</f>
        <v/>
      </c>
      <c r="E87" s="20">
        <f>H86</f>
        <v/>
      </c>
      <c r="F87" s="20">
        <f>E87*'04_Condiciones_TIE'!J9</f>
        <v/>
      </c>
      <c r="G87" s="20">
        <f>D87-F87</f>
        <v/>
      </c>
      <c r="H87" s="20">
        <f>E87-G87</f>
        <v/>
      </c>
      <c r="I87" s="20">
        <f>D87</f>
        <v/>
      </c>
      <c r="J87" s="20">
        <f>M86</f>
        <v/>
      </c>
      <c r="K87" s="20">
        <f>J87*'04_Condiciones_TIE'!L9</f>
        <v/>
      </c>
      <c r="L87" s="20">
        <f>D87-K87</f>
        <v/>
      </c>
      <c r="M87" s="20">
        <f>J87-L87</f>
        <v/>
      </c>
    </row>
    <row r="88">
      <c r="A88" s="19" t="inlineStr">
        <is>
          <t>OP-105</t>
        </is>
      </c>
      <c r="B88" s="36" t="n">
        <v>11</v>
      </c>
      <c r="C88" s="32" t="n">
        <v>44896</v>
      </c>
      <c r="D88" s="21">
        <f>IF('04_Condiciones_TIE'!B9="Francés",'04_Condiciones_TIE'!K9,IF('04_Condiciones_TIE'!B9="Alemán",'04_Condiciones_TIE'!C9/'04_Condiciones_TIE'!H9+F88,IF(B88&lt;'04_Condiciones_TIE'!H9,F88,F88+E88)))</f>
        <v/>
      </c>
      <c r="E88" s="21">
        <f>H87</f>
        <v/>
      </c>
      <c r="F88" s="21">
        <f>E88*'04_Condiciones_TIE'!J9</f>
        <v/>
      </c>
      <c r="G88" s="21">
        <f>D88-F88</f>
        <v/>
      </c>
      <c r="H88" s="21">
        <f>E88-G88</f>
        <v/>
      </c>
      <c r="I88" s="21">
        <f>D88</f>
        <v/>
      </c>
      <c r="J88" s="21">
        <f>M87</f>
        <v/>
      </c>
      <c r="K88" s="21">
        <f>J88*'04_Condiciones_TIE'!L9</f>
        <v/>
      </c>
      <c r="L88" s="21">
        <f>D88-K88</f>
        <v/>
      </c>
      <c r="M88" s="21">
        <f>J88-L88</f>
        <v/>
      </c>
    </row>
    <row r="89">
      <c r="A89" s="18" t="inlineStr">
        <is>
          <t>OP-105</t>
        </is>
      </c>
      <c r="B89" s="34" t="n">
        <v>12</v>
      </c>
      <c r="C89" s="30" t="n">
        <v>44927</v>
      </c>
      <c r="D89" s="20">
        <f>IF('04_Condiciones_TIE'!B9="Francés",'04_Condiciones_TIE'!K9,IF('04_Condiciones_TIE'!B9="Alemán",'04_Condiciones_TIE'!C9/'04_Condiciones_TIE'!H9+F89,IF(B89&lt;'04_Condiciones_TIE'!H9,F89,F89+E89)))</f>
        <v/>
      </c>
      <c r="E89" s="20">
        <f>H88</f>
        <v/>
      </c>
      <c r="F89" s="20">
        <f>E89*'04_Condiciones_TIE'!J9</f>
        <v/>
      </c>
      <c r="G89" s="20">
        <f>D89-F89</f>
        <v/>
      </c>
      <c r="H89" s="20">
        <f>E89-G89</f>
        <v/>
      </c>
      <c r="I89" s="20">
        <f>D89</f>
        <v/>
      </c>
      <c r="J89" s="20">
        <f>M88</f>
        <v/>
      </c>
      <c r="K89" s="20">
        <f>J89*'04_Condiciones_TIE'!L9</f>
        <v/>
      </c>
      <c r="L89" s="20">
        <f>D89-K89</f>
        <v/>
      </c>
      <c r="M89" s="20">
        <f>J89-L89</f>
        <v/>
      </c>
    </row>
    <row r="90">
      <c r="A90" s="19" t="inlineStr">
        <is>
          <t>OP-105</t>
        </is>
      </c>
      <c r="B90" s="36" t="n">
        <v>13</v>
      </c>
      <c r="C90" s="32" t="n">
        <v>44958</v>
      </c>
      <c r="D90" s="21">
        <f>IF('04_Condiciones_TIE'!B9="Francés",'04_Condiciones_TIE'!K9,IF('04_Condiciones_TIE'!B9="Alemán",'04_Condiciones_TIE'!C9/'04_Condiciones_TIE'!H9+F90,IF(B90&lt;'04_Condiciones_TIE'!H9,F90,F90+E90)))</f>
        <v/>
      </c>
      <c r="E90" s="21">
        <f>H89</f>
        <v/>
      </c>
      <c r="F90" s="21">
        <f>E90*'04_Condiciones_TIE'!J9</f>
        <v/>
      </c>
      <c r="G90" s="21">
        <f>D90-F90</f>
        <v/>
      </c>
      <c r="H90" s="21">
        <f>E90-G90</f>
        <v/>
      </c>
      <c r="I90" s="21">
        <f>D90</f>
        <v/>
      </c>
      <c r="J90" s="21">
        <f>M89</f>
        <v/>
      </c>
      <c r="K90" s="21">
        <f>J90*'04_Condiciones_TIE'!L9</f>
        <v/>
      </c>
      <c r="L90" s="21">
        <f>D90-K90</f>
        <v/>
      </c>
      <c r="M90" s="21">
        <f>J90-L90</f>
        <v/>
      </c>
    </row>
    <row r="91">
      <c r="A91" s="18" t="inlineStr">
        <is>
          <t>OP-105</t>
        </is>
      </c>
      <c r="B91" s="34" t="n">
        <v>14</v>
      </c>
      <c r="C91" s="30" t="n">
        <v>44986</v>
      </c>
      <c r="D91" s="20">
        <f>IF('04_Condiciones_TIE'!B9="Francés",'04_Condiciones_TIE'!K9,IF('04_Condiciones_TIE'!B9="Alemán",'04_Condiciones_TIE'!C9/'04_Condiciones_TIE'!H9+F91,IF(B91&lt;'04_Condiciones_TIE'!H9,F91,F91+E91)))</f>
        <v/>
      </c>
      <c r="E91" s="20">
        <f>H90</f>
        <v/>
      </c>
      <c r="F91" s="20">
        <f>E91*'04_Condiciones_TIE'!J9</f>
        <v/>
      </c>
      <c r="G91" s="20">
        <f>D91-F91</f>
        <v/>
      </c>
      <c r="H91" s="20">
        <f>E91-G91</f>
        <v/>
      </c>
      <c r="I91" s="20">
        <f>D91</f>
        <v/>
      </c>
      <c r="J91" s="20">
        <f>M90</f>
        <v/>
      </c>
      <c r="K91" s="20">
        <f>J91*'04_Condiciones_TIE'!L9</f>
        <v/>
      </c>
      <c r="L91" s="20">
        <f>D91-K91</f>
        <v/>
      </c>
      <c r="M91" s="20">
        <f>J91-L91</f>
        <v/>
      </c>
    </row>
    <row r="92">
      <c r="A92" s="19" t="inlineStr">
        <is>
          <t>OP-105</t>
        </is>
      </c>
      <c r="B92" s="36" t="n">
        <v>15</v>
      </c>
      <c r="C92" s="32" t="n">
        <v>45017</v>
      </c>
      <c r="D92" s="21">
        <f>IF('04_Condiciones_TIE'!B9="Francés",'04_Condiciones_TIE'!K9,IF('04_Condiciones_TIE'!B9="Alemán",'04_Condiciones_TIE'!C9/'04_Condiciones_TIE'!H9+F92,IF(B92&lt;'04_Condiciones_TIE'!H9,F92,F92+E92)))</f>
        <v/>
      </c>
      <c r="E92" s="21">
        <f>H91</f>
        <v/>
      </c>
      <c r="F92" s="21">
        <f>E92*'04_Condiciones_TIE'!J9</f>
        <v/>
      </c>
      <c r="G92" s="21">
        <f>D92-F92</f>
        <v/>
      </c>
      <c r="H92" s="21">
        <f>E92-G92</f>
        <v/>
      </c>
      <c r="I92" s="21">
        <f>D92</f>
        <v/>
      </c>
      <c r="J92" s="21">
        <f>M91</f>
        <v/>
      </c>
      <c r="K92" s="21">
        <f>J92*'04_Condiciones_TIE'!L9</f>
        <v/>
      </c>
      <c r="L92" s="21">
        <f>D92-K92</f>
        <v/>
      </c>
      <c r="M92" s="21">
        <f>J92-L92</f>
        <v/>
      </c>
    </row>
    <row r="93">
      <c r="A93" s="18" t="inlineStr">
        <is>
          <t>OP-105</t>
        </is>
      </c>
      <c r="B93" s="34" t="n">
        <v>16</v>
      </c>
      <c r="C93" s="30" t="n">
        <v>45047</v>
      </c>
      <c r="D93" s="20">
        <f>IF('04_Condiciones_TIE'!B9="Francés",'04_Condiciones_TIE'!K9,IF('04_Condiciones_TIE'!B9="Alemán",'04_Condiciones_TIE'!C9/'04_Condiciones_TIE'!H9+F93,IF(B93&lt;'04_Condiciones_TIE'!H9,F93,F93+E93)))</f>
        <v/>
      </c>
      <c r="E93" s="20">
        <f>H92</f>
        <v/>
      </c>
      <c r="F93" s="20">
        <f>E93*'04_Condiciones_TIE'!J9</f>
        <v/>
      </c>
      <c r="G93" s="20">
        <f>D93-F93</f>
        <v/>
      </c>
      <c r="H93" s="20">
        <f>E93-G93</f>
        <v/>
      </c>
      <c r="I93" s="20">
        <f>D93</f>
        <v/>
      </c>
      <c r="J93" s="20">
        <f>M92</f>
        <v/>
      </c>
      <c r="K93" s="20">
        <f>J93*'04_Condiciones_TIE'!L9</f>
        <v/>
      </c>
      <c r="L93" s="20">
        <f>D93-K93</f>
        <v/>
      </c>
      <c r="M93" s="20">
        <f>J93-L93</f>
        <v/>
      </c>
    </row>
    <row r="94">
      <c r="A94" s="19" t="inlineStr">
        <is>
          <t>OP-105</t>
        </is>
      </c>
      <c r="B94" s="36" t="n">
        <v>17</v>
      </c>
      <c r="C94" s="32" t="n">
        <v>45078</v>
      </c>
      <c r="D94" s="21">
        <f>IF('04_Condiciones_TIE'!B9="Francés",'04_Condiciones_TIE'!K9,IF('04_Condiciones_TIE'!B9="Alemán",'04_Condiciones_TIE'!C9/'04_Condiciones_TIE'!H9+F94,IF(B94&lt;'04_Condiciones_TIE'!H9,F94,F94+E94)))</f>
        <v/>
      </c>
      <c r="E94" s="21">
        <f>H93</f>
        <v/>
      </c>
      <c r="F94" s="21">
        <f>E94*'04_Condiciones_TIE'!J9</f>
        <v/>
      </c>
      <c r="G94" s="21">
        <f>D94-F94</f>
        <v/>
      </c>
      <c r="H94" s="21">
        <f>E94-G94</f>
        <v/>
      </c>
      <c r="I94" s="21">
        <f>D94</f>
        <v/>
      </c>
      <c r="J94" s="21">
        <f>M93</f>
        <v/>
      </c>
      <c r="K94" s="21">
        <f>J94*'04_Condiciones_TIE'!L9</f>
        <v/>
      </c>
      <c r="L94" s="21">
        <f>D94-K94</f>
        <v/>
      </c>
      <c r="M94" s="21">
        <f>J94-L94</f>
        <v/>
      </c>
    </row>
    <row r="95">
      <c r="A95" s="18" t="inlineStr">
        <is>
          <t>OP-105</t>
        </is>
      </c>
      <c r="B95" s="34" t="n">
        <v>18</v>
      </c>
      <c r="C95" s="30" t="n">
        <v>45108</v>
      </c>
      <c r="D95" s="20">
        <f>IF('04_Condiciones_TIE'!B9="Francés",'04_Condiciones_TIE'!K9,IF('04_Condiciones_TIE'!B9="Alemán",'04_Condiciones_TIE'!C9/'04_Condiciones_TIE'!H9+F95,IF(B95&lt;'04_Condiciones_TIE'!H9,F95,F95+E95)))</f>
        <v/>
      </c>
      <c r="E95" s="20">
        <f>H94</f>
        <v/>
      </c>
      <c r="F95" s="20">
        <f>E95*'04_Condiciones_TIE'!J9</f>
        <v/>
      </c>
      <c r="G95" s="20">
        <f>D95-F95</f>
        <v/>
      </c>
      <c r="H95" s="20">
        <f>E95-G95</f>
        <v/>
      </c>
      <c r="I95" s="20">
        <f>D95</f>
        <v/>
      </c>
      <c r="J95" s="20">
        <f>M94</f>
        <v/>
      </c>
      <c r="K95" s="20">
        <f>J95*'04_Condiciones_TIE'!L9</f>
        <v/>
      </c>
      <c r="L95" s="20">
        <f>D95-K95</f>
        <v/>
      </c>
      <c r="M95" s="20">
        <f>J95-L95</f>
        <v/>
      </c>
    </row>
    <row r="96">
      <c r="A96" s="19" t="inlineStr">
        <is>
          <t>OP-105</t>
        </is>
      </c>
      <c r="B96" s="36" t="n">
        <v>19</v>
      </c>
      <c r="C96" s="32" t="n">
        <v>45139</v>
      </c>
      <c r="D96" s="21">
        <f>IF('04_Condiciones_TIE'!B9="Francés",'04_Condiciones_TIE'!K9,IF('04_Condiciones_TIE'!B9="Alemán",'04_Condiciones_TIE'!C9/'04_Condiciones_TIE'!H9+F96,IF(B96&lt;'04_Condiciones_TIE'!H9,F96,F96+E96)))</f>
        <v/>
      </c>
      <c r="E96" s="21">
        <f>H95</f>
        <v/>
      </c>
      <c r="F96" s="21">
        <f>E96*'04_Condiciones_TIE'!J9</f>
        <v/>
      </c>
      <c r="G96" s="21">
        <f>D96-F96</f>
        <v/>
      </c>
      <c r="H96" s="21">
        <f>E96-G96</f>
        <v/>
      </c>
      <c r="I96" s="21">
        <f>D96</f>
        <v/>
      </c>
      <c r="J96" s="21">
        <f>M95</f>
        <v/>
      </c>
      <c r="K96" s="21">
        <f>J96*'04_Condiciones_TIE'!L9</f>
        <v/>
      </c>
      <c r="L96" s="21">
        <f>D96-K96</f>
        <v/>
      </c>
      <c r="M96" s="21">
        <f>J96-L96</f>
        <v/>
      </c>
    </row>
    <row r="97">
      <c r="A97" s="18" t="inlineStr">
        <is>
          <t>OP-105</t>
        </is>
      </c>
      <c r="B97" s="34" t="n">
        <v>20</v>
      </c>
      <c r="C97" s="30" t="n">
        <v>45170</v>
      </c>
      <c r="D97" s="20">
        <f>IF('04_Condiciones_TIE'!B9="Francés",'04_Condiciones_TIE'!K9,IF('04_Condiciones_TIE'!B9="Alemán",'04_Condiciones_TIE'!C9/'04_Condiciones_TIE'!H9+F97,IF(B97&lt;'04_Condiciones_TIE'!H9,F97,F97+E97)))</f>
        <v/>
      </c>
      <c r="E97" s="20">
        <f>H96</f>
        <v/>
      </c>
      <c r="F97" s="20">
        <f>E97*'04_Condiciones_TIE'!J9</f>
        <v/>
      </c>
      <c r="G97" s="20">
        <f>D97-F97</f>
        <v/>
      </c>
      <c r="H97" s="20">
        <f>E97-G97</f>
        <v/>
      </c>
      <c r="I97" s="20">
        <f>D97</f>
        <v/>
      </c>
      <c r="J97" s="20">
        <f>M96</f>
        <v/>
      </c>
      <c r="K97" s="20">
        <f>J97*'04_Condiciones_TIE'!L9</f>
        <v/>
      </c>
      <c r="L97" s="20">
        <f>D97-K97</f>
        <v/>
      </c>
      <c r="M97" s="20">
        <f>J97-L97</f>
        <v/>
      </c>
    </row>
    <row r="98">
      <c r="A98" s="19" t="inlineStr">
        <is>
          <t>OP-105</t>
        </is>
      </c>
      <c r="B98" s="36" t="n">
        <v>21</v>
      </c>
      <c r="C98" s="32" t="n">
        <v>45200</v>
      </c>
      <c r="D98" s="21">
        <f>IF('04_Condiciones_TIE'!B9="Francés",'04_Condiciones_TIE'!K9,IF('04_Condiciones_TIE'!B9="Alemán",'04_Condiciones_TIE'!C9/'04_Condiciones_TIE'!H9+F98,IF(B98&lt;'04_Condiciones_TIE'!H9,F98,F98+E98)))</f>
        <v/>
      </c>
      <c r="E98" s="21">
        <f>H97</f>
        <v/>
      </c>
      <c r="F98" s="21">
        <f>E98*'04_Condiciones_TIE'!J9</f>
        <v/>
      </c>
      <c r="G98" s="21">
        <f>D98-F98</f>
        <v/>
      </c>
      <c r="H98" s="21">
        <f>E98-G98</f>
        <v/>
      </c>
      <c r="I98" s="21">
        <f>D98</f>
        <v/>
      </c>
      <c r="J98" s="21">
        <f>M97</f>
        <v/>
      </c>
      <c r="K98" s="21">
        <f>J98*'04_Condiciones_TIE'!L9</f>
        <v/>
      </c>
      <c r="L98" s="21">
        <f>D98-K98</f>
        <v/>
      </c>
      <c r="M98" s="21">
        <f>J98-L98</f>
        <v/>
      </c>
    </row>
    <row r="99">
      <c r="A99" s="18" t="inlineStr">
        <is>
          <t>OP-105</t>
        </is>
      </c>
      <c r="B99" s="34" t="n">
        <v>22</v>
      </c>
      <c r="C99" s="30" t="n">
        <v>45231</v>
      </c>
      <c r="D99" s="20">
        <f>IF('04_Condiciones_TIE'!B9="Francés",'04_Condiciones_TIE'!K9,IF('04_Condiciones_TIE'!B9="Alemán",'04_Condiciones_TIE'!C9/'04_Condiciones_TIE'!H9+F99,IF(B99&lt;'04_Condiciones_TIE'!H9,F99,F99+E99)))</f>
        <v/>
      </c>
      <c r="E99" s="20">
        <f>H98</f>
        <v/>
      </c>
      <c r="F99" s="20">
        <f>E99*'04_Condiciones_TIE'!J9</f>
        <v/>
      </c>
      <c r="G99" s="20">
        <f>D99-F99</f>
        <v/>
      </c>
      <c r="H99" s="20">
        <f>E99-G99</f>
        <v/>
      </c>
      <c r="I99" s="20">
        <f>D99</f>
        <v/>
      </c>
      <c r="J99" s="20">
        <f>M98</f>
        <v/>
      </c>
      <c r="K99" s="20">
        <f>J99*'04_Condiciones_TIE'!L9</f>
        <v/>
      </c>
      <c r="L99" s="20">
        <f>D99-K99</f>
        <v/>
      </c>
      <c r="M99" s="20">
        <f>J99-L99</f>
        <v/>
      </c>
    </row>
    <row r="100">
      <c r="A100" s="19" t="inlineStr">
        <is>
          <t>OP-105</t>
        </is>
      </c>
      <c r="B100" s="36" t="n">
        <v>23</v>
      </c>
      <c r="C100" s="32" t="n">
        <v>45261</v>
      </c>
      <c r="D100" s="21">
        <f>IF('04_Condiciones_TIE'!B9="Francés",'04_Condiciones_TIE'!K9,IF('04_Condiciones_TIE'!B9="Alemán",'04_Condiciones_TIE'!C9/'04_Condiciones_TIE'!H9+F100,IF(B100&lt;'04_Condiciones_TIE'!H9,F100,F100+E100)))</f>
        <v/>
      </c>
      <c r="E100" s="21">
        <f>H99</f>
        <v/>
      </c>
      <c r="F100" s="21">
        <f>E100*'04_Condiciones_TIE'!J9</f>
        <v/>
      </c>
      <c r="G100" s="21">
        <f>D100-F100</f>
        <v/>
      </c>
      <c r="H100" s="21">
        <f>E100-G100</f>
        <v/>
      </c>
      <c r="I100" s="21">
        <f>D100</f>
        <v/>
      </c>
      <c r="J100" s="21">
        <f>M99</f>
        <v/>
      </c>
      <c r="K100" s="21">
        <f>J100*'04_Condiciones_TIE'!L9</f>
        <v/>
      </c>
      <c r="L100" s="21">
        <f>D100-K100</f>
        <v/>
      </c>
      <c r="M100" s="21">
        <f>J100-L100</f>
        <v/>
      </c>
    </row>
    <row r="101">
      <c r="A101" s="18" t="inlineStr">
        <is>
          <t>OP-105</t>
        </is>
      </c>
      <c r="B101" s="34" t="n">
        <v>24</v>
      </c>
      <c r="C101" s="30" t="n">
        <v>45292</v>
      </c>
      <c r="D101" s="20">
        <f>IF('04_Condiciones_TIE'!B9="Francés",'04_Condiciones_TIE'!K9,IF('04_Condiciones_TIE'!B9="Alemán",'04_Condiciones_TIE'!C9/'04_Condiciones_TIE'!H9+F101,IF(B101&lt;'04_Condiciones_TIE'!H9,F101,F101+E101)))</f>
        <v/>
      </c>
      <c r="E101" s="20">
        <f>H100</f>
        <v/>
      </c>
      <c r="F101" s="20">
        <f>E101*'04_Condiciones_TIE'!J9</f>
        <v/>
      </c>
      <c r="G101" s="20">
        <f>D101-F101</f>
        <v/>
      </c>
      <c r="H101" s="20">
        <f>E101-G101</f>
        <v/>
      </c>
      <c r="I101" s="20">
        <f>D101</f>
        <v/>
      </c>
      <c r="J101" s="20">
        <f>M100</f>
        <v/>
      </c>
      <c r="K101" s="20">
        <f>J101*'04_Condiciones_TIE'!L9</f>
        <v/>
      </c>
      <c r="L101" s="20">
        <f>D101-K101</f>
        <v/>
      </c>
      <c r="M101" s="20">
        <f>J101-L101</f>
        <v/>
      </c>
    </row>
    <row r="102">
      <c r="A102" s="19" t="inlineStr">
        <is>
          <t>OP-105</t>
        </is>
      </c>
      <c r="B102" s="36" t="n">
        <v>25</v>
      </c>
      <c r="C102" s="32" t="n">
        <v>45323</v>
      </c>
      <c r="D102" s="21">
        <f>IF('04_Condiciones_TIE'!B9="Francés",'04_Condiciones_TIE'!K9,IF('04_Condiciones_TIE'!B9="Alemán",'04_Condiciones_TIE'!C9/'04_Condiciones_TIE'!H9+F102,IF(B102&lt;'04_Condiciones_TIE'!H9,F102,F102+E102)))</f>
        <v/>
      </c>
      <c r="E102" s="21">
        <f>H101</f>
        <v/>
      </c>
      <c r="F102" s="21">
        <f>E102*'04_Condiciones_TIE'!J9</f>
        <v/>
      </c>
      <c r="G102" s="21">
        <f>D102-F102</f>
        <v/>
      </c>
      <c r="H102" s="21">
        <f>E102-G102</f>
        <v/>
      </c>
      <c r="I102" s="21">
        <f>D102</f>
        <v/>
      </c>
      <c r="J102" s="21">
        <f>M101</f>
        <v/>
      </c>
      <c r="K102" s="21">
        <f>J102*'04_Condiciones_TIE'!L9</f>
        <v/>
      </c>
      <c r="L102" s="21">
        <f>D102-K102</f>
        <v/>
      </c>
      <c r="M102" s="21">
        <f>J102-L102</f>
        <v/>
      </c>
    </row>
    <row r="103">
      <c r="A103" s="18" t="inlineStr">
        <is>
          <t>OP-105</t>
        </is>
      </c>
      <c r="B103" s="34" t="n">
        <v>26</v>
      </c>
      <c r="C103" s="30" t="n">
        <v>45352</v>
      </c>
      <c r="D103" s="20">
        <f>IF('04_Condiciones_TIE'!B9="Francés",'04_Condiciones_TIE'!K9,IF('04_Condiciones_TIE'!B9="Alemán",'04_Condiciones_TIE'!C9/'04_Condiciones_TIE'!H9+F103,IF(B103&lt;'04_Condiciones_TIE'!H9,F103,F103+E103)))</f>
        <v/>
      </c>
      <c r="E103" s="20">
        <f>H102</f>
        <v/>
      </c>
      <c r="F103" s="20">
        <f>E103*'04_Condiciones_TIE'!J9</f>
        <v/>
      </c>
      <c r="G103" s="20">
        <f>D103-F103</f>
        <v/>
      </c>
      <c r="H103" s="20">
        <f>E103-G103</f>
        <v/>
      </c>
      <c r="I103" s="20">
        <f>D103</f>
        <v/>
      </c>
      <c r="J103" s="20">
        <f>M102</f>
        <v/>
      </c>
      <c r="K103" s="20">
        <f>J103*'04_Condiciones_TIE'!L9</f>
        <v/>
      </c>
      <c r="L103" s="20">
        <f>D103-K103</f>
        <v/>
      </c>
      <c r="M103" s="20">
        <f>J103-L103</f>
        <v/>
      </c>
    </row>
    <row r="104">
      <c r="A104" s="19" t="inlineStr">
        <is>
          <t>OP-105</t>
        </is>
      </c>
      <c r="B104" s="36" t="n">
        <v>27</v>
      </c>
      <c r="C104" s="32" t="n">
        <v>45383</v>
      </c>
      <c r="D104" s="21">
        <f>IF('04_Condiciones_TIE'!B9="Francés",'04_Condiciones_TIE'!K9,IF('04_Condiciones_TIE'!B9="Alemán",'04_Condiciones_TIE'!C9/'04_Condiciones_TIE'!H9+F104,IF(B104&lt;'04_Condiciones_TIE'!H9,F104,F104+E104)))</f>
        <v/>
      </c>
      <c r="E104" s="21">
        <f>H103</f>
        <v/>
      </c>
      <c r="F104" s="21">
        <f>E104*'04_Condiciones_TIE'!J9</f>
        <v/>
      </c>
      <c r="G104" s="21">
        <f>D104-F104</f>
        <v/>
      </c>
      <c r="H104" s="21">
        <f>E104-G104</f>
        <v/>
      </c>
      <c r="I104" s="21">
        <f>D104</f>
        <v/>
      </c>
      <c r="J104" s="21">
        <f>M103</f>
        <v/>
      </c>
      <c r="K104" s="21">
        <f>J104*'04_Condiciones_TIE'!L9</f>
        <v/>
      </c>
      <c r="L104" s="21">
        <f>D104-K104</f>
        <v/>
      </c>
      <c r="M104" s="21">
        <f>J104-L104</f>
        <v/>
      </c>
    </row>
    <row r="105">
      <c r="A105" s="18" t="inlineStr">
        <is>
          <t>OP-105</t>
        </is>
      </c>
      <c r="B105" s="34" t="n">
        <v>28</v>
      </c>
      <c r="C105" s="30" t="n">
        <v>45413</v>
      </c>
      <c r="D105" s="20">
        <f>IF('04_Condiciones_TIE'!B9="Francés",'04_Condiciones_TIE'!K9,IF('04_Condiciones_TIE'!B9="Alemán",'04_Condiciones_TIE'!C9/'04_Condiciones_TIE'!H9+F105,IF(B105&lt;'04_Condiciones_TIE'!H9,F105,F105+E105)))</f>
        <v/>
      </c>
      <c r="E105" s="20">
        <f>H104</f>
        <v/>
      </c>
      <c r="F105" s="20">
        <f>E105*'04_Condiciones_TIE'!J9</f>
        <v/>
      </c>
      <c r="G105" s="20">
        <f>D105-F105</f>
        <v/>
      </c>
      <c r="H105" s="20">
        <f>E105-G105</f>
        <v/>
      </c>
      <c r="I105" s="20">
        <f>D105</f>
        <v/>
      </c>
      <c r="J105" s="20">
        <f>M104</f>
        <v/>
      </c>
      <c r="K105" s="20">
        <f>J105*'04_Condiciones_TIE'!L9</f>
        <v/>
      </c>
      <c r="L105" s="20">
        <f>D105-K105</f>
        <v/>
      </c>
      <c r="M105" s="20">
        <f>J105-L105</f>
        <v/>
      </c>
    </row>
    <row r="106">
      <c r="A106" s="19" t="inlineStr">
        <is>
          <t>OP-105</t>
        </is>
      </c>
      <c r="B106" s="36" t="n">
        <v>29</v>
      </c>
      <c r="C106" s="32" t="n">
        <v>45444</v>
      </c>
      <c r="D106" s="21">
        <f>IF('04_Condiciones_TIE'!B9="Francés",'04_Condiciones_TIE'!K9,IF('04_Condiciones_TIE'!B9="Alemán",'04_Condiciones_TIE'!C9/'04_Condiciones_TIE'!H9+F106,IF(B106&lt;'04_Condiciones_TIE'!H9,F106,F106+E106)))</f>
        <v/>
      </c>
      <c r="E106" s="21">
        <f>H105</f>
        <v/>
      </c>
      <c r="F106" s="21">
        <f>E106*'04_Condiciones_TIE'!J9</f>
        <v/>
      </c>
      <c r="G106" s="21">
        <f>D106-F106</f>
        <v/>
      </c>
      <c r="H106" s="21">
        <f>E106-G106</f>
        <v/>
      </c>
      <c r="I106" s="21">
        <f>D106</f>
        <v/>
      </c>
      <c r="J106" s="21">
        <f>M105</f>
        <v/>
      </c>
      <c r="K106" s="21">
        <f>J106*'04_Condiciones_TIE'!L9</f>
        <v/>
      </c>
      <c r="L106" s="21">
        <f>D106-K106</f>
        <v/>
      </c>
      <c r="M106" s="21">
        <f>J106-L106</f>
        <v/>
      </c>
    </row>
    <row r="107">
      <c r="A107" s="18" t="inlineStr">
        <is>
          <t>OP-105</t>
        </is>
      </c>
      <c r="B107" s="34" t="n">
        <v>30</v>
      </c>
      <c r="C107" s="30" t="n">
        <v>45474</v>
      </c>
      <c r="D107" s="20">
        <f>IF('04_Condiciones_TIE'!B9="Francés",'04_Condiciones_TIE'!K9,IF('04_Condiciones_TIE'!B9="Alemán",'04_Condiciones_TIE'!C9/'04_Condiciones_TIE'!H9+F107,IF(B107&lt;'04_Condiciones_TIE'!H9,F107,F107+E107)))</f>
        <v/>
      </c>
      <c r="E107" s="20">
        <f>H106</f>
        <v/>
      </c>
      <c r="F107" s="20">
        <f>E107*'04_Condiciones_TIE'!J9</f>
        <v/>
      </c>
      <c r="G107" s="20">
        <f>D107-F107</f>
        <v/>
      </c>
      <c r="H107" s="20">
        <f>E107-G107</f>
        <v/>
      </c>
      <c r="I107" s="20">
        <f>D107</f>
        <v/>
      </c>
      <c r="J107" s="20">
        <f>M106</f>
        <v/>
      </c>
      <c r="K107" s="20">
        <f>J107*'04_Condiciones_TIE'!L9</f>
        <v/>
      </c>
      <c r="L107" s="20">
        <f>D107-K107</f>
        <v/>
      </c>
      <c r="M107" s="20">
        <f>J107-L107</f>
        <v/>
      </c>
    </row>
    <row r="108">
      <c r="A108" s="19" t="inlineStr">
        <is>
          <t>OP-105</t>
        </is>
      </c>
      <c r="B108" s="36" t="n">
        <v>31</v>
      </c>
      <c r="C108" s="32" t="n">
        <v>45505</v>
      </c>
      <c r="D108" s="21">
        <f>IF('04_Condiciones_TIE'!B9="Francés",'04_Condiciones_TIE'!K9,IF('04_Condiciones_TIE'!B9="Alemán",'04_Condiciones_TIE'!C9/'04_Condiciones_TIE'!H9+F108,IF(B108&lt;'04_Condiciones_TIE'!H9,F108,F108+E108)))</f>
        <v/>
      </c>
      <c r="E108" s="21">
        <f>H107</f>
        <v/>
      </c>
      <c r="F108" s="21">
        <f>E108*'04_Condiciones_TIE'!J9</f>
        <v/>
      </c>
      <c r="G108" s="21">
        <f>D108-F108</f>
        <v/>
      </c>
      <c r="H108" s="21">
        <f>E108-G108</f>
        <v/>
      </c>
      <c r="I108" s="21">
        <f>D108</f>
        <v/>
      </c>
      <c r="J108" s="21">
        <f>M107</f>
        <v/>
      </c>
      <c r="K108" s="21">
        <f>J108*'04_Condiciones_TIE'!L9</f>
        <v/>
      </c>
      <c r="L108" s="21">
        <f>D108-K108</f>
        <v/>
      </c>
      <c r="M108" s="21">
        <f>J108-L108</f>
        <v/>
      </c>
    </row>
    <row r="109">
      <c r="A109" s="18" t="inlineStr">
        <is>
          <t>OP-105</t>
        </is>
      </c>
      <c r="B109" s="34" t="n">
        <v>32</v>
      </c>
      <c r="C109" s="30" t="n">
        <v>45536</v>
      </c>
      <c r="D109" s="20">
        <f>IF('04_Condiciones_TIE'!B9="Francés",'04_Condiciones_TIE'!K9,IF('04_Condiciones_TIE'!B9="Alemán",'04_Condiciones_TIE'!C9/'04_Condiciones_TIE'!H9+F109,IF(B109&lt;'04_Condiciones_TIE'!H9,F109,F109+E109)))</f>
        <v/>
      </c>
      <c r="E109" s="20">
        <f>H108</f>
        <v/>
      </c>
      <c r="F109" s="20">
        <f>E109*'04_Condiciones_TIE'!J9</f>
        <v/>
      </c>
      <c r="G109" s="20">
        <f>D109-F109</f>
        <v/>
      </c>
      <c r="H109" s="20">
        <f>E109-G109</f>
        <v/>
      </c>
      <c r="I109" s="20">
        <f>D109</f>
        <v/>
      </c>
      <c r="J109" s="20">
        <f>M108</f>
        <v/>
      </c>
      <c r="K109" s="20">
        <f>J109*'04_Condiciones_TIE'!L9</f>
        <v/>
      </c>
      <c r="L109" s="20">
        <f>D109-K109</f>
        <v/>
      </c>
      <c r="M109" s="20">
        <f>J109-L109</f>
        <v/>
      </c>
    </row>
    <row r="110">
      <c r="A110" s="19" t="inlineStr">
        <is>
          <t>OP-105</t>
        </is>
      </c>
      <c r="B110" s="36" t="n">
        <v>33</v>
      </c>
      <c r="C110" s="32" t="n">
        <v>45566</v>
      </c>
      <c r="D110" s="21">
        <f>IF('04_Condiciones_TIE'!B9="Francés",'04_Condiciones_TIE'!K9,IF('04_Condiciones_TIE'!B9="Alemán",'04_Condiciones_TIE'!C9/'04_Condiciones_TIE'!H9+F110,IF(B110&lt;'04_Condiciones_TIE'!H9,F110,F110+E110)))</f>
        <v/>
      </c>
      <c r="E110" s="21">
        <f>H109</f>
        <v/>
      </c>
      <c r="F110" s="21">
        <f>E110*'04_Condiciones_TIE'!J9</f>
        <v/>
      </c>
      <c r="G110" s="21">
        <f>D110-F110</f>
        <v/>
      </c>
      <c r="H110" s="21">
        <f>E110-G110</f>
        <v/>
      </c>
      <c r="I110" s="21">
        <f>D110</f>
        <v/>
      </c>
      <c r="J110" s="21">
        <f>M109</f>
        <v/>
      </c>
      <c r="K110" s="21">
        <f>J110*'04_Condiciones_TIE'!L9</f>
        <v/>
      </c>
      <c r="L110" s="21">
        <f>D110-K110</f>
        <v/>
      </c>
      <c r="M110" s="21">
        <f>J110-L110</f>
        <v/>
      </c>
    </row>
    <row r="111">
      <c r="A111" s="18" t="inlineStr">
        <is>
          <t>OP-105</t>
        </is>
      </c>
      <c r="B111" s="34" t="n">
        <v>34</v>
      </c>
      <c r="C111" s="30" t="n">
        <v>45597</v>
      </c>
      <c r="D111" s="20">
        <f>IF('04_Condiciones_TIE'!B9="Francés",'04_Condiciones_TIE'!K9,IF('04_Condiciones_TIE'!B9="Alemán",'04_Condiciones_TIE'!C9/'04_Condiciones_TIE'!H9+F111,IF(B111&lt;'04_Condiciones_TIE'!H9,F111,F111+E111)))</f>
        <v/>
      </c>
      <c r="E111" s="20">
        <f>H110</f>
        <v/>
      </c>
      <c r="F111" s="20">
        <f>E111*'04_Condiciones_TIE'!J9</f>
        <v/>
      </c>
      <c r="G111" s="20">
        <f>D111-F111</f>
        <v/>
      </c>
      <c r="H111" s="20">
        <f>E111-G111</f>
        <v/>
      </c>
      <c r="I111" s="20">
        <f>D111</f>
        <v/>
      </c>
      <c r="J111" s="20">
        <f>M110</f>
        <v/>
      </c>
      <c r="K111" s="20">
        <f>J111*'04_Condiciones_TIE'!L9</f>
        <v/>
      </c>
      <c r="L111" s="20">
        <f>D111-K111</f>
        <v/>
      </c>
      <c r="M111" s="20">
        <f>J111-L111</f>
        <v/>
      </c>
    </row>
    <row r="112">
      <c r="A112" s="19" t="inlineStr">
        <is>
          <t>OP-105</t>
        </is>
      </c>
      <c r="B112" s="36" t="n">
        <v>35</v>
      </c>
      <c r="C112" s="32" t="n">
        <v>45627</v>
      </c>
      <c r="D112" s="21">
        <f>IF('04_Condiciones_TIE'!B9="Francés",'04_Condiciones_TIE'!K9,IF('04_Condiciones_TIE'!B9="Alemán",'04_Condiciones_TIE'!C9/'04_Condiciones_TIE'!H9+F112,IF(B112&lt;'04_Condiciones_TIE'!H9,F112,F112+E112)))</f>
        <v/>
      </c>
      <c r="E112" s="21">
        <f>H111</f>
        <v/>
      </c>
      <c r="F112" s="21">
        <f>E112*'04_Condiciones_TIE'!J9</f>
        <v/>
      </c>
      <c r="G112" s="21">
        <f>D112-F112</f>
        <v/>
      </c>
      <c r="H112" s="21">
        <f>E112-G112</f>
        <v/>
      </c>
      <c r="I112" s="21">
        <f>D112</f>
        <v/>
      </c>
      <c r="J112" s="21">
        <f>M111</f>
        <v/>
      </c>
      <c r="K112" s="21">
        <f>J112*'04_Condiciones_TIE'!L9</f>
        <v/>
      </c>
      <c r="L112" s="21">
        <f>D112-K112</f>
        <v/>
      </c>
      <c r="M112" s="21">
        <f>J112-L112</f>
        <v/>
      </c>
    </row>
    <row r="113">
      <c r="A113" s="18" t="inlineStr">
        <is>
          <t>OP-105</t>
        </is>
      </c>
      <c r="B113" s="34" t="n">
        <v>36</v>
      </c>
      <c r="C113" s="30" t="n">
        <v>45658</v>
      </c>
      <c r="D113" s="20">
        <f>IF('04_Condiciones_TIE'!B9="Francés",'04_Condiciones_TIE'!K9,IF('04_Condiciones_TIE'!B9="Alemán",'04_Condiciones_TIE'!C9/'04_Condiciones_TIE'!H9+F113,IF(B113&lt;'04_Condiciones_TIE'!H9,F113,F113+E113)))</f>
        <v/>
      </c>
      <c r="E113" s="20">
        <f>H112</f>
        <v/>
      </c>
      <c r="F113" s="20">
        <f>E113*'04_Condiciones_TIE'!J9</f>
        <v/>
      </c>
      <c r="G113" s="20">
        <f>D113-F113</f>
        <v/>
      </c>
      <c r="H113" s="20">
        <f>E113-G113</f>
        <v/>
      </c>
      <c r="I113" s="20">
        <f>D113</f>
        <v/>
      </c>
      <c r="J113" s="20">
        <f>M112</f>
        <v/>
      </c>
      <c r="K113" s="20">
        <f>J113*'04_Condiciones_TIE'!L9</f>
        <v/>
      </c>
      <c r="L113" s="20">
        <f>D113-K113</f>
        <v/>
      </c>
      <c r="M113" s="20">
        <f>J113-L113</f>
        <v/>
      </c>
    </row>
    <row r="114">
      <c r="A114" s="19" t="inlineStr">
        <is>
          <t>OP-105</t>
        </is>
      </c>
      <c r="B114" s="36" t="n">
        <v>37</v>
      </c>
      <c r="C114" s="32" t="n">
        <v>45689</v>
      </c>
      <c r="D114" s="21">
        <f>IF('04_Condiciones_TIE'!B9="Francés",'04_Condiciones_TIE'!K9,IF('04_Condiciones_TIE'!B9="Alemán",'04_Condiciones_TIE'!C9/'04_Condiciones_TIE'!H9+F114,IF(B114&lt;'04_Condiciones_TIE'!H9,F114,F114+E114)))</f>
        <v/>
      </c>
      <c r="E114" s="21">
        <f>H113</f>
        <v/>
      </c>
      <c r="F114" s="21">
        <f>E114*'04_Condiciones_TIE'!J9</f>
        <v/>
      </c>
      <c r="G114" s="21">
        <f>D114-F114</f>
        <v/>
      </c>
      <c r="H114" s="21">
        <f>E114-G114</f>
        <v/>
      </c>
      <c r="I114" s="21">
        <f>D114</f>
        <v/>
      </c>
      <c r="J114" s="21">
        <f>M113</f>
        <v/>
      </c>
      <c r="K114" s="21">
        <f>J114*'04_Condiciones_TIE'!L9</f>
        <v/>
      </c>
      <c r="L114" s="21">
        <f>D114-K114</f>
        <v/>
      </c>
      <c r="M114" s="21">
        <f>J114-L114</f>
        <v/>
      </c>
    </row>
    <row r="115">
      <c r="A115" s="18" t="inlineStr">
        <is>
          <t>OP-105</t>
        </is>
      </c>
      <c r="B115" s="34" t="n">
        <v>38</v>
      </c>
      <c r="C115" s="30" t="n">
        <v>45717</v>
      </c>
      <c r="D115" s="20">
        <f>IF('04_Condiciones_TIE'!B9="Francés",'04_Condiciones_TIE'!K9,IF('04_Condiciones_TIE'!B9="Alemán",'04_Condiciones_TIE'!C9/'04_Condiciones_TIE'!H9+F115,IF(B115&lt;'04_Condiciones_TIE'!H9,F115,F115+E115)))</f>
        <v/>
      </c>
      <c r="E115" s="20">
        <f>H114</f>
        <v/>
      </c>
      <c r="F115" s="20">
        <f>E115*'04_Condiciones_TIE'!J9</f>
        <v/>
      </c>
      <c r="G115" s="20">
        <f>D115-F115</f>
        <v/>
      </c>
      <c r="H115" s="20">
        <f>E115-G115</f>
        <v/>
      </c>
      <c r="I115" s="20">
        <f>D115</f>
        <v/>
      </c>
      <c r="J115" s="20">
        <f>M114</f>
        <v/>
      </c>
      <c r="K115" s="20">
        <f>J115*'04_Condiciones_TIE'!L9</f>
        <v/>
      </c>
      <c r="L115" s="20">
        <f>D115-K115</f>
        <v/>
      </c>
      <c r="M115" s="20">
        <f>J115-L115</f>
        <v/>
      </c>
    </row>
    <row r="116">
      <c r="A116" s="19" t="inlineStr">
        <is>
          <t>OP-105</t>
        </is>
      </c>
      <c r="B116" s="36" t="n">
        <v>39</v>
      </c>
      <c r="C116" s="32" t="n">
        <v>45748</v>
      </c>
      <c r="D116" s="21">
        <f>IF('04_Condiciones_TIE'!B9="Francés",'04_Condiciones_TIE'!K9,IF('04_Condiciones_TIE'!B9="Alemán",'04_Condiciones_TIE'!C9/'04_Condiciones_TIE'!H9+F116,IF(B116&lt;'04_Condiciones_TIE'!H9,F116,F116+E116)))</f>
        <v/>
      </c>
      <c r="E116" s="21">
        <f>H115</f>
        <v/>
      </c>
      <c r="F116" s="21">
        <f>E116*'04_Condiciones_TIE'!J9</f>
        <v/>
      </c>
      <c r="G116" s="21">
        <f>D116-F116</f>
        <v/>
      </c>
      <c r="H116" s="21">
        <f>E116-G116</f>
        <v/>
      </c>
      <c r="I116" s="21">
        <f>D116</f>
        <v/>
      </c>
      <c r="J116" s="21">
        <f>M115</f>
        <v/>
      </c>
      <c r="K116" s="21">
        <f>J116*'04_Condiciones_TIE'!L9</f>
        <v/>
      </c>
      <c r="L116" s="21">
        <f>D116-K116</f>
        <v/>
      </c>
      <c r="M116" s="21">
        <f>J116-L116</f>
        <v/>
      </c>
    </row>
    <row r="117">
      <c r="A117" s="18" t="inlineStr">
        <is>
          <t>OP-105</t>
        </is>
      </c>
      <c r="B117" s="34" t="n">
        <v>40</v>
      </c>
      <c r="C117" s="30" t="n">
        <v>45778</v>
      </c>
      <c r="D117" s="20">
        <f>IF('04_Condiciones_TIE'!B9="Francés",'04_Condiciones_TIE'!K9,IF('04_Condiciones_TIE'!B9="Alemán",'04_Condiciones_TIE'!C9/'04_Condiciones_TIE'!H9+F117,IF(B117&lt;'04_Condiciones_TIE'!H9,F117,F117+E117)))</f>
        <v/>
      </c>
      <c r="E117" s="20">
        <f>H116</f>
        <v/>
      </c>
      <c r="F117" s="20">
        <f>E117*'04_Condiciones_TIE'!J9</f>
        <v/>
      </c>
      <c r="G117" s="20">
        <f>D117-F117</f>
        <v/>
      </c>
      <c r="H117" s="20">
        <f>E117-G117</f>
        <v/>
      </c>
      <c r="I117" s="20">
        <f>D117</f>
        <v/>
      </c>
      <c r="J117" s="20">
        <f>M116</f>
        <v/>
      </c>
      <c r="K117" s="20">
        <f>J117*'04_Condiciones_TIE'!L9</f>
        <v/>
      </c>
      <c r="L117" s="20">
        <f>D117-K117</f>
        <v/>
      </c>
      <c r="M117" s="20">
        <f>J117-L117</f>
        <v/>
      </c>
    </row>
    <row r="118">
      <c r="A118" s="19" t="inlineStr">
        <is>
          <t>OP-105</t>
        </is>
      </c>
      <c r="B118" s="36" t="n">
        <v>41</v>
      </c>
      <c r="C118" s="32" t="n">
        <v>45809</v>
      </c>
      <c r="D118" s="21">
        <f>IF('04_Condiciones_TIE'!B9="Francés",'04_Condiciones_TIE'!K9,IF('04_Condiciones_TIE'!B9="Alemán",'04_Condiciones_TIE'!C9/'04_Condiciones_TIE'!H9+F118,IF(B118&lt;'04_Condiciones_TIE'!H9,F118,F118+E118)))</f>
        <v/>
      </c>
      <c r="E118" s="21">
        <f>H117</f>
        <v/>
      </c>
      <c r="F118" s="21">
        <f>E118*'04_Condiciones_TIE'!J9</f>
        <v/>
      </c>
      <c r="G118" s="21">
        <f>D118-F118</f>
        <v/>
      </c>
      <c r="H118" s="21">
        <f>E118-G118</f>
        <v/>
      </c>
      <c r="I118" s="21">
        <f>D118</f>
        <v/>
      </c>
      <c r="J118" s="21">
        <f>M117</f>
        <v/>
      </c>
      <c r="K118" s="21">
        <f>J118*'04_Condiciones_TIE'!L9</f>
        <v/>
      </c>
      <c r="L118" s="21">
        <f>D118-K118</f>
        <v/>
      </c>
      <c r="M118" s="21">
        <f>J118-L118</f>
        <v/>
      </c>
    </row>
    <row r="119">
      <c r="A119" s="18" t="inlineStr">
        <is>
          <t>OP-105</t>
        </is>
      </c>
      <c r="B119" s="34" t="n">
        <v>42</v>
      </c>
      <c r="C119" s="30" t="n">
        <v>45839</v>
      </c>
      <c r="D119" s="20">
        <f>IF('04_Condiciones_TIE'!B9="Francés",'04_Condiciones_TIE'!K9,IF('04_Condiciones_TIE'!B9="Alemán",'04_Condiciones_TIE'!C9/'04_Condiciones_TIE'!H9+F119,IF(B119&lt;'04_Condiciones_TIE'!H9,F119,F119+E119)))</f>
        <v/>
      </c>
      <c r="E119" s="20">
        <f>H118</f>
        <v/>
      </c>
      <c r="F119" s="20">
        <f>E119*'04_Condiciones_TIE'!J9</f>
        <v/>
      </c>
      <c r="G119" s="20">
        <f>D119-F119</f>
        <v/>
      </c>
      <c r="H119" s="20">
        <f>E119-G119</f>
        <v/>
      </c>
      <c r="I119" s="20">
        <f>D119</f>
        <v/>
      </c>
      <c r="J119" s="20">
        <f>M118</f>
        <v/>
      </c>
      <c r="K119" s="20">
        <f>J119*'04_Condiciones_TIE'!L9</f>
        <v/>
      </c>
      <c r="L119" s="20">
        <f>D119-K119</f>
        <v/>
      </c>
      <c r="M119" s="20">
        <f>J119-L119</f>
        <v/>
      </c>
    </row>
    <row r="120">
      <c r="A120" s="19" t="inlineStr">
        <is>
          <t>OP-105</t>
        </is>
      </c>
      <c r="B120" s="36" t="n">
        <v>43</v>
      </c>
      <c r="C120" s="32" t="n">
        <v>45870</v>
      </c>
      <c r="D120" s="21">
        <f>IF('04_Condiciones_TIE'!B9="Francés",'04_Condiciones_TIE'!K9,IF('04_Condiciones_TIE'!B9="Alemán",'04_Condiciones_TIE'!C9/'04_Condiciones_TIE'!H9+F120,IF(B120&lt;'04_Condiciones_TIE'!H9,F120,F120+E120)))</f>
        <v/>
      </c>
      <c r="E120" s="21">
        <f>H119</f>
        <v/>
      </c>
      <c r="F120" s="21">
        <f>E120*'04_Condiciones_TIE'!J9</f>
        <v/>
      </c>
      <c r="G120" s="21">
        <f>D120-F120</f>
        <v/>
      </c>
      <c r="H120" s="21">
        <f>E120-G120</f>
        <v/>
      </c>
      <c r="I120" s="21">
        <f>D120</f>
        <v/>
      </c>
      <c r="J120" s="21">
        <f>M119</f>
        <v/>
      </c>
      <c r="K120" s="21">
        <f>J120*'04_Condiciones_TIE'!L9</f>
        <v/>
      </c>
      <c r="L120" s="21">
        <f>D120-K120</f>
        <v/>
      </c>
      <c r="M120" s="21">
        <f>J120-L120</f>
        <v/>
      </c>
    </row>
    <row r="121">
      <c r="A121" s="18" t="inlineStr">
        <is>
          <t>OP-105</t>
        </is>
      </c>
      <c r="B121" s="34" t="n">
        <v>44</v>
      </c>
      <c r="C121" s="30" t="n">
        <v>45901</v>
      </c>
      <c r="D121" s="20">
        <f>IF('04_Condiciones_TIE'!B9="Francés",'04_Condiciones_TIE'!K9,IF('04_Condiciones_TIE'!B9="Alemán",'04_Condiciones_TIE'!C9/'04_Condiciones_TIE'!H9+F121,IF(B121&lt;'04_Condiciones_TIE'!H9,F121,F121+E121)))</f>
        <v/>
      </c>
      <c r="E121" s="20">
        <f>H120</f>
        <v/>
      </c>
      <c r="F121" s="20">
        <f>E121*'04_Condiciones_TIE'!J9</f>
        <v/>
      </c>
      <c r="G121" s="20">
        <f>D121-F121</f>
        <v/>
      </c>
      <c r="H121" s="20">
        <f>E121-G121</f>
        <v/>
      </c>
      <c r="I121" s="20">
        <f>D121</f>
        <v/>
      </c>
      <c r="J121" s="20">
        <f>M120</f>
        <v/>
      </c>
      <c r="K121" s="20">
        <f>J121*'04_Condiciones_TIE'!L9</f>
        <v/>
      </c>
      <c r="L121" s="20">
        <f>D121-K121</f>
        <v/>
      </c>
      <c r="M121" s="20">
        <f>J121-L121</f>
        <v/>
      </c>
    </row>
    <row r="122">
      <c r="A122" s="19" t="inlineStr">
        <is>
          <t>OP-105</t>
        </is>
      </c>
      <c r="B122" s="36" t="n">
        <v>45</v>
      </c>
      <c r="C122" s="32" t="n">
        <v>45931</v>
      </c>
      <c r="D122" s="21">
        <f>IF('04_Condiciones_TIE'!B9="Francés",'04_Condiciones_TIE'!K9,IF('04_Condiciones_TIE'!B9="Alemán",'04_Condiciones_TIE'!C9/'04_Condiciones_TIE'!H9+F122,IF(B122&lt;'04_Condiciones_TIE'!H9,F122,F122+E122)))</f>
        <v/>
      </c>
      <c r="E122" s="21">
        <f>H121</f>
        <v/>
      </c>
      <c r="F122" s="21">
        <f>E122*'04_Condiciones_TIE'!J9</f>
        <v/>
      </c>
      <c r="G122" s="21">
        <f>D122-F122</f>
        <v/>
      </c>
      <c r="H122" s="21">
        <f>E122-G122</f>
        <v/>
      </c>
      <c r="I122" s="21">
        <f>D122</f>
        <v/>
      </c>
      <c r="J122" s="21">
        <f>M121</f>
        <v/>
      </c>
      <c r="K122" s="21">
        <f>J122*'04_Condiciones_TIE'!L9</f>
        <v/>
      </c>
      <c r="L122" s="21">
        <f>D122-K122</f>
        <v/>
      </c>
      <c r="M122" s="21">
        <f>J122-L122</f>
        <v/>
      </c>
    </row>
    <row r="123">
      <c r="A123" s="18" t="inlineStr">
        <is>
          <t>OP-105</t>
        </is>
      </c>
      <c r="B123" s="34" t="n">
        <v>46</v>
      </c>
      <c r="C123" s="30" t="n">
        <v>45962</v>
      </c>
      <c r="D123" s="20">
        <f>IF('04_Condiciones_TIE'!B9="Francés",'04_Condiciones_TIE'!K9,IF('04_Condiciones_TIE'!B9="Alemán",'04_Condiciones_TIE'!C9/'04_Condiciones_TIE'!H9+F123,IF(B123&lt;'04_Condiciones_TIE'!H9,F123,F123+E123)))</f>
        <v/>
      </c>
      <c r="E123" s="20">
        <f>H122</f>
        <v/>
      </c>
      <c r="F123" s="20">
        <f>E123*'04_Condiciones_TIE'!J9</f>
        <v/>
      </c>
      <c r="G123" s="20">
        <f>D123-F123</f>
        <v/>
      </c>
      <c r="H123" s="20">
        <f>E123-G123</f>
        <v/>
      </c>
      <c r="I123" s="20">
        <f>D123</f>
        <v/>
      </c>
      <c r="J123" s="20">
        <f>M122</f>
        <v/>
      </c>
      <c r="K123" s="20">
        <f>J123*'04_Condiciones_TIE'!L9</f>
        <v/>
      </c>
      <c r="L123" s="20">
        <f>D123-K123</f>
        <v/>
      </c>
      <c r="M123" s="20">
        <f>J123-L123</f>
        <v/>
      </c>
    </row>
    <row r="124">
      <c r="A124" s="19" t="inlineStr">
        <is>
          <t>OP-105</t>
        </is>
      </c>
      <c r="B124" s="36" t="n">
        <v>47</v>
      </c>
      <c r="C124" s="32" t="n">
        <v>45992</v>
      </c>
      <c r="D124" s="21">
        <f>IF('04_Condiciones_TIE'!B9="Francés",'04_Condiciones_TIE'!K9,IF('04_Condiciones_TIE'!B9="Alemán",'04_Condiciones_TIE'!C9/'04_Condiciones_TIE'!H9+F124,IF(B124&lt;'04_Condiciones_TIE'!H9,F124,F124+E124)))</f>
        <v/>
      </c>
      <c r="E124" s="21">
        <f>H123</f>
        <v/>
      </c>
      <c r="F124" s="21">
        <f>E124*'04_Condiciones_TIE'!J9</f>
        <v/>
      </c>
      <c r="G124" s="21">
        <f>D124-F124</f>
        <v/>
      </c>
      <c r="H124" s="21">
        <f>E124-G124</f>
        <v/>
      </c>
      <c r="I124" s="21">
        <f>D124</f>
        <v/>
      </c>
      <c r="J124" s="21">
        <f>M123</f>
        <v/>
      </c>
      <c r="K124" s="21">
        <f>J124*'04_Condiciones_TIE'!L9</f>
        <v/>
      </c>
      <c r="L124" s="21">
        <f>D124-K124</f>
        <v/>
      </c>
      <c r="M124" s="21">
        <f>J124-L124</f>
        <v/>
      </c>
    </row>
    <row r="125">
      <c r="A125" s="18" t="inlineStr">
        <is>
          <t>OP-105</t>
        </is>
      </c>
      <c r="B125" s="34" t="n">
        <v>48</v>
      </c>
      <c r="C125" s="30" t="n">
        <v>46023</v>
      </c>
      <c r="D125" s="20">
        <f>IF('04_Condiciones_TIE'!B9="Francés",'04_Condiciones_TIE'!K9,IF('04_Condiciones_TIE'!B9="Alemán",'04_Condiciones_TIE'!C9/'04_Condiciones_TIE'!H9+F125,IF(B125&lt;'04_Condiciones_TIE'!H9,F125,F125+E125)))</f>
        <v/>
      </c>
      <c r="E125" s="20">
        <f>H124</f>
        <v/>
      </c>
      <c r="F125" s="20">
        <f>E125*'04_Condiciones_TIE'!J9</f>
        <v/>
      </c>
      <c r="G125" s="20">
        <f>D125-F125</f>
        <v/>
      </c>
      <c r="H125" s="20">
        <f>E125-G125</f>
        <v/>
      </c>
      <c r="I125" s="20">
        <f>D125</f>
        <v/>
      </c>
      <c r="J125" s="20">
        <f>M124</f>
        <v/>
      </c>
      <c r="K125" s="20">
        <f>J125*'04_Condiciones_TIE'!L9</f>
        <v/>
      </c>
      <c r="L125" s="20">
        <f>D125-K125</f>
        <v/>
      </c>
      <c r="M125" s="20">
        <f>J125-L125</f>
        <v/>
      </c>
    </row>
    <row r="126">
      <c r="A126" s="19" t="inlineStr">
        <is>
          <t>OP-105</t>
        </is>
      </c>
      <c r="B126" s="36" t="n">
        <v>49</v>
      </c>
      <c r="C126" s="32" t="n">
        <v>46054</v>
      </c>
      <c r="D126" s="21">
        <f>IF('04_Condiciones_TIE'!B9="Francés",'04_Condiciones_TIE'!K9,IF('04_Condiciones_TIE'!B9="Alemán",'04_Condiciones_TIE'!C9/'04_Condiciones_TIE'!H9+F126,IF(B126&lt;'04_Condiciones_TIE'!H9,F126,F126+E126)))</f>
        <v/>
      </c>
      <c r="E126" s="21">
        <f>H125</f>
        <v/>
      </c>
      <c r="F126" s="21">
        <f>E126*'04_Condiciones_TIE'!J9</f>
        <v/>
      </c>
      <c r="G126" s="21">
        <f>D126-F126</f>
        <v/>
      </c>
      <c r="H126" s="21">
        <f>E126-G126</f>
        <v/>
      </c>
      <c r="I126" s="21">
        <f>D126</f>
        <v/>
      </c>
      <c r="J126" s="21">
        <f>M125</f>
        <v/>
      </c>
      <c r="K126" s="21">
        <f>J126*'04_Condiciones_TIE'!L9</f>
        <v/>
      </c>
      <c r="L126" s="21">
        <f>D126-K126</f>
        <v/>
      </c>
      <c r="M126" s="21">
        <f>J126-L126</f>
        <v/>
      </c>
    </row>
    <row r="127">
      <c r="A127" s="18" t="inlineStr">
        <is>
          <t>OP-105</t>
        </is>
      </c>
      <c r="B127" s="34" t="n">
        <v>50</v>
      </c>
      <c r="C127" s="30" t="n">
        <v>46082</v>
      </c>
      <c r="D127" s="20">
        <f>IF('04_Condiciones_TIE'!B9="Francés",'04_Condiciones_TIE'!K9,IF('04_Condiciones_TIE'!B9="Alemán",'04_Condiciones_TIE'!C9/'04_Condiciones_TIE'!H9+F127,IF(B127&lt;'04_Condiciones_TIE'!H9,F127,F127+E127)))</f>
        <v/>
      </c>
      <c r="E127" s="20">
        <f>H126</f>
        <v/>
      </c>
      <c r="F127" s="20">
        <f>E127*'04_Condiciones_TIE'!J9</f>
        <v/>
      </c>
      <c r="G127" s="20">
        <f>D127-F127</f>
        <v/>
      </c>
      <c r="H127" s="20">
        <f>E127-G127</f>
        <v/>
      </c>
      <c r="I127" s="20">
        <f>D127</f>
        <v/>
      </c>
      <c r="J127" s="20">
        <f>M126</f>
        <v/>
      </c>
      <c r="K127" s="20">
        <f>J127*'04_Condiciones_TIE'!L9</f>
        <v/>
      </c>
      <c r="L127" s="20">
        <f>D127-K127</f>
        <v/>
      </c>
      <c r="M127" s="20">
        <f>J127-L127</f>
        <v/>
      </c>
    </row>
    <row r="128">
      <c r="A128" s="19" t="inlineStr">
        <is>
          <t>OP-105</t>
        </is>
      </c>
      <c r="B128" s="36" t="n">
        <v>51</v>
      </c>
      <c r="C128" s="32" t="n">
        <v>46113</v>
      </c>
      <c r="D128" s="21">
        <f>IF('04_Condiciones_TIE'!B9="Francés",'04_Condiciones_TIE'!K9,IF('04_Condiciones_TIE'!B9="Alemán",'04_Condiciones_TIE'!C9/'04_Condiciones_TIE'!H9+F128,IF(B128&lt;'04_Condiciones_TIE'!H9,F128,F128+E128)))</f>
        <v/>
      </c>
      <c r="E128" s="21">
        <f>H127</f>
        <v/>
      </c>
      <c r="F128" s="21">
        <f>E128*'04_Condiciones_TIE'!J9</f>
        <v/>
      </c>
      <c r="G128" s="21">
        <f>D128-F128</f>
        <v/>
      </c>
      <c r="H128" s="21">
        <f>E128-G128</f>
        <v/>
      </c>
      <c r="I128" s="21">
        <f>D128</f>
        <v/>
      </c>
      <c r="J128" s="21">
        <f>M127</f>
        <v/>
      </c>
      <c r="K128" s="21">
        <f>J128*'04_Condiciones_TIE'!L9</f>
        <v/>
      </c>
      <c r="L128" s="21">
        <f>D128-K128</f>
        <v/>
      </c>
      <c r="M128" s="21">
        <f>J128-L128</f>
        <v/>
      </c>
    </row>
    <row r="129">
      <c r="A129" s="18" t="inlineStr">
        <is>
          <t>OP-105</t>
        </is>
      </c>
      <c r="B129" s="34" t="n">
        <v>52</v>
      </c>
      <c r="C129" s="30" t="n">
        <v>46143</v>
      </c>
      <c r="D129" s="20">
        <f>IF('04_Condiciones_TIE'!B9="Francés",'04_Condiciones_TIE'!K9,IF('04_Condiciones_TIE'!B9="Alemán",'04_Condiciones_TIE'!C9/'04_Condiciones_TIE'!H9+F129,IF(B129&lt;'04_Condiciones_TIE'!H9,F129,F129+E129)))</f>
        <v/>
      </c>
      <c r="E129" s="20">
        <f>H128</f>
        <v/>
      </c>
      <c r="F129" s="20">
        <f>E129*'04_Condiciones_TIE'!J9</f>
        <v/>
      </c>
      <c r="G129" s="20">
        <f>D129-F129</f>
        <v/>
      </c>
      <c r="H129" s="20">
        <f>E129-G129</f>
        <v/>
      </c>
      <c r="I129" s="20">
        <f>D129</f>
        <v/>
      </c>
      <c r="J129" s="20">
        <f>M128</f>
        <v/>
      </c>
      <c r="K129" s="20">
        <f>J129*'04_Condiciones_TIE'!L9</f>
        <v/>
      </c>
      <c r="L129" s="20">
        <f>D129-K129</f>
        <v/>
      </c>
      <c r="M129" s="20">
        <f>J129-L129</f>
        <v/>
      </c>
    </row>
    <row r="130">
      <c r="A130" s="19" t="inlineStr">
        <is>
          <t>OP-105</t>
        </is>
      </c>
      <c r="B130" s="36" t="n">
        <v>53</v>
      </c>
      <c r="C130" s="32" t="n">
        <v>46174</v>
      </c>
      <c r="D130" s="21">
        <f>IF('04_Condiciones_TIE'!B9="Francés",'04_Condiciones_TIE'!K9,IF('04_Condiciones_TIE'!B9="Alemán",'04_Condiciones_TIE'!C9/'04_Condiciones_TIE'!H9+F130,IF(B130&lt;'04_Condiciones_TIE'!H9,F130,F130+E130)))</f>
        <v/>
      </c>
      <c r="E130" s="21">
        <f>H129</f>
        <v/>
      </c>
      <c r="F130" s="21">
        <f>E130*'04_Condiciones_TIE'!J9</f>
        <v/>
      </c>
      <c r="G130" s="21">
        <f>D130-F130</f>
        <v/>
      </c>
      <c r="H130" s="21">
        <f>E130-G130</f>
        <v/>
      </c>
      <c r="I130" s="21">
        <f>D130</f>
        <v/>
      </c>
      <c r="J130" s="21">
        <f>M129</f>
        <v/>
      </c>
      <c r="K130" s="21">
        <f>J130*'04_Condiciones_TIE'!L9</f>
        <v/>
      </c>
      <c r="L130" s="21">
        <f>D130-K130</f>
        <v/>
      </c>
      <c r="M130" s="21">
        <f>J130-L130</f>
        <v/>
      </c>
    </row>
    <row r="131">
      <c r="A131" s="18" t="inlineStr">
        <is>
          <t>OP-105</t>
        </is>
      </c>
      <c r="B131" s="34" t="n">
        <v>54</v>
      </c>
      <c r="C131" s="30" t="n">
        <v>46204</v>
      </c>
      <c r="D131" s="20">
        <f>IF('04_Condiciones_TIE'!B9="Francés",'04_Condiciones_TIE'!K9,IF('04_Condiciones_TIE'!B9="Alemán",'04_Condiciones_TIE'!C9/'04_Condiciones_TIE'!H9+F131,IF(B131&lt;'04_Condiciones_TIE'!H9,F131,F131+E131)))</f>
        <v/>
      </c>
      <c r="E131" s="20">
        <f>H130</f>
        <v/>
      </c>
      <c r="F131" s="20">
        <f>E131*'04_Condiciones_TIE'!J9</f>
        <v/>
      </c>
      <c r="G131" s="20">
        <f>D131-F131</f>
        <v/>
      </c>
      <c r="H131" s="20">
        <f>E131-G131</f>
        <v/>
      </c>
      <c r="I131" s="20">
        <f>D131</f>
        <v/>
      </c>
      <c r="J131" s="20">
        <f>M130</f>
        <v/>
      </c>
      <c r="K131" s="20">
        <f>J131*'04_Condiciones_TIE'!L9</f>
        <v/>
      </c>
      <c r="L131" s="20">
        <f>D131-K131</f>
        <v/>
      </c>
      <c r="M131" s="20">
        <f>J131-L131</f>
        <v/>
      </c>
    </row>
    <row r="132">
      <c r="A132" s="19" t="inlineStr">
        <is>
          <t>OP-105</t>
        </is>
      </c>
      <c r="B132" s="36" t="n">
        <v>55</v>
      </c>
      <c r="C132" s="32" t="n">
        <v>46235</v>
      </c>
      <c r="D132" s="21">
        <f>IF('04_Condiciones_TIE'!B9="Francés",'04_Condiciones_TIE'!K9,IF('04_Condiciones_TIE'!B9="Alemán",'04_Condiciones_TIE'!C9/'04_Condiciones_TIE'!H9+F132,IF(B132&lt;'04_Condiciones_TIE'!H9,F132,F132+E132)))</f>
        <v/>
      </c>
      <c r="E132" s="21">
        <f>H131</f>
        <v/>
      </c>
      <c r="F132" s="21">
        <f>E132*'04_Condiciones_TIE'!J9</f>
        <v/>
      </c>
      <c r="G132" s="21">
        <f>D132-F132</f>
        <v/>
      </c>
      <c r="H132" s="21">
        <f>E132-G132</f>
        <v/>
      </c>
      <c r="I132" s="21">
        <f>D132</f>
        <v/>
      </c>
      <c r="J132" s="21">
        <f>M131</f>
        <v/>
      </c>
      <c r="K132" s="21">
        <f>J132*'04_Condiciones_TIE'!L9</f>
        <v/>
      </c>
      <c r="L132" s="21">
        <f>D132-K132</f>
        <v/>
      </c>
      <c r="M132" s="21">
        <f>J132-L132</f>
        <v/>
      </c>
    </row>
    <row r="133">
      <c r="A133" s="18" t="inlineStr">
        <is>
          <t>OP-105</t>
        </is>
      </c>
      <c r="B133" s="34" t="n">
        <v>56</v>
      </c>
      <c r="C133" s="30" t="n">
        <v>46266</v>
      </c>
      <c r="D133" s="20">
        <f>IF('04_Condiciones_TIE'!B9="Francés",'04_Condiciones_TIE'!K9,IF('04_Condiciones_TIE'!B9="Alemán",'04_Condiciones_TIE'!C9/'04_Condiciones_TIE'!H9+F133,IF(B133&lt;'04_Condiciones_TIE'!H9,F133,F133+E133)))</f>
        <v/>
      </c>
      <c r="E133" s="20">
        <f>H132</f>
        <v/>
      </c>
      <c r="F133" s="20">
        <f>E133*'04_Condiciones_TIE'!J9</f>
        <v/>
      </c>
      <c r="G133" s="20">
        <f>D133-F133</f>
        <v/>
      </c>
      <c r="H133" s="20">
        <f>E133-G133</f>
        <v/>
      </c>
      <c r="I133" s="20">
        <f>D133</f>
        <v/>
      </c>
      <c r="J133" s="20">
        <f>M132</f>
        <v/>
      </c>
      <c r="K133" s="20">
        <f>J133*'04_Condiciones_TIE'!L9</f>
        <v/>
      </c>
      <c r="L133" s="20">
        <f>D133-K133</f>
        <v/>
      </c>
      <c r="M133" s="20">
        <f>J133-L133</f>
        <v/>
      </c>
    </row>
    <row r="134">
      <c r="A134" s="19" t="inlineStr">
        <is>
          <t>OP-105</t>
        </is>
      </c>
      <c r="B134" s="36" t="n">
        <v>57</v>
      </c>
      <c r="C134" s="32" t="n">
        <v>46296</v>
      </c>
      <c r="D134" s="21">
        <f>IF('04_Condiciones_TIE'!B9="Francés",'04_Condiciones_TIE'!K9,IF('04_Condiciones_TIE'!B9="Alemán",'04_Condiciones_TIE'!C9/'04_Condiciones_TIE'!H9+F134,IF(B134&lt;'04_Condiciones_TIE'!H9,F134,F134+E134)))</f>
        <v/>
      </c>
      <c r="E134" s="21">
        <f>H133</f>
        <v/>
      </c>
      <c r="F134" s="21">
        <f>E134*'04_Condiciones_TIE'!J9</f>
        <v/>
      </c>
      <c r="G134" s="21">
        <f>D134-F134</f>
        <v/>
      </c>
      <c r="H134" s="21">
        <f>E134-G134</f>
        <v/>
      </c>
      <c r="I134" s="21">
        <f>D134</f>
        <v/>
      </c>
      <c r="J134" s="21">
        <f>M133</f>
        <v/>
      </c>
      <c r="K134" s="21">
        <f>J134*'04_Condiciones_TIE'!L9</f>
        <v/>
      </c>
      <c r="L134" s="21">
        <f>D134-K134</f>
        <v/>
      </c>
      <c r="M134" s="21">
        <f>J134-L134</f>
        <v/>
      </c>
    </row>
    <row r="135">
      <c r="A135" s="18" t="inlineStr">
        <is>
          <t>OP-105</t>
        </is>
      </c>
      <c r="B135" s="34" t="n">
        <v>58</v>
      </c>
      <c r="C135" s="30" t="n">
        <v>46327</v>
      </c>
      <c r="D135" s="20">
        <f>IF('04_Condiciones_TIE'!B9="Francés",'04_Condiciones_TIE'!K9,IF('04_Condiciones_TIE'!B9="Alemán",'04_Condiciones_TIE'!C9/'04_Condiciones_TIE'!H9+F135,IF(B135&lt;'04_Condiciones_TIE'!H9,F135,F135+E135)))</f>
        <v/>
      </c>
      <c r="E135" s="20">
        <f>H134</f>
        <v/>
      </c>
      <c r="F135" s="20">
        <f>E135*'04_Condiciones_TIE'!J9</f>
        <v/>
      </c>
      <c r="G135" s="20">
        <f>D135-F135</f>
        <v/>
      </c>
      <c r="H135" s="20">
        <f>E135-G135</f>
        <v/>
      </c>
      <c r="I135" s="20">
        <f>D135</f>
        <v/>
      </c>
      <c r="J135" s="20">
        <f>M134</f>
        <v/>
      </c>
      <c r="K135" s="20">
        <f>J135*'04_Condiciones_TIE'!L9</f>
        <v/>
      </c>
      <c r="L135" s="20">
        <f>D135-K135</f>
        <v/>
      </c>
      <c r="M135" s="20">
        <f>J135-L135</f>
        <v/>
      </c>
    </row>
    <row r="136">
      <c r="A136" s="19" t="inlineStr">
        <is>
          <t>OP-105</t>
        </is>
      </c>
      <c r="B136" s="36" t="n">
        <v>59</v>
      </c>
      <c r="C136" s="32" t="n">
        <v>46357</v>
      </c>
      <c r="D136" s="21">
        <f>IF('04_Condiciones_TIE'!B9="Francés",'04_Condiciones_TIE'!K9,IF('04_Condiciones_TIE'!B9="Alemán",'04_Condiciones_TIE'!C9/'04_Condiciones_TIE'!H9+F136,IF(B136&lt;'04_Condiciones_TIE'!H9,F136,F136+E136)))</f>
        <v/>
      </c>
      <c r="E136" s="21">
        <f>H135</f>
        <v/>
      </c>
      <c r="F136" s="21">
        <f>E136*'04_Condiciones_TIE'!J9</f>
        <v/>
      </c>
      <c r="G136" s="21">
        <f>D136-F136</f>
        <v/>
      </c>
      <c r="H136" s="21">
        <f>E136-G136</f>
        <v/>
      </c>
      <c r="I136" s="21">
        <f>D136</f>
        <v/>
      </c>
      <c r="J136" s="21">
        <f>M135</f>
        <v/>
      </c>
      <c r="K136" s="21">
        <f>J136*'04_Condiciones_TIE'!L9</f>
        <v/>
      </c>
      <c r="L136" s="21">
        <f>D136-K136</f>
        <v/>
      </c>
      <c r="M136" s="21">
        <f>J136-L136</f>
        <v/>
      </c>
    </row>
    <row r="137">
      <c r="A137" s="18" t="inlineStr">
        <is>
          <t>OP-105</t>
        </is>
      </c>
      <c r="B137" s="34" t="n">
        <v>60</v>
      </c>
      <c r="C137" s="30" t="n">
        <v>46388</v>
      </c>
      <c r="D137" s="20">
        <f>IF('04_Condiciones_TIE'!B9="Francés",'04_Condiciones_TIE'!K9,IF('04_Condiciones_TIE'!B9="Alemán",'04_Condiciones_TIE'!C9/'04_Condiciones_TIE'!H9+F137,IF(B137&lt;'04_Condiciones_TIE'!H9,F137,F137+E137)))</f>
        <v/>
      </c>
      <c r="E137" s="20">
        <f>H136</f>
        <v/>
      </c>
      <c r="F137" s="20">
        <f>E137*'04_Condiciones_TIE'!J9</f>
        <v/>
      </c>
      <c r="G137" s="20">
        <f>D137-F137</f>
        <v/>
      </c>
      <c r="H137" s="20">
        <f>E137-G137</f>
        <v/>
      </c>
      <c r="I137" s="20">
        <f>D137</f>
        <v/>
      </c>
      <c r="J137" s="20">
        <f>M136</f>
        <v/>
      </c>
      <c r="K137" s="20">
        <f>J137*'04_Condiciones_TIE'!L9</f>
        <v/>
      </c>
      <c r="L137" s="20">
        <f>D137-K137</f>
        <v/>
      </c>
      <c r="M137" s="20">
        <f>J137-L137</f>
        <v/>
      </c>
    </row>
    <row r="138">
      <c r="A138" s="19" t="inlineStr">
        <is>
          <t>OP-106</t>
        </is>
      </c>
      <c r="B138" s="36" t="n">
        <v>0</v>
      </c>
      <c r="C138" s="32" t="n">
        <v>45931</v>
      </c>
      <c r="D138" s="21" t="n"/>
      <c r="E138" s="21" t="n"/>
      <c r="F138" s="21" t="n"/>
      <c r="G138" s="21" t="n"/>
      <c r="H138" s="21">
        <f>'04_Condiciones_TIE'!C10</f>
        <v/>
      </c>
      <c r="I138" s="21">
        <f>-'04_Condiciones_TIE'!E10</f>
        <v/>
      </c>
      <c r="J138" s="21" t="n"/>
      <c r="K138" s="21" t="n"/>
      <c r="L138" s="21" t="n"/>
      <c r="M138" s="21">
        <f>'04_Condiciones_TIE'!E10</f>
        <v/>
      </c>
    </row>
    <row r="139">
      <c r="A139" s="18" t="inlineStr">
        <is>
          <t>OP-106</t>
        </is>
      </c>
      <c r="B139" s="34" t="n">
        <v>1</v>
      </c>
      <c r="C139" s="30" t="n">
        <v>45962</v>
      </c>
      <c r="D139" s="20">
        <f>IF('04_Condiciones_TIE'!B10="Francés",'04_Condiciones_TIE'!K10,IF('04_Condiciones_TIE'!B10="Alemán",'04_Condiciones_TIE'!C10/'04_Condiciones_TIE'!H10+F139,IF(B139&lt;'04_Condiciones_TIE'!H10,F139,F139+E139)))</f>
        <v/>
      </c>
      <c r="E139" s="20">
        <f>H138</f>
        <v/>
      </c>
      <c r="F139" s="20">
        <f>E139*'04_Condiciones_TIE'!J10</f>
        <v/>
      </c>
      <c r="G139" s="20">
        <f>D139-F139</f>
        <v/>
      </c>
      <c r="H139" s="20">
        <f>E139-G139</f>
        <v/>
      </c>
      <c r="I139" s="20">
        <f>D139</f>
        <v/>
      </c>
      <c r="J139" s="20">
        <f>M138</f>
        <v/>
      </c>
      <c r="K139" s="20">
        <f>J139*'04_Condiciones_TIE'!L10</f>
        <v/>
      </c>
      <c r="L139" s="20">
        <f>D139-K139</f>
        <v/>
      </c>
      <c r="M139" s="20">
        <f>J139-L139</f>
        <v/>
      </c>
    </row>
    <row r="140">
      <c r="A140" s="19" t="inlineStr">
        <is>
          <t>OP-106</t>
        </is>
      </c>
      <c r="B140" s="36" t="n">
        <v>2</v>
      </c>
      <c r="C140" s="32" t="n">
        <v>45992</v>
      </c>
      <c r="D140" s="21">
        <f>IF('04_Condiciones_TIE'!B10="Francés",'04_Condiciones_TIE'!K10,IF('04_Condiciones_TIE'!B10="Alemán",'04_Condiciones_TIE'!C10/'04_Condiciones_TIE'!H10+F140,IF(B140&lt;'04_Condiciones_TIE'!H10,F140,F140+E140)))</f>
        <v/>
      </c>
      <c r="E140" s="21">
        <f>H139</f>
        <v/>
      </c>
      <c r="F140" s="21">
        <f>E140*'04_Condiciones_TIE'!J10</f>
        <v/>
      </c>
      <c r="G140" s="21">
        <f>D140-F140</f>
        <v/>
      </c>
      <c r="H140" s="21">
        <f>E140-G140</f>
        <v/>
      </c>
      <c r="I140" s="21">
        <f>D140</f>
        <v/>
      </c>
      <c r="J140" s="21">
        <f>M139</f>
        <v/>
      </c>
      <c r="K140" s="21">
        <f>J140*'04_Condiciones_TIE'!L10</f>
        <v/>
      </c>
      <c r="L140" s="21">
        <f>D140-K140</f>
        <v/>
      </c>
      <c r="M140" s="21">
        <f>J140-L140</f>
        <v/>
      </c>
    </row>
    <row r="141">
      <c r="A141" s="18" t="inlineStr">
        <is>
          <t>OP-106</t>
        </is>
      </c>
      <c r="B141" s="34" t="n">
        <v>3</v>
      </c>
      <c r="C141" s="30" t="n">
        <v>46023</v>
      </c>
      <c r="D141" s="20">
        <f>IF('04_Condiciones_TIE'!B10="Francés",'04_Condiciones_TIE'!K10,IF('04_Condiciones_TIE'!B10="Alemán",'04_Condiciones_TIE'!C10/'04_Condiciones_TIE'!H10+F141,IF(B141&lt;'04_Condiciones_TIE'!H10,F141,F141+E141)))</f>
        <v/>
      </c>
      <c r="E141" s="20">
        <f>H140</f>
        <v/>
      </c>
      <c r="F141" s="20">
        <f>E141*'04_Condiciones_TIE'!J10</f>
        <v/>
      </c>
      <c r="G141" s="20">
        <f>D141-F141</f>
        <v/>
      </c>
      <c r="H141" s="20">
        <f>E141-G141</f>
        <v/>
      </c>
      <c r="I141" s="20">
        <f>D141</f>
        <v/>
      </c>
      <c r="J141" s="20">
        <f>M140</f>
        <v/>
      </c>
      <c r="K141" s="20">
        <f>J141*'04_Condiciones_TIE'!L10</f>
        <v/>
      </c>
      <c r="L141" s="20">
        <f>D141-K141</f>
        <v/>
      </c>
      <c r="M141" s="20">
        <f>J141-L141</f>
        <v/>
      </c>
    </row>
    <row r="142">
      <c r="A142" s="19" t="inlineStr">
        <is>
          <t>OP-106</t>
        </is>
      </c>
      <c r="B142" s="36" t="n">
        <v>4</v>
      </c>
      <c r="C142" s="32" t="n">
        <v>46054</v>
      </c>
      <c r="D142" s="21">
        <f>IF('04_Condiciones_TIE'!B10="Francés",'04_Condiciones_TIE'!K10,IF('04_Condiciones_TIE'!B10="Alemán",'04_Condiciones_TIE'!C10/'04_Condiciones_TIE'!H10+F142,IF(B142&lt;'04_Condiciones_TIE'!H10,F142,F142+E142)))</f>
        <v/>
      </c>
      <c r="E142" s="21">
        <f>H141</f>
        <v/>
      </c>
      <c r="F142" s="21">
        <f>E142*'04_Condiciones_TIE'!J10</f>
        <v/>
      </c>
      <c r="G142" s="21">
        <f>D142-F142</f>
        <v/>
      </c>
      <c r="H142" s="21">
        <f>E142-G142</f>
        <v/>
      </c>
      <c r="I142" s="21">
        <f>D142</f>
        <v/>
      </c>
      <c r="J142" s="21">
        <f>M141</f>
        <v/>
      </c>
      <c r="K142" s="21">
        <f>J142*'04_Condiciones_TIE'!L10</f>
        <v/>
      </c>
      <c r="L142" s="21">
        <f>D142-K142</f>
        <v/>
      </c>
      <c r="M142" s="21">
        <f>J142-L142</f>
        <v/>
      </c>
    </row>
    <row r="143">
      <c r="A143" s="18" t="inlineStr">
        <is>
          <t>OP-106</t>
        </is>
      </c>
      <c r="B143" s="34" t="n">
        <v>5</v>
      </c>
      <c r="C143" s="30" t="n">
        <v>46082</v>
      </c>
      <c r="D143" s="20">
        <f>IF('04_Condiciones_TIE'!B10="Francés",'04_Condiciones_TIE'!K10,IF('04_Condiciones_TIE'!B10="Alemán",'04_Condiciones_TIE'!C10/'04_Condiciones_TIE'!H10+F143,IF(B143&lt;'04_Condiciones_TIE'!H10,F143,F143+E143)))</f>
        <v/>
      </c>
      <c r="E143" s="20">
        <f>H142</f>
        <v/>
      </c>
      <c r="F143" s="20">
        <f>E143*'04_Condiciones_TIE'!J10</f>
        <v/>
      </c>
      <c r="G143" s="20">
        <f>D143-F143</f>
        <v/>
      </c>
      <c r="H143" s="20">
        <f>E143-G143</f>
        <v/>
      </c>
      <c r="I143" s="20">
        <f>D143</f>
        <v/>
      </c>
      <c r="J143" s="20">
        <f>M142</f>
        <v/>
      </c>
      <c r="K143" s="20">
        <f>J143*'04_Condiciones_TIE'!L10</f>
        <v/>
      </c>
      <c r="L143" s="20">
        <f>D143-K143</f>
        <v/>
      </c>
      <c r="M143" s="20">
        <f>J143-L143</f>
        <v/>
      </c>
    </row>
    <row r="144">
      <c r="A144" s="19" t="inlineStr">
        <is>
          <t>OP-106</t>
        </is>
      </c>
      <c r="B144" s="36" t="n">
        <v>6</v>
      </c>
      <c r="C144" s="32" t="n">
        <v>46113</v>
      </c>
      <c r="D144" s="21">
        <f>IF('04_Condiciones_TIE'!B10="Francés",'04_Condiciones_TIE'!K10,IF('04_Condiciones_TIE'!B10="Alemán",'04_Condiciones_TIE'!C10/'04_Condiciones_TIE'!H10+F144,IF(B144&lt;'04_Condiciones_TIE'!H10,F144,F144+E144)))</f>
        <v/>
      </c>
      <c r="E144" s="21">
        <f>H143</f>
        <v/>
      </c>
      <c r="F144" s="21">
        <f>E144*'04_Condiciones_TIE'!J10</f>
        <v/>
      </c>
      <c r="G144" s="21">
        <f>D144-F144</f>
        <v/>
      </c>
      <c r="H144" s="21">
        <f>E144-G144</f>
        <v/>
      </c>
      <c r="I144" s="21">
        <f>D144</f>
        <v/>
      </c>
      <c r="J144" s="21">
        <f>M143</f>
        <v/>
      </c>
      <c r="K144" s="21">
        <f>J144*'04_Condiciones_TIE'!L10</f>
        <v/>
      </c>
      <c r="L144" s="21">
        <f>D144-K144</f>
        <v/>
      </c>
      <c r="M144" s="21">
        <f>J144-L144</f>
        <v/>
      </c>
    </row>
    <row r="145">
      <c r="A145" s="18" t="inlineStr">
        <is>
          <t>OP-106</t>
        </is>
      </c>
      <c r="B145" s="34" t="n">
        <v>7</v>
      </c>
      <c r="C145" s="30" t="n">
        <v>46143</v>
      </c>
      <c r="D145" s="20">
        <f>IF('04_Condiciones_TIE'!B10="Francés",'04_Condiciones_TIE'!K10,IF('04_Condiciones_TIE'!B10="Alemán",'04_Condiciones_TIE'!C10/'04_Condiciones_TIE'!H10+F145,IF(B145&lt;'04_Condiciones_TIE'!H10,F145,F145+E145)))</f>
        <v/>
      </c>
      <c r="E145" s="20">
        <f>H144</f>
        <v/>
      </c>
      <c r="F145" s="20">
        <f>E145*'04_Condiciones_TIE'!J10</f>
        <v/>
      </c>
      <c r="G145" s="20">
        <f>D145-F145</f>
        <v/>
      </c>
      <c r="H145" s="20">
        <f>E145-G145</f>
        <v/>
      </c>
      <c r="I145" s="20">
        <f>D145</f>
        <v/>
      </c>
      <c r="J145" s="20">
        <f>M144</f>
        <v/>
      </c>
      <c r="K145" s="20">
        <f>J145*'04_Condiciones_TIE'!L10</f>
        <v/>
      </c>
      <c r="L145" s="20">
        <f>D145-K145</f>
        <v/>
      </c>
      <c r="M145" s="20">
        <f>J145-L145</f>
        <v/>
      </c>
    </row>
    <row r="146">
      <c r="A146" s="19" t="inlineStr">
        <is>
          <t>OP-106</t>
        </is>
      </c>
      <c r="B146" s="36" t="n">
        <v>8</v>
      </c>
      <c r="C146" s="32" t="n">
        <v>46174</v>
      </c>
      <c r="D146" s="21">
        <f>IF('04_Condiciones_TIE'!B10="Francés",'04_Condiciones_TIE'!K10,IF('04_Condiciones_TIE'!B10="Alemán",'04_Condiciones_TIE'!C10/'04_Condiciones_TIE'!H10+F146,IF(B146&lt;'04_Condiciones_TIE'!H10,F146,F146+E146)))</f>
        <v/>
      </c>
      <c r="E146" s="21">
        <f>H145</f>
        <v/>
      </c>
      <c r="F146" s="21">
        <f>E146*'04_Condiciones_TIE'!J10</f>
        <v/>
      </c>
      <c r="G146" s="21">
        <f>D146-F146</f>
        <v/>
      </c>
      <c r="H146" s="21">
        <f>E146-G146</f>
        <v/>
      </c>
      <c r="I146" s="21">
        <f>D146</f>
        <v/>
      </c>
      <c r="J146" s="21">
        <f>M145</f>
        <v/>
      </c>
      <c r="K146" s="21">
        <f>J146*'04_Condiciones_TIE'!L10</f>
        <v/>
      </c>
      <c r="L146" s="21">
        <f>D146-K146</f>
        <v/>
      </c>
      <c r="M146" s="21">
        <f>J146-L146</f>
        <v/>
      </c>
    </row>
    <row r="147">
      <c r="A147" s="18" t="inlineStr">
        <is>
          <t>OP-106</t>
        </is>
      </c>
      <c r="B147" s="34" t="n">
        <v>9</v>
      </c>
      <c r="C147" s="30" t="n">
        <v>46204</v>
      </c>
      <c r="D147" s="20">
        <f>IF('04_Condiciones_TIE'!B10="Francés",'04_Condiciones_TIE'!K10,IF('04_Condiciones_TIE'!B10="Alemán",'04_Condiciones_TIE'!C10/'04_Condiciones_TIE'!H10+F147,IF(B147&lt;'04_Condiciones_TIE'!H10,F147,F147+E147)))</f>
        <v/>
      </c>
      <c r="E147" s="20">
        <f>H146</f>
        <v/>
      </c>
      <c r="F147" s="20">
        <f>E147*'04_Condiciones_TIE'!J10</f>
        <v/>
      </c>
      <c r="G147" s="20">
        <f>D147-F147</f>
        <v/>
      </c>
      <c r="H147" s="20">
        <f>E147-G147</f>
        <v/>
      </c>
      <c r="I147" s="20">
        <f>D147</f>
        <v/>
      </c>
      <c r="J147" s="20">
        <f>M146</f>
        <v/>
      </c>
      <c r="K147" s="20">
        <f>J147*'04_Condiciones_TIE'!L10</f>
        <v/>
      </c>
      <c r="L147" s="20">
        <f>D147-K147</f>
        <v/>
      </c>
      <c r="M147" s="20">
        <f>J147-L147</f>
        <v/>
      </c>
    </row>
    <row r="148">
      <c r="A148" s="19" t="inlineStr">
        <is>
          <t>OP-106</t>
        </is>
      </c>
      <c r="B148" s="36" t="n">
        <v>10</v>
      </c>
      <c r="C148" s="32" t="n">
        <v>46235</v>
      </c>
      <c r="D148" s="21">
        <f>IF('04_Condiciones_TIE'!B10="Francés",'04_Condiciones_TIE'!K10,IF('04_Condiciones_TIE'!B10="Alemán",'04_Condiciones_TIE'!C10/'04_Condiciones_TIE'!H10+F148,IF(B148&lt;'04_Condiciones_TIE'!H10,F148,F148+E148)))</f>
        <v/>
      </c>
      <c r="E148" s="21">
        <f>H147</f>
        <v/>
      </c>
      <c r="F148" s="21">
        <f>E148*'04_Condiciones_TIE'!J10</f>
        <v/>
      </c>
      <c r="G148" s="21">
        <f>D148-F148</f>
        <v/>
      </c>
      <c r="H148" s="21">
        <f>E148-G148</f>
        <v/>
      </c>
      <c r="I148" s="21">
        <f>D148</f>
        <v/>
      </c>
      <c r="J148" s="21">
        <f>M147</f>
        <v/>
      </c>
      <c r="K148" s="21">
        <f>J148*'04_Condiciones_TIE'!L10</f>
        <v/>
      </c>
      <c r="L148" s="21">
        <f>D148-K148</f>
        <v/>
      </c>
      <c r="M148" s="21">
        <f>J148-L148</f>
        <v/>
      </c>
    </row>
    <row r="149">
      <c r="A149" s="18" t="inlineStr">
        <is>
          <t>OP-106</t>
        </is>
      </c>
      <c r="B149" s="34" t="n">
        <v>11</v>
      </c>
      <c r="C149" s="30" t="n">
        <v>46266</v>
      </c>
      <c r="D149" s="20">
        <f>IF('04_Condiciones_TIE'!B10="Francés",'04_Condiciones_TIE'!K10,IF('04_Condiciones_TIE'!B10="Alemán",'04_Condiciones_TIE'!C10/'04_Condiciones_TIE'!H10+F149,IF(B149&lt;'04_Condiciones_TIE'!H10,F149,F149+E149)))</f>
        <v/>
      </c>
      <c r="E149" s="20">
        <f>H148</f>
        <v/>
      </c>
      <c r="F149" s="20">
        <f>E149*'04_Condiciones_TIE'!J10</f>
        <v/>
      </c>
      <c r="G149" s="20">
        <f>D149-F149</f>
        <v/>
      </c>
      <c r="H149" s="20">
        <f>E149-G149</f>
        <v/>
      </c>
      <c r="I149" s="20">
        <f>D149</f>
        <v/>
      </c>
      <c r="J149" s="20">
        <f>M148</f>
        <v/>
      </c>
      <c r="K149" s="20">
        <f>J149*'04_Condiciones_TIE'!L10</f>
        <v/>
      </c>
      <c r="L149" s="20">
        <f>D149-K149</f>
        <v/>
      </c>
      <c r="M149" s="20">
        <f>J149-L149</f>
        <v/>
      </c>
    </row>
    <row r="150">
      <c r="A150" s="19" t="inlineStr">
        <is>
          <t>OP-106</t>
        </is>
      </c>
      <c r="B150" s="36" t="n">
        <v>12</v>
      </c>
      <c r="C150" s="32" t="n">
        <v>46296</v>
      </c>
      <c r="D150" s="21">
        <f>IF('04_Condiciones_TIE'!B10="Francés",'04_Condiciones_TIE'!K10,IF('04_Condiciones_TIE'!B10="Alemán",'04_Condiciones_TIE'!C10/'04_Condiciones_TIE'!H10+F150,IF(B150&lt;'04_Condiciones_TIE'!H10,F150,F150+E150)))</f>
        <v/>
      </c>
      <c r="E150" s="21">
        <f>H149</f>
        <v/>
      </c>
      <c r="F150" s="21">
        <f>E150*'04_Condiciones_TIE'!J10</f>
        <v/>
      </c>
      <c r="G150" s="21">
        <f>D150-F150</f>
        <v/>
      </c>
      <c r="H150" s="21">
        <f>E150-G150</f>
        <v/>
      </c>
      <c r="I150" s="21">
        <f>D150</f>
        <v/>
      </c>
      <c r="J150" s="21">
        <f>M149</f>
        <v/>
      </c>
      <c r="K150" s="21">
        <f>J150*'04_Condiciones_TIE'!L10</f>
        <v/>
      </c>
      <c r="L150" s="21">
        <f>D150-K150</f>
        <v/>
      </c>
      <c r="M150" s="21">
        <f>J150-L150</f>
        <v/>
      </c>
    </row>
    <row r="151">
      <c r="A151" s="18" t="inlineStr">
        <is>
          <t>OP-107</t>
        </is>
      </c>
      <c r="B151" s="34" t="n">
        <v>0</v>
      </c>
      <c r="C151" s="30" t="n">
        <v>45474</v>
      </c>
      <c r="D151" s="20" t="n"/>
      <c r="E151" s="20" t="n"/>
      <c r="F151" s="20" t="n"/>
      <c r="G151" s="20" t="n"/>
      <c r="H151" s="20">
        <f>'04_Condiciones_TIE'!C11</f>
        <v/>
      </c>
      <c r="I151" s="20">
        <f>-'04_Condiciones_TIE'!E11</f>
        <v/>
      </c>
      <c r="J151" s="20" t="n"/>
      <c r="K151" s="20" t="n"/>
      <c r="L151" s="20" t="n"/>
      <c r="M151" s="20">
        <f>'04_Condiciones_TIE'!E11</f>
        <v/>
      </c>
    </row>
    <row r="152">
      <c r="A152" s="19" t="inlineStr">
        <is>
          <t>OP-107</t>
        </is>
      </c>
      <c r="B152" s="36" t="n">
        <v>1</v>
      </c>
      <c r="C152" s="32" t="n">
        <v>45566</v>
      </c>
      <c r="D152" s="21">
        <f>IF('04_Condiciones_TIE'!B11="Francés",'04_Condiciones_TIE'!K11,IF('04_Condiciones_TIE'!B11="Alemán",'04_Condiciones_TIE'!C11/'04_Condiciones_TIE'!H11+F152,IF(B152&lt;'04_Condiciones_TIE'!H11,F152,F152+E152)))</f>
        <v/>
      </c>
      <c r="E152" s="21">
        <f>H151</f>
        <v/>
      </c>
      <c r="F152" s="21">
        <f>E152*'04_Condiciones_TIE'!J11</f>
        <v/>
      </c>
      <c r="G152" s="21">
        <f>D152-F152</f>
        <v/>
      </c>
      <c r="H152" s="21">
        <f>E152-G152</f>
        <v/>
      </c>
      <c r="I152" s="21">
        <f>D152</f>
        <v/>
      </c>
      <c r="J152" s="21">
        <f>M151</f>
        <v/>
      </c>
      <c r="K152" s="21">
        <f>J152*'04_Condiciones_TIE'!L11</f>
        <v/>
      </c>
      <c r="L152" s="21">
        <f>D152-K152</f>
        <v/>
      </c>
      <c r="M152" s="21">
        <f>J152-L152</f>
        <v/>
      </c>
    </row>
    <row r="153">
      <c r="A153" s="18" t="inlineStr">
        <is>
          <t>OP-107</t>
        </is>
      </c>
      <c r="B153" s="34" t="n">
        <v>2</v>
      </c>
      <c r="C153" s="30" t="n">
        <v>45658</v>
      </c>
      <c r="D153" s="20">
        <f>IF('04_Condiciones_TIE'!B11="Francés",'04_Condiciones_TIE'!K11,IF('04_Condiciones_TIE'!B11="Alemán",'04_Condiciones_TIE'!C11/'04_Condiciones_TIE'!H11+F153,IF(B153&lt;'04_Condiciones_TIE'!H11,F153,F153+E153)))</f>
        <v/>
      </c>
      <c r="E153" s="20">
        <f>H152</f>
        <v/>
      </c>
      <c r="F153" s="20">
        <f>E153*'04_Condiciones_TIE'!J11</f>
        <v/>
      </c>
      <c r="G153" s="20">
        <f>D153-F153</f>
        <v/>
      </c>
      <c r="H153" s="20">
        <f>E153-G153</f>
        <v/>
      </c>
      <c r="I153" s="20">
        <f>D153</f>
        <v/>
      </c>
      <c r="J153" s="20">
        <f>M152</f>
        <v/>
      </c>
      <c r="K153" s="20">
        <f>J153*'04_Condiciones_TIE'!L11</f>
        <v/>
      </c>
      <c r="L153" s="20">
        <f>D153-K153</f>
        <v/>
      </c>
      <c r="M153" s="20">
        <f>J153-L153</f>
        <v/>
      </c>
    </row>
    <row r="154">
      <c r="A154" s="19" t="inlineStr">
        <is>
          <t>OP-107</t>
        </is>
      </c>
      <c r="B154" s="36" t="n">
        <v>3</v>
      </c>
      <c r="C154" s="32" t="n">
        <v>45748</v>
      </c>
      <c r="D154" s="21">
        <f>IF('04_Condiciones_TIE'!B11="Francés",'04_Condiciones_TIE'!K11,IF('04_Condiciones_TIE'!B11="Alemán",'04_Condiciones_TIE'!C11/'04_Condiciones_TIE'!H11+F154,IF(B154&lt;'04_Condiciones_TIE'!H11,F154,F154+E154)))</f>
        <v/>
      </c>
      <c r="E154" s="21">
        <f>H153</f>
        <v/>
      </c>
      <c r="F154" s="21">
        <f>E154*'04_Condiciones_TIE'!J11</f>
        <v/>
      </c>
      <c r="G154" s="21">
        <f>D154-F154</f>
        <v/>
      </c>
      <c r="H154" s="21">
        <f>E154-G154</f>
        <v/>
      </c>
      <c r="I154" s="21">
        <f>D154</f>
        <v/>
      </c>
      <c r="J154" s="21">
        <f>M153</f>
        <v/>
      </c>
      <c r="K154" s="21">
        <f>J154*'04_Condiciones_TIE'!L11</f>
        <v/>
      </c>
      <c r="L154" s="21">
        <f>D154-K154</f>
        <v/>
      </c>
      <c r="M154" s="21">
        <f>J154-L154</f>
        <v/>
      </c>
    </row>
    <row r="155">
      <c r="A155" s="18" t="inlineStr">
        <is>
          <t>OP-107</t>
        </is>
      </c>
      <c r="B155" s="34" t="n">
        <v>4</v>
      </c>
      <c r="C155" s="30" t="n">
        <v>45839</v>
      </c>
      <c r="D155" s="20">
        <f>IF('04_Condiciones_TIE'!B11="Francés",'04_Condiciones_TIE'!K11,IF('04_Condiciones_TIE'!B11="Alemán",'04_Condiciones_TIE'!C11/'04_Condiciones_TIE'!H11+F155,IF(B155&lt;'04_Condiciones_TIE'!H11,F155,F155+E155)))</f>
        <v/>
      </c>
      <c r="E155" s="20">
        <f>H154</f>
        <v/>
      </c>
      <c r="F155" s="20">
        <f>E155*'04_Condiciones_TIE'!J11</f>
        <v/>
      </c>
      <c r="G155" s="20">
        <f>D155-F155</f>
        <v/>
      </c>
      <c r="H155" s="20">
        <f>E155-G155</f>
        <v/>
      </c>
      <c r="I155" s="20">
        <f>D155</f>
        <v/>
      </c>
      <c r="J155" s="20">
        <f>M154</f>
        <v/>
      </c>
      <c r="K155" s="20">
        <f>J155*'04_Condiciones_TIE'!L11</f>
        <v/>
      </c>
      <c r="L155" s="20">
        <f>D155-K155</f>
        <v/>
      </c>
      <c r="M155" s="20">
        <f>J155-L155</f>
        <v/>
      </c>
    </row>
    <row r="156">
      <c r="A156" s="19" t="inlineStr">
        <is>
          <t>OP-107</t>
        </is>
      </c>
      <c r="B156" s="36" t="n">
        <v>5</v>
      </c>
      <c r="C156" s="32" t="n">
        <v>45931</v>
      </c>
      <c r="D156" s="21">
        <f>IF('04_Condiciones_TIE'!B11="Francés",'04_Condiciones_TIE'!K11,IF('04_Condiciones_TIE'!B11="Alemán",'04_Condiciones_TIE'!C11/'04_Condiciones_TIE'!H11+F156,IF(B156&lt;'04_Condiciones_TIE'!H11,F156,F156+E156)))</f>
        <v/>
      </c>
      <c r="E156" s="21">
        <f>H155</f>
        <v/>
      </c>
      <c r="F156" s="21">
        <f>E156*'04_Condiciones_TIE'!J11</f>
        <v/>
      </c>
      <c r="G156" s="21">
        <f>D156-F156</f>
        <v/>
      </c>
      <c r="H156" s="21">
        <f>E156-G156</f>
        <v/>
      </c>
      <c r="I156" s="21">
        <f>D156</f>
        <v/>
      </c>
      <c r="J156" s="21">
        <f>M155</f>
        <v/>
      </c>
      <c r="K156" s="21">
        <f>J156*'04_Condiciones_TIE'!L11</f>
        <v/>
      </c>
      <c r="L156" s="21">
        <f>D156-K156</f>
        <v/>
      </c>
      <c r="M156" s="21">
        <f>J156-L156</f>
        <v/>
      </c>
    </row>
    <row r="157">
      <c r="A157" s="18" t="inlineStr">
        <is>
          <t>OP-107</t>
        </is>
      </c>
      <c r="B157" s="34" t="n">
        <v>6</v>
      </c>
      <c r="C157" s="30" t="n">
        <v>46023</v>
      </c>
      <c r="D157" s="20">
        <f>IF('04_Condiciones_TIE'!B11="Francés",'04_Condiciones_TIE'!K11,IF('04_Condiciones_TIE'!B11="Alemán",'04_Condiciones_TIE'!C11/'04_Condiciones_TIE'!H11+F157,IF(B157&lt;'04_Condiciones_TIE'!H11,F157,F157+E157)))</f>
        <v/>
      </c>
      <c r="E157" s="20">
        <f>H156</f>
        <v/>
      </c>
      <c r="F157" s="20">
        <f>E157*'04_Condiciones_TIE'!J11</f>
        <v/>
      </c>
      <c r="G157" s="20">
        <f>D157-F157</f>
        <v/>
      </c>
      <c r="H157" s="20">
        <f>E157-G157</f>
        <v/>
      </c>
      <c r="I157" s="20">
        <f>D157</f>
        <v/>
      </c>
      <c r="J157" s="20">
        <f>M156</f>
        <v/>
      </c>
      <c r="K157" s="20">
        <f>J157*'04_Condiciones_TIE'!L11</f>
        <v/>
      </c>
      <c r="L157" s="20">
        <f>D157-K157</f>
        <v/>
      </c>
      <c r="M157" s="20">
        <f>J157-L157</f>
        <v/>
      </c>
    </row>
    <row r="158">
      <c r="A158" s="19" t="inlineStr">
        <is>
          <t>OP-107</t>
        </is>
      </c>
      <c r="B158" s="36" t="n">
        <v>7</v>
      </c>
      <c r="C158" s="32" t="n">
        <v>46113</v>
      </c>
      <c r="D158" s="21">
        <f>IF('04_Condiciones_TIE'!B11="Francés",'04_Condiciones_TIE'!K11,IF('04_Condiciones_TIE'!B11="Alemán",'04_Condiciones_TIE'!C11/'04_Condiciones_TIE'!H11+F158,IF(B158&lt;'04_Condiciones_TIE'!H11,F158,F158+E158)))</f>
        <v/>
      </c>
      <c r="E158" s="21">
        <f>H157</f>
        <v/>
      </c>
      <c r="F158" s="21">
        <f>E158*'04_Condiciones_TIE'!J11</f>
        <v/>
      </c>
      <c r="G158" s="21">
        <f>D158-F158</f>
        <v/>
      </c>
      <c r="H158" s="21">
        <f>E158-G158</f>
        <v/>
      </c>
      <c r="I158" s="21">
        <f>D158</f>
        <v/>
      </c>
      <c r="J158" s="21">
        <f>M157</f>
        <v/>
      </c>
      <c r="K158" s="21">
        <f>J158*'04_Condiciones_TIE'!L11</f>
        <v/>
      </c>
      <c r="L158" s="21">
        <f>D158-K158</f>
        <v/>
      </c>
      <c r="M158" s="21">
        <f>J158-L158</f>
        <v/>
      </c>
    </row>
    <row r="159">
      <c r="A159" s="18" t="inlineStr">
        <is>
          <t>OP-107</t>
        </is>
      </c>
      <c r="B159" s="34" t="n">
        <v>8</v>
      </c>
      <c r="C159" s="30" t="n">
        <v>46204</v>
      </c>
      <c r="D159" s="20">
        <f>IF('04_Condiciones_TIE'!B11="Francés",'04_Condiciones_TIE'!K11,IF('04_Condiciones_TIE'!B11="Alemán",'04_Condiciones_TIE'!C11/'04_Condiciones_TIE'!H11+F159,IF(B159&lt;'04_Condiciones_TIE'!H11,F159,F159+E159)))</f>
        <v/>
      </c>
      <c r="E159" s="20">
        <f>H158</f>
        <v/>
      </c>
      <c r="F159" s="20">
        <f>E159*'04_Condiciones_TIE'!J11</f>
        <v/>
      </c>
      <c r="G159" s="20">
        <f>D159-F159</f>
        <v/>
      </c>
      <c r="H159" s="20">
        <f>E159-G159</f>
        <v/>
      </c>
      <c r="I159" s="20">
        <f>D159</f>
        <v/>
      </c>
      <c r="J159" s="20">
        <f>M158</f>
        <v/>
      </c>
      <c r="K159" s="20">
        <f>J159*'04_Condiciones_TIE'!L11</f>
        <v/>
      </c>
      <c r="L159" s="20">
        <f>D159-K159</f>
        <v/>
      </c>
      <c r="M159" s="20">
        <f>J159-L159</f>
        <v/>
      </c>
    </row>
    <row r="160">
      <c r="A160" s="19" t="inlineStr">
        <is>
          <t>OP-107</t>
        </is>
      </c>
      <c r="B160" s="36" t="n">
        <v>9</v>
      </c>
      <c r="C160" s="32" t="n">
        <v>46296</v>
      </c>
      <c r="D160" s="21">
        <f>IF('04_Condiciones_TIE'!B11="Francés",'04_Condiciones_TIE'!K11,IF('04_Condiciones_TIE'!B11="Alemán",'04_Condiciones_TIE'!C11/'04_Condiciones_TIE'!H11+F160,IF(B160&lt;'04_Condiciones_TIE'!H11,F160,F160+E160)))</f>
        <v/>
      </c>
      <c r="E160" s="21">
        <f>H159</f>
        <v/>
      </c>
      <c r="F160" s="21">
        <f>E160*'04_Condiciones_TIE'!J11</f>
        <v/>
      </c>
      <c r="G160" s="21">
        <f>D160-F160</f>
        <v/>
      </c>
      <c r="H160" s="21">
        <f>E160-G160</f>
        <v/>
      </c>
      <c r="I160" s="21">
        <f>D160</f>
        <v/>
      </c>
      <c r="J160" s="21">
        <f>M159</f>
        <v/>
      </c>
      <c r="K160" s="21">
        <f>J160*'04_Condiciones_TIE'!L11</f>
        <v/>
      </c>
      <c r="L160" s="21">
        <f>D160-K160</f>
        <v/>
      </c>
      <c r="M160" s="21">
        <f>J160-L160</f>
        <v/>
      </c>
    </row>
    <row r="161">
      <c r="A161" s="18" t="inlineStr">
        <is>
          <t>OP-107</t>
        </is>
      </c>
      <c r="B161" s="34" t="n">
        <v>10</v>
      </c>
      <c r="C161" s="30" t="n">
        <v>46388</v>
      </c>
      <c r="D161" s="20">
        <f>IF('04_Condiciones_TIE'!B11="Francés",'04_Condiciones_TIE'!K11,IF('04_Condiciones_TIE'!B11="Alemán",'04_Condiciones_TIE'!C11/'04_Condiciones_TIE'!H11+F161,IF(B161&lt;'04_Condiciones_TIE'!H11,F161,F161+E161)))</f>
        <v/>
      </c>
      <c r="E161" s="20">
        <f>H160</f>
        <v/>
      </c>
      <c r="F161" s="20">
        <f>E161*'04_Condiciones_TIE'!J11</f>
        <v/>
      </c>
      <c r="G161" s="20">
        <f>D161-F161</f>
        <v/>
      </c>
      <c r="H161" s="20">
        <f>E161-G161</f>
        <v/>
      </c>
      <c r="I161" s="20">
        <f>D161</f>
        <v/>
      </c>
      <c r="J161" s="20">
        <f>M160</f>
        <v/>
      </c>
      <c r="K161" s="20">
        <f>J161*'04_Condiciones_TIE'!L11</f>
        <v/>
      </c>
      <c r="L161" s="20">
        <f>D161-K161</f>
        <v/>
      </c>
      <c r="M161" s="20">
        <f>J161-L161</f>
        <v/>
      </c>
    </row>
    <row r="162">
      <c r="A162" s="19" t="inlineStr">
        <is>
          <t>OP-107</t>
        </is>
      </c>
      <c r="B162" s="36" t="n">
        <v>11</v>
      </c>
      <c r="C162" s="32" t="n">
        <v>46478</v>
      </c>
      <c r="D162" s="21">
        <f>IF('04_Condiciones_TIE'!B11="Francés",'04_Condiciones_TIE'!K11,IF('04_Condiciones_TIE'!B11="Alemán",'04_Condiciones_TIE'!C11/'04_Condiciones_TIE'!H11+F162,IF(B162&lt;'04_Condiciones_TIE'!H11,F162,F162+E162)))</f>
        <v/>
      </c>
      <c r="E162" s="21">
        <f>H161</f>
        <v/>
      </c>
      <c r="F162" s="21">
        <f>E162*'04_Condiciones_TIE'!J11</f>
        <v/>
      </c>
      <c r="G162" s="21">
        <f>D162-F162</f>
        <v/>
      </c>
      <c r="H162" s="21">
        <f>E162-G162</f>
        <v/>
      </c>
      <c r="I162" s="21">
        <f>D162</f>
        <v/>
      </c>
      <c r="J162" s="21">
        <f>M161</f>
        <v/>
      </c>
      <c r="K162" s="21">
        <f>J162*'04_Condiciones_TIE'!L11</f>
        <v/>
      </c>
      <c r="L162" s="21">
        <f>D162-K162</f>
        <v/>
      </c>
      <c r="M162" s="21">
        <f>J162-L162</f>
        <v/>
      </c>
    </row>
    <row r="163">
      <c r="A163" s="18" t="inlineStr">
        <is>
          <t>OP-107</t>
        </is>
      </c>
      <c r="B163" s="34" t="n">
        <v>12</v>
      </c>
      <c r="C163" s="30" t="n">
        <v>46569</v>
      </c>
      <c r="D163" s="20">
        <f>IF('04_Condiciones_TIE'!B11="Francés",'04_Condiciones_TIE'!K11,IF('04_Condiciones_TIE'!B11="Alemán",'04_Condiciones_TIE'!C11/'04_Condiciones_TIE'!H11+F163,IF(B163&lt;'04_Condiciones_TIE'!H11,F163,F163+E163)))</f>
        <v/>
      </c>
      <c r="E163" s="20">
        <f>H162</f>
        <v/>
      </c>
      <c r="F163" s="20">
        <f>E163*'04_Condiciones_TIE'!J11</f>
        <v/>
      </c>
      <c r="G163" s="20">
        <f>D163-F163</f>
        <v/>
      </c>
      <c r="H163" s="20">
        <f>E163-G163</f>
        <v/>
      </c>
      <c r="I163" s="20">
        <f>D163</f>
        <v/>
      </c>
      <c r="J163" s="20">
        <f>M162</f>
        <v/>
      </c>
      <c r="K163" s="20">
        <f>J163*'04_Condiciones_TIE'!L11</f>
        <v/>
      </c>
      <c r="L163" s="20">
        <f>D163-K163</f>
        <v/>
      </c>
      <c r="M163" s="20">
        <f>J163-L163</f>
        <v/>
      </c>
    </row>
    <row r="164">
      <c r="A164" s="38" t="inlineStr">
        <is>
          <t>TOTAL</t>
        </is>
      </c>
      <c r="B164" s="40" t="n"/>
      <c r="C164" s="42" t="n"/>
      <c r="D164" s="39">
        <f>SUM(D5:D163)</f>
        <v/>
      </c>
      <c r="E164" s="39" t="n"/>
      <c r="F164" s="39">
        <f>SUM(F5:F163)</f>
        <v/>
      </c>
      <c r="G164" s="39">
        <f>SUM(G5:G163)</f>
        <v/>
      </c>
      <c r="H164" s="39" t="n"/>
      <c r="I164" s="39" t="n"/>
      <c r="J164" s="39" t="n"/>
      <c r="K164" s="39">
        <f>SUM(K5:K163)</f>
        <v/>
      </c>
      <c r="L164" s="39">
        <f>SUM(L5:L163)</f>
        <v/>
      </c>
      <c r="M164" s="39" t="n"/>
    </row>
    <row r="166">
      <c r="A166" s="22" t="inlineStr">
        <is>
          <t>ⓘ  Cómo se calcula esta hoja</t>
        </is>
      </c>
    </row>
    <row r="167">
      <c r="A167" s="23" t="inlineStr">
        <is>
          <t>Columna</t>
        </is>
      </c>
      <c r="B167" s="23" t="inlineStr">
        <is>
          <t>Fórmula (Excel)</t>
        </is>
      </c>
      <c r="C167" s="23" t="inlineStr">
        <is>
          <t>Cómo se calcula (sencillo)</t>
        </is>
      </c>
      <c r="D167" s="23" t="inlineStr">
        <is>
          <t>Ejemplo con números reales</t>
        </is>
      </c>
      <c r="E167" s="23" t="inlineStr">
        <is>
          <t>De dónde viene</t>
        </is>
      </c>
      <c r="F167" s="23" t="inlineStr">
        <is>
          <t>Norma</t>
        </is>
      </c>
    </row>
    <row r="168">
      <c r="A168" s="24" t="inlineStr">
        <is>
          <t>Pago contractual</t>
        </is>
      </c>
      <c r="B168" s="25" t="inlineStr">
        <is>
          <t>'=IF('04_Condiciones_TIE'!B5="Francés",'04_Condiciones_TIE'!K5,IF('04_Condiciones_TIE'!B5="Alemán",'04_Condiciones_TIE'!C5/'04_Condiciones_TIE'!H5+F6,IF(B6&lt;'04_Condiciones_TIE'!H5,F6,F6+E6)))</t>
        </is>
      </c>
      <c r="C168" s="24" t="inlineStr">
        <is>
          <t>Pago de cada período según el sistema de la hoja 04: en francés, la cuota fija; en alemán, el monto dividido para los períodos más el interés nominal; en bullet, solo el interés y, en el último período, el interés más todo el capital.</t>
        </is>
      </c>
      <c r="D168" s="24" t="inlineStr">
        <is>
          <t>Fila 2: IF(«Francés»="Francés"; 3.928,65; IF(«Francés»="Alemán"; 120.000,00/36+1.100,00; IF(1&lt;36; 1.100,00; 1.100,00+120.000,00))) → 3.928,65</t>
        </is>
      </c>
      <c r="E168" s="24" t="inlineStr">
        <is>
          <t>«Interés nominal» (esta hoja), «Período» (esta hoja), «Capital inicial» (esta hoja), hoja «Condiciones y tasa de interés efectiva»</t>
        </is>
      </c>
      <c r="F168" s="24" t="inlineStr">
        <is>
          <t>—</t>
        </is>
      </c>
    </row>
    <row r="169">
      <c r="A169" s="24" t="inlineStr">
        <is>
          <t>Capital inicial</t>
        </is>
      </c>
      <c r="B169" s="25" t="inlineStr">
        <is>
          <t>'=H5</t>
        </is>
      </c>
      <c r="C169" s="24" t="inlineStr">
        <is>
          <t>Toma el capital final de la fila anterior de esta misma tabla: es lo que se debe al empezar el período.</t>
        </is>
      </c>
      <c r="D169" s="24" t="inlineStr">
        <is>
          <t>Fila 2: 120.000,00 → 120.000,00</t>
        </is>
      </c>
      <c r="E169" s="24" t="inlineStr">
        <is>
          <t>«Capital final» (esta hoja)</t>
        </is>
      </c>
      <c r="F169" s="24" t="inlineStr">
        <is>
          <t>—</t>
        </is>
      </c>
    </row>
    <row r="170">
      <c r="A170" s="24" t="inlineStr">
        <is>
          <t>Interés nominal</t>
        </is>
      </c>
      <c r="B170" s="25" t="inlineStr">
        <is>
          <t>'=E6*'04_Condiciones_TIE'!J5</t>
        </is>
      </c>
      <c r="C170" s="24" t="inlineStr">
        <is>
          <t>Multiplica el capital inicial del período por la tasa periódica nominal de la hoja 04 (Condiciones y TIE).</t>
        </is>
      </c>
      <c r="D170" s="24" t="inlineStr">
        <is>
          <t>Fila 2: 120.000,00*0,92 % → 1.100,00</t>
        </is>
      </c>
      <c r="E170" s="24" t="inlineStr">
        <is>
          <t>«Capital inicial» (esta hoja), hoja «Condiciones y tasa de interés efectiva»</t>
        </is>
      </c>
      <c r="F170" s="24" t="inlineStr">
        <is>
          <t>—</t>
        </is>
      </c>
    </row>
    <row r="171">
      <c r="A171" s="24" t="inlineStr">
        <is>
          <t>Capital amortizado</t>
        </is>
      </c>
      <c r="B171" s="25" t="inlineStr">
        <is>
          <t>'=D6-F6</t>
        </is>
      </c>
      <c r="C171" s="24" t="inlineStr">
        <is>
          <t>Resta al pago contractual el interés nominal: es la parte del pago que reduce la deuda de capital.</t>
        </is>
      </c>
      <c r="D171" s="24" t="inlineStr">
        <is>
          <t>Fila 2: 3.928,65-1.100,00 → 2.828,65</t>
        </is>
      </c>
      <c r="E171" s="24" t="inlineStr">
        <is>
          <t>«Pago contractual» (esta hoja), «Interés nominal» (esta hoja)</t>
        </is>
      </c>
      <c r="F171" s="24" t="inlineStr">
        <is>
          <t>—</t>
        </is>
      </c>
    </row>
    <row r="172">
      <c r="A172" s="24" t="inlineStr">
        <is>
          <t>Capital final</t>
        </is>
      </c>
      <c r="B172" s="25" t="inlineStr">
        <is>
          <t>'='04_Condiciones_TIE'!C5</t>
        </is>
      </c>
      <c r="C172" s="24" t="inlineStr">
        <is>
          <t>En el período 0 es el monto desembolsado (hoja 04); en los demás, el capital inicial menos el capital amortizado en el período.</t>
        </is>
      </c>
      <c r="D172" s="24" t="inlineStr">
        <is>
          <t>Fila 1: 120.000,00 → 120.000,00</t>
        </is>
      </c>
      <c r="E172" s="24" t="inlineStr">
        <is>
          <t>hoja «Condiciones y tasa de interés efectiva»</t>
        </is>
      </c>
      <c r="F172" s="24" t="inlineStr">
        <is>
          <t>—</t>
        </is>
      </c>
    </row>
    <row r="173">
      <c r="A173" s="24" t="inlineStr">
        <is>
          <t>Flujo para la TIE</t>
        </is>
      </c>
      <c r="B173" s="25" t="inlineStr">
        <is>
          <t>'=-'04_Condiciones_TIE'!E5</t>
        </is>
      </c>
      <c r="C173" s="24" t="inlineStr">
        <is>
          <t>En el período 0 es el importe neto recibido con signo negativo (hoja 04); en los demás, el pago contractual. Con esta columna se calcula la TIR que da la TIE.</t>
        </is>
      </c>
      <c r="D173" s="24" t="inlineStr">
        <is>
          <t>Fila 1: -117.600,00 → -117.600,00</t>
        </is>
      </c>
      <c r="E173" s="24" t="inlineStr">
        <is>
          <t>hoja «Condiciones y tasa de interés efectiva»</t>
        </is>
      </c>
      <c r="F173" s="24" t="inlineStr">
        <is>
          <t>—</t>
        </is>
      </c>
    </row>
    <row r="174">
      <c r="A174" s="24" t="inlineStr">
        <is>
          <t>Costo amortizado inicial</t>
        </is>
      </c>
      <c r="B174" s="25" t="inlineStr">
        <is>
          <t>'=M5</t>
        </is>
      </c>
      <c r="C174" s="24" t="inlineStr">
        <is>
          <t>Toma el costo amortizado final de la fila anterior de esta misma tabla.</t>
        </is>
      </c>
      <c r="D174" s="24" t="inlineStr">
        <is>
          <t>Fila 2: 117.600,00 → 117.600,00</t>
        </is>
      </c>
      <c r="E174" s="24" t="inlineStr">
        <is>
          <t>«Costo amortizado final» (esta hoja)</t>
        </is>
      </c>
      <c r="F174" s="24" t="inlineStr">
        <is>
          <t>—</t>
        </is>
      </c>
    </row>
    <row r="175">
      <c r="A175" s="24" t="inlineStr">
        <is>
          <t>Interés a la TIE (Apéndice A)</t>
        </is>
      </c>
      <c r="B175" s="25" t="inlineStr">
        <is>
          <t>'=J6*'04_Condiciones_TIE'!L5</t>
        </is>
      </c>
      <c r="C175" s="24" t="inlineStr">
        <is>
          <t>Multiplica el costo amortizado inicial del período por la TIE periódica de la hoja 04: es el gasto financiero que corresponde reconocer en el período.</t>
        </is>
      </c>
      <c r="D175" s="24" t="inlineStr">
        <is>
          <t>Fila 2: 117.600,00*1,03 % → 1.215,44</t>
        </is>
      </c>
      <c r="E175" s="24" t="inlineStr">
        <is>
          <t>«Costo amortizado inicial» (esta hoja), hoja «Condiciones y tasa de interés efectiva»</t>
        </is>
      </c>
      <c r="F175" s="24" t="inlineStr">
        <is>
          <t>—</t>
        </is>
      </c>
    </row>
    <row r="176">
      <c r="A176" s="24" t="inlineStr">
        <is>
          <t>Amortización (pago − interés)</t>
        </is>
      </c>
      <c r="B176" s="25" t="inlineStr">
        <is>
          <t>'=D6-K6</t>
        </is>
      </c>
      <c r="C176" s="24" t="inlineStr">
        <is>
          <t>Resta al pago contractual el interés a la TIE: es lo que el pago reduce el costo amortizado.</t>
        </is>
      </c>
      <c r="D176" s="24" t="inlineStr">
        <is>
          <t>Fila 2: 3.928,65-1.215,44 → 2.713,21</t>
        </is>
      </c>
      <c r="E176" s="24" t="inlineStr">
        <is>
          <t>«Pago contractual» (esta hoja), «Interés a la TIE (Apéndice A)» (esta hoja)</t>
        </is>
      </c>
      <c r="F176" s="24" t="inlineStr">
        <is>
          <t>—</t>
        </is>
      </c>
    </row>
    <row r="177">
      <c r="A177" s="24" t="inlineStr">
        <is>
          <t>Costo amortizado final</t>
        </is>
      </c>
      <c r="B177" s="25" t="inlineStr">
        <is>
          <t>'='04_Condiciones_TIE'!E5</t>
        </is>
      </c>
      <c r="C177" s="24" t="inlineStr">
        <is>
          <t>En el período 0 es el importe neto recibido (hoja 04); en los demás, el costo amortizado inicial menos la amortización del período.</t>
        </is>
      </c>
      <c r="D177" s="24" t="inlineStr">
        <is>
          <t>Fila 1: 117.600,00 → 117.600,00</t>
        </is>
      </c>
      <c r="E177" s="24" t="inlineStr">
        <is>
          <t>hoja «Condiciones y tasa de interés efectiva»</t>
        </is>
      </c>
      <c r="F177" s="24" t="inlineStr">
        <is>
          <t>—</t>
        </is>
      </c>
    </row>
  </sheetData>
  <mergeCells count="3">
    <mergeCell ref="A2:F2"/>
    <mergeCell ref="A1:F1"/>
    <mergeCell ref="A166:F166"/>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V36"/>
  <sheetViews>
    <sheetView showGridLines="0" workbookViewId="0">
      <pane ySplit="4" topLeftCell="A5" activePane="bottomLeft" state="frozen"/>
      <selection pane="bottomLeft" activeCell="A1" sqref="A1"/>
    </sheetView>
  </sheetViews>
  <sheetFormatPr baseColWidth="8" defaultRowHeight="15"/>
  <cols>
    <col width="12" customWidth="1" min="1" max="1"/>
    <col width="16" customWidth="1" min="2" max="2"/>
    <col width="28" customWidth="1" min="3" max="3"/>
    <col width="31" customWidth="1" min="4" max="4"/>
    <col width="30" customWidth="1" min="5" max="5"/>
    <col width="27" customWidth="1" min="6" max="6"/>
    <col width="40" customWidth="1" min="7" max="7"/>
    <col width="28" customWidth="1" min="8" max="8"/>
    <col width="27" customWidth="1" min="9" max="9"/>
    <col width="31" customWidth="1" min="10" max="10"/>
    <col width="29" customWidth="1" min="11" max="11"/>
    <col width="20" customWidth="1" min="12" max="12"/>
    <col width="31" customWidth="1" min="13" max="13"/>
    <col width="37" customWidth="1" min="14" max="14"/>
    <col width="50" customWidth="1" min="15" max="15"/>
    <col width="38" customWidth="1" min="16" max="16"/>
    <col width="28" customWidth="1" min="17" max="17"/>
    <col width="31" customWidth="1" min="18" max="18"/>
    <col width="21" customWidth="1" min="19" max="19"/>
    <col width="31" customWidth="1" min="20" max="20"/>
    <col width="41" customWidth="1" min="21" max="21"/>
    <col width="33" customWidth="1" min="22" max="22"/>
  </cols>
  <sheetData>
    <row r="1">
      <c r="A1" s="3" t="inlineStr">
        <is>
          <t>Costo amortizado al corte y del ejercicio</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c r="J2" s="16" t="n"/>
      <c r="K2" s="16" t="n"/>
      <c r="L2" s="16" t="n"/>
      <c r="M2" s="16" t="n"/>
      <c r="N2" s="16" t="n"/>
      <c r="O2" s="16" t="n"/>
      <c r="P2" s="16" t="n"/>
      <c r="Q2" s="16" t="n"/>
      <c r="R2" s="16" t="n"/>
      <c r="S2" s="16" t="n"/>
      <c r="T2" s="16" t="n"/>
      <c r="U2" s="16" t="n"/>
      <c r="V2" s="16" t="n"/>
    </row>
    <row r="4" ht="30" customHeight="1">
      <c r="A4" s="17" t="inlineStr">
        <is>
          <t>Operación</t>
        </is>
      </c>
      <c r="B4" s="17" t="inlineStr">
        <is>
          <t>Meses al corte</t>
        </is>
      </c>
      <c r="C4" s="17" t="inlineStr">
        <is>
          <t>Períodos vencidos al corte</t>
        </is>
      </c>
      <c r="D4" s="17" t="inlineStr">
        <is>
          <t>Fracción del período en curso</t>
        </is>
      </c>
      <c r="E4" s="17" t="inlineStr">
        <is>
          <t>Capital contractual al corte</t>
        </is>
      </c>
      <c r="F4" s="17" t="inlineStr">
        <is>
          <t>Interés nominal devengado</t>
        </is>
      </c>
      <c r="G4" s="17" t="inlineStr">
        <is>
          <t>Costo amortizado al último vencimiento</t>
        </is>
      </c>
      <c r="H4" s="17" t="inlineStr">
        <is>
          <t>Interés a la TIE devengado</t>
        </is>
      </c>
      <c r="I4" s="17" t="inlineStr">
        <is>
          <t>Costo amortizado al corte</t>
        </is>
      </c>
      <c r="J4" s="17" t="inlineStr">
        <is>
          <t>Meses al inicio del ejercicio</t>
        </is>
      </c>
      <c r="K4" s="17" t="inlineStr">
        <is>
          <t>Períodos vencidos al inicio</t>
        </is>
      </c>
      <c r="L4" s="17" t="inlineStr">
        <is>
          <t>Fracción al inicio</t>
        </is>
      </c>
      <c r="M4" s="17" t="inlineStr">
        <is>
          <t>Capital contractual al inicio</t>
        </is>
      </c>
      <c r="N4" s="17" t="inlineStr">
        <is>
          <t>Interés nominal devengado al inicio</t>
        </is>
      </c>
      <c r="O4" s="17" t="inlineStr">
        <is>
          <t>Costo amortizado al vencimiento previo al inicio</t>
        </is>
      </c>
      <c r="P4" s="17" t="inlineStr">
        <is>
          <t>Interés a la TIE devengado al inicio</t>
        </is>
      </c>
      <c r="Q4" s="17" t="inlineStr">
        <is>
          <t>Costo amortizado al inicio</t>
        </is>
      </c>
      <c r="R4" s="17" t="inlineStr">
        <is>
          <t>Desembolso neto del ejercicio</t>
        </is>
      </c>
      <c r="S4" s="17" t="inlineStr">
        <is>
          <t>Pagos del ejercicio</t>
        </is>
      </c>
      <c r="T4" s="17" t="inlineStr">
        <is>
          <t>Interés nominal del ejercicio</t>
        </is>
      </c>
      <c r="U4" s="17" t="inlineStr">
        <is>
          <t>Gasto financiero a la TIE del ejercicio</t>
        </is>
      </c>
      <c r="V4" s="17" t="inlineStr">
        <is>
          <t>Comprobación del movimiento (0)</t>
        </is>
      </c>
    </row>
    <row r="5">
      <c r="A5" s="18" t="inlineStr">
        <is>
          <t>OP-101</t>
        </is>
      </c>
      <c r="B5" s="34">
        <f>DATEDIF('03_Prestamos'!C5,'02_Parametros'!$B$5,"m")</f>
        <v/>
      </c>
      <c r="C5" s="34">
        <f>MIN('04_Condiciones_TIE'!H5,INT(B5/'04_Condiciones_TIE'!G5))</f>
        <v/>
      </c>
      <c r="D5" s="35">
        <f>IF(C5&gt;='04_Condiciones_TIE'!H5,0,('02_Parametros'!$B$5-EDATE('03_Prestamos'!C5,C5*'04_Condiciones_TIE'!G5))/(EDATE('03_Prestamos'!C5,(C5+1)*'04_Condiciones_TIE'!G5)-EDATE('03_Prestamos'!C5,C5*'04_Condiciones_TIE'!G5)))</f>
        <v/>
      </c>
      <c r="E5" s="20">
        <f>SUMIFS('05_Tabla_amortizacion'!$H$5:$H$163,'05_Tabla_amortizacion'!$A$5:$A$163,A5,'05_Tabla_amortizacion'!$B$5:$B$163,C5)</f>
        <v/>
      </c>
      <c r="F5" s="20">
        <f>E5*'04_Condiciones_TIE'!J5*D5</f>
        <v/>
      </c>
      <c r="G5" s="20">
        <f>SUMIFS('05_Tabla_amortizacion'!$M$5:$M$163,'05_Tabla_amortizacion'!$A$5:$A$163,A5,'05_Tabla_amortizacion'!$B$5:$B$163,C5)</f>
        <v/>
      </c>
      <c r="H5" s="20">
        <f>G5*'04_Condiciones_TIE'!L5*D5</f>
        <v/>
      </c>
      <c r="I5" s="20">
        <f>G5+H5</f>
        <v/>
      </c>
      <c r="J5" s="34">
        <f>IF('03_Prestamos'!C5&gt;'02_Parametros'!$B$6,-1,DATEDIF('03_Prestamos'!C5,'02_Parametros'!$B$6,"m"))</f>
        <v/>
      </c>
      <c r="K5" s="34">
        <f>IF(J5&lt;0,0,MIN('04_Condiciones_TIE'!H5,INT(J5/'04_Condiciones_TIE'!G5)))</f>
        <v/>
      </c>
      <c r="L5" s="35">
        <f>IF(OR(J5&lt;0,K5&gt;='04_Condiciones_TIE'!H5),0,('02_Parametros'!$B$6-EDATE('03_Prestamos'!C5,K5*'04_Condiciones_TIE'!G5))/(EDATE('03_Prestamos'!C5,(K5+1)*'04_Condiciones_TIE'!G5)-EDATE('03_Prestamos'!C5,K5*'04_Condiciones_TIE'!G5)))</f>
        <v/>
      </c>
      <c r="M5" s="20">
        <f>IF(J5&lt;0,0,SUMIFS('05_Tabla_amortizacion'!$H$5:$H$163,'05_Tabla_amortizacion'!$A$5:$A$163,A5,'05_Tabla_amortizacion'!$B$5:$B$163,K5))</f>
        <v/>
      </c>
      <c r="N5" s="20">
        <f>M5*'04_Condiciones_TIE'!J5*L5</f>
        <v/>
      </c>
      <c r="O5" s="20">
        <f>IF(J5&lt;0,0,SUMIFS('05_Tabla_amortizacion'!$M$5:$M$163,'05_Tabla_amortizacion'!$A$5:$A$163,A5,'05_Tabla_amortizacion'!$B$5:$B$163,K5))</f>
        <v/>
      </c>
      <c r="P5" s="20">
        <f>O5*'04_Condiciones_TIE'!L5*L5</f>
        <v/>
      </c>
      <c r="Q5" s="20">
        <f>O5+P5</f>
        <v/>
      </c>
      <c r="R5" s="20">
        <f>IF(J5&lt;0,'04_Condiciones_TIE'!E5,0)</f>
        <v/>
      </c>
      <c r="S5" s="20">
        <f>SUMIFS('05_Tabla_amortizacion'!$D$5:$D$163,'05_Tabla_amortizacion'!$A$5:$A$163,A5,'05_Tabla_amortizacion'!$B$5:$B$163,"&gt;"&amp;K5,'05_Tabla_amortizacion'!$B$5:$B$163,"&lt;="&amp;C5)</f>
        <v/>
      </c>
      <c r="T5" s="20">
        <f>SUMIFS('05_Tabla_amortizacion'!$F$5:$F$163,'05_Tabla_amortizacion'!$A$5:$A$163,A5,'05_Tabla_amortizacion'!$B$5:$B$163,"&gt;"&amp;K5,'05_Tabla_amortizacion'!$B$5:$B$163,"&lt;="&amp;C5)+F5-N5</f>
        <v/>
      </c>
      <c r="U5" s="20">
        <f>SUMIFS('05_Tabla_amortizacion'!$K$5:$K$163,'05_Tabla_amortizacion'!$A$5:$A$163,A5,'05_Tabla_amortizacion'!$B$5:$B$163,"&gt;"&amp;K5,'05_Tabla_amortizacion'!$B$5:$B$163,"&lt;="&amp;C5)+H5-P5</f>
        <v/>
      </c>
      <c r="V5" s="20">
        <f>Q5+R5+U5-S5-I5</f>
        <v/>
      </c>
    </row>
    <row r="6">
      <c r="A6" s="19" t="inlineStr">
        <is>
          <t>OP-102</t>
        </is>
      </c>
      <c r="B6" s="36">
        <f>DATEDIF('03_Prestamos'!C6,'02_Parametros'!$B$5,"m")</f>
        <v/>
      </c>
      <c r="C6" s="36">
        <f>MIN('04_Condiciones_TIE'!H6,INT(B6/'04_Condiciones_TIE'!G6))</f>
        <v/>
      </c>
      <c r="D6" s="37">
        <f>IF(C6&gt;='04_Condiciones_TIE'!H6,0,('02_Parametros'!$B$5-EDATE('03_Prestamos'!C6,C6*'04_Condiciones_TIE'!G6))/(EDATE('03_Prestamos'!C6,(C6+1)*'04_Condiciones_TIE'!G6)-EDATE('03_Prestamos'!C6,C6*'04_Condiciones_TIE'!G6)))</f>
        <v/>
      </c>
      <c r="E6" s="21">
        <f>SUMIFS('05_Tabla_amortizacion'!$H$5:$H$163,'05_Tabla_amortizacion'!$A$5:$A$163,A6,'05_Tabla_amortizacion'!$B$5:$B$163,C6)</f>
        <v/>
      </c>
      <c r="F6" s="21">
        <f>E6*'04_Condiciones_TIE'!J6*D6</f>
        <v/>
      </c>
      <c r="G6" s="21">
        <f>SUMIFS('05_Tabla_amortizacion'!$M$5:$M$163,'05_Tabla_amortizacion'!$A$5:$A$163,A6,'05_Tabla_amortizacion'!$B$5:$B$163,C6)</f>
        <v/>
      </c>
      <c r="H6" s="21">
        <f>G6*'04_Condiciones_TIE'!L6*D6</f>
        <v/>
      </c>
      <c r="I6" s="21">
        <f>G6+H6</f>
        <v/>
      </c>
      <c r="J6" s="36">
        <f>IF('03_Prestamos'!C6&gt;'02_Parametros'!$B$6,-1,DATEDIF('03_Prestamos'!C6,'02_Parametros'!$B$6,"m"))</f>
        <v/>
      </c>
      <c r="K6" s="36">
        <f>IF(J6&lt;0,0,MIN('04_Condiciones_TIE'!H6,INT(J6/'04_Condiciones_TIE'!G6)))</f>
        <v/>
      </c>
      <c r="L6" s="37">
        <f>IF(OR(J6&lt;0,K6&gt;='04_Condiciones_TIE'!H6),0,('02_Parametros'!$B$6-EDATE('03_Prestamos'!C6,K6*'04_Condiciones_TIE'!G6))/(EDATE('03_Prestamos'!C6,(K6+1)*'04_Condiciones_TIE'!G6)-EDATE('03_Prestamos'!C6,K6*'04_Condiciones_TIE'!G6)))</f>
        <v/>
      </c>
      <c r="M6" s="21">
        <f>IF(J6&lt;0,0,SUMIFS('05_Tabla_amortizacion'!$H$5:$H$163,'05_Tabla_amortizacion'!$A$5:$A$163,A6,'05_Tabla_amortizacion'!$B$5:$B$163,K6))</f>
        <v/>
      </c>
      <c r="N6" s="21">
        <f>M6*'04_Condiciones_TIE'!J6*L6</f>
        <v/>
      </c>
      <c r="O6" s="21">
        <f>IF(J6&lt;0,0,SUMIFS('05_Tabla_amortizacion'!$M$5:$M$163,'05_Tabla_amortizacion'!$A$5:$A$163,A6,'05_Tabla_amortizacion'!$B$5:$B$163,K6))</f>
        <v/>
      </c>
      <c r="P6" s="21">
        <f>O6*'04_Condiciones_TIE'!L6*L6</f>
        <v/>
      </c>
      <c r="Q6" s="21">
        <f>O6+P6</f>
        <v/>
      </c>
      <c r="R6" s="21">
        <f>IF(J6&lt;0,'04_Condiciones_TIE'!E6,0)</f>
        <v/>
      </c>
      <c r="S6" s="21">
        <f>SUMIFS('05_Tabla_amortizacion'!$D$5:$D$163,'05_Tabla_amortizacion'!$A$5:$A$163,A6,'05_Tabla_amortizacion'!$B$5:$B$163,"&gt;"&amp;K6,'05_Tabla_amortizacion'!$B$5:$B$163,"&lt;="&amp;C6)</f>
        <v/>
      </c>
      <c r="T6" s="21">
        <f>SUMIFS('05_Tabla_amortizacion'!$F$5:$F$163,'05_Tabla_amortizacion'!$A$5:$A$163,A6,'05_Tabla_amortizacion'!$B$5:$B$163,"&gt;"&amp;K6,'05_Tabla_amortizacion'!$B$5:$B$163,"&lt;="&amp;C6)+F6-N6</f>
        <v/>
      </c>
      <c r="U6" s="21">
        <f>SUMIFS('05_Tabla_amortizacion'!$K$5:$K$163,'05_Tabla_amortizacion'!$A$5:$A$163,A6,'05_Tabla_amortizacion'!$B$5:$B$163,"&gt;"&amp;K6,'05_Tabla_amortizacion'!$B$5:$B$163,"&lt;="&amp;C6)+H6-P6</f>
        <v/>
      </c>
      <c r="V6" s="21">
        <f>Q6+R6+U6-S6-I6</f>
        <v/>
      </c>
    </row>
    <row r="7">
      <c r="A7" s="18" t="inlineStr">
        <is>
          <t>OP-103</t>
        </is>
      </c>
      <c r="B7" s="34">
        <f>DATEDIF('03_Prestamos'!C7,'02_Parametros'!$B$5,"m")</f>
        <v/>
      </c>
      <c r="C7" s="34">
        <f>MIN('04_Condiciones_TIE'!H7,INT(B7/'04_Condiciones_TIE'!G7))</f>
        <v/>
      </c>
      <c r="D7" s="35">
        <f>IF(C7&gt;='04_Condiciones_TIE'!H7,0,('02_Parametros'!$B$5-EDATE('03_Prestamos'!C7,C7*'04_Condiciones_TIE'!G7))/(EDATE('03_Prestamos'!C7,(C7+1)*'04_Condiciones_TIE'!G7)-EDATE('03_Prestamos'!C7,C7*'04_Condiciones_TIE'!G7)))</f>
        <v/>
      </c>
      <c r="E7" s="20">
        <f>SUMIFS('05_Tabla_amortizacion'!$H$5:$H$163,'05_Tabla_amortizacion'!$A$5:$A$163,A7,'05_Tabla_amortizacion'!$B$5:$B$163,C7)</f>
        <v/>
      </c>
      <c r="F7" s="20">
        <f>E7*'04_Condiciones_TIE'!J7*D7</f>
        <v/>
      </c>
      <c r="G7" s="20">
        <f>SUMIFS('05_Tabla_amortizacion'!$M$5:$M$163,'05_Tabla_amortizacion'!$A$5:$A$163,A7,'05_Tabla_amortizacion'!$B$5:$B$163,C7)</f>
        <v/>
      </c>
      <c r="H7" s="20">
        <f>G7*'04_Condiciones_TIE'!L7*D7</f>
        <v/>
      </c>
      <c r="I7" s="20">
        <f>G7+H7</f>
        <v/>
      </c>
      <c r="J7" s="34">
        <f>IF('03_Prestamos'!C7&gt;'02_Parametros'!$B$6,-1,DATEDIF('03_Prestamos'!C7,'02_Parametros'!$B$6,"m"))</f>
        <v/>
      </c>
      <c r="K7" s="34">
        <f>IF(J7&lt;0,0,MIN('04_Condiciones_TIE'!H7,INT(J7/'04_Condiciones_TIE'!G7)))</f>
        <v/>
      </c>
      <c r="L7" s="35">
        <f>IF(OR(J7&lt;0,K7&gt;='04_Condiciones_TIE'!H7),0,('02_Parametros'!$B$6-EDATE('03_Prestamos'!C7,K7*'04_Condiciones_TIE'!G7))/(EDATE('03_Prestamos'!C7,(K7+1)*'04_Condiciones_TIE'!G7)-EDATE('03_Prestamos'!C7,K7*'04_Condiciones_TIE'!G7)))</f>
        <v/>
      </c>
      <c r="M7" s="20">
        <f>IF(J7&lt;0,0,SUMIFS('05_Tabla_amortizacion'!$H$5:$H$163,'05_Tabla_amortizacion'!$A$5:$A$163,A7,'05_Tabla_amortizacion'!$B$5:$B$163,K7))</f>
        <v/>
      </c>
      <c r="N7" s="20">
        <f>M7*'04_Condiciones_TIE'!J7*L7</f>
        <v/>
      </c>
      <c r="O7" s="20">
        <f>IF(J7&lt;0,0,SUMIFS('05_Tabla_amortizacion'!$M$5:$M$163,'05_Tabla_amortizacion'!$A$5:$A$163,A7,'05_Tabla_amortizacion'!$B$5:$B$163,K7))</f>
        <v/>
      </c>
      <c r="P7" s="20">
        <f>O7*'04_Condiciones_TIE'!L7*L7</f>
        <v/>
      </c>
      <c r="Q7" s="20">
        <f>O7+P7</f>
        <v/>
      </c>
      <c r="R7" s="20">
        <f>IF(J7&lt;0,'04_Condiciones_TIE'!E7,0)</f>
        <v/>
      </c>
      <c r="S7" s="20">
        <f>SUMIFS('05_Tabla_amortizacion'!$D$5:$D$163,'05_Tabla_amortizacion'!$A$5:$A$163,A7,'05_Tabla_amortizacion'!$B$5:$B$163,"&gt;"&amp;K7,'05_Tabla_amortizacion'!$B$5:$B$163,"&lt;="&amp;C7)</f>
        <v/>
      </c>
      <c r="T7" s="20">
        <f>SUMIFS('05_Tabla_amortizacion'!$F$5:$F$163,'05_Tabla_amortizacion'!$A$5:$A$163,A7,'05_Tabla_amortizacion'!$B$5:$B$163,"&gt;"&amp;K7,'05_Tabla_amortizacion'!$B$5:$B$163,"&lt;="&amp;C7)+F7-N7</f>
        <v/>
      </c>
      <c r="U7" s="20">
        <f>SUMIFS('05_Tabla_amortizacion'!$K$5:$K$163,'05_Tabla_amortizacion'!$A$5:$A$163,A7,'05_Tabla_amortizacion'!$B$5:$B$163,"&gt;"&amp;K7,'05_Tabla_amortizacion'!$B$5:$B$163,"&lt;="&amp;C7)+H7-P7</f>
        <v/>
      </c>
      <c r="V7" s="20">
        <f>Q7+R7+U7-S7-I7</f>
        <v/>
      </c>
    </row>
    <row r="8">
      <c r="A8" s="19" t="inlineStr">
        <is>
          <t>OP-104</t>
        </is>
      </c>
      <c r="B8" s="36">
        <f>DATEDIF('03_Prestamos'!C8,'02_Parametros'!$B$5,"m")</f>
        <v/>
      </c>
      <c r="C8" s="36">
        <f>MIN('04_Condiciones_TIE'!H8,INT(B8/'04_Condiciones_TIE'!G8))</f>
        <v/>
      </c>
      <c r="D8" s="37">
        <f>IF(C8&gt;='04_Condiciones_TIE'!H8,0,('02_Parametros'!$B$5-EDATE('03_Prestamos'!C8,C8*'04_Condiciones_TIE'!G8))/(EDATE('03_Prestamos'!C8,(C8+1)*'04_Condiciones_TIE'!G8)-EDATE('03_Prestamos'!C8,C8*'04_Condiciones_TIE'!G8)))</f>
        <v/>
      </c>
      <c r="E8" s="21">
        <f>SUMIFS('05_Tabla_amortizacion'!$H$5:$H$163,'05_Tabla_amortizacion'!$A$5:$A$163,A8,'05_Tabla_amortizacion'!$B$5:$B$163,C8)</f>
        <v/>
      </c>
      <c r="F8" s="21">
        <f>E8*'04_Condiciones_TIE'!J8*D8</f>
        <v/>
      </c>
      <c r="G8" s="21">
        <f>SUMIFS('05_Tabla_amortizacion'!$M$5:$M$163,'05_Tabla_amortizacion'!$A$5:$A$163,A8,'05_Tabla_amortizacion'!$B$5:$B$163,C8)</f>
        <v/>
      </c>
      <c r="H8" s="21">
        <f>G8*'04_Condiciones_TIE'!L8*D8</f>
        <v/>
      </c>
      <c r="I8" s="21">
        <f>G8+H8</f>
        <v/>
      </c>
      <c r="J8" s="36">
        <f>IF('03_Prestamos'!C8&gt;'02_Parametros'!$B$6,-1,DATEDIF('03_Prestamos'!C8,'02_Parametros'!$B$6,"m"))</f>
        <v/>
      </c>
      <c r="K8" s="36">
        <f>IF(J8&lt;0,0,MIN('04_Condiciones_TIE'!H8,INT(J8/'04_Condiciones_TIE'!G8)))</f>
        <v/>
      </c>
      <c r="L8" s="37">
        <f>IF(OR(J8&lt;0,K8&gt;='04_Condiciones_TIE'!H8),0,('02_Parametros'!$B$6-EDATE('03_Prestamos'!C8,K8*'04_Condiciones_TIE'!G8))/(EDATE('03_Prestamos'!C8,(K8+1)*'04_Condiciones_TIE'!G8)-EDATE('03_Prestamos'!C8,K8*'04_Condiciones_TIE'!G8)))</f>
        <v/>
      </c>
      <c r="M8" s="21">
        <f>IF(J8&lt;0,0,SUMIFS('05_Tabla_amortizacion'!$H$5:$H$163,'05_Tabla_amortizacion'!$A$5:$A$163,A8,'05_Tabla_amortizacion'!$B$5:$B$163,K8))</f>
        <v/>
      </c>
      <c r="N8" s="21">
        <f>M8*'04_Condiciones_TIE'!J8*L8</f>
        <v/>
      </c>
      <c r="O8" s="21">
        <f>IF(J8&lt;0,0,SUMIFS('05_Tabla_amortizacion'!$M$5:$M$163,'05_Tabla_amortizacion'!$A$5:$A$163,A8,'05_Tabla_amortizacion'!$B$5:$B$163,K8))</f>
        <v/>
      </c>
      <c r="P8" s="21">
        <f>O8*'04_Condiciones_TIE'!L8*L8</f>
        <v/>
      </c>
      <c r="Q8" s="21">
        <f>O8+P8</f>
        <v/>
      </c>
      <c r="R8" s="21">
        <f>IF(J8&lt;0,'04_Condiciones_TIE'!E8,0)</f>
        <v/>
      </c>
      <c r="S8" s="21">
        <f>SUMIFS('05_Tabla_amortizacion'!$D$5:$D$163,'05_Tabla_amortizacion'!$A$5:$A$163,A8,'05_Tabla_amortizacion'!$B$5:$B$163,"&gt;"&amp;K8,'05_Tabla_amortizacion'!$B$5:$B$163,"&lt;="&amp;C8)</f>
        <v/>
      </c>
      <c r="T8" s="21">
        <f>SUMIFS('05_Tabla_amortizacion'!$F$5:$F$163,'05_Tabla_amortizacion'!$A$5:$A$163,A8,'05_Tabla_amortizacion'!$B$5:$B$163,"&gt;"&amp;K8,'05_Tabla_amortizacion'!$B$5:$B$163,"&lt;="&amp;C8)+F8-N8</f>
        <v/>
      </c>
      <c r="U8" s="21">
        <f>SUMIFS('05_Tabla_amortizacion'!$K$5:$K$163,'05_Tabla_amortizacion'!$A$5:$A$163,A8,'05_Tabla_amortizacion'!$B$5:$B$163,"&gt;"&amp;K8,'05_Tabla_amortizacion'!$B$5:$B$163,"&lt;="&amp;C8)+H8-P8</f>
        <v/>
      </c>
      <c r="V8" s="21">
        <f>Q8+R8+U8-S8-I8</f>
        <v/>
      </c>
    </row>
    <row r="9">
      <c r="A9" s="18" t="inlineStr">
        <is>
          <t>OP-105</t>
        </is>
      </c>
      <c r="B9" s="34">
        <f>DATEDIF('03_Prestamos'!C9,'02_Parametros'!$B$5,"m")</f>
        <v/>
      </c>
      <c r="C9" s="34">
        <f>MIN('04_Condiciones_TIE'!H9,INT(B9/'04_Condiciones_TIE'!G9))</f>
        <v/>
      </c>
      <c r="D9" s="35">
        <f>IF(C9&gt;='04_Condiciones_TIE'!H9,0,('02_Parametros'!$B$5-EDATE('03_Prestamos'!C9,C9*'04_Condiciones_TIE'!G9))/(EDATE('03_Prestamos'!C9,(C9+1)*'04_Condiciones_TIE'!G9)-EDATE('03_Prestamos'!C9,C9*'04_Condiciones_TIE'!G9)))</f>
        <v/>
      </c>
      <c r="E9" s="20">
        <f>SUMIFS('05_Tabla_amortizacion'!$H$5:$H$163,'05_Tabla_amortizacion'!$A$5:$A$163,A9,'05_Tabla_amortizacion'!$B$5:$B$163,C9)</f>
        <v/>
      </c>
      <c r="F9" s="20">
        <f>E9*'04_Condiciones_TIE'!J9*D9</f>
        <v/>
      </c>
      <c r="G9" s="20">
        <f>SUMIFS('05_Tabla_amortizacion'!$M$5:$M$163,'05_Tabla_amortizacion'!$A$5:$A$163,A9,'05_Tabla_amortizacion'!$B$5:$B$163,C9)</f>
        <v/>
      </c>
      <c r="H9" s="20">
        <f>G9*'04_Condiciones_TIE'!L9*D9</f>
        <v/>
      </c>
      <c r="I9" s="20">
        <f>G9+H9</f>
        <v/>
      </c>
      <c r="J9" s="34">
        <f>IF('03_Prestamos'!C9&gt;'02_Parametros'!$B$6,-1,DATEDIF('03_Prestamos'!C9,'02_Parametros'!$B$6,"m"))</f>
        <v/>
      </c>
      <c r="K9" s="34">
        <f>IF(J9&lt;0,0,MIN('04_Condiciones_TIE'!H9,INT(J9/'04_Condiciones_TIE'!G9)))</f>
        <v/>
      </c>
      <c r="L9" s="35">
        <f>IF(OR(J9&lt;0,K9&gt;='04_Condiciones_TIE'!H9),0,('02_Parametros'!$B$6-EDATE('03_Prestamos'!C9,K9*'04_Condiciones_TIE'!G9))/(EDATE('03_Prestamos'!C9,(K9+1)*'04_Condiciones_TIE'!G9)-EDATE('03_Prestamos'!C9,K9*'04_Condiciones_TIE'!G9)))</f>
        <v/>
      </c>
      <c r="M9" s="20">
        <f>IF(J9&lt;0,0,SUMIFS('05_Tabla_amortizacion'!$H$5:$H$163,'05_Tabla_amortizacion'!$A$5:$A$163,A9,'05_Tabla_amortizacion'!$B$5:$B$163,K9))</f>
        <v/>
      </c>
      <c r="N9" s="20">
        <f>M9*'04_Condiciones_TIE'!J9*L9</f>
        <v/>
      </c>
      <c r="O9" s="20">
        <f>IF(J9&lt;0,0,SUMIFS('05_Tabla_amortizacion'!$M$5:$M$163,'05_Tabla_amortizacion'!$A$5:$A$163,A9,'05_Tabla_amortizacion'!$B$5:$B$163,K9))</f>
        <v/>
      </c>
      <c r="P9" s="20">
        <f>O9*'04_Condiciones_TIE'!L9*L9</f>
        <v/>
      </c>
      <c r="Q9" s="20">
        <f>O9+P9</f>
        <v/>
      </c>
      <c r="R9" s="20">
        <f>IF(J9&lt;0,'04_Condiciones_TIE'!E9,0)</f>
        <v/>
      </c>
      <c r="S9" s="20">
        <f>SUMIFS('05_Tabla_amortizacion'!$D$5:$D$163,'05_Tabla_amortizacion'!$A$5:$A$163,A9,'05_Tabla_amortizacion'!$B$5:$B$163,"&gt;"&amp;K9,'05_Tabla_amortizacion'!$B$5:$B$163,"&lt;="&amp;C9)</f>
        <v/>
      </c>
      <c r="T9" s="20">
        <f>SUMIFS('05_Tabla_amortizacion'!$F$5:$F$163,'05_Tabla_amortizacion'!$A$5:$A$163,A9,'05_Tabla_amortizacion'!$B$5:$B$163,"&gt;"&amp;K9,'05_Tabla_amortizacion'!$B$5:$B$163,"&lt;="&amp;C9)+F9-N9</f>
        <v/>
      </c>
      <c r="U9" s="20">
        <f>SUMIFS('05_Tabla_amortizacion'!$K$5:$K$163,'05_Tabla_amortizacion'!$A$5:$A$163,A9,'05_Tabla_amortizacion'!$B$5:$B$163,"&gt;"&amp;K9,'05_Tabla_amortizacion'!$B$5:$B$163,"&lt;="&amp;C9)+H9-P9</f>
        <v/>
      </c>
      <c r="V9" s="20">
        <f>Q9+R9+U9-S9-I9</f>
        <v/>
      </c>
    </row>
    <row r="10">
      <c r="A10" s="19" t="inlineStr">
        <is>
          <t>OP-106</t>
        </is>
      </c>
      <c r="B10" s="36">
        <f>DATEDIF('03_Prestamos'!C10,'02_Parametros'!$B$5,"m")</f>
        <v/>
      </c>
      <c r="C10" s="36">
        <f>MIN('04_Condiciones_TIE'!H10,INT(B10/'04_Condiciones_TIE'!G10))</f>
        <v/>
      </c>
      <c r="D10" s="37">
        <f>IF(C10&gt;='04_Condiciones_TIE'!H10,0,('02_Parametros'!$B$5-EDATE('03_Prestamos'!C10,C10*'04_Condiciones_TIE'!G10))/(EDATE('03_Prestamos'!C10,(C10+1)*'04_Condiciones_TIE'!G10)-EDATE('03_Prestamos'!C10,C10*'04_Condiciones_TIE'!G10)))</f>
        <v/>
      </c>
      <c r="E10" s="21">
        <f>SUMIFS('05_Tabla_amortizacion'!$H$5:$H$163,'05_Tabla_amortizacion'!$A$5:$A$163,A10,'05_Tabla_amortizacion'!$B$5:$B$163,C10)</f>
        <v/>
      </c>
      <c r="F10" s="21">
        <f>E10*'04_Condiciones_TIE'!J10*D10</f>
        <v/>
      </c>
      <c r="G10" s="21">
        <f>SUMIFS('05_Tabla_amortizacion'!$M$5:$M$163,'05_Tabla_amortizacion'!$A$5:$A$163,A10,'05_Tabla_amortizacion'!$B$5:$B$163,C10)</f>
        <v/>
      </c>
      <c r="H10" s="21">
        <f>G10*'04_Condiciones_TIE'!L10*D10</f>
        <v/>
      </c>
      <c r="I10" s="21">
        <f>G10+H10</f>
        <v/>
      </c>
      <c r="J10" s="36">
        <f>IF('03_Prestamos'!C10&gt;'02_Parametros'!$B$6,-1,DATEDIF('03_Prestamos'!C10,'02_Parametros'!$B$6,"m"))</f>
        <v/>
      </c>
      <c r="K10" s="36">
        <f>IF(J10&lt;0,0,MIN('04_Condiciones_TIE'!H10,INT(J10/'04_Condiciones_TIE'!G10)))</f>
        <v/>
      </c>
      <c r="L10" s="37">
        <f>IF(OR(J10&lt;0,K10&gt;='04_Condiciones_TIE'!H10),0,('02_Parametros'!$B$6-EDATE('03_Prestamos'!C10,K10*'04_Condiciones_TIE'!G10))/(EDATE('03_Prestamos'!C10,(K10+1)*'04_Condiciones_TIE'!G10)-EDATE('03_Prestamos'!C10,K10*'04_Condiciones_TIE'!G10)))</f>
        <v/>
      </c>
      <c r="M10" s="21">
        <f>IF(J10&lt;0,0,SUMIFS('05_Tabla_amortizacion'!$H$5:$H$163,'05_Tabla_amortizacion'!$A$5:$A$163,A10,'05_Tabla_amortizacion'!$B$5:$B$163,K10))</f>
        <v/>
      </c>
      <c r="N10" s="21">
        <f>M10*'04_Condiciones_TIE'!J10*L10</f>
        <v/>
      </c>
      <c r="O10" s="21">
        <f>IF(J10&lt;0,0,SUMIFS('05_Tabla_amortizacion'!$M$5:$M$163,'05_Tabla_amortizacion'!$A$5:$A$163,A10,'05_Tabla_amortizacion'!$B$5:$B$163,K10))</f>
        <v/>
      </c>
      <c r="P10" s="21">
        <f>O10*'04_Condiciones_TIE'!L10*L10</f>
        <v/>
      </c>
      <c r="Q10" s="21">
        <f>O10+P10</f>
        <v/>
      </c>
      <c r="R10" s="21">
        <f>IF(J10&lt;0,'04_Condiciones_TIE'!E10,0)</f>
        <v/>
      </c>
      <c r="S10" s="21">
        <f>SUMIFS('05_Tabla_amortizacion'!$D$5:$D$163,'05_Tabla_amortizacion'!$A$5:$A$163,A10,'05_Tabla_amortizacion'!$B$5:$B$163,"&gt;"&amp;K10,'05_Tabla_amortizacion'!$B$5:$B$163,"&lt;="&amp;C10)</f>
        <v/>
      </c>
      <c r="T10" s="21">
        <f>SUMIFS('05_Tabla_amortizacion'!$F$5:$F$163,'05_Tabla_amortizacion'!$A$5:$A$163,A10,'05_Tabla_amortizacion'!$B$5:$B$163,"&gt;"&amp;K10,'05_Tabla_amortizacion'!$B$5:$B$163,"&lt;="&amp;C10)+F10-N10</f>
        <v/>
      </c>
      <c r="U10" s="21">
        <f>SUMIFS('05_Tabla_amortizacion'!$K$5:$K$163,'05_Tabla_amortizacion'!$A$5:$A$163,A10,'05_Tabla_amortizacion'!$B$5:$B$163,"&gt;"&amp;K10,'05_Tabla_amortizacion'!$B$5:$B$163,"&lt;="&amp;C10)+H10-P10</f>
        <v/>
      </c>
      <c r="V10" s="21">
        <f>Q10+R10+U10-S10-I10</f>
        <v/>
      </c>
    </row>
    <row r="11">
      <c r="A11" s="18" t="inlineStr">
        <is>
          <t>OP-107</t>
        </is>
      </c>
      <c r="B11" s="34">
        <f>DATEDIF('03_Prestamos'!C11,'02_Parametros'!$B$5,"m")</f>
        <v/>
      </c>
      <c r="C11" s="34">
        <f>MIN('04_Condiciones_TIE'!H11,INT(B11/'04_Condiciones_TIE'!G11))</f>
        <v/>
      </c>
      <c r="D11" s="35">
        <f>IF(C11&gt;='04_Condiciones_TIE'!H11,0,('02_Parametros'!$B$5-EDATE('03_Prestamos'!C11,C11*'04_Condiciones_TIE'!G11))/(EDATE('03_Prestamos'!C11,(C11+1)*'04_Condiciones_TIE'!G11)-EDATE('03_Prestamos'!C11,C11*'04_Condiciones_TIE'!G11)))</f>
        <v/>
      </c>
      <c r="E11" s="20">
        <f>SUMIFS('05_Tabla_amortizacion'!$H$5:$H$163,'05_Tabla_amortizacion'!$A$5:$A$163,A11,'05_Tabla_amortizacion'!$B$5:$B$163,C11)</f>
        <v/>
      </c>
      <c r="F11" s="20">
        <f>E11*'04_Condiciones_TIE'!J11*D11</f>
        <v/>
      </c>
      <c r="G11" s="20">
        <f>SUMIFS('05_Tabla_amortizacion'!$M$5:$M$163,'05_Tabla_amortizacion'!$A$5:$A$163,A11,'05_Tabla_amortizacion'!$B$5:$B$163,C11)</f>
        <v/>
      </c>
      <c r="H11" s="20">
        <f>G11*'04_Condiciones_TIE'!L11*D11</f>
        <v/>
      </c>
      <c r="I11" s="20">
        <f>G11+H11</f>
        <v/>
      </c>
      <c r="J11" s="34">
        <f>IF('03_Prestamos'!C11&gt;'02_Parametros'!$B$6,-1,DATEDIF('03_Prestamos'!C11,'02_Parametros'!$B$6,"m"))</f>
        <v/>
      </c>
      <c r="K11" s="34">
        <f>IF(J11&lt;0,0,MIN('04_Condiciones_TIE'!H11,INT(J11/'04_Condiciones_TIE'!G11)))</f>
        <v/>
      </c>
      <c r="L11" s="35">
        <f>IF(OR(J11&lt;0,K11&gt;='04_Condiciones_TIE'!H11),0,('02_Parametros'!$B$6-EDATE('03_Prestamos'!C11,K11*'04_Condiciones_TIE'!G11))/(EDATE('03_Prestamos'!C11,(K11+1)*'04_Condiciones_TIE'!G11)-EDATE('03_Prestamos'!C11,K11*'04_Condiciones_TIE'!G11)))</f>
        <v/>
      </c>
      <c r="M11" s="20">
        <f>IF(J11&lt;0,0,SUMIFS('05_Tabla_amortizacion'!$H$5:$H$163,'05_Tabla_amortizacion'!$A$5:$A$163,A11,'05_Tabla_amortizacion'!$B$5:$B$163,K11))</f>
        <v/>
      </c>
      <c r="N11" s="20">
        <f>M11*'04_Condiciones_TIE'!J11*L11</f>
        <v/>
      </c>
      <c r="O11" s="20">
        <f>IF(J11&lt;0,0,SUMIFS('05_Tabla_amortizacion'!$M$5:$M$163,'05_Tabla_amortizacion'!$A$5:$A$163,A11,'05_Tabla_amortizacion'!$B$5:$B$163,K11))</f>
        <v/>
      </c>
      <c r="P11" s="20">
        <f>O11*'04_Condiciones_TIE'!L11*L11</f>
        <v/>
      </c>
      <c r="Q11" s="20">
        <f>O11+P11</f>
        <v/>
      </c>
      <c r="R11" s="20">
        <f>IF(J11&lt;0,'04_Condiciones_TIE'!E11,0)</f>
        <v/>
      </c>
      <c r="S11" s="20">
        <f>SUMIFS('05_Tabla_amortizacion'!$D$5:$D$163,'05_Tabla_amortizacion'!$A$5:$A$163,A11,'05_Tabla_amortizacion'!$B$5:$B$163,"&gt;"&amp;K11,'05_Tabla_amortizacion'!$B$5:$B$163,"&lt;="&amp;C11)</f>
        <v/>
      </c>
      <c r="T11" s="20">
        <f>SUMIFS('05_Tabla_amortizacion'!$F$5:$F$163,'05_Tabla_amortizacion'!$A$5:$A$163,A11,'05_Tabla_amortizacion'!$B$5:$B$163,"&gt;"&amp;K11,'05_Tabla_amortizacion'!$B$5:$B$163,"&lt;="&amp;C11)+F11-N11</f>
        <v/>
      </c>
      <c r="U11" s="20">
        <f>SUMIFS('05_Tabla_amortizacion'!$K$5:$K$163,'05_Tabla_amortizacion'!$A$5:$A$163,A11,'05_Tabla_amortizacion'!$B$5:$B$163,"&gt;"&amp;K11,'05_Tabla_amortizacion'!$B$5:$B$163,"&lt;="&amp;C11)+H11-P11</f>
        <v/>
      </c>
      <c r="V11" s="20">
        <f>Q11+R11+U11-S11-I11</f>
        <v/>
      </c>
    </row>
    <row r="12">
      <c r="A12" s="38" t="inlineStr">
        <is>
          <t>TOTAL</t>
        </is>
      </c>
      <c r="B12" s="40" t="n"/>
      <c r="C12" s="40" t="n"/>
      <c r="D12" s="41" t="n"/>
      <c r="E12" s="39">
        <f>SUM(E5:E11)</f>
        <v/>
      </c>
      <c r="F12" s="39">
        <f>SUM(F5:F11)</f>
        <v/>
      </c>
      <c r="G12" s="39" t="n"/>
      <c r="H12" s="39" t="n"/>
      <c r="I12" s="39">
        <f>SUM(I5:I11)</f>
        <v/>
      </c>
      <c r="J12" s="40" t="n"/>
      <c r="K12" s="40" t="n"/>
      <c r="L12" s="41" t="n"/>
      <c r="M12" s="39" t="n"/>
      <c r="N12" s="39" t="n"/>
      <c r="O12" s="39" t="n"/>
      <c r="P12" s="39" t="n"/>
      <c r="Q12" s="39">
        <f>SUM(Q5:Q11)</f>
        <v/>
      </c>
      <c r="R12" s="39">
        <f>SUM(R5:R11)</f>
        <v/>
      </c>
      <c r="S12" s="39">
        <f>SUM(S5:S11)</f>
        <v/>
      </c>
      <c r="T12" s="39">
        <f>SUM(T5:T11)</f>
        <v/>
      </c>
      <c r="U12" s="39">
        <f>SUM(U5:U11)</f>
        <v/>
      </c>
      <c r="V12" s="39" t="n"/>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Meses al corte</t>
        </is>
      </c>
      <c r="B16" s="25" t="inlineStr">
        <is>
          <t>'=DATEDIF('03_Prestamos'!C5,'02_Parametros'!$B$5,"m")</t>
        </is>
      </c>
      <c r="C16" s="24" t="inlineStr">
        <is>
          <t>Cuenta los meses completos transcurridos entre la fecha de desembolso (hoja 03) y la fecha de corte (hoja 02).</t>
        </is>
      </c>
      <c r="D16" s="24" t="inlineStr">
        <is>
          <t>Fila 1: DATEDIF(«2024-01-15»; «2025-12-31»; "m") → 23</t>
        </is>
      </c>
      <c r="E16" s="24" t="inlineStr">
        <is>
          <t>hoja «Universo de préstamos», hoja «Parámetros»</t>
        </is>
      </c>
      <c r="F16" s="24" t="inlineStr">
        <is>
          <t>—</t>
        </is>
      </c>
    </row>
    <row r="17">
      <c r="A17" s="24" t="inlineStr">
        <is>
          <t>Períodos vencidos al corte</t>
        </is>
      </c>
      <c r="B17" s="25" t="inlineStr">
        <is>
          <t>'=MIN('04_Condiciones_TIE'!H5,INT(B5/'04_Condiciones_TIE'!G5))</t>
        </is>
      </c>
      <c r="C17" s="24" t="inlineStr">
        <is>
          <t>Divide los meses al corte para los meses de cada período (hoja 04) y toma la parte entera, sin pasar del número total de períodos: son las cuotas ya vencidas al corte.</t>
        </is>
      </c>
      <c r="D17" s="24" t="inlineStr">
        <is>
          <t>Fila 1: MIN(36; INT(23/1)) → 23</t>
        </is>
      </c>
      <c r="E17" s="24" t="inlineStr">
        <is>
          <t>«Meses al corte» (esta hoja), hoja «Condiciones y tasa de interés efectiva»</t>
        </is>
      </c>
      <c r="F17" s="24" t="inlineStr">
        <is>
          <t>—</t>
        </is>
      </c>
    </row>
    <row r="18">
      <c r="A18" s="24" t="inlineStr">
        <is>
          <t>Fracción del período en curso</t>
        </is>
      </c>
      <c r="B18" s="25" t="inlineStr">
        <is>
          <t>'=IF(C5&gt;='04_Condiciones_TIE'!H5,0,('02_Parametros'!$B$5-EDATE('03_Prestamos'!C5,C5*'04_Condiciones_TIE'!G5))/(EDATE('03_Prestamos'!C5,(C5+1)*'04_Condiciones_TIE'!G5)-EDATE('03_Prestamos'!C5,C5*'04_Condiciones_TIE'!G5)))</t>
        </is>
      </c>
      <c r="C18" s="24" t="inlineStr">
        <is>
          <t>Mide qué parte del período en curso ya pasó al corte: días desde el último vencimiento hasta el corte divididos para los días del período. Si el préstamo ya venció por completo, es cero.</t>
        </is>
      </c>
      <c r="D18" s="24" t="inlineStr">
        <is>
          <t>Fila 1: IF(23&gt;=36; 0; («2025-12-31»-EDATE(«2024-01-15»; 23*1))/(EDATE(«2024-01-15»; (23+1)*1)-EDATE(«2024-01-15»; 23*1))) → 51,61 %</t>
        </is>
      </c>
      <c r="E18" s="24" t="inlineStr">
        <is>
          <t>«Períodos vencidos al corte» (esta hoja), hoja «Condiciones y tasa de interés efectiva», hoja «Parámetros», hoja «Universo de préstamos»</t>
        </is>
      </c>
      <c r="F18" s="24" t="inlineStr">
        <is>
          <t>—</t>
        </is>
      </c>
    </row>
    <row r="19">
      <c r="A19" s="24" t="inlineStr">
        <is>
          <t>Capital contractual al corte</t>
        </is>
      </c>
      <c r="B19" s="25" t="inlineStr">
        <is>
          <t>'=SUMIFS('05_Tabla_amortizacion'!$H$5:$H$163,'05_Tabla_amortizacion'!$A$5:$A$163,A5,'05_Tabla_amortizacion'!$B$5:$B$163,C5)</t>
        </is>
      </c>
      <c r="C19" s="24" t="inlineStr">
        <is>
          <t>Busca en la hoja 05 (Tabla de amortización) el capital final de esta operación en el último período vencido al corte.</t>
        </is>
      </c>
      <c r="D19" s="24" t="inlineStr">
        <is>
          <t>Fila 1: SUMIFS([«Capital final» de «Tabla de amortización», 159 filas]; [«Operación» de «Tabla de amortización», 159 filas]; «OP-101»; [«Período» de «Tabla de amortización», 159 filas]; 23) → 47.940,12</t>
        </is>
      </c>
      <c r="E19" s="24" t="inlineStr">
        <is>
          <t>«Operación» (esta hoja), «Períodos vencidos al corte» (esta hoja), hoja «Tabla de amortización»</t>
        </is>
      </c>
      <c r="F19" s="24" t="inlineStr">
        <is>
          <t>—</t>
        </is>
      </c>
    </row>
    <row r="20">
      <c r="A20" s="24" t="inlineStr">
        <is>
          <t>Interés nominal devengado</t>
        </is>
      </c>
      <c r="B20" s="25" t="inlineStr">
        <is>
          <t>'=E5*'04_Condiciones_TIE'!J5*D5</t>
        </is>
      </c>
      <c r="C20" s="24" t="inlineStr">
        <is>
          <t>Multiplica el capital contractual al corte por la tasa periódica nominal (hoja 04) y por la fracción del período en curso: es el interés del contrato devengado y aún no vencido.</t>
        </is>
      </c>
      <c r="D20" s="24" t="inlineStr">
        <is>
          <t>Fila 1: 47.940,12*0,92 %*51,61 % → 226,81</t>
        </is>
      </c>
      <c r="E20" s="24" t="inlineStr">
        <is>
          <t>«Capital contractual al corte» (esta hoja), «Fracción del período en curso» (esta hoja), hoja «Condiciones y tasa de interés efectiva»</t>
        </is>
      </c>
      <c r="F20" s="24" t="inlineStr">
        <is>
          <t>—</t>
        </is>
      </c>
    </row>
    <row r="21">
      <c r="A21" s="24" t="inlineStr">
        <is>
          <t>Costo amortizado al último vencimiento</t>
        </is>
      </c>
      <c r="B21" s="25" t="inlineStr">
        <is>
          <t>'=SUMIFS('05_Tabla_amortizacion'!$M$5:$M$163,'05_Tabla_amortizacion'!$A$5:$A$163,A5,'05_Tabla_amortizacion'!$B$5:$B$163,C5)</t>
        </is>
      </c>
      <c r="C21" s="24" t="inlineStr">
        <is>
          <t>Busca en la hoja 05 (Tabla de amortización) el costo amortizado final de esta operación en el último período vencido al corte.</t>
        </is>
      </c>
      <c r="D21" s="24" t="inlineStr">
        <is>
          <t>Fila 1: SUMIFS([«Costo amortizado final» de «Tabla de amortización», 159 filas]; [«Operación» de «Tabla de amortización», 159 filas]; «OP-101»; [«Período» de «Tabla de amortización», 159 filas]; 23) → 47.560,75</t>
        </is>
      </c>
      <c r="E21" s="24" t="inlineStr">
        <is>
          <t>«Operación» (esta hoja), «Períodos vencidos al corte» (esta hoja), hoja «Tabla de amortización»</t>
        </is>
      </c>
      <c r="F21" s="24" t="inlineStr">
        <is>
          <t>—</t>
        </is>
      </c>
    </row>
    <row r="22">
      <c r="A22" s="24" t="inlineStr">
        <is>
          <t>Interés a la TIE devengado</t>
        </is>
      </c>
      <c r="B22" s="25" t="inlineStr">
        <is>
          <t>'=G5*'04_Condiciones_TIE'!L5*D5</t>
        </is>
      </c>
      <c r="C22" s="24" t="inlineStr">
        <is>
          <t>Multiplica el costo amortizado al último vencimiento por la TIE periódica (hoja 04) y por la fracción del período en curso ya transcurrida.</t>
        </is>
      </c>
      <c r="D22" s="24" t="inlineStr">
        <is>
          <t>Fila 1: 47.560,75*1,03 %*51,61 % → 253,71</t>
        </is>
      </c>
      <c r="E22" s="24" t="inlineStr">
        <is>
          <t>«Costo amortizado al último vencimiento» (esta hoja), «Fracción del período en curso» (esta hoja), hoja «Condiciones y tasa de interés efectiva»</t>
        </is>
      </c>
      <c r="F22" s="24" t="inlineStr">
        <is>
          <t>—</t>
        </is>
      </c>
    </row>
    <row r="23">
      <c r="A23" s="24" t="inlineStr">
        <is>
          <t>Costo amortizado al corte</t>
        </is>
      </c>
      <c r="B23" s="25" t="inlineStr">
        <is>
          <t>'=G5+H5</t>
        </is>
      </c>
      <c r="C23" s="24" t="inlineStr">
        <is>
          <t>Suma el costo amortizado al último vencimiento y el interés a la TIE devengado hasta el corte: es el pasivo auditado.</t>
        </is>
      </c>
      <c r="D23" s="24" t="inlineStr">
        <is>
          <t>Fila 1: 47.560,75+253,71 → 47.814,46</t>
        </is>
      </c>
      <c r="E23" s="24" t="inlineStr">
        <is>
          <t>«Costo amortizado al último vencimiento» (esta hoja), «Interés a la TIE devengado» (esta hoja)</t>
        </is>
      </c>
      <c r="F23" s="24" t="inlineStr">
        <is>
          <t>—</t>
        </is>
      </c>
    </row>
    <row r="24">
      <c r="A24" s="24" t="inlineStr">
        <is>
          <t>Meses al inicio del ejercicio</t>
        </is>
      </c>
      <c r="B24" s="25" t="inlineStr">
        <is>
          <t>'=IF('03_Prestamos'!C5&gt;'02_Parametros'!$B$6,-1,DATEDIF('03_Prestamos'!C5,'02_Parametros'!$B$6,"m"))</t>
        </is>
      </c>
      <c r="C24" s="24" t="inlineStr">
        <is>
          <t>Cuenta los meses completos entre el desembolso y el inicio del ejercicio (hoja 02); si el préstamo se desembolsó después del inicio, marca −1 (préstamo nuevo del año).</t>
        </is>
      </c>
      <c r="D24" s="24" t="inlineStr">
        <is>
          <t>Fila 1: IF(«2024-01-15»&gt;«2024-12-31»; -1; DATEDIF(«2024-01-15»; «2024-12-31»; "m")) → 11</t>
        </is>
      </c>
      <c r="E24" s="24" t="inlineStr">
        <is>
          <t>hoja «Universo de préstamos», hoja «Parámetros»</t>
        </is>
      </c>
      <c r="F24" s="24" t="inlineStr">
        <is>
          <t>—</t>
        </is>
      </c>
    </row>
    <row r="25">
      <c r="A25" s="24" t="inlineStr">
        <is>
          <t>Períodos vencidos al inicio</t>
        </is>
      </c>
      <c r="B25" s="25" t="inlineStr">
        <is>
          <t>'=IF(J5&lt;0,0,MIN('04_Condiciones_TIE'!H5,INT(J5/'04_Condiciones_TIE'!G5)))</t>
        </is>
      </c>
      <c r="C25" s="24" t="inlineStr">
        <is>
          <t>Cuotas ya vencidas al inicio del ejercicio: meses al inicio divididos para los meses del período, parte entera y sin pasar del total. En un préstamo nuevo del año es cero.</t>
        </is>
      </c>
      <c r="D25" s="24" t="inlineStr">
        <is>
          <t>Fila 1: IF(11&lt;0; 0; MIN(36; INT(11/1))) → 11</t>
        </is>
      </c>
      <c r="E25" s="24" t="inlineStr">
        <is>
          <t>«Meses al inicio del ejercicio» (esta hoja), hoja «Condiciones y tasa de interés efectiva»</t>
        </is>
      </c>
      <c r="F25" s="24" t="inlineStr">
        <is>
          <t>—</t>
        </is>
      </c>
    </row>
    <row r="26">
      <c r="A26" s="24" t="inlineStr">
        <is>
          <t>Fracción al inicio</t>
        </is>
      </c>
      <c r="B26" s="25" t="inlineStr">
        <is>
          <t>'=IF(OR(J5&lt;0,K5&gt;='04_Condiciones_TIE'!H5),0,('02_Parametros'!$B$6-EDATE('03_Prestamos'!C5,K5*'04_Condiciones_TIE'!G5))/(EDATE('03_Prestamos'!C5,(K5+1)*'04_Condiciones_TIE'!G5)-EDATE('03_Prestamos'!C5,K5*'04_Condiciones_TIE'!G5)))</t>
        </is>
      </c>
      <c r="C26" s="24" t="inlineStr">
        <is>
          <t>Parte del período que estaba en curso al inicio del ejercicio y que ya había transcurrido; es cero si el préstamo es nuevo del año o ya había vencido por completo.</t>
        </is>
      </c>
      <c r="D26" s="24" t="inlineStr">
        <is>
          <t>Fila 1: IF(OR(11&lt;0; 11&gt;=36); 0; («2024-12-31»-EDATE(«2024-01-15»; 11*1))/(EDATE(«2024-01-15»; (11+1)*1)-EDATE(«2024-01-15»; 11*1))) → 51,61 %</t>
        </is>
      </c>
      <c r="E26" s="24" t="inlineStr">
        <is>
          <t>«Meses al inicio del ejercicio» (esta hoja), «Períodos vencidos al inicio» (esta hoja), hoja «Condiciones y tasa de interés efectiva», hoja «Parámetros», hoja «Universo de préstamos»</t>
        </is>
      </c>
      <c r="F26" s="24" t="inlineStr">
        <is>
          <t>—</t>
        </is>
      </c>
    </row>
    <row r="27">
      <c r="A27" s="24" t="inlineStr">
        <is>
          <t>Capital contractual al inicio</t>
        </is>
      </c>
      <c r="B27" s="25" t="inlineStr">
        <is>
          <t>'=IF(J5&lt;0,0,SUMIFS('05_Tabla_amortizacion'!$H$5:$H$163,'05_Tabla_amortizacion'!$A$5:$A$163,A5,'05_Tabla_amortizacion'!$B$5:$B$163,K5))</t>
        </is>
      </c>
      <c r="C27" s="24" t="inlineStr">
        <is>
          <t>Busca en la hoja 05 el capital final de esta operación en el último período vencido al inicio del ejercicio; cero si el préstamo es nuevo del año.</t>
        </is>
      </c>
      <c r="D27" s="24" t="inlineStr">
        <is>
          <t>Fila 1: IF(11&lt;0; 0; SUMIFS([«Capital final» de «Tabla de amortización», 159 filas]; [«Operación» de «Tabla de amortización», 159 filas]; «OP-101»; [«Período» de «Tabla de amortización», 159 filas]; 11)) → 87.418,84</t>
        </is>
      </c>
      <c r="E27" s="24" t="inlineStr">
        <is>
          <t>«Meses al inicio del ejercicio» (esta hoja), «Operación» (esta hoja), «Períodos vencidos al inicio» (esta hoja), hoja «Tabla de amortización»</t>
        </is>
      </c>
      <c r="F27" s="24" t="inlineStr">
        <is>
          <t>—</t>
        </is>
      </c>
    </row>
    <row r="28">
      <c r="A28" s="24" t="inlineStr">
        <is>
          <t>Interés nominal devengado al inicio</t>
        </is>
      </c>
      <c r="B28" s="25" t="inlineStr">
        <is>
          <t>'=M5*'04_Condiciones_TIE'!J5*L5</t>
        </is>
      </c>
      <c r="C28" s="24" t="inlineStr">
        <is>
          <t>Multiplica el capital contractual al inicio por la tasa periódica nominal (hoja 04) y por la fracción al inicio: interés del contrato devengado al empezar el ejercicio.</t>
        </is>
      </c>
      <c r="D28" s="24" t="inlineStr">
        <is>
          <t>Fila 1: 87.418,84*0,92 %*51,61 % → 413,59</t>
        </is>
      </c>
      <c r="E28" s="24" t="inlineStr">
        <is>
          <t>«Capital contractual al inicio» (esta hoja), «Fracción al inicio» (esta hoja), hoja «Condiciones y tasa de interés efectiva»</t>
        </is>
      </c>
      <c r="F28" s="24" t="inlineStr">
        <is>
          <t>—</t>
        </is>
      </c>
    </row>
    <row r="29">
      <c r="A29" s="24" t="inlineStr">
        <is>
          <t>Costo amortizado al vencimiento previo al inicio</t>
        </is>
      </c>
      <c r="B29" s="25" t="inlineStr">
        <is>
          <t>'=IF(J5&lt;0,0,SUMIFS('05_Tabla_amortizacion'!$M$5:$M$163,'05_Tabla_amortizacion'!$A$5:$A$163,A5,'05_Tabla_amortizacion'!$B$5:$B$163,K5))</t>
        </is>
      </c>
      <c r="C29" s="24" t="inlineStr">
        <is>
          <t>Busca en la hoja 05 el costo amortizado final de esta operación en el último período vencido al inicio del ejercicio; cero si el préstamo es nuevo del año.</t>
        </is>
      </c>
      <c r="D29" s="24" t="inlineStr">
        <is>
          <t>Fila 1: IF(11&lt;0; 0; SUMIFS([«Costo amortizado final» de «Tabla de amortización», 159 filas]; [«Operación» de «Tabla de amortización», 159 filas]; «OP-101»; [«Período» de «Tabla de amortización», 159 filas]; 11)) → 86.163,60</t>
        </is>
      </c>
      <c r="E29" s="24" t="inlineStr">
        <is>
          <t>«Meses al inicio del ejercicio» (esta hoja), «Operación» (esta hoja), «Períodos vencidos al inicio» (esta hoja), hoja «Tabla de amortización»</t>
        </is>
      </c>
      <c r="F29" s="24" t="inlineStr">
        <is>
          <t>—</t>
        </is>
      </c>
    </row>
    <row r="30">
      <c r="A30" s="24" t="inlineStr">
        <is>
          <t>Interés a la TIE devengado al inicio</t>
        </is>
      </c>
      <c r="B30" s="25" t="inlineStr">
        <is>
          <t>'=O5*'04_Condiciones_TIE'!L5*L5</t>
        </is>
      </c>
      <c r="C30" s="24" t="inlineStr">
        <is>
          <t>Multiplica el costo amortizado al vencimiento previo al inicio por la TIE periódica (hoja 04) y por la fracción al inicio.</t>
        </is>
      </c>
      <c r="D30" s="24" t="inlineStr">
        <is>
          <t>Fila 1: 86.163,60*1,03 %*51,61 % → 459,63</t>
        </is>
      </c>
      <c r="E30" s="24" t="inlineStr">
        <is>
          <t>«Costo amortizado al vencimiento previo al inicio» (esta hoja), «Fracción al inicio» (esta hoja), hoja «Condiciones y tasa de interés efectiva»</t>
        </is>
      </c>
      <c r="F30" s="24" t="inlineStr">
        <is>
          <t>—</t>
        </is>
      </c>
    </row>
    <row r="31">
      <c r="A31" s="24" t="inlineStr">
        <is>
          <t>Costo amortizado al inicio</t>
        </is>
      </c>
      <c r="B31" s="25" t="inlineStr">
        <is>
          <t>'=O5+P5</t>
        </is>
      </c>
      <c r="C31" s="24" t="inlineStr">
        <is>
          <t>Suma el costo amortizado al vencimiento previo al inicio y el interés a la TIE devengado a esa fecha: es el saldo de apertura.</t>
        </is>
      </c>
      <c r="D31" s="24" t="inlineStr">
        <is>
          <t>Fila 1: 86.163,60+459,63 → 86.623,23</t>
        </is>
      </c>
      <c r="E31" s="24" t="inlineStr">
        <is>
          <t>«Costo amortizado al vencimiento previo al inicio» (esta hoja), «Interés a la TIE devengado al inicio» (esta hoja)</t>
        </is>
      </c>
      <c r="F31" s="24" t="inlineStr">
        <is>
          <t>—</t>
        </is>
      </c>
    </row>
    <row r="32">
      <c r="A32" s="24" t="inlineStr">
        <is>
          <t>Desembolso neto del ejercicio</t>
        </is>
      </c>
      <c r="B32" s="25" t="inlineStr">
        <is>
          <t>'=IF(J5&lt;0,'04_Condiciones_TIE'!E5,0)</t>
        </is>
      </c>
      <c r="C32" s="24" t="inlineStr">
        <is>
          <t>Si el préstamo se desembolsó dentro del ejercicio, trae el importe neto recibido de la hoja 04; si ya existía al inicio, es cero.</t>
        </is>
      </c>
      <c r="D32" s="24" t="inlineStr">
        <is>
          <t>Fila 1: IF(11&lt;0; 117.600,00; 0) → 0,00</t>
        </is>
      </c>
      <c r="E32" s="24" t="inlineStr">
        <is>
          <t>«Meses al inicio del ejercicio» (esta hoja), hoja «Condiciones y tasa de interés efectiva»</t>
        </is>
      </c>
      <c r="F32" s="24" t="inlineStr">
        <is>
          <t>—</t>
        </is>
      </c>
    </row>
    <row r="33">
      <c r="A33" s="24" t="inlineStr">
        <is>
          <t>Pagos del ejercicio</t>
        </is>
      </c>
      <c r="B33" s="25" t="inlineStr">
        <is>
          <t>'=SUMIFS('05_Tabla_amortizacion'!$D$5:$D$163,'05_Tabla_amortizacion'!$A$5:$A$163,A5,'05_Tabla_amortizacion'!$B$5:$B$163,"&gt;"&amp;K5,'05_Tabla_amortizacion'!$B$5:$B$163,"&lt;="&amp;C5)</t>
        </is>
      </c>
      <c r="C33" s="24" t="inlineStr">
        <is>
          <t>Suma en la hoja 05 los pagos contractuales de esta operación de los períodos que vencieron dentro del ejercicio (después del último vencido al inicio y hasta el último vencido al corte).</t>
        </is>
      </c>
      <c r="D33" s="24" t="inlineStr">
        <is>
          <t>Fila 1: SUMIFS([«Pago contractual» de «Tabla de amortización», 159 filas]; [«Operación» de «Tabla de amortización», 159 filas]; «OP-101»; [«Período» de «Tabla de amortización», 159 filas]; "&gt;"&amp;11; [«Período» de «Tabla de amortización», 159 filas]; "&lt;="&amp;23) → 47.143,75</t>
        </is>
      </c>
      <c r="E33" s="24" t="inlineStr">
        <is>
          <t>«Operación» (esta hoja), «Períodos vencidos al inicio» (esta hoja), «Períodos vencidos al corte» (esta hoja), hoja «Tabla de amortización»</t>
        </is>
      </c>
      <c r="F33" s="24" t="inlineStr">
        <is>
          <t>—</t>
        </is>
      </c>
    </row>
    <row r="34">
      <c r="A34" s="24" t="inlineStr">
        <is>
          <t>Interés nominal del ejercicio</t>
        </is>
      </c>
      <c r="B34" s="25" t="inlineStr">
        <is>
          <t>'=SUMIFS('05_Tabla_amortizacion'!$F$5:$F$163,'05_Tabla_amortizacion'!$A$5:$A$163,A5,'05_Tabla_amortizacion'!$B$5:$B$163,"&gt;"&amp;K5,'05_Tabla_amortizacion'!$B$5:$B$163,"&lt;="&amp;C5)+F5-N5</t>
        </is>
      </c>
      <c r="C34" s="24" t="inlineStr">
        <is>
          <t>Suma el interés nominal de los períodos vencidos en el ejercicio (hoja 05), más el devengado al corte y menos el que ya estaba devengado al inicio.</t>
        </is>
      </c>
      <c r="D34" s="24" t="inlineStr">
        <is>
          <t>Fila 1: SUMIFS([«Interés nominal» de «Tabla de amortización», 159 filas]; [«Operación» de «Tabla de amortización», 159 filas]; «OP-101»; [«Período» de «Tabla de amortización», 159 filas]; "&gt;"&amp;11; [«Período» de «Tabla de amortización», 159 filas]; "&lt;="&amp;23)+226,81-413,59 → 7.478,25</t>
        </is>
      </c>
      <c r="E34" s="24" t="inlineStr">
        <is>
          <t>«Operación» (esta hoja), «Períodos vencidos al inicio» (esta hoja), «Períodos vencidos al corte» (esta hoja), «Interés nominal devengado» (esta hoja), «Interés nominal devengado al inicio» (esta hoja), hoja «Tabla de amortización»</t>
        </is>
      </c>
      <c r="F34" s="24" t="inlineStr">
        <is>
          <t>—</t>
        </is>
      </c>
    </row>
    <row r="35">
      <c r="A35" s="24" t="inlineStr">
        <is>
          <t>Gasto financiero a la TIE del ejercicio</t>
        </is>
      </c>
      <c r="B35" s="25" t="inlineStr">
        <is>
          <t>'=SUMIFS('05_Tabla_amortizacion'!$K$5:$K$163,'05_Tabla_amortizacion'!$A$5:$A$163,A5,'05_Tabla_amortizacion'!$B$5:$B$163,"&gt;"&amp;K5,'05_Tabla_amortizacion'!$B$5:$B$163,"&lt;="&amp;C5)+H5-P5</t>
        </is>
      </c>
      <c r="C35" s="24" t="inlineStr">
        <is>
          <t>Suma el interés a la TIE de los períodos vencidos en el ejercicio (hoja 05), más el devengado a la TIE al corte y menos el devengado al inicio: es el gasto financiero que corresponde al año.</t>
        </is>
      </c>
      <c r="D35" s="24" t="inlineStr">
        <is>
          <t>Fila 1: SUMIFS([«Interés a la TIE (Apéndice A)» de «Tabla de amortización», 159 filas]; [«Operación» de «Tabla de amortización», 159 filas]; «OP-101»; [«Período» de «Tabla de amortización», 159 filas]; "&gt;"&amp;11; [«Período» de «Tabla de amortización», 159 filas]; "&lt;="&amp;23)+253,71-459,63 → 8.334,99</t>
        </is>
      </c>
      <c r="E35" s="24" t="inlineStr">
        <is>
          <t>«Operación» (esta hoja), «Períodos vencidos al inicio» (esta hoja), «Períodos vencidos al corte» (esta hoja), «Interés a la TIE devengado» (esta hoja), «Interés a la TIE devengado al inicio» (esta hoja), hoja «Tabla de amortización»</t>
        </is>
      </c>
      <c r="F35" s="24" t="inlineStr">
        <is>
          <t>—</t>
        </is>
      </c>
    </row>
    <row r="36">
      <c r="A36" s="24" t="inlineStr">
        <is>
          <t>Comprobación del movimiento (0)</t>
        </is>
      </c>
      <c r="B36" s="25" t="inlineStr">
        <is>
          <t>'=Q5+R5+U5-S5-I5</t>
        </is>
      </c>
      <c r="C36" s="24" t="inlineStr">
        <is>
          <t>Cuadra el movimiento del año: costo amortizado al inicio + desembolso + gasto a la TIE − pagos − costo amortizado al corte. Debe dar cero; otro valor indica un error en la tabla.</t>
        </is>
      </c>
      <c r="D36" s="24" t="inlineStr">
        <is>
          <t>Fila 1: 86.623,23+0,00+8.334,99-47.143,75-47.814,46 → 0,00</t>
        </is>
      </c>
      <c r="E36" s="24" t="inlineStr">
        <is>
          <t>«Costo amortizado al inicio» (esta hoja), «Desembolso neto del ejercicio» (esta hoja), «Gasto financiero a la TIE del ejercicio» (esta hoja), «Pagos del ejercicio» (esta hoja), «Costo amortizado al corte» (esta hoja)</t>
        </is>
      </c>
      <c r="F36"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J22"/>
  <sheetViews>
    <sheetView showGridLines="0" workbookViewId="0">
      <pane ySplit="4" topLeftCell="A5" activePane="bottomLeft" state="frozen"/>
      <selection pane="bottomLeft" activeCell="A1" sqref="A1"/>
    </sheetView>
  </sheetViews>
  <sheetFormatPr baseColWidth="8" defaultRowHeight="15"/>
  <cols>
    <col width="12" customWidth="1" min="1" max="1"/>
    <col width="21" customWidth="1" min="2" max="2"/>
    <col width="25" customWidth="1" min="3" max="3"/>
    <col width="31" customWidth="1" min="4" max="4"/>
    <col width="30" customWidth="1" min="5" max="5"/>
    <col width="38" customWidth="1" min="6" max="6"/>
    <col width="30" customWidth="1" min="7" max="7"/>
    <col width="47" customWidth="1" min="8" max="8"/>
  </cols>
  <sheetData>
    <row r="1">
      <c r="A1" s="3" t="inlineStr">
        <is>
          <t>Comisiones y costos de transacción</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row>
    <row r="4" ht="30" customHeight="1">
      <c r="A4" s="17" t="inlineStr">
        <is>
          <t>Operación</t>
        </is>
      </c>
      <c r="B4" s="17" t="inlineStr">
        <is>
          <t>Comisiones y costos</t>
        </is>
      </c>
      <c r="C4" s="17" t="inlineStr">
        <is>
          <t>Tratamiento del cliente</t>
        </is>
      </c>
      <c r="D4" s="17" t="inlineStr">
        <is>
          <t>Interés nominal del ejercicio</t>
        </is>
      </c>
      <c r="E4" s="17" t="inlineStr">
        <is>
          <t>Gasto a la TIE del ejercicio</t>
        </is>
      </c>
      <c r="F4" s="17" t="inlineStr">
        <is>
          <t>Amortización de costos del ejercicio</t>
        </is>
      </c>
      <c r="G4" s="17" t="inlineStr">
        <is>
          <t>Costo por amortizar al corte</t>
        </is>
      </c>
      <c r="H4" s="17" t="inlineStr">
        <is>
          <t>Llevado a gasto indebidamente (por amortizar)</t>
        </is>
      </c>
    </row>
    <row r="5">
      <c r="A5" s="18" t="inlineStr">
        <is>
          <t>OP-101</t>
        </is>
      </c>
      <c r="B5" s="20">
        <f>'04_Condiciones_TIE'!D5</f>
        <v/>
      </c>
      <c r="C5" s="18">
        <f>IF('03_Prestamos'!J5&lt;&gt;"",'03_Prestamos'!J5,IF(B5=0,"Sin comisiones",IF(ABS(N('03_Prestamos'!M5)-'06_Costo_amortizado'!E5)&lt;=0.01,"Gasto (inferido)","TIE")))</f>
        <v/>
      </c>
      <c r="D5" s="20">
        <f>'06_Costo_amortizado'!T5</f>
        <v/>
      </c>
      <c r="E5" s="20">
        <f>'06_Costo_amortizado'!U5</f>
        <v/>
      </c>
      <c r="F5" s="20">
        <f>E5-D5</f>
        <v/>
      </c>
      <c r="G5" s="20">
        <f>'06_Costo_amortizado'!E5-'06_Costo_amortizado'!G5</f>
        <v/>
      </c>
      <c r="H5" s="20">
        <f>IF(LEFT(C5,5)="Gasto",G5,0)</f>
        <v/>
      </c>
    </row>
    <row r="6">
      <c r="A6" s="19" t="inlineStr">
        <is>
          <t>OP-102</t>
        </is>
      </c>
      <c r="B6" s="21">
        <f>'04_Condiciones_TIE'!D6</f>
        <v/>
      </c>
      <c r="C6" s="19">
        <f>IF('03_Prestamos'!J6&lt;&gt;"",'03_Prestamos'!J6,IF(B6=0,"Sin comisiones",IF(ABS(N('03_Prestamos'!M6)-'06_Costo_amortizado'!E6)&lt;=0.01,"Gasto (inferido)","TIE")))</f>
        <v/>
      </c>
      <c r="D6" s="21">
        <f>'06_Costo_amortizado'!T6</f>
        <v/>
      </c>
      <c r="E6" s="21">
        <f>'06_Costo_amortizado'!U6</f>
        <v/>
      </c>
      <c r="F6" s="21">
        <f>E6-D6</f>
        <v/>
      </c>
      <c r="G6" s="21">
        <f>'06_Costo_amortizado'!E6-'06_Costo_amortizado'!G6</f>
        <v/>
      </c>
      <c r="H6" s="21">
        <f>IF(LEFT(C6,5)="Gasto",G6,0)</f>
        <v/>
      </c>
    </row>
    <row r="7">
      <c r="A7" s="18" t="inlineStr">
        <is>
          <t>OP-103</t>
        </is>
      </c>
      <c r="B7" s="20">
        <f>'04_Condiciones_TIE'!D7</f>
        <v/>
      </c>
      <c r="C7" s="18">
        <f>IF('03_Prestamos'!J7&lt;&gt;"",'03_Prestamos'!J7,IF(B7=0,"Sin comisiones",IF(ABS(N('03_Prestamos'!M7)-'06_Costo_amortizado'!E7)&lt;=0.01,"Gasto (inferido)","TIE")))</f>
        <v/>
      </c>
      <c r="D7" s="20">
        <f>'06_Costo_amortizado'!T7</f>
        <v/>
      </c>
      <c r="E7" s="20">
        <f>'06_Costo_amortizado'!U7</f>
        <v/>
      </c>
      <c r="F7" s="20">
        <f>E7-D7</f>
        <v/>
      </c>
      <c r="G7" s="20">
        <f>'06_Costo_amortizado'!E7-'06_Costo_amortizado'!G7</f>
        <v/>
      </c>
      <c r="H7" s="20">
        <f>IF(LEFT(C7,5)="Gasto",G7,0)</f>
        <v/>
      </c>
    </row>
    <row r="8">
      <c r="A8" s="19" t="inlineStr">
        <is>
          <t>OP-104</t>
        </is>
      </c>
      <c r="B8" s="21">
        <f>'04_Condiciones_TIE'!D8</f>
        <v/>
      </c>
      <c r="C8" s="19">
        <f>IF('03_Prestamos'!J8&lt;&gt;"",'03_Prestamos'!J8,IF(B8=0,"Sin comisiones",IF(ABS(N('03_Prestamos'!M8)-'06_Costo_amortizado'!E8)&lt;=0.01,"Gasto (inferido)","TIE")))</f>
        <v/>
      </c>
      <c r="D8" s="21">
        <f>'06_Costo_amortizado'!T8</f>
        <v/>
      </c>
      <c r="E8" s="21">
        <f>'06_Costo_amortizado'!U8</f>
        <v/>
      </c>
      <c r="F8" s="21">
        <f>E8-D8</f>
        <v/>
      </c>
      <c r="G8" s="21">
        <f>'06_Costo_amortizado'!E8-'06_Costo_amortizado'!G8</f>
        <v/>
      </c>
      <c r="H8" s="21">
        <f>IF(LEFT(C8,5)="Gasto",G8,0)</f>
        <v/>
      </c>
    </row>
    <row r="9">
      <c r="A9" s="18" t="inlineStr">
        <is>
          <t>OP-105</t>
        </is>
      </c>
      <c r="B9" s="20">
        <f>'04_Condiciones_TIE'!D9</f>
        <v/>
      </c>
      <c r="C9" s="18">
        <f>IF('03_Prestamos'!J9&lt;&gt;"",'03_Prestamos'!J9,IF(B9=0,"Sin comisiones",IF(ABS(N('03_Prestamos'!M9)-'06_Costo_amortizado'!E9)&lt;=0.01,"Gasto (inferido)","TIE")))</f>
        <v/>
      </c>
      <c r="D9" s="20">
        <f>'06_Costo_amortizado'!T9</f>
        <v/>
      </c>
      <c r="E9" s="20">
        <f>'06_Costo_amortizado'!U9</f>
        <v/>
      </c>
      <c r="F9" s="20">
        <f>E9-D9</f>
        <v/>
      </c>
      <c r="G9" s="20">
        <f>'06_Costo_amortizado'!E9-'06_Costo_amortizado'!G9</f>
        <v/>
      </c>
      <c r="H9" s="20">
        <f>IF(LEFT(C9,5)="Gasto",G9,0)</f>
        <v/>
      </c>
    </row>
    <row r="10">
      <c r="A10" s="19" t="inlineStr">
        <is>
          <t>OP-106</t>
        </is>
      </c>
      <c r="B10" s="21">
        <f>'04_Condiciones_TIE'!D10</f>
        <v/>
      </c>
      <c r="C10" s="19">
        <f>IF('03_Prestamos'!J10&lt;&gt;"",'03_Prestamos'!J10,IF(B10=0,"Sin comisiones",IF(ABS(N('03_Prestamos'!M10)-'06_Costo_amortizado'!E10)&lt;=0.01,"Gasto (inferido)","TIE")))</f>
        <v/>
      </c>
      <c r="D10" s="21">
        <f>'06_Costo_amortizado'!T10</f>
        <v/>
      </c>
      <c r="E10" s="21">
        <f>'06_Costo_amortizado'!U10</f>
        <v/>
      </c>
      <c r="F10" s="21">
        <f>E10-D10</f>
        <v/>
      </c>
      <c r="G10" s="21">
        <f>'06_Costo_amortizado'!E10-'06_Costo_amortizado'!G10</f>
        <v/>
      </c>
      <c r="H10" s="21">
        <f>IF(LEFT(C10,5)="Gasto",G10,0)</f>
        <v/>
      </c>
    </row>
    <row r="11">
      <c r="A11" s="18" t="inlineStr">
        <is>
          <t>OP-107</t>
        </is>
      </c>
      <c r="B11" s="20">
        <f>'04_Condiciones_TIE'!D11</f>
        <v/>
      </c>
      <c r="C11" s="18">
        <f>IF('03_Prestamos'!J11&lt;&gt;"",'03_Prestamos'!J11,IF(B11=0,"Sin comisiones",IF(ABS(N('03_Prestamos'!M11)-'06_Costo_amortizado'!E11)&lt;=0.01,"Gasto (inferido)","TIE")))</f>
        <v/>
      </c>
      <c r="D11" s="20">
        <f>'06_Costo_amortizado'!T11</f>
        <v/>
      </c>
      <c r="E11" s="20">
        <f>'06_Costo_amortizado'!U11</f>
        <v/>
      </c>
      <c r="F11" s="20">
        <f>E11-D11</f>
        <v/>
      </c>
      <c r="G11" s="20">
        <f>'06_Costo_amortizado'!E11-'06_Costo_amortizado'!G11</f>
        <v/>
      </c>
      <c r="H11" s="20">
        <f>IF(LEFT(C11,5)="Gasto",G11,0)</f>
        <v/>
      </c>
    </row>
    <row r="12">
      <c r="A12" s="38" t="inlineStr">
        <is>
          <t>TOTAL</t>
        </is>
      </c>
      <c r="B12" s="39">
        <f>SUM(B5:B11)</f>
        <v/>
      </c>
      <c r="C12" s="38" t="inlineStr"/>
      <c r="D12" s="39" t="n"/>
      <c r="E12" s="39" t="n"/>
      <c r="F12" s="39">
        <f>SUM(F5:F11)</f>
        <v/>
      </c>
      <c r="G12" s="39">
        <f>SUM(G5:G11)</f>
        <v/>
      </c>
      <c r="H12" s="39">
        <f>SUM(H5:H11)</f>
        <v/>
      </c>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Comisiones y costos</t>
        </is>
      </c>
      <c r="B16" s="25" t="inlineStr">
        <is>
          <t>'='04_Condiciones_TIE'!D5</t>
        </is>
      </c>
      <c r="C16" s="24" t="inlineStr">
        <is>
          <t>Trae las comisiones y costos de transacción de la operación desde la hoja 04 (Condiciones y TIE).</t>
        </is>
      </c>
      <c r="D16" s="24" t="inlineStr">
        <is>
          <t>Fila 1: 2.400,00 → 2.400,00</t>
        </is>
      </c>
      <c r="E16" s="24" t="inlineStr">
        <is>
          <t>hoja «Condiciones y tasa de interés efectiva»</t>
        </is>
      </c>
      <c r="F16" s="24" t="inlineStr">
        <is>
          <t>—</t>
        </is>
      </c>
    </row>
    <row r="17">
      <c r="A17" s="24" t="inlineStr">
        <is>
          <t>Tratamiento del cliente</t>
        </is>
      </c>
      <c r="B17" s="25" t="inlineStr">
        <is>
          <t>'=IF('03_Prestamos'!J5&lt;&gt;"",'03_Prestamos'!J5,IF(B5=0,"Sin comisiones",IF(ABS(N('03_Prestamos'!M5)-'06_Costo_amortizado'!E5)&lt;=0.01,"Gasto (inferido)","TIE")))</t>
        </is>
      </c>
      <c r="C17" s="24" t="inlineStr">
        <is>
          <t>Usa el tratamiento que informó el cliente en la hoja 03; si no lo informó: sin comisiones, «Sin comisiones»; si el capital registrado es igual al capital contractual al corte (hoja 06), «Gasto (inferido)»; en otro caso, «TIE».</t>
        </is>
      </c>
      <c r="D17" s="24" t="inlineStr">
        <is>
          <t>Fila 1: IF(«Gasto»&lt;&gt;""; «Gasto»; IF(2.400,00=0; "Sin comisiones"; IF(ABS(N(47.940,12)-47.940,12)&lt;=0.01; "Gasto (inferido)"; "TIE"))) → Gasto</t>
        </is>
      </c>
      <c r="E17" s="24" t="inlineStr">
        <is>
          <t>«Comisiones y costos» (esta hoja), hoja «Universo de préstamos», hoja «Costo amortizado al corte y del ejercicio»</t>
        </is>
      </c>
      <c r="F17" s="24" t="inlineStr">
        <is>
          <t>—</t>
        </is>
      </c>
    </row>
    <row r="18">
      <c r="A18" s="24" t="inlineStr">
        <is>
          <t>Interés nominal del ejercicio</t>
        </is>
      </c>
      <c r="B18" s="25" t="inlineStr">
        <is>
          <t>'='06_Costo_amortizado'!T5</t>
        </is>
      </c>
      <c r="C18" s="24" t="inlineStr">
        <is>
          <t>Trae el interés nominal del ejercicio de esta operación desde la hoja 06 (Costo amortizado).</t>
        </is>
      </c>
      <c r="D18" s="24" t="inlineStr">
        <is>
          <t>Fila 1: 7.478,25 → 7.478,25</t>
        </is>
      </c>
      <c r="E18" s="24" t="inlineStr">
        <is>
          <t>hoja «Costo amortizado al corte y del ejercicio»</t>
        </is>
      </c>
      <c r="F18" s="24" t="inlineStr">
        <is>
          <t>—</t>
        </is>
      </c>
    </row>
    <row r="19">
      <c r="A19" s="24" t="inlineStr">
        <is>
          <t>Gasto a la TIE del ejercicio</t>
        </is>
      </c>
      <c r="B19" s="25" t="inlineStr">
        <is>
          <t>'='06_Costo_amortizado'!U5</t>
        </is>
      </c>
      <c r="C19" s="24" t="inlineStr">
        <is>
          <t>Trae el gasto financiero a la TIE del ejercicio de esta operación desde la hoja 06 (Costo amortizado).</t>
        </is>
      </c>
      <c r="D19" s="24" t="inlineStr">
        <is>
          <t>Fila 1: 8.334,99 → 8.334,99</t>
        </is>
      </c>
      <c r="E19" s="24" t="inlineStr">
        <is>
          <t>hoja «Costo amortizado al corte y del ejercicio»</t>
        </is>
      </c>
      <c r="F19" s="24" t="inlineStr">
        <is>
          <t>—</t>
        </is>
      </c>
    </row>
    <row r="20">
      <c r="A20" s="24" t="inlineStr">
        <is>
          <t>Amortización de costos del ejercicio</t>
        </is>
      </c>
      <c r="B20" s="25" t="inlineStr">
        <is>
          <t>'=E5-D5</t>
        </is>
      </c>
      <c r="C20" s="24" t="inlineStr">
        <is>
          <t>Resta el interés nominal del gasto a la TIE: es la parte de las comisiones que se lleva a resultados en este ejercicio.</t>
        </is>
      </c>
      <c r="D20" s="24" t="inlineStr">
        <is>
          <t>Fila 1: 8.334,99-7.478,25 → 856,74</t>
        </is>
      </c>
      <c r="E20" s="24" t="inlineStr">
        <is>
          <t>«Gasto a la TIE del ejercicio» (esta hoja), «Interés nominal del ejercicio» (esta hoja)</t>
        </is>
      </c>
      <c r="F20" s="24" t="inlineStr">
        <is>
          <t>—</t>
        </is>
      </c>
    </row>
    <row r="21">
      <c r="A21" s="24" t="inlineStr">
        <is>
          <t>Costo por amortizar al corte</t>
        </is>
      </c>
      <c r="B21" s="25" t="inlineStr">
        <is>
          <t>'='06_Costo_amortizado'!E5-'06_Costo_amortizado'!G5</t>
        </is>
      </c>
      <c r="C21" s="24" t="inlineStr">
        <is>
          <t>Resta al capital contractual al corte el costo amortizado al último vencimiento (ambos de la hoja 06): son las comisiones que aún quedan por llevar a gasto.</t>
        </is>
      </c>
      <c r="D21" s="24" t="inlineStr">
        <is>
          <t>Fila 1: 47.940,12-47.560,75 → 379,36</t>
        </is>
      </c>
      <c r="E21" s="24" t="inlineStr">
        <is>
          <t>hoja «Costo amortizado al corte y del ejercicio»</t>
        </is>
      </c>
      <c r="F21" s="24" t="inlineStr">
        <is>
          <t>—</t>
        </is>
      </c>
    </row>
    <row r="22">
      <c r="A22" s="24" t="inlineStr">
        <is>
          <t>Llevado a gasto indebidamente (por amortizar)</t>
        </is>
      </c>
      <c r="B22" s="25" t="inlineStr">
        <is>
          <t>'=IF(LEFT(C5,5)="Gasto",G5,0)</t>
        </is>
      </c>
      <c r="C22" s="24" t="inlineStr">
        <is>
          <t>Si el tratamiento del cliente empieza por «Gasto», toma el costo por amortizar al corte: es lo que el cliente ya llevó a resultados antes de tiempo. En otro caso, cero.</t>
        </is>
      </c>
      <c r="D22" s="24" t="inlineStr">
        <is>
          <t>Fila 1: IF(LEFT(«Gasto»; 5)="Gasto"; 379,36; 0) → 379,36</t>
        </is>
      </c>
      <c r="E22" s="24" t="inlineStr">
        <is>
          <t>«Tratamiento del cliente» (esta hoja), «Costo por amortizar al corte» (esta hoja)</t>
        </is>
      </c>
      <c r="F22"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J24"/>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21" customWidth="1" min="3" max="3"/>
    <col width="31" customWidth="1" min="4" max="4"/>
    <col width="27" customWidth="1" min="5" max="5"/>
    <col width="29" customWidth="1" min="6" max="6"/>
    <col width="24" customWidth="1" min="7" max="7"/>
    <col width="40" customWidth="1" min="8" max="8"/>
    <col width="33" customWidth="1" min="9" max="9"/>
    <col width="33" customWidth="1" min="10" max="10"/>
  </cols>
  <sheetData>
    <row r="1">
      <c r="A1" s="3" t="inlineStr">
        <is>
          <t>Recálculo de intereses</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c r="J2" s="16" t="n"/>
    </row>
    <row r="4" ht="30" customHeight="1">
      <c r="A4" s="17" t="inlineStr">
        <is>
          <t>Operación</t>
        </is>
      </c>
      <c r="B4" s="17" t="inlineStr">
        <is>
          <t>Tasa nominal anual (%)</t>
        </is>
      </c>
      <c r="C4" s="17" t="inlineStr">
        <is>
          <t>TIE anual efectiva</t>
        </is>
      </c>
      <c r="D4" s="17" t="inlineStr">
        <is>
          <t>Interés nominal del ejercicio</t>
        </is>
      </c>
      <c r="E4" s="17" t="inlineStr">
        <is>
          <t>Gasto financiero a la TIE</t>
        </is>
      </c>
      <c r="F4" s="17" t="inlineStr">
        <is>
          <t>Gasto financiero registrado</t>
        </is>
      </c>
      <c r="G4" s="17" t="inlineStr">
        <is>
          <t>Diferencia de gasto</t>
        </is>
      </c>
      <c r="H4" s="17" t="inlineStr">
        <is>
          <t>Interés contractual devengado al corte</t>
        </is>
      </c>
      <c r="I4" s="17" t="inlineStr">
        <is>
          <t>Intereses por pagar registrados</t>
        </is>
      </c>
      <c r="J4" s="17" t="inlineStr">
        <is>
          <t>Interés devengado no registrado</t>
        </is>
      </c>
    </row>
    <row r="5">
      <c r="A5" s="18" t="inlineStr">
        <is>
          <t>OP-101</t>
        </is>
      </c>
      <c r="B5" s="29">
        <f>'04_Condiciones_TIE'!I5</f>
        <v/>
      </c>
      <c r="C5" s="35">
        <f>'04_Condiciones_TIE'!M5</f>
        <v/>
      </c>
      <c r="D5" s="20">
        <f>'06_Costo_amortizado'!T5</f>
        <v/>
      </c>
      <c r="E5" s="20">
        <f>'06_Costo_amortizado'!U5</f>
        <v/>
      </c>
      <c r="F5" s="20">
        <f>IF('03_Prestamos'!O5="","",'03_Prestamos'!O5)</f>
        <v/>
      </c>
      <c r="G5" s="20">
        <f>IF(F5="","",E5-F5)</f>
        <v/>
      </c>
      <c r="H5" s="20">
        <f>'06_Costo_amortizado'!F5</f>
        <v/>
      </c>
      <c r="I5" s="20">
        <f>N('03_Prestamos'!N5)</f>
        <v/>
      </c>
      <c r="J5" s="20">
        <f>H5-I5</f>
        <v/>
      </c>
    </row>
    <row r="6">
      <c r="A6" s="19" t="inlineStr">
        <is>
          <t>OP-102</t>
        </is>
      </c>
      <c r="B6" s="28">
        <f>'04_Condiciones_TIE'!I6</f>
        <v/>
      </c>
      <c r="C6" s="37">
        <f>'04_Condiciones_TIE'!M6</f>
        <v/>
      </c>
      <c r="D6" s="21">
        <f>'06_Costo_amortizado'!T6</f>
        <v/>
      </c>
      <c r="E6" s="21">
        <f>'06_Costo_amortizado'!U6</f>
        <v/>
      </c>
      <c r="F6" s="21">
        <f>IF('03_Prestamos'!O6="","",'03_Prestamos'!O6)</f>
        <v/>
      </c>
      <c r="G6" s="21">
        <f>IF(F6="","",E6-F6)</f>
        <v/>
      </c>
      <c r="H6" s="21">
        <f>'06_Costo_amortizado'!F6</f>
        <v/>
      </c>
      <c r="I6" s="21">
        <f>N('03_Prestamos'!N6)</f>
        <v/>
      </c>
      <c r="J6" s="21">
        <f>H6-I6</f>
        <v/>
      </c>
    </row>
    <row r="7">
      <c r="A7" s="18" t="inlineStr">
        <is>
          <t>OP-103</t>
        </is>
      </c>
      <c r="B7" s="29">
        <f>'04_Condiciones_TIE'!I7</f>
        <v/>
      </c>
      <c r="C7" s="35">
        <f>'04_Condiciones_TIE'!M7</f>
        <v/>
      </c>
      <c r="D7" s="20">
        <f>'06_Costo_amortizado'!T7</f>
        <v/>
      </c>
      <c r="E7" s="20">
        <f>'06_Costo_amortizado'!U7</f>
        <v/>
      </c>
      <c r="F7" s="20">
        <f>IF('03_Prestamos'!O7="","",'03_Prestamos'!O7)</f>
        <v/>
      </c>
      <c r="G7" s="20">
        <f>IF(F7="","",E7-F7)</f>
        <v/>
      </c>
      <c r="H7" s="20">
        <f>'06_Costo_amortizado'!F7</f>
        <v/>
      </c>
      <c r="I7" s="20">
        <f>N('03_Prestamos'!N7)</f>
        <v/>
      </c>
      <c r="J7" s="20">
        <f>H7-I7</f>
        <v/>
      </c>
    </row>
    <row r="8">
      <c r="A8" s="19" t="inlineStr">
        <is>
          <t>OP-104</t>
        </is>
      </c>
      <c r="B8" s="28">
        <f>'04_Condiciones_TIE'!I8</f>
        <v/>
      </c>
      <c r="C8" s="37">
        <f>'04_Condiciones_TIE'!M8</f>
        <v/>
      </c>
      <c r="D8" s="21">
        <f>'06_Costo_amortizado'!T8</f>
        <v/>
      </c>
      <c r="E8" s="21">
        <f>'06_Costo_amortizado'!U8</f>
        <v/>
      </c>
      <c r="F8" s="21">
        <f>IF('03_Prestamos'!O8="","",'03_Prestamos'!O8)</f>
        <v/>
      </c>
      <c r="G8" s="21">
        <f>IF(F8="","",E8-F8)</f>
        <v/>
      </c>
      <c r="H8" s="21">
        <f>'06_Costo_amortizado'!F8</f>
        <v/>
      </c>
      <c r="I8" s="21">
        <f>N('03_Prestamos'!N8)</f>
        <v/>
      </c>
      <c r="J8" s="21">
        <f>H8-I8</f>
        <v/>
      </c>
    </row>
    <row r="9">
      <c r="A9" s="18" t="inlineStr">
        <is>
          <t>OP-105</t>
        </is>
      </c>
      <c r="B9" s="29">
        <f>'04_Condiciones_TIE'!I9</f>
        <v/>
      </c>
      <c r="C9" s="35">
        <f>'04_Condiciones_TIE'!M9</f>
        <v/>
      </c>
      <c r="D9" s="20">
        <f>'06_Costo_amortizado'!T9</f>
        <v/>
      </c>
      <c r="E9" s="20">
        <f>'06_Costo_amortizado'!U9</f>
        <v/>
      </c>
      <c r="F9" s="20">
        <f>IF('03_Prestamos'!O9="","",'03_Prestamos'!O9)</f>
        <v/>
      </c>
      <c r="G9" s="20">
        <f>IF(F9="","",E9-F9)</f>
        <v/>
      </c>
      <c r="H9" s="20">
        <f>'06_Costo_amortizado'!F9</f>
        <v/>
      </c>
      <c r="I9" s="20">
        <f>N('03_Prestamos'!N9)</f>
        <v/>
      </c>
      <c r="J9" s="20">
        <f>H9-I9</f>
        <v/>
      </c>
    </row>
    <row r="10">
      <c r="A10" s="19" t="inlineStr">
        <is>
          <t>OP-106</t>
        </is>
      </c>
      <c r="B10" s="28">
        <f>'04_Condiciones_TIE'!I10</f>
        <v/>
      </c>
      <c r="C10" s="37">
        <f>'04_Condiciones_TIE'!M10</f>
        <v/>
      </c>
      <c r="D10" s="21">
        <f>'06_Costo_amortizado'!T10</f>
        <v/>
      </c>
      <c r="E10" s="21">
        <f>'06_Costo_amortizado'!U10</f>
        <v/>
      </c>
      <c r="F10" s="21">
        <f>IF('03_Prestamos'!O10="","",'03_Prestamos'!O10)</f>
        <v/>
      </c>
      <c r="G10" s="21">
        <f>IF(F10="","",E10-F10)</f>
        <v/>
      </c>
      <c r="H10" s="21">
        <f>'06_Costo_amortizado'!F10</f>
        <v/>
      </c>
      <c r="I10" s="21">
        <f>N('03_Prestamos'!N10)</f>
        <v/>
      </c>
      <c r="J10" s="21">
        <f>H10-I10</f>
        <v/>
      </c>
    </row>
    <row r="11">
      <c r="A11" s="18" t="inlineStr">
        <is>
          <t>OP-107</t>
        </is>
      </c>
      <c r="B11" s="29">
        <f>'04_Condiciones_TIE'!I11</f>
        <v/>
      </c>
      <c r="C11" s="35">
        <f>'04_Condiciones_TIE'!M11</f>
        <v/>
      </c>
      <c r="D11" s="20">
        <f>'06_Costo_amortizado'!T11</f>
        <v/>
      </c>
      <c r="E11" s="20">
        <f>'06_Costo_amortizado'!U11</f>
        <v/>
      </c>
      <c r="F11" s="20">
        <f>IF('03_Prestamos'!O11="","",'03_Prestamos'!O11)</f>
        <v/>
      </c>
      <c r="G11" s="20">
        <f>IF(F11="","",E11-F11)</f>
        <v/>
      </c>
      <c r="H11" s="20">
        <f>'06_Costo_amortizado'!F11</f>
        <v/>
      </c>
      <c r="I11" s="20">
        <f>N('03_Prestamos'!N11)</f>
        <v/>
      </c>
      <c r="J11" s="20">
        <f>H11-I11</f>
        <v/>
      </c>
    </row>
    <row r="12">
      <c r="A12" s="38" t="inlineStr">
        <is>
          <t>TOTAL</t>
        </is>
      </c>
      <c r="B12" s="38" t="n"/>
      <c r="C12" s="41" t="n"/>
      <c r="D12" s="39">
        <f>SUM(D5:D11)</f>
        <v/>
      </c>
      <c r="E12" s="39">
        <f>SUM(E5:E11)</f>
        <v/>
      </c>
      <c r="F12" s="39" t="n"/>
      <c r="G12" s="39">
        <f>SUM(G5:G11)</f>
        <v/>
      </c>
      <c r="H12" s="39">
        <f>SUM(H5:H11)</f>
        <v/>
      </c>
      <c r="I12" s="39">
        <f>SUM(I5:I11)</f>
        <v/>
      </c>
      <c r="J12" s="39">
        <f>SUM(J5:J11)</f>
        <v/>
      </c>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Tasa nominal anual (%)</t>
        </is>
      </c>
      <c r="B16" s="25" t="inlineStr">
        <is>
          <t>'='04_Condiciones_TIE'!I5</t>
        </is>
      </c>
      <c r="C16" s="24" t="inlineStr">
        <is>
          <t>Trae la tasa nominal anual del contrato desde la hoja 04 (Condiciones y tasa de interés efectiva).</t>
        </is>
      </c>
      <c r="D16" s="24" t="inlineStr">
        <is>
          <t>Fila 1: 11,00 → 11,00</t>
        </is>
      </c>
      <c r="E16" s="24" t="inlineStr">
        <is>
          <t>hoja «Condiciones y tasa de interés efectiva»</t>
        </is>
      </c>
      <c r="F16" s="24" t="inlineStr">
        <is>
          <t>—</t>
        </is>
      </c>
    </row>
    <row r="17">
      <c r="A17" s="24" t="inlineStr">
        <is>
          <t>TIE anual efectiva</t>
        </is>
      </c>
      <c r="B17" s="25" t="inlineStr">
        <is>
          <t>'='04_Condiciones_TIE'!M5</t>
        </is>
      </c>
      <c r="C17" s="24" t="inlineStr">
        <is>
          <t>Trae la TIE anual efectiva de la operación, calculada en la hoja 04 (Condiciones y tasa de interés efectiva).</t>
        </is>
      </c>
      <c r="D17" s="24" t="inlineStr">
        <is>
          <t>Fila 1: 13,13 % → 13,13 %</t>
        </is>
      </c>
      <c r="E17" s="24" t="inlineStr">
        <is>
          <t>hoja «Condiciones y tasa de interés efectiva»</t>
        </is>
      </c>
      <c r="F17" s="24" t="inlineStr">
        <is>
          <t>—</t>
        </is>
      </c>
    </row>
    <row r="18">
      <c r="A18" s="24" t="inlineStr">
        <is>
          <t>Interés nominal del ejercicio</t>
        </is>
      </c>
      <c r="B18" s="25" t="inlineStr">
        <is>
          <t>'='06_Costo_amortizado'!T5</t>
        </is>
      </c>
      <c r="C18" s="24" t="inlineStr">
        <is>
          <t>Trae de la hoja 06 (Costo amortizado) el interés del ejercicio calculado a la tasa del contrato.</t>
        </is>
      </c>
      <c r="D18" s="24" t="inlineStr">
        <is>
          <t>Fila 1: 7.478,25 → 7.478,25</t>
        </is>
      </c>
      <c r="E18" s="24" t="inlineStr">
        <is>
          <t>hoja «Costo amortizado al corte y del ejercicio»</t>
        </is>
      </c>
      <c r="F18" s="24" t="inlineStr">
        <is>
          <t>—</t>
        </is>
      </c>
    </row>
    <row r="19">
      <c r="A19" s="24" t="inlineStr">
        <is>
          <t>Gasto financiero a la TIE</t>
        </is>
      </c>
      <c r="B19" s="25" t="inlineStr">
        <is>
          <t>'='06_Costo_amortizado'!U5</t>
        </is>
      </c>
      <c r="C19" s="24" t="inlineStr">
        <is>
          <t>Trae de la hoja 06 (Costo amortizado) el gasto financiero del ejercicio calculado a la TIE.</t>
        </is>
      </c>
      <c r="D19" s="24" t="inlineStr">
        <is>
          <t>Fila 1: 8.334,99 → 8.334,99</t>
        </is>
      </c>
      <c r="E19" s="24" t="inlineStr">
        <is>
          <t>hoja «Costo amortizado al corte y del ejercicio»</t>
        </is>
      </c>
      <c r="F19" s="24" t="inlineStr">
        <is>
          <t>—</t>
        </is>
      </c>
    </row>
    <row r="20">
      <c r="A20" s="24" t="inlineStr">
        <is>
          <t>Gasto financiero registrado</t>
        </is>
      </c>
      <c r="B20" s="25" t="inlineStr">
        <is>
          <t>'=IF('03_Prestamos'!O5="","",'03_Prestamos'!O5)</t>
        </is>
      </c>
      <c r="C20" s="24" t="inlineStr">
        <is>
          <t>Copia el gasto financiero del año que registró el cliente (hoja 03); si no lo informó, queda en blanco.</t>
        </is>
      </c>
      <c r="D20" s="24" t="inlineStr">
        <is>
          <t>Fila 1: IF(7.478,25=""; ""; 7.478,25) → 7.478,25</t>
        </is>
      </c>
      <c r="E20" s="24" t="inlineStr">
        <is>
          <t>hoja «Universo de préstamos»</t>
        </is>
      </c>
      <c r="F20" s="24" t="inlineStr">
        <is>
          <t>—</t>
        </is>
      </c>
    </row>
    <row r="21">
      <c r="A21" s="24" t="inlineStr">
        <is>
          <t>Diferencia de gasto</t>
        </is>
      </c>
      <c r="B21" s="25" t="inlineStr">
        <is>
          <t>'=IF(F5="","",E5-F5)</t>
        </is>
      </c>
      <c r="C21" s="24" t="inlineStr">
        <is>
          <t>Resta el gasto registrado del gasto a la TIE recalculado; solo se calcula si el cliente informó su gasto. Positivo: el cliente registró menos gasto.</t>
        </is>
      </c>
      <c r="D21" s="24" t="inlineStr">
        <is>
          <t>Fila 1: IF(7.478,25=""; ""; 8.334,99-7.478,25) → 856,74</t>
        </is>
      </c>
      <c r="E21" s="24" t="inlineStr">
        <is>
          <t>«Gasto financiero registrado» (esta hoja), «Gasto financiero a la TIE» (esta hoja)</t>
        </is>
      </c>
      <c r="F21" s="24" t="inlineStr">
        <is>
          <t>—</t>
        </is>
      </c>
    </row>
    <row r="22">
      <c r="A22" s="24" t="inlineStr">
        <is>
          <t>Interés contractual devengado al corte</t>
        </is>
      </c>
      <c r="B22" s="25" t="inlineStr">
        <is>
          <t>'='06_Costo_amortizado'!F5</t>
        </is>
      </c>
      <c r="C22" s="24" t="inlineStr">
        <is>
          <t>Trae de la hoja 06 el interés nominal devengado desde el último vencimiento hasta el corte.</t>
        </is>
      </c>
      <c r="D22" s="24" t="inlineStr">
        <is>
          <t>Fila 1: 226,81 → 226,81</t>
        </is>
      </c>
      <c r="E22" s="24" t="inlineStr">
        <is>
          <t>hoja «Costo amortizado al corte y del ejercicio»</t>
        </is>
      </c>
      <c r="F22" s="24" t="inlineStr">
        <is>
          <t>—</t>
        </is>
      </c>
    </row>
    <row r="23">
      <c r="A23" s="24" t="inlineStr">
        <is>
          <t>Intereses por pagar registrados</t>
        </is>
      </c>
      <c r="B23" s="25" t="inlineStr">
        <is>
          <t>'=N('03_Prestamos'!N5)</t>
        </is>
      </c>
      <c r="C23" s="24" t="inlineStr">
        <is>
          <t>Copia los intereses por pagar que registró el cliente (hoja 03); si no los informó, cuenta cero.</t>
        </is>
      </c>
      <c r="D23" s="24" t="inlineStr">
        <is>
          <t>Fila 1: N(226,81) → 226,81</t>
        </is>
      </c>
      <c r="E23" s="24" t="inlineStr">
        <is>
          <t>hoja «Universo de préstamos»</t>
        </is>
      </c>
      <c r="F23" s="24" t="inlineStr">
        <is>
          <t>—</t>
        </is>
      </c>
    </row>
    <row r="24">
      <c r="A24" s="24" t="inlineStr">
        <is>
          <t>Interés devengado no registrado</t>
        </is>
      </c>
      <c r="B24" s="25" t="inlineStr">
        <is>
          <t>'=H5-I5</t>
        </is>
      </c>
      <c r="C24" s="24" t="inlineStr">
        <is>
          <t>Resta los intereses por pagar registrados del interés contractual devengado al corte: es el interés que falta provisionar.</t>
        </is>
      </c>
      <c r="D24" s="24" t="inlineStr">
        <is>
          <t>Fila 1: 226,81-226,81 → 0,00</t>
        </is>
      </c>
      <c r="E24" s="24" t="inlineStr">
        <is>
          <t>«Interés contractual devengado al corte» (esta hoja), «Intereses por pagar registrados» (esta hoja)</t>
        </is>
      </c>
      <c r="F24"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K24"/>
  <sheetViews>
    <sheetView showGridLines="0" workbookViewId="0">
      <pane ySplit="4" topLeftCell="A5" activePane="bottomLeft" state="frozen"/>
      <selection pane="bottomLeft" activeCell="A1" sqref="A1"/>
    </sheetView>
  </sheetViews>
  <sheetFormatPr baseColWidth="8" defaultRowHeight="15"/>
  <cols>
    <col width="12" customWidth="1" min="1" max="1"/>
    <col width="33" customWidth="1" min="2" max="2"/>
    <col width="21" customWidth="1" min="3" max="3"/>
    <col width="31" customWidth="1" min="4" max="4"/>
    <col width="20" customWidth="1" min="5" max="5"/>
    <col width="41" customWidth="1" min="6" max="6"/>
    <col width="25" customWidth="1" min="7" max="7"/>
    <col width="23" customWidth="1" min="8" max="8"/>
    <col width="29" customWidth="1" min="9" max="9"/>
    <col width="18" customWidth="1" min="10" max="10"/>
    <col width="24" customWidth="1" min="11" max="11"/>
  </cols>
  <sheetData>
    <row r="1">
      <c r="A1" s="3" t="inlineStr">
        <is>
          <t>Confirmación bancaria y pagos</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c r="J2" s="16" t="n"/>
      <c r="K2" s="16" t="n"/>
    </row>
    <row r="4" ht="30" customHeight="1">
      <c r="A4" s="17" t="inlineStr">
        <is>
          <t>Operación</t>
        </is>
      </c>
      <c r="B4" s="17" t="inlineStr">
        <is>
          <t>Banco</t>
        </is>
      </c>
      <c r="C4" s="17" t="inlineStr">
        <is>
          <t>Capital según tabla</t>
        </is>
      </c>
      <c r="D4" s="17" t="inlineStr">
        <is>
          <t>Saldo confirmado por el banco</t>
        </is>
      </c>
      <c r="E4" s="17" t="inlineStr">
        <is>
          <t>Capital registrado</t>
        </is>
      </c>
      <c r="F4" s="17" t="inlineStr">
        <is>
          <t>Costos por amortizar (cliente a la TIE)</t>
        </is>
      </c>
      <c r="G4" s="17" t="inlineStr">
        <is>
          <t>Diferencia no explicada</t>
        </is>
      </c>
      <c r="H4" s="17" t="inlineStr">
        <is>
          <t>Confirmado − tabla</t>
        </is>
      </c>
      <c r="I4" s="17" t="inlineStr">
        <is>
          <t>Pagos del ejercicio (tabla)</t>
        </is>
      </c>
      <c r="J4" s="17" t="inlineStr">
        <is>
          <t>Pagos informados</t>
        </is>
      </c>
      <c r="K4" s="17" t="inlineStr">
        <is>
          <t>Diferencia de pagos</t>
        </is>
      </c>
    </row>
    <row r="5">
      <c r="A5" s="18" t="inlineStr">
        <is>
          <t>OP-101</t>
        </is>
      </c>
      <c r="B5" s="18" t="inlineStr">
        <is>
          <t>Banco Pichincha</t>
        </is>
      </c>
      <c r="C5" s="20">
        <f>'06_Costo_amortizado'!E5</f>
        <v/>
      </c>
      <c r="D5" s="20">
        <f>IF('03_Prestamos'!L5="","",'03_Prestamos'!L5)</f>
        <v/>
      </c>
      <c r="E5" s="20">
        <f>N('03_Prestamos'!M5)</f>
        <v/>
      </c>
      <c r="F5" s="20">
        <f>IF('07_Comisiones'!C5="TIE",'07_Comisiones'!G5,0)</f>
        <v/>
      </c>
      <c r="G5" s="20">
        <f>IF(D5="","",D5-E5-F5)</f>
        <v/>
      </c>
      <c r="H5" s="20">
        <f>IF(D5="","",D5-C5)</f>
        <v/>
      </c>
      <c r="I5" s="20">
        <f>'06_Costo_amortizado'!S5</f>
        <v/>
      </c>
      <c r="J5" s="20">
        <f>IF('03_Prestamos'!K5="","",'03_Prestamos'!K5)</f>
        <v/>
      </c>
      <c r="K5" s="20">
        <f>IF(J5="","",I5-J5)</f>
        <v/>
      </c>
    </row>
    <row r="6">
      <c r="A6" s="19" t="inlineStr">
        <is>
          <t>OP-102</t>
        </is>
      </c>
      <c r="B6" s="19" t="inlineStr">
        <is>
          <t>Produbanco</t>
        </is>
      </c>
      <c r="C6" s="21">
        <f>'06_Costo_amortizado'!E6</f>
        <v/>
      </c>
      <c r="D6" s="21">
        <f>IF('03_Prestamos'!L6="","",'03_Prestamos'!L6)</f>
        <v/>
      </c>
      <c r="E6" s="21">
        <f>N('03_Prestamos'!M6)</f>
        <v/>
      </c>
      <c r="F6" s="21">
        <f>IF('07_Comisiones'!C6="TIE",'07_Comisiones'!G6,0)</f>
        <v/>
      </c>
      <c r="G6" s="21">
        <f>IF(D6="","",D6-E6-F6)</f>
        <v/>
      </c>
      <c r="H6" s="21">
        <f>IF(D6="","",D6-C6)</f>
        <v/>
      </c>
      <c r="I6" s="21">
        <f>'06_Costo_amortizado'!S6</f>
        <v/>
      </c>
      <c r="J6" s="21">
        <f>IF('03_Prestamos'!K6="","",'03_Prestamos'!K6)</f>
        <v/>
      </c>
      <c r="K6" s="21">
        <f>IF(J6="","",I6-J6)</f>
        <v/>
      </c>
    </row>
    <row r="7">
      <c r="A7" s="18" t="inlineStr">
        <is>
          <t>OP-103</t>
        </is>
      </c>
      <c r="B7" s="18" t="inlineStr">
        <is>
          <t>Banco Guayaquil</t>
        </is>
      </c>
      <c r="C7" s="20">
        <f>'06_Costo_amortizado'!E7</f>
        <v/>
      </c>
      <c r="D7" s="20">
        <f>IF('03_Prestamos'!L7="","",'03_Prestamos'!L7)</f>
        <v/>
      </c>
      <c r="E7" s="20">
        <f>N('03_Prestamos'!M7)</f>
        <v/>
      </c>
      <c r="F7" s="20">
        <f>IF('07_Comisiones'!C7="TIE",'07_Comisiones'!G7,0)</f>
        <v/>
      </c>
      <c r="G7" s="20">
        <f>IF(D7="","",D7-E7-F7)</f>
        <v/>
      </c>
      <c r="H7" s="20">
        <f>IF(D7="","",D7-C7)</f>
        <v/>
      </c>
      <c r="I7" s="20">
        <f>'06_Costo_amortizado'!S7</f>
        <v/>
      </c>
      <c r="J7" s="20">
        <f>IF('03_Prestamos'!K7="","",'03_Prestamos'!K7)</f>
        <v/>
      </c>
      <c r="K7" s="20">
        <f>IF(J7="","",I7-J7)</f>
        <v/>
      </c>
    </row>
    <row r="8">
      <c r="A8" s="19" t="inlineStr">
        <is>
          <t>OP-104</t>
        </is>
      </c>
      <c r="B8" s="19" t="inlineStr">
        <is>
          <t>Banco del Pacífico</t>
        </is>
      </c>
      <c r="C8" s="21">
        <f>'06_Costo_amortizado'!E8</f>
        <v/>
      </c>
      <c r="D8" s="21">
        <f>IF('03_Prestamos'!L8="","",'03_Prestamos'!L8)</f>
        <v/>
      </c>
      <c r="E8" s="21">
        <f>N('03_Prestamos'!M8)</f>
        <v/>
      </c>
      <c r="F8" s="21">
        <f>IF('07_Comisiones'!C8="TIE",'07_Comisiones'!G8,0)</f>
        <v/>
      </c>
      <c r="G8" s="21">
        <f>IF(D8="","",D8-E8-F8)</f>
        <v/>
      </c>
      <c r="H8" s="21">
        <f>IF(D8="","",D8-C8)</f>
        <v/>
      </c>
      <c r="I8" s="21">
        <f>'06_Costo_amortizado'!S8</f>
        <v/>
      </c>
      <c r="J8" s="21">
        <f>IF('03_Prestamos'!K8="","",'03_Prestamos'!K8)</f>
        <v/>
      </c>
      <c r="K8" s="21">
        <f>IF(J8="","",I8-J8)</f>
        <v/>
      </c>
    </row>
    <row r="9">
      <c r="A9" s="18" t="inlineStr">
        <is>
          <t>OP-105</t>
        </is>
      </c>
      <c r="B9" s="18" t="inlineStr">
        <is>
          <t>Corporación Financiera Nacional</t>
        </is>
      </c>
      <c r="C9" s="20">
        <f>'06_Costo_amortizado'!E9</f>
        <v/>
      </c>
      <c r="D9" s="20">
        <f>IF('03_Prestamos'!L9="","",'03_Prestamos'!L9)</f>
        <v/>
      </c>
      <c r="E9" s="20">
        <f>N('03_Prestamos'!M9)</f>
        <v/>
      </c>
      <c r="F9" s="20">
        <f>IF('07_Comisiones'!C9="TIE",'07_Comisiones'!G9,0)</f>
        <v/>
      </c>
      <c r="G9" s="20">
        <f>IF(D9="","",D9-E9-F9)</f>
        <v/>
      </c>
      <c r="H9" s="20">
        <f>IF(D9="","",D9-C9)</f>
        <v/>
      </c>
      <c r="I9" s="20">
        <f>'06_Costo_amortizado'!S9</f>
        <v/>
      </c>
      <c r="J9" s="20">
        <f>IF('03_Prestamos'!K9="","",'03_Prestamos'!K9)</f>
        <v/>
      </c>
      <c r="K9" s="20">
        <f>IF(J9="","",I9-J9)</f>
        <v/>
      </c>
    </row>
    <row r="10">
      <c r="A10" s="19" t="inlineStr">
        <is>
          <t>OP-106</t>
        </is>
      </c>
      <c r="B10" s="19" t="inlineStr">
        <is>
          <t>Banco Internacional</t>
        </is>
      </c>
      <c r="C10" s="21">
        <f>'06_Costo_amortizado'!E10</f>
        <v/>
      </c>
      <c r="D10" s="21">
        <f>IF('03_Prestamos'!L10="","",'03_Prestamos'!L10)</f>
        <v/>
      </c>
      <c r="E10" s="21">
        <f>N('03_Prestamos'!M10)</f>
        <v/>
      </c>
      <c r="F10" s="21">
        <f>IF('07_Comisiones'!C10="TIE",'07_Comisiones'!G10,0)</f>
        <v/>
      </c>
      <c r="G10" s="21">
        <f>IF(D10="","",D10-E10-F10)</f>
        <v/>
      </c>
      <c r="H10" s="21">
        <f>IF(D10="","",D10-C10)</f>
        <v/>
      </c>
      <c r="I10" s="21">
        <f>'06_Costo_amortizado'!S10</f>
        <v/>
      </c>
      <c r="J10" s="21">
        <f>IF('03_Prestamos'!K10="","",'03_Prestamos'!K10)</f>
        <v/>
      </c>
      <c r="K10" s="21">
        <f>IF(J10="","",I10-J10)</f>
        <v/>
      </c>
    </row>
    <row r="11">
      <c r="A11" s="18" t="inlineStr">
        <is>
          <t>OP-107</t>
        </is>
      </c>
      <c r="B11" s="18" t="inlineStr">
        <is>
          <t>Banco Bolivariano</t>
        </is>
      </c>
      <c r="C11" s="20">
        <f>'06_Costo_amortizado'!E11</f>
        <v/>
      </c>
      <c r="D11" s="20">
        <f>IF('03_Prestamos'!L11="","",'03_Prestamos'!L11)</f>
        <v/>
      </c>
      <c r="E11" s="20">
        <f>N('03_Prestamos'!M11)</f>
        <v/>
      </c>
      <c r="F11" s="20">
        <f>IF('07_Comisiones'!C11="TIE",'07_Comisiones'!G11,0)</f>
        <v/>
      </c>
      <c r="G11" s="20">
        <f>IF(D11="","",D11-E11-F11)</f>
        <v/>
      </c>
      <c r="H11" s="20">
        <f>IF(D11="","",D11-C11)</f>
        <v/>
      </c>
      <c r="I11" s="20">
        <f>'06_Costo_amortizado'!S11</f>
        <v/>
      </c>
      <c r="J11" s="20">
        <f>IF('03_Prestamos'!K11="","",'03_Prestamos'!K11)</f>
        <v/>
      </c>
      <c r="K11" s="20">
        <f>IF(J11="","",I11-J11)</f>
        <v/>
      </c>
    </row>
    <row r="12">
      <c r="A12" s="38" t="inlineStr">
        <is>
          <t>TOTAL</t>
        </is>
      </c>
      <c r="B12" s="38" t="inlineStr"/>
      <c r="C12" s="39">
        <f>SUM(C5:C11)</f>
        <v/>
      </c>
      <c r="D12" s="39" t="n"/>
      <c r="E12" s="39">
        <f>SUM(E5:E11)</f>
        <v/>
      </c>
      <c r="F12" s="39">
        <f>SUM(F5:F11)</f>
        <v/>
      </c>
      <c r="G12" s="39" t="n"/>
      <c r="H12" s="39" t="n"/>
      <c r="I12" s="39">
        <f>SUM(I5:I11)</f>
        <v/>
      </c>
      <c r="J12" s="39" t="n"/>
      <c r="K12" s="39" t="n"/>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Capital según tabla</t>
        </is>
      </c>
      <c r="B16" s="25" t="inlineStr">
        <is>
          <t>'='06_Costo_amortizado'!E5</t>
        </is>
      </c>
      <c r="C16" s="24" t="inlineStr">
        <is>
          <t>Trae el capital contractual al corte de esta operación calculado en la hoja 06 (Costo amortizado).</t>
        </is>
      </c>
      <c r="D16" s="24" t="inlineStr">
        <is>
          <t>Fila 1: 47.940,12 → 47.940,12</t>
        </is>
      </c>
      <c r="E16" s="24" t="inlineStr">
        <is>
          <t>hoja «Costo amortizado al corte y del ejercicio»</t>
        </is>
      </c>
      <c r="F16" s="24" t="inlineStr">
        <is>
          <t>—</t>
        </is>
      </c>
    </row>
    <row r="17">
      <c r="A17" s="24" t="inlineStr">
        <is>
          <t>Saldo confirmado por el banco</t>
        </is>
      </c>
      <c r="B17" s="25" t="inlineStr">
        <is>
          <t>'=IF('03_Prestamos'!L5="","",'03_Prestamos'!L5)</t>
        </is>
      </c>
      <c r="C17" s="24" t="inlineStr">
        <is>
          <t>Copia el saldo de capital que confirmó el banco (hoja 03); si no hay confirmación, queda en blanco.</t>
        </is>
      </c>
      <c r="D17" s="24" t="inlineStr">
        <is>
          <t>Fila 1: IF(47.940,12=""; ""; 47.940,12) → 47.940,12</t>
        </is>
      </c>
      <c r="E17" s="24" t="inlineStr">
        <is>
          <t>hoja «Universo de préstamos»</t>
        </is>
      </c>
      <c r="F17" s="24" t="inlineStr">
        <is>
          <t>—</t>
        </is>
      </c>
    </row>
    <row r="18">
      <c r="A18" s="24" t="inlineStr">
        <is>
          <t>Capital registrado</t>
        </is>
      </c>
      <c r="B18" s="25" t="inlineStr">
        <is>
          <t>'=N('03_Prestamos'!M5)</t>
        </is>
      </c>
      <c r="C18" s="24" t="inlineStr">
        <is>
          <t>Copia el saldo de capital registrado por el cliente (hoja 03); si no lo informó, cuenta cero.</t>
        </is>
      </c>
      <c r="D18" s="24" t="inlineStr">
        <is>
          <t>Fila 1: N(47.940,12) → 47.940,12</t>
        </is>
      </c>
      <c r="E18" s="24" t="inlineStr">
        <is>
          <t>hoja «Universo de préstamos»</t>
        </is>
      </c>
      <c r="F18" s="24" t="inlineStr">
        <is>
          <t>—</t>
        </is>
      </c>
    </row>
    <row r="19">
      <c r="A19" s="24" t="inlineStr">
        <is>
          <t>Costos por amortizar (cliente a la TIE)</t>
        </is>
      </c>
      <c r="B19" s="25" t="inlineStr">
        <is>
          <t>'=IF('07_Comisiones'!C5="TIE",'07_Comisiones'!G5,0)</t>
        </is>
      </c>
      <c r="C19" s="24" t="inlineStr">
        <is>
          <t>Si el cliente aplica la TIE a las comisiones (hoja 07), trae el costo por amortizar al corte, porque su saldo contable está neto de esas comisiones; si no, cero.</t>
        </is>
      </c>
      <c r="D19" s="24" t="inlineStr">
        <is>
          <t>Fila 1: IF(«Gasto»="TIE"; 379,36; 0) → 0,00</t>
        </is>
      </c>
      <c r="E19" s="24" t="inlineStr">
        <is>
          <t>hoja «Comisiones y costos de transacción»</t>
        </is>
      </c>
      <c r="F19" s="24" t="inlineStr">
        <is>
          <t>—</t>
        </is>
      </c>
    </row>
    <row r="20">
      <c r="A20" s="24" t="inlineStr">
        <is>
          <t>Diferencia no explicada</t>
        </is>
      </c>
      <c r="B20" s="25" t="inlineStr">
        <is>
          <t>'=IF(D5="","",D5-E5-F5)</t>
        </is>
      </c>
      <c r="C20" s="24" t="inlineStr">
        <is>
          <t>Resta al saldo confirmado el capital registrado y los costos por amortizar: lo que queda no tiene explicación. Solo se calcula si hay saldo confirmado.</t>
        </is>
      </c>
      <c r="D20" s="24" t="inlineStr">
        <is>
          <t>Fila 1: IF(47.940,12=""; ""; 47.940,12-47.940,12-0,00) → 0,00</t>
        </is>
      </c>
      <c r="E20" s="24" t="inlineStr">
        <is>
          <t>«Saldo confirmado por el banco» (esta hoja), «Capital registrado» (esta hoja), «Costos por amortizar (cliente a la TIE)» (esta hoja)</t>
        </is>
      </c>
      <c r="F20" s="24" t="inlineStr">
        <is>
          <t>—</t>
        </is>
      </c>
    </row>
    <row r="21">
      <c r="A21" s="24" t="inlineStr">
        <is>
          <t>Confirmado − tabla</t>
        </is>
      </c>
      <c r="B21" s="25" t="inlineStr">
        <is>
          <t>'=IF(D5="","",D5-C5)</t>
        </is>
      </c>
      <c r="C21" s="24" t="inlineStr">
        <is>
          <t>Resta al saldo confirmado por el banco el capital según la tabla recalculada; en blanco si no hay confirmación.</t>
        </is>
      </c>
      <c r="D21" s="24" t="inlineStr">
        <is>
          <t>Fila 1: IF(47.940,12=""; ""; 47.940,12-47.940,12) → 0,00</t>
        </is>
      </c>
      <c r="E21" s="24" t="inlineStr">
        <is>
          <t>«Saldo confirmado por el banco» (esta hoja), «Capital según tabla» (esta hoja)</t>
        </is>
      </c>
      <c r="F21" s="24" t="inlineStr">
        <is>
          <t>—</t>
        </is>
      </c>
    </row>
    <row r="22">
      <c r="A22" s="24" t="inlineStr">
        <is>
          <t>Pagos del ejercicio (tabla)</t>
        </is>
      </c>
      <c r="B22" s="25" t="inlineStr">
        <is>
          <t>'='06_Costo_amortizado'!S5</t>
        </is>
      </c>
      <c r="C22" s="24" t="inlineStr">
        <is>
          <t>Trae de la hoja 06 los pagos contractuales que vencieron en el ejercicio según la tabla de amortización.</t>
        </is>
      </c>
      <c r="D22" s="24" t="inlineStr">
        <is>
          <t>Fila 1: 47.143,75 → 47.143,75</t>
        </is>
      </c>
      <c r="E22" s="24" t="inlineStr">
        <is>
          <t>hoja «Costo amortizado al corte y del ejercicio»</t>
        </is>
      </c>
      <c r="F22" s="24" t="inlineStr">
        <is>
          <t>—</t>
        </is>
      </c>
    </row>
    <row r="23">
      <c r="A23" s="24" t="inlineStr">
        <is>
          <t>Pagos informados</t>
        </is>
      </c>
      <c r="B23" s="25" t="inlineStr">
        <is>
          <t>'=IF('03_Prestamos'!K5="","",'03_Prestamos'!K5)</t>
        </is>
      </c>
      <c r="C23" s="24" t="inlineStr">
        <is>
          <t>Copia los pagos del año (capital más interés) que informó el cliente en la hoja 03; en blanco si no los informó.</t>
        </is>
      </c>
      <c r="D23" s="24" t="inlineStr">
        <is>
          <t>Fila 1: IF(47.143,75=""; ""; 47.143,75) → 47.143,75</t>
        </is>
      </c>
      <c r="E23" s="24" t="inlineStr">
        <is>
          <t>hoja «Universo de préstamos»</t>
        </is>
      </c>
      <c r="F23" s="24" t="inlineStr">
        <is>
          <t>—</t>
        </is>
      </c>
    </row>
    <row r="24">
      <c r="A24" s="24" t="inlineStr">
        <is>
          <t>Diferencia de pagos</t>
        </is>
      </c>
      <c r="B24" s="25" t="inlineStr">
        <is>
          <t>'=IF(J5="","",I5-J5)</t>
        </is>
      </c>
      <c r="C24" s="24" t="inlineStr">
        <is>
          <t>Resta los pagos informados de los pagos según la tabla; solo se calcula si el cliente informó sus pagos.</t>
        </is>
      </c>
      <c r="D24" s="24" t="inlineStr">
        <is>
          <t>Fila 1: IF(47.143,75=""; ""; 47.143,75-47.143,75) → 0,00</t>
        </is>
      </c>
      <c r="E24" s="24" t="inlineStr">
        <is>
          <t>«Pagos informados» (esta hoja), «Pagos del ejercicio (tabla)» (esta hoja)</t>
        </is>
      </c>
      <c r="F24"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O25"/>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21" customWidth="1" min="3" max="3"/>
    <col width="12" customWidth="1" min="4" max="4"/>
    <col width="16" customWidth="1" min="5" max="5"/>
    <col width="18" customWidth="1" min="6" max="6"/>
    <col width="26" customWidth="1" min="7" max="7"/>
    <col width="25" customWidth="1" min="8" max="8"/>
    <col width="22" customWidth="1" min="9" max="9"/>
    <col width="14" customWidth="1" min="10" max="10"/>
    <col width="37" customWidth="1" min="11" max="11"/>
    <col width="37" customWidth="1" min="12" max="12"/>
    <col width="32" customWidth="1" min="13" max="13"/>
    <col width="33" customWidth="1" min="14" max="14"/>
    <col width="60" customWidth="1" min="15" max="15"/>
  </cols>
  <sheetData>
    <row r="1">
      <c r="A1" s="3" t="inlineStr">
        <is>
          <t>Covenants y dispensas</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c r="J2" s="16" t="n"/>
      <c r="K2" s="16" t="n"/>
      <c r="L2" s="16" t="n"/>
      <c r="M2" s="16" t="n"/>
      <c r="N2" s="16" t="n"/>
      <c r="O2" s="16" t="n"/>
    </row>
    <row r="4" ht="30" customHeight="1">
      <c r="A4" s="17" t="inlineStr">
        <is>
          <t>Operación</t>
        </is>
      </c>
      <c r="B4" s="17" t="inlineStr">
        <is>
          <t>Covenant</t>
        </is>
      </c>
      <c r="C4" s="17" t="inlineStr">
        <is>
          <t>Ratio de la entidad</t>
        </is>
      </c>
      <c r="D4" s="17" t="inlineStr">
        <is>
          <t>Límite</t>
        </is>
      </c>
      <c r="E4" s="17" t="inlineStr">
        <is>
          <t>Tipo de límite</t>
        </is>
      </c>
      <c r="F4" s="17" t="inlineStr">
        <is>
          <t>Cumple el límite</t>
        </is>
      </c>
      <c r="G4" s="17" t="inlineStr">
        <is>
          <t>Incumplimiento declarado</t>
        </is>
      </c>
      <c r="H4" s="17" t="inlineStr">
        <is>
          <t>Incumplimiento al corte</t>
        </is>
      </c>
      <c r="I4" s="17" t="inlineStr">
        <is>
          <t>Fecha de la dispensa</t>
        </is>
      </c>
      <c r="J4" s="17" t="inlineStr">
        <is>
          <t>Gracia hasta</t>
        </is>
      </c>
      <c r="K4" s="17" t="inlineStr">
        <is>
          <t>Dispensa válida al corte (NIC 1 75)</t>
        </is>
      </c>
      <c r="L4" s="17" t="inlineStr">
        <is>
          <t>Deuda exigible: toda corriente (74)</t>
        </is>
      </c>
      <c r="M4" s="17" t="inlineStr">
        <is>
          <t>Fecha de medición del covenant</t>
        </is>
      </c>
      <c r="N4" s="17" t="inlineStr">
        <is>
          <t>Se mide después del corte (72B)</t>
        </is>
      </c>
      <c r="O4" s="17" t="inlineStr">
        <is>
          <t>Definición aplicada del covenant</t>
        </is>
      </c>
    </row>
    <row r="5">
      <c r="A5" s="18" t="inlineStr">
        <is>
          <t>OP-101</t>
        </is>
      </c>
      <c r="B5" s="18">
        <f>IF('03_Prestamos'!Q5="","",'03_Prestamos'!Q5)</f>
        <v/>
      </c>
      <c r="C5" s="18">
        <f>IF(B5="","",INDEX('12_Endeudamiento'!$D$8:$D$12,MATCH(B5,'12_Endeudamiento'!$A$8:$A$12,0)))</f>
        <v/>
      </c>
      <c r="D5" s="18">
        <f>IF(B5="","",INDEX('12_Endeudamiento'!$E$8:$E$12,MATCH(B5,'12_Endeudamiento'!$A$8:$A$12,0)))</f>
        <v/>
      </c>
      <c r="E5" s="18">
        <f>IF(B5="","",INDEX('12_Endeudamiento'!$F$8:$F$12,MATCH(B5,'12_Endeudamiento'!$A$8:$A$12,0)))</f>
        <v/>
      </c>
      <c r="F5" s="18">
        <f>IF(B5="","",INDEX('12_Endeudamiento'!$G$8:$G$12,MATCH(B5,'12_Endeudamiento'!$A$8:$A$12,0)))</f>
        <v/>
      </c>
      <c r="G5" s="18">
        <f>IF('03_Prestamos'!R5="","No",'03_Prestamos'!R5)</f>
        <v/>
      </c>
      <c r="H5" s="18">
        <f>IF(OR(G5="Sí",F5="No"),"Sí","No")</f>
        <v/>
      </c>
      <c r="I5" s="31" t="n"/>
      <c r="J5" s="31" t="n"/>
      <c r="K5" s="18">
        <f>IF(AND('03_Prestamos'!S5&lt;&gt;"",'03_Prestamos'!S5&lt;='02_Parametros'!$B$5,OR('03_Prestamos'!T5="",'03_Prestamos'!T5&gt;=EDATE('02_Parametros'!$B$5,12))),"Sí","No")</f>
        <v/>
      </c>
      <c r="L5" s="18">
        <f>IF(AND(H5="Sí",K5="No",N5="No"),"Sí","No")</f>
        <v/>
      </c>
      <c r="M5" s="31" t="n"/>
      <c r="N5" s="18">
        <f>IF(AND('03_Prestamos'!U5&lt;&gt;"",'03_Prestamos'!U5&gt;'02_Parametros'!$B$5),"Sí","No")</f>
        <v/>
      </c>
      <c r="O5" s="18">
        <f>IF(B5="","",INDEX('12_Endeudamiento'!$H$8:$H$12,MATCH(B5,'12_Endeudamiento'!$A$8:$A$12,0)))</f>
        <v/>
      </c>
    </row>
    <row r="6">
      <c r="A6" s="19" t="inlineStr">
        <is>
          <t>OP-102</t>
        </is>
      </c>
      <c r="B6" s="19">
        <f>IF('03_Prestamos'!Q6="","",'03_Prestamos'!Q6)</f>
        <v/>
      </c>
      <c r="C6" s="28">
        <f>IF(B6="","",INDEX('12_Endeudamiento'!$D$8:$D$12,MATCH(B6,'12_Endeudamiento'!$A$8:$A$12,0)))</f>
        <v/>
      </c>
      <c r="D6" s="28">
        <f>IF(B6="","",INDEX('12_Endeudamiento'!$E$8:$E$12,MATCH(B6,'12_Endeudamiento'!$A$8:$A$12,0)))</f>
        <v/>
      </c>
      <c r="E6" s="19">
        <f>IF(B6="","",INDEX('12_Endeudamiento'!$F$8:$F$12,MATCH(B6,'12_Endeudamiento'!$A$8:$A$12,0)))</f>
        <v/>
      </c>
      <c r="F6" s="19">
        <f>IF(B6="","",INDEX('12_Endeudamiento'!$G$8:$G$12,MATCH(B6,'12_Endeudamiento'!$A$8:$A$12,0)))</f>
        <v/>
      </c>
      <c r="G6" s="19">
        <f>IF('03_Prestamos'!R6="","No",'03_Prestamos'!R6)</f>
        <v/>
      </c>
      <c r="H6" s="19">
        <f>IF(OR(G6="Sí",F6="No"),"Sí","No")</f>
        <v/>
      </c>
      <c r="I6" s="32" t="n">
        <v>46042</v>
      </c>
      <c r="J6" s="32" t="n">
        <v>46568</v>
      </c>
      <c r="K6" s="19">
        <f>IF(AND('03_Prestamos'!S6&lt;&gt;"",'03_Prestamos'!S6&lt;='02_Parametros'!$B$5,OR('03_Prestamos'!T6="",'03_Prestamos'!T6&gt;=EDATE('02_Parametros'!$B$5,12))),"Sí","No")</f>
        <v/>
      </c>
      <c r="L6" s="19">
        <f>IF(AND(H6="Sí",K6="No",N6="No"),"Sí","No")</f>
        <v/>
      </c>
      <c r="M6" s="32" t="n">
        <v>46022</v>
      </c>
      <c r="N6" s="19">
        <f>IF(AND('03_Prestamos'!U6&lt;&gt;"",'03_Prestamos'!U6&gt;'02_Parametros'!$B$5),"Sí","No")</f>
        <v/>
      </c>
      <c r="O6" s="19">
        <f>IF(B6="","",INDEX('12_Endeudamiento'!$H$8:$H$12,MATCH(B6,'12_Endeudamiento'!$A$8:$A$12,0)))</f>
        <v/>
      </c>
    </row>
    <row r="7">
      <c r="A7" s="18" t="inlineStr">
        <is>
          <t>OP-103</t>
        </is>
      </c>
      <c r="B7" s="18">
        <f>IF('03_Prestamos'!Q7="","",'03_Prestamos'!Q7)</f>
        <v/>
      </c>
      <c r="C7" s="29">
        <f>IF(B7="","",INDEX('12_Endeudamiento'!$D$8:$D$12,MATCH(B7,'12_Endeudamiento'!$A$8:$A$12,0)))</f>
        <v/>
      </c>
      <c r="D7" s="29">
        <f>IF(B7="","",INDEX('12_Endeudamiento'!$E$8:$E$12,MATCH(B7,'12_Endeudamiento'!$A$8:$A$12,0)))</f>
        <v/>
      </c>
      <c r="E7" s="18">
        <f>IF(B7="","",INDEX('12_Endeudamiento'!$F$8:$F$12,MATCH(B7,'12_Endeudamiento'!$A$8:$A$12,0)))</f>
        <v/>
      </c>
      <c r="F7" s="18">
        <f>IF(B7="","",INDEX('12_Endeudamiento'!$G$8:$G$12,MATCH(B7,'12_Endeudamiento'!$A$8:$A$12,0)))</f>
        <v/>
      </c>
      <c r="G7" s="18">
        <f>IF('03_Prestamos'!R7="","No",'03_Prestamos'!R7)</f>
        <v/>
      </c>
      <c r="H7" s="18">
        <f>IF(OR(G7="Sí",F7="No"),"Sí","No")</f>
        <v/>
      </c>
      <c r="I7" s="31" t="n"/>
      <c r="J7" s="31" t="n"/>
      <c r="K7" s="18">
        <f>IF(AND('03_Prestamos'!S7&lt;&gt;"",'03_Prestamos'!S7&lt;='02_Parametros'!$B$5,OR('03_Prestamos'!T7="",'03_Prestamos'!T7&gt;=EDATE('02_Parametros'!$B$5,12))),"Sí","No")</f>
        <v/>
      </c>
      <c r="L7" s="18">
        <f>IF(AND(H7="Sí",K7="No",N7="No"),"Sí","No")</f>
        <v/>
      </c>
      <c r="M7" s="31" t="n"/>
      <c r="N7" s="18">
        <f>IF(AND('03_Prestamos'!U7&lt;&gt;"",'03_Prestamos'!U7&gt;'02_Parametros'!$B$5),"Sí","No")</f>
        <v/>
      </c>
      <c r="O7" s="18">
        <f>IF(B7="","",INDEX('12_Endeudamiento'!$H$8:$H$12,MATCH(B7,'12_Endeudamiento'!$A$8:$A$12,0)))</f>
        <v/>
      </c>
    </row>
    <row r="8">
      <c r="A8" s="19" t="inlineStr">
        <is>
          <t>OP-104</t>
        </is>
      </c>
      <c r="B8" s="19">
        <f>IF('03_Prestamos'!Q8="","",'03_Prestamos'!Q8)</f>
        <v/>
      </c>
      <c r="C8" s="19">
        <f>IF(B8="","",INDEX('12_Endeudamiento'!$D$8:$D$12,MATCH(B8,'12_Endeudamiento'!$A$8:$A$12,0)))</f>
        <v/>
      </c>
      <c r="D8" s="19">
        <f>IF(B8="","",INDEX('12_Endeudamiento'!$E$8:$E$12,MATCH(B8,'12_Endeudamiento'!$A$8:$A$12,0)))</f>
        <v/>
      </c>
      <c r="E8" s="19">
        <f>IF(B8="","",INDEX('12_Endeudamiento'!$F$8:$F$12,MATCH(B8,'12_Endeudamiento'!$A$8:$A$12,0)))</f>
        <v/>
      </c>
      <c r="F8" s="19">
        <f>IF(B8="","",INDEX('12_Endeudamiento'!$G$8:$G$12,MATCH(B8,'12_Endeudamiento'!$A$8:$A$12,0)))</f>
        <v/>
      </c>
      <c r="G8" s="19">
        <f>IF('03_Prestamos'!R8="","No",'03_Prestamos'!R8)</f>
        <v/>
      </c>
      <c r="H8" s="19">
        <f>IF(OR(G8="Sí",F8="No"),"Sí","No")</f>
        <v/>
      </c>
      <c r="I8" s="33" t="n"/>
      <c r="J8" s="33" t="n"/>
      <c r="K8" s="19">
        <f>IF(AND('03_Prestamos'!S8&lt;&gt;"",'03_Prestamos'!S8&lt;='02_Parametros'!$B$5,OR('03_Prestamos'!T8="",'03_Prestamos'!T8&gt;=EDATE('02_Parametros'!$B$5,12))),"Sí","No")</f>
        <v/>
      </c>
      <c r="L8" s="19">
        <f>IF(AND(H8="Sí",K8="No",N8="No"),"Sí","No")</f>
        <v/>
      </c>
      <c r="M8" s="33" t="n"/>
      <c r="N8" s="19">
        <f>IF(AND('03_Prestamos'!U8&lt;&gt;"",'03_Prestamos'!U8&gt;'02_Parametros'!$B$5),"Sí","No")</f>
        <v/>
      </c>
      <c r="O8" s="19">
        <f>IF(B8="","",INDEX('12_Endeudamiento'!$H$8:$H$12,MATCH(B8,'12_Endeudamiento'!$A$8:$A$12,0)))</f>
        <v/>
      </c>
    </row>
    <row r="9">
      <c r="A9" s="18" t="inlineStr">
        <is>
          <t>OP-105</t>
        </is>
      </c>
      <c r="B9" s="18">
        <f>IF('03_Prestamos'!Q9="","",'03_Prestamos'!Q9)</f>
        <v/>
      </c>
      <c r="C9" s="29">
        <f>IF(B9="","",INDEX('12_Endeudamiento'!$D$8:$D$12,MATCH(B9,'12_Endeudamiento'!$A$8:$A$12,0)))</f>
        <v/>
      </c>
      <c r="D9" s="29">
        <f>IF(B9="","",INDEX('12_Endeudamiento'!$E$8:$E$12,MATCH(B9,'12_Endeudamiento'!$A$8:$A$12,0)))</f>
        <v/>
      </c>
      <c r="E9" s="18">
        <f>IF(B9="","",INDEX('12_Endeudamiento'!$F$8:$F$12,MATCH(B9,'12_Endeudamiento'!$A$8:$A$12,0)))</f>
        <v/>
      </c>
      <c r="F9" s="18">
        <f>IF(B9="","",INDEX('12_Endeudamiento'!$G$8:$G$12,MATCH(B9,'12_Endeudamiento'!$A$8:$A$12,0)))</f>
        <v/>
      </c>
      <c r="G9" s="18">
        <f>IF('03_Prestamos'!R9="","No",'03_Prestamos'!R9)</f>
        <v/>
      </c>
      <c r="H9" s="18">
        <f>IF(OR(G9="Sí",F9="No"),"Sí","No")</f>
        <v/>
      </c>
      <c r="I9" s="30" t="n">
        <v>46006</v>
      </c>
      <c r="J9" s="30" t="n">
        <v>46477</v>
      </c>
      <c r="K9" s="18">
        <f>IF(AND('03_Prestamos'!S9&lt;&gt;"",'03_Prestamos'!S9&lt;='02_Parametros'!$B$5,OR('03_Prestamos'!T9="",'03_Prestamos'!T9&gt;=EDATE('02_Parametros'!$B$5,12))),"Sí","No")</f>
        <v/>
      </c>
      <c r="L9" s="18">
        <f>IF(AND(H9="Sí",K9="No",N9="No"),"Sí","No")</f>
        <v/>
      </c>
      <c r="M9" s="30" t="n">
        <v>46022</v>
      </c>
      <c r="N9" s="18">
        <f>IF(AND('03_Prestamos'!U9&lt;&gt;"",'03_Prestamos'!U9&gt;'02_Parametros'!$B$5),"Sí","No")</f>
        <v/>
      </c>
      <c r="O9" s="18">
        <f>IF(B9="","",INDEX('12_Endeudamiento'!$H$8:$H$12,MATCH(B9,'12_Endeudamiento'!$A$8:$A$12,0)))</f>
        <v/>
      </c>
    </row>
    <row r="10">
      <c r="A10" s="19" t="inlineStr">
        <is>
          <t>OP-106</t>
        </is>
      </c>
      <c r="B10" s="19">
        <f>IF('03_Prestamos'!Q10="","",'03_Prestamos'!Q10)</f>
        <v/>
      </c>
      <c r="C10" s="19">
        <f>IF(B10="","",INDEX('12_Endeudamiento'!$D$8:$D$12,MATCH(B10,'12_Endeudamiento'!$A$8:$A$12,0)))</f>
        <v/>
      </c>
      <c r="D10" s="19">
        <f>IF(B10="","",INDEX('12_Endeudamiento'!$E$8:$E$12,MATCH(B10,'12_Endeudamiento'!$A$8:$A$12,0)))</f>
        <v/>
      </c>
      <c r="E10" s="19">
        <f>IF(B10="","",INDEX('12_Endeudamiento'!$F$8:$F$12,MATCH(B10,'12_Endeudamiento'!$A$8:$A$12,0)))</f>
        <v/>
      </c>
      <c r="F10" s="19">
        <f>IF(B10="","",INDEX('12_Endeudamiento'!$G$8:$G$12,MATCH(B10,'12_Endeudamiento'!$A$8:$A$12,0)))</f>
        <v/>
      </c>
      <c r="G10" s="19">
        <f>IF('03_Prestamos'!R10="","No",'03_Prestamos'!R10)</f>
        <v/>
      </c>
      <c r="H10" s="19">
        <f>IF(OR(G10="Sí",F10="No"),"Sí","No")</f>
        <v/>
      </c>
      <c r="I10" s="33" t="n"/>
      <c r="J10" s="33" t="n"/>
      <c r="K10" s="19">
        <f>IF(AND('03_Prestamos'!S10&lt;&gt;"",'03_Prestamos'!S10&lt;='02_Parametros'!$B$5,OR('03_Prestamos'!T10="",'03_Prestamos'!T10&gt;=EDATE('02_Parametros'!$B$5,12))),"Sí","No")</f>
        <v/>
      </c>
      <c r="L10" s="19">
        <f>IF(AND(H10="Sí",K10="No",N10="No"),"Sí","No")</f>
        <v/>
      </c>
      <c r="M10" s="33" t="n"/>
      <c r="N10" s="19">
        <f>IF(AND('03_Prestamos'!U10&lt;&gt;"",'03_Prestamos'!U10&gt;'02_Parametros'!$B$5),"Sí","No")</f>
        <v/>
      </c>
      <c r="O10" s="19">
        <f>IF(B10="","",INDEX('12_Endeudamiento'!$H$8:$H$12,MATCH(B10,'12_Endeudamiento'!$A$8:$A$12,0)))</f>
        <v/>
      </c>
    </row>
    <row r="11">
      <c r="A11" s="18" t="inlineStr">
        <is>
          <t>OP-107</t>
        </is>
      </c>
      <c r="B11" s="18">
        <f>IF('03_Prestamos'!Q11="","",'03_Prestamos'!Q11)</f>
        <v/>
      </c>
      <c r="C11" s="29">
        <f>IF(B11="","",INDEX('12_Endeudamiento'!$D$8:$D$12,MATCH(B11,'12_Endeudamiento'!$A$8:$A$12,0)))</f>
        <v/>
      </c>
      <c r="D11" s="29">
        <f>IF(B11="","",INDEX('12_Endeudamiento'!$E$8:$E$12,MATCH(B11,'12_Endeudamiento'!$A$8:$A$12,0)))</f>
        <v/>
      </c>
      <c r="E11" s="18">
        <f>IF(B11="","",INDEX('12_Endeudamiento'!$F$8:$F$12,MATCH(B11,'12_Endeudamiento'!$A$8:$A$12,0)))</f>
        <v/>
      </c>
      <c r="F11" s="18">
        <f>IF(B11="","",INDEX('12_Endeudamiento'!$G$8:$G$12,MATCH(B11,'12_Endeudamiento'!$A$8:$A$12,0)))</f>
        <v/>
      </c>
      <c r="G11" s="18">
        <f>IF('03_Prestamos'!R11="","No",'03_Prestamos'!R11)</f>
        <v/>
      </c>
      <c r="H11" s="18">
        <f>IF(OR(G11="Sí",F11="No"),"Sí","No")</f>
        <v/>
      </c>
      <c r="I11" s="31" t="n"/>
      <c r="J11" s="31" t="n"/>
      <c r="K11" s="18">
        <f>IF(AND('03_Prestamos'!S11&lt;&gt;"",'03_Prestamos'!S11&lt;='02_Parametros'!$B$5,OR('03_Prestamos'!T11="",'03_Prestamos'!T11&gt;=EDATE('02_Parametros'!$B$5,12))),"Sí","No")</f>
        <v/>
      </c>
      <c r="L11" s="18">
        <f>IF(AND(H11="Sí",K11="No",N11="No"),"Sí","No")</f>
        <v/>
      </c>
      <c r="M11" s="30" t="n">
        <v>46203</v>
      </c>
      <c r="N11" s="18">
        <f>IF(AND('03_Prestamos'!U11&lt;&gt;"",'03_Prestamos'!U11&gt;'02_Parametros'!$B$5),"Sí","No")</f>
        <v/>
      </c>
      <c r="O11" s="18">
        <f>IF(B11="","",INDEX('12_Endeudamiento'!$H$8:$H$12,MATCH(B11,'12_Endeudamiento'!$A$8:$A$12,0)))</f>
        <v/>
      </c>
    </row>
    <row r="13">
      <c r="A13" s="22" t="inlineStr">
        <is>
          <t>ⓘ  Cómo se calcula esta hoja</t>
        </is>
      </c>
    </row>
    <row r="14">
      <c r="A14" s="23" t="inlineStr">
        <is>
          <t>Columna</t>
        </is>
      </c>
      <c r="B14" s="23" t="inlineStr">
        <is>
          <t>Fórmula (Excel)</t>
        </is>
      </c>
      <c r="C14" s="23" t="inlineStr">
        <is>
          <t>Cómo se calcula (sencillo)</t>
        </is>
      </c>
      <c r="D14" s="23" t="inlineStr">
        <is>
          <t>Ejemplo con números reales</t>
        </is>
      </c>
      <c r="E14" s="23" t="inlineStr">
        <is>
          <t>De dónde viene</t>
        </is>
      </c>
      <c r="F14" s="23" t="inlineStr">
        <is>
          <t>Norma</t>
        </is>
      </c>
    </row>
    <row r="15">
      <c r="A15" s="24" t="inlineStr">
        <is>
          <t>Covenant</t>
        </is>
      </c>
      <c r="B15" s="25" t="inlineStr">
        <is>
          <t>'=IF('03_Prestamos'!Q5="","",'03_Prestamos'!Q5)</t>
        </is>
      </c>
      <c r="C15" s="24" t="inlineStr">
        <is>
          <t>Copia el ratio pactado como covenant (deuda/activos, deuda/EBITDA, DSCR…) de la hoja 03; en blanco si no hay covenant.</t>
        </is>
      </c>
      <c r="D15" s="24" t="inlineStr">
        <is>
          <t>Fila 1: IF((vacío)=""; ""; (vacío)) → (en blanco)</t>
        </is>
      </c>
      <c r="E15" s="24" t="inlineStr">
        <is>
          <t>hoja «Universo de préstamos»</t>
        </is>
      </c>
      <c r="F15" s="24" t="inlineStr">
        <is>
          <t>—</t>
        </is>
      </c>
    </row>
    <row r="16">
      <c r="A16" s="24" t="inlineStr">
        <is>
          <t>Ratio de la entidad</t>
        </is>
      </c>
      <c r="B16" s="25" t="inlineStr">
        <is>
          <t>'=IF(B5="","",INDEX('12_Endeudamiento'!$D$8:$D$12,MATCH(B5,'12_Endeudamiento'!$A$8:$A$12,0)))</t>
        </is>
      </c>
      <c r="C16" s="24" t="inlineStr">
        <is>
          <t>Busca el covenant de esta operación en la hoja 12 (Endeudamiento) y trae el ratio calculado para la entidad; en blanco si no hay covenant.</t>
        </is>
      </c>
      <c r="D16" s="24" t="inlineStr">
        <is>
          <t>Fila 1: IF((vacío)=""; ""; INDEX([«Ratio (veces)» de «Endeudamiento y ratios de covenants (analítica, no requisito NIIF)», 5 filas]; MATCH((vacío); [«Concepto» de «Endeudamiento y ratios de covenants (analítica, no requisito NIIF)», 5 filas]; 0))) → (en blanco)</t>
        </is>
      </c>
      <c r="E16" s="24" t="inlineStr">
        <is>
          <t>«Covenant» (esta hoja), hoja «Endeudamiento y ratios de covenants (analítica, no requisito NIIF)»</t>
        </is>
      </c>
      <c r="F16" s="24" t="inlineStr">
        <is>
          <t>—</t>
        </is>
      </c>
    </row>
    <row r="17">
      <c r="A17" s="24" t="inlineStr">
        <is>
          <t>Límite</t>
        </is>
      </c>
      <c r="B17" s="25" t="inlineStr">
        <is>
          <t>'=IF(B5="","",INDEX('12_Endeudamiento'!$E$8:$E$12,MATCH(B5,'12_Endeudamiento'!$A$8:$A$12,0)))</t>
        </is>
      </c>
      <c r="C17" s="24" t="inlineStr">
        <is>
          <t>Busca el covenant en la hoja 12 (Endeudamiento) y trae el límite pactado en el contrato, tomado de los parámetros.</t>
        </is>
      </c>
      <c r="D17" s="24" t="inlineStr">
        <is>
          <t>Fila 1: IF((vacío)=""; ""; INDEX([«Límite (veces)» de «Endeudamiento y ratios de covenants (analítica, no requisito NIIF)», 5 filas]; MATCH((vacío); [«Concepto» de «Endeudamiento y ratios de covenants (analítica, no requisito NIIF)», 5 filas]; 0))) → (en blanco)</t>
        </is>
      </c>
      <c r="E17" s="24" t="inlineStr">
        <is>
          <t>«Covenant» (esta hoja), hoja «Endeudamiento y ratios de covenants (analítica, no requisito NIIF)»</t>
        </is>
      </c>
      <c r="F17" s="24" t="inlineStr">
        <is>
          <t>—</t>
        </is>
      </c>
    </row>
    <row r="18">
      <c r="A18" s="24" t="inlineStr">
        <is>
          <t>Tipo de límite</t>
        </is>
      </c>
      <c r="B18" s="25" t="inlineStr">
        <is>
          <t>'=IF(B5="","",INDEX('12_Endeudamiento'!$F$8:$F$12,MATCH(B5,'12_Endeudamiento'!$A$8:$A$12,0)))</t>
        </is>
      </c>
      <c r="C18" s="24" t="inlineStr">
        <is>
          <t>Busca el covenant en la hoja 12 (Endeudamiento) y trae si el límite es un máximo o un mínimo.</t>
        </is>
      </c>
      <c r="D18" s="24" t="inlineStr">
        <is>
          <t>Fila 1: IF((vacío)=""; ""; INDEX([«Tipo» de «Endeudamiento y ratios de covenants (analítica, no requisito NIIF)», 5 filas]; MATCH((vacío); [«Concepto» de «Endeudamiento y ratios de covenants (analítica, no requisito NIIF)», 5 filas]; 0))) → (en blanco)</t>
        </is>
      </c>
      <c r="E18" s="24" t="inlineStr">
        <is>
          <t>«Covenant» (esta hoja), hoja «Endeudamiento y ratios de covenants (analítica, no requisito NIIF)»</t>
        </is>
      </c>
      <c r="F18" s="24" t="inlineStr">
        <is>
          <t>—</t>
        </is>
      </c>
    </row>
    <row r="19">
      <c r="A19" s="24" t="inlineStr">
        <is>
          <t>Cumple el límite</t>
        </is>
      </c>
      <c r="B19" s="25" t="inlineStr">
        <is>
          <t>'=IF(B5="","",INDEX('12_Endeudamiento'!$G$8:$G$12,MATCH(B5,'12_Endeudamiento'!$A$8:$A$12,0)))</t>
        </is>
      </c>
      <c r="C19" s="24" t="inlineStr">
        <is>
          <t>Busca el covenant en la hoja 12 (Endeudamiento) y trae si la entidad cumple el límite; queda en blanco si falta el ratio, el límite o, en el DSCR, la definición contractual.</t>
        </is>
      </c>
      <c r="D19" s="24" t="inlineStr">
        <is>
          <t>Fila 1: IF((vacío)=""; ""; INDEX([«Cumple (solo con definición contractual)» de «Endeudamiento y ratios de covenants (analítica, no requisito NIIF)», 5 filas]; MATCH((vacío); [«Concepto» de «Endeudamiento y ratios de covenants (analítica, no requisito NIIF)», 5 filas]; 0))) → (en blanco)</t>
        </is>
      </c>
      <c r="E19" s="24" t="inlineStr">
        <is>
          <t>«Covenant» (esta hoja), hoja «Endeudamiento y ratios de covenants (analítica, no requisito NIIF)»</t>
        </is>
      </c>
      <c r="F19" s="24" t="inlineStr">
        <is>
          <t>—</t>
        </is>
      </c>
    </row>
    <row r="20">
      <c r="A20" s="24" t="inlineStr">
        <is>
          <t>Incumplimiento declarado</t>
        </is>
      </c>
      <c r="B20" s="25" t="inlineStr">
        <is>
          <t>'=IF('03_Prestamos'!R5="","No",'03_Prestamos'!R5)</t>
        </is>
      </c>
      <c r="C20" s="24" t="inlineStr">
        <is>
          <t>Copia si el cliente declaró incumplimiento del covenant (hoja 03); si no dijo nada, se toma como «No».</t>
        </is>
      </c>
      <c r="D20" s="24" t="inlineStr">
        <is>
          <t>Fila 1: IF((vacío)=""; "No"; (vacío)) → No</t>
        </is>
      </c>
      <c r="E20" s="24" t="inlineStr">
        <is>
          <t>hoja «Universo de préstamos»</t>
        </is>
      </c>
      <c r="F20" s="24" t="inlineStr">
        <is>
          <t>—</t>
        </is>
      </c>
    </row>
    <row r="21">
      <c r="A21" s="24" t="inlineStr">
        <is>
          <t>Incumplimiento al corte</t>
        </is>
      </c>
      <c r="B21" s="25" t="inlineStr">
        <is>
          <t>'=IF(OR(G5="Sí",F5="No"),"Sí","No")</t>
        </is>
      </c>
      <c r="C21" s="24" t="inlineStr">
        <is>
          <t>Marca «Sí» si el cliente declaró el incumplimiento o si el recálculo muestra que no cumple el límite.</t>
        </is>
      </c>
      <c r="D21" s="24" t="inlineStr">
        <is>
          <t>Fila 1: IF(OR(«No»="Sí"; (vacío)="No"); "Sí"; "No") → No</t>
        </is>
      </c>
      <c r="E21" s="24" t="inlineStr">
        <is>
          <t>«Incumplimiento declarado» (esta hoja), «Cumple el límite» (esta hoja)</t>
        </is>
      </c>
      <c r="F21" s="24" t="inlineStr">
        <is>
          <t>—</t>
        </is>
      </c>
    </row>
    <row r="22">
      <c r="A22" s="24" t="inlineStr">
        <is>
          <t>Dispensa válida al corte (NIC 1 75)</t>
        </is>
      </c>
      <c r="B22" s="25" t="inlineStr">
        <is>
          <t>'=IF(AND('03_Prestamos'!S5&lt;&gt;"",'03_Prestamos'!S5&lt;='02_Parametros'!$B$5,OR('03_Prestamos'!T5="",'03_Prestamos'!T5&gt;=EDATE('02_Parametros'!$B$5,12))),"Sí","No")</t>
        </is>
      </c>
      <c r="C22" s="24" t="inlineStr">
        <is>
          <t>«Sí» cuando hay fecha de dispensa, es anterior o igual al corte y la gracia no tiene fecha o llega al menos 12 meses después del corte (hojas 02 y 03).</t>
        </is>
      </c>
      <c r="D22" s="24" t="inlineStr">
        <is>
          <t>Fila 1: IF(AND((vacío)&lt;&gt;""; (vacío)&lt;=«2025-12-31»; OR((vacío)=""; (vacío)&gt;=EDATE(«2025-12-31»; 12))); "Sí"; "No") → No</t>
        </is>
      </c>
      <c r="E22" s="24" t="inlineStr">
        <is>
          <t>hoja «Universo de préstamos», hoja «Parámetros»</t>
        </is>
      </c>
      <c r="F22" s="24" t="inlineStr">
        <is>
          <t>—</t>
        </is>
      </c>
    </row>
    <row r="23">
      <c r="A23" s="24" t="inlineStr">
        <is>
          <t>Deuda exigible: toda corriente (74)</t>
        </is>
      </c>
      <c r="B23" s="25" t="inlineStr">
        <is>
          <t>'=IF(AND(H5="Sí",K5="No",N5="No"),"Sí","No")</t>
        </is>
      </c>
      <c r="C23" s="24" t="inlineStr">
        <is>
          <t>«Sí» cuando hay incumplimiento al corte, no hay dispensa válida y el covenant no se mide después del corte: entonces toda la deuda pasa a corriente.</t>
        </is>
      </c>
      <c r="D23" s="24" t="inlineStr">
        <is>
          <t>Fila 1: IF(AND(«No»="Sí"; «No»="No"; «No»="No"); "Sí"; "No") → No</t>
        </is>
      </c>
      <c r="E23" s="24" t="inlineStr">
        <is>
          <t>«Incumplimiento al corte» (esta hoja), «Dispensa válida al corte (NIC 1 75)» (esta hoja), «Se mide después del corte (72B)» (esta hoja)</t>
        </is>
      </c>
      <c r="F23" s="24" t="inlineStr">
        <is>
          <t>—</t>
        </is>
      </c>
    </row>
    <row r="24">
      <c r="A24" s="24" t="inlineStr">
        <is>
          <t>Se mide después del corte (72B)</t>
        </is>
      </c>
      <c r="B24" s="25" t="inlineStr">
        <is>
          <t>'=IF(AND('03_Prestamos'!U5&lt;&gt;"",'03_Prestamos'!U5&gt;'02_Parametros'!$B$5),"Sí","No")</t>
        </is>
      </c>
      <c r="C24" s="24" t="inlineStr">
        <is>
          <t>«Sí» si la fecha de medición del covenant informada en la hoja 03 es posterior al corte: ese covenant no reclasifica la deuda, solo se revela.</t>
        </is>
      </c>
      <c r="D24" s="24" t="inlineStr">
        <is>
          <t>Fila 1: IF(AND((vacío)&lt;&gt;""; (vacío)&gt;«2025-12-31»); "Sí"; "No") → No</t>
        </is>
      </c>
      <c r="E24" s="24" t="inlineStr">
        <is>
          <t>hoja «Universo de préstamos», hoja «Parámetros»</t>
        </is>
      </c>
      <c r="F24" s="24" t="inlineStr">
        <is>
          <t>—</t>
        </is>
      </c>
    </row>
    <row r="25">
      <c r="A25" s="24" t="inlineStr">
        <is>
          <t>Definición aplicada del covenant</t>
        </is>
      </c>
      <c r="B25" s="25" t="inlineStr">
        <is>
          <t>'=IF(B5="","",INDEX('12_Endeudamiento'!$H$8:$H$12,MATCH(B5,'12_Endeudamiento'!$A$8:$A$12,0)))</t>
        </is>
      </c>
      <c r="C25" s="24" t="inlineStr">
        <is>
          <t>Busca el covenant en la hoja 12 (Endeudamiento) y trae la definición con la que se midió (la del contrato o, en el DSCR sin definición, la analítica de la firma).</t>
        </is>
      </c>
      <c r="D25" s="24" t="inlineStr">
        <is>
          <t>Fila 1: IF((vacío)=""; ""; INDEX([«Definición aplicada» de «Endeudamiento y ratios de covenants (analítica, no requisito NIIF)», 5 filas]; MATCH((vacío); [«Concepto» de «Endeudamiento y ratios de covenants (analítica, no requisito NIIF)», 5 filas]; 0))) → (en blanco)</t>
        </is>
      </c>
      <c r="E25" s="24" t="inlineStr">
        <is>
          <t>«Covenant» (esta hoja), hoja «Endeudamiento y ratios de covenants (analítica, no requisito NIIF)»</t>
        </is>
      </c>
      <c r="F25" s="24" t="inlineStr">
        <is>
          <t>—</t>
        </is>
      </c>
    </row>
  </sheetData>
  <mergeCells count="3">
    <mergeCell ref="A13:F13"/>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J24"/>
  <sheetViews>
    <sheetView showGridLines="0" workbookViewId="0">
      <pane ySplit="4" topLeftCell="A5" activePane="bottomLeft" state="frozen"/>
      <selection pane="bottomLeft" activeCell="A1" sqref="A1"/>
    </sheetView>
  </sheetViews>
  <sheetFormatPr baseColWidth="8" defaultRowHeight="15"/>
  <cols>
    <col width="12" customWidth="1" min="1" max="1"/>
    <col width="27" customWidth="1" min="2" max="2"/>
    <col width="20" customWidth="1" min="3" max="3"/>
    <col width="41" customWidth="1" min="4" max="4"/>
    <col width="59" customWidth="1" min="5" max="5"/>
    <col width="23" customWidth="1" min="6" max="6"/>
    <col width="20" customWidth="1" min="7" max="7"/>
    <col width="23" customWidth="1" min="8" max="8"/>
    <col width="22" customWidth="1" min="9" max="9"/>
    <col width="24" customWidth="1" min="10" max="10"/>
  </cols>
  <sheetData>
    <row r="1">
      <c r="A1" s="3" t="inlineStr">
        <is>
          <t>Clasificación corriente / no corriente</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c r="J2" s="16" t="n"/>
    </row>
    <row r="4" ht="30" customHeight="1">
      <c r="A4" s="17" t="inlineStr">
        <is>
          <t>Operación</t>
        </is>
      </c>
      <c r="B4" s="17" t="inlineStr">
        <is>
          <t>Costo amortizado al corte</t>
        </is>
      </c>
      <c r="C4" s="17" t="inlineStr">
        <is>
          <t>Período a 12 meses</t>
        </is>
      </c>
      <c r="D4" s="17" t="inlineStr">
        <is>
          <t>Capital contractual después de 12 meses</t>
        </is>
      </c>
      <c r="E4" s="17" t="inlineStr">
        <is>
          <t>Corriente: capital de 12 meses + interés devengado (69 c)</t>
        </is>
      </c>
      <c r="F4" s="17" t="inlineStr">
        <is>
          <t>Exigible por covenant</t>
        </is>
      </c>
      <c r="G4" s="17" t="inlineStr">
        <is>
          <t>Corriente auditado</t>
        </is>
      </c>
      <c r="H4" s="17" t="inlineStr">
        <is>
          <t>No corriente auditado</t>
        </is>
      </c>
      <c r="I4" s="17" t="inlineStr">
        <is>
          <t>Corriente registrado</t>
        </is>
      </c>
      <c r="J4" s="17" t="inlineStr">
        <is>
          <t>Diferencia corriente</t>
        </is>
      </c>
    </row>
    <row r="5">
      <c r="A5" s="18" t="inlineStr">
        <is>
          <t>OP-101</t>
        </is>
      </c>
      <c r="B5" s="20">
        <f>'06_Costo_amortizado'!I5</f>
        <v/>
      </c>
      <c r="C5" s="34">
        <f>MIN('06_Costo_amortizado'!C5+12/'04_Condiciones_TIE'!G5,'04_Condiciones_TIE'!H5)</f>
        <v/>
      </c>
      <c r="D5" s="20">
        <f>SUMIFS('05_Tabla_amortizacion'!$H$5:$H$163,'05_Tabla_amortizacion'!$A$5:$A$163,A5,'05_Tabla_amortizacion'!$B$5:$B$163,C5)</f>
        <v/>
      </c>
      <c r="E5" s="20">
        <f>MIN('06_Costo_amortizado'!E5-D5+'06_Costo_amortizado'!H5,B5)</f>
        <v/>
      </c>
      <c r="F5" s="18">
        <f>'10_Covenants'!L5</f>
        <v/>
      </c>
      <c r="G5" s="20">
        <f>IF(F5="Sí",B5,E5)</f>
        <v/>
      </c>
      <c r="H5" s="20">
        <f>B5-G5</f>
        <v/>
      </c>
      <c r="I5" s="20">
        <f>IF('03_Prestamos'!P5="","",'03_Prestamos'!P5)</f>
        <v/>
      </c>
      <c r="J5" s="20">
        <f>IF(I5="","",G5-I5)</f>
        <v/>
      </c>
    </row>
    <row r="6">
      <c r="A6" s="19" t="inlineStr">
        <is>
          <t>OP-102</t>
        </is>
      </c>
      <c r="B6" s="21">
        <f>'06_Costo_amortizado'!I6</f>
        <v/>
      </c>
      <c r="C6" s="36">
        <f>MIN('06_Costo_amortizado'!C6+12/'04_Condiciones_TIE'!G6,'04_Condiciones_TIE'!H6)</f>
        <v/>
      </c>
      <c r="D6" s="21">
        <f>SUMIFS('05_Tabla_amortizacion'!$H$5:$H$163,'05_Tabla_amortizacion'!$A$5:$A$163,A6,'05_Tabla_amortizacion'!$B$5:$B$163,C6)</f>
        <v/>
      </c>
      <c r="E6" s="21">
        <f>MIN('06_Costo_amortizado'!E6-D6+'06_Costo_amortizado'!H6,B6)</f>
        <v/>
      </c>
      <c r="F6" s="19">
        <f>'10_Covenants'!L6</f>
        <v/>
      </c>
      <c r="G6" s="21">
        <f>IF(F6="Sí",B6,E6)</f>
        <v/>
      </c>
      <c r="H6" s="21">
        <f>B6-G6</f>
        <v/>
      </c>
      <c r="I6" s="21">
        <f>IF('03_Prestamos'!P6="","",'03_Prestamos'!P6)</f>
        <v/>
      </c>
      <c r="J6" s="21">
        <f>IF(I6="","",G6-I6)</f>
        <v/>
      </c>
    </row>
    <row r="7">
      <c r="A7" s="18" t="inlineStr">
        <is>
          <t>OP-103</t>
        </is>
      </c>
      <c r="B7" s="20">
        <f>'06_Costo_amortizado'!I7</f>
        <v/>
      </c>
      <c r="C7" s="34">
        <f>MIN('06_Costo_amortizado'!C7+12/'04_Condiciones_TIE'!G7,'04_Condiciones_TIE'!H7)</f>
        <v/>
      </c>
      <c r="D7" s="20">
        <f>SUMIFS('05_Tabla_amortizacion'!$H$5:$H$163,'05_Tabla_amortizacion'!$A$5:$A$163,A7,'05_Tabla_amortizacion'!$B$5:$B$163,C7)</f>
        <v/>
      </c>
      <c r="E7" s="20">
        <f>MIN('06_Costo_amortizado'!E7-D7+'06_Costo_amortizado'!H7,B7)</f>
        <v/>
      </c>
      <c r="F7" s="18">
        <f>'10_Covenants'!L7</f>
        <v/>
      </c>
      <c r="G7" s="20">
        <f>IF(F7="Sí",B7,E7)</f>
        <v/>
      </c>
      <c r="H7" s="20">
        <f>B7-G7</f>
        <v/>
      </c>
      <c r="I7" s="20">
        <f>IF('03_Prestamos'!P7="","",'03_Prestamos'!P7)</f>
        <v/>
      </c>
      <c r="J7" s="20">
        <f>IF(I7="","",G7-I7)</f>
        <v/>
      </c>
    </row>
    <row r="8">
      <c r="A8" s="19" t="inlineStr">
        <is>
          <t>OP-104</t>
        </is>
      </c>
      <c r="B8" s="21">
        <f>'06_Costo_amortizado'!I8</f>
        <v/>
      </c>
      <c r="C8" s="36">
        <f>MIN('06_Costo_amortizado'!C8+12/'04_Condiciones_TIE'!G8,'04_Condiciones_TIE'!H8)</f>
        <v/>
      </c>
      <c r="D8" s="21">
        <f>SUMIFS('05_Tabla_amortizacion'!$H$5:$H$163,'05_Tabla_amortizacion'!$A$5:$A$163,A8,'05_Tabla_amortizacion'!$B$5:$B$163,C8)</f>
        <v/>
      </c>
      <c r="E8" s="21">
        <f>MIN('06_Costo_amortizado'!E8-D8+'06_Costo_amortizado'!H8,B8)</f>
        <v/>
      </c>
      <c r="F8" s="19">
        <f>'10_Covenants'!L8</f>
        <v/>
      </c>
      <c r="G8" s="21">
        <f>IF(F8="Sí",B8,E8)</f>
        <v/>
      </c>
      <c r="H8" s="21">
        <f>B8-G8</f>
        <v/>
      </c>
      <c r="I8" s="21">
        <f>IF('03_Prestamos'!P8="","",'03_Prestamos'!P8)</f>
        <v/>
      </c>
      <c r="J8" s="21">
        <f>IF(I8="","",G8-I8)</f>
        <v/>
      </c>
    </row>
    <row r="9">
      <c r="A9" s="18" t="inlineStr">
        <is>
          <t>OP-105</t>
        </is>
      </c>
      <c r="B9" s="20">
        <f>'06_Costo_amortizado'!I9</f>
        <v/>
      </c>
      <c r="C9" s="34">
        <f>MIN('06_Costo_amortizado'!C9+12/'04_Condiciones_TIE'!G9,'04_Condiciones_TIE'!H9)</f>
        <v/>
      </c>
      <c r="D9" s="20">
        <f>SUMIFS('05_Tabla_amortizacion'!$H$5:$H$163,'05_Tabla_amortizacion'!$A$5:$A$163,A9,'05_Tabla_amortizacion'!$B$5:$B$163,C9)</f>
        <v/>
      </c>
      <c r="E9" s="20">
        <f>MIN('06_Costo_amortizado'!E9-D9+'06_Costo_amortizado'!H9,B9)</f>
        <v/>
      </c>
      <c r="F9" s="18">
        <f>'10_Covenants'!L9</f>
        <v/>
      </c>
      <c r="G9" s="20">
        <f>IF(F9="Sí",B9,E9)</f>
        <v/>
      </c>
      <c r="H9" s="20">
        <f>B9-G9</f>
        <v/>
      </c>
      <c r="I9" s="20">
        <f>IF('03_Prestamos'!P9="","",'03_Prestamos'!P9)</f>
        <v/>
      </c>
      <c r="J9" s="20">
        <f>IF(I9="","",G9-I9)</f>
        <v/>
      </c>
    </row>
    <row r="10">
      <c r="A10" s="19" t="inlineStr">
        <is>
          <t>OP-106</t>
        </is>
      </c>
      <c r="B10" s="21">
        <f>'06_Costo_amortizado'!I10</f>
        <v/>
      </c>
      <c r="C10" s="36">
        <f>MIN('06_Costo_amortizado'!C10+12/'04_Condiciones_TIE'!G10,'04_Condiciones_TIE'!H10)</f>
        <v/>
      </c>
      <c r="D10" s="21">
        <f>SUMIFS('05_Tabla_amortizacion'!$H$5:$H$163,'05_Tabla_amortizacion'!$A$5:$A$163,A10,'05_Tabla_amortizacion'!$B$5:$B$163,C10)</f>
        <v/>
      </c>
      <c r="E10" s="21">
        <f>MIN('06_Costo_amortizado'!E10-D10+'06_Costo_amortizado'!H10,B10)</f>
        <v/>
      </c>
      <c r="F10" s="19">
        <f>'10_Covenants'!L10</f>
        <v/>
      </c>
      <c r="G10" s="21">
        <f>IF(F10="Sí",B10,E10)</f>
        <v/>
      </c>
      <c r="H10" s="21">
        <f>B10-G10</f>
        <v/>
      </c>
      <c r="I10" s="21">
        <f>IF('03_Prestamos'!P10="","",'03_Prestamos'!P10)</f>
        <v/>
      </c>
      <c r="J10" s="21">
        <f>IF(I10="","",G10-I10)</f>
        <v/>
      </c>
    </row>
    <row r="11">
      <c r="A11" s="18" t="inlineStr">
        <is>
          <t>OP-107</t>
        </is>
      </c>
      <c r="B11" s="20">
        <f>'06_Costo_amortizado'!I11</f>
        <v/>
      </c>
      <c r="C11" s="34">
        <f>MIN('06_Costo_amortizado'!C11+12/'04_Condiciones_TIE'!G11,'04_Condiciones_TIE'!H11)</f>
        <v/>
      </c>
      <c r="D11" s="20">
        <f>SUMIFS('05_Tabla_amortizacion'!$H$5:$H$163,'05_Tabla_amortizacion'!$A$5:$A$163,A11,'05_Tabla_amortizacion'!$B$5:$B$163,C11)</f>
        <v/>
      </c>
      <c r="E11" s="20">
        <f>MIN('06_Costo_amortizado'!E11-D11+'06_Costo_amortizado'!H11,B11)</f>
        <v/>
      </c>
      <c r="F11" s="18">
        <f>'10_Covenants'!L11</f>
        <v/>
      </c>
      <c r="G11" s="20">
        <f>IF(F11="Sí",B11,E11)</f>
        <v/>
      </c>
      <c r="H11" s="20">
        <f>B11-G11</f>
        <v/>
      </c>
      <c r="I11" s="20">
        <f>IF('03_Prestamos'!P11="","",'03_Prestamos'!P11)</f>
        <v/>
      </c>
      <c r="J11" s="20">
        <f>IF(I11="","",G11-I11)</f>
        <v/>
      </c>
    </row>
    <row r="12">
      <c r="A12" s="38" t="inlineStr">
        <is>
          <t>TOTAL</t>
        </is>
      </c>
      <c r="B12" s="39">
        <f>SUM(B5:B11)</f>
        <v/>
      </c>
      <c r="C12" s="40" t="n"/>
      <c r="D12" s="39" t="n"/>
      <c r="E12" s="39">
        <f>SUM(E5:E11)</f>
        <v/>
      </c>
      <c r="F12" s="38" t="inlineStr"/>
      <c r="G12" s="39">
        <f>SUM(G5:G11)</f>
        <v/>
      </c>
      <c r="H12" s="39">
        <f>SUM(H5:H11)</f>
        <v/>
      </c>
      <c r="I12" s="39" t="n"/>
      <c r="J12" s="39" t="n"/>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Costo amortizado al corte</t>
        </is>
      </c>
      <c r="B16" s="25" t="inlineStr">
        <is>
          <t>'='06_Costo_amortizado'!I5</t>
        </is>
      </c>
      <c r="C16" s="24" t="inlineStr">
        <is>
          <t>Trae el costo amortizado al corte de esta operación calculado en la hoja 06 (Costo amortizado).</t>
        </is>
      </c>
      <c r="D16" s="24" t="inlineStr">
        <is>
          <t>Fila 1: 47.814,46 → 47.814,46</t>
        </is>
      </c>
      <c r="E16" s="24" t="inlineStr">
        <is>
          <t>hoja «Costo amortizado al corte y del ejercicio»</t>
        </is>
      </c>
      <c r="F16" s="24" t="inlineStr">
        <is>
          <t>—</t>
        </is>
      </c>
    </row>
    <row r="17">
      <c r="A17" s="24" t="inlineStr">
        <is>
          <t>Período a 12 meses</t>
        </is>
      </c>
      <c r="B17" s="25" t="inlineStr">
        <is>
          <t>'=MIN('06_Costo_amortizado'!C5+12/'04_Condiciones_TIE'!G5,'04_Condiciones_TIE'!H5)</t>
        </is>
      </c>
      <c r="C17" s="24" t="inlineStr">
        <is>
          <t>Suma a los períodos vencidos al corte (hoja 06) los períodos que caben en 12 meses, sin pasar del total de períodos: es la cuota que vence un año después del corte.</t>
        </is>
      </c>
      <c r="D17" s="24" t="inlineStr">
        <is>
          <t>Fila 1: MIN(23+12/1; 36) → 35</t>
        </is>
      </c>
      <c r="E17" s="24" t="inlineStr">
        <is>
          <t>hoja «Costo amortizado al corte y del ejercicio», hoja «Condiciones y tasa de interés efectiva»</t>
        </is>
      </c>
      <c r="F17" s="24" t="inlineStr">
        <is>
          <t>—</t>
        </is>
      </c>
    </row>
    <row r="18">
      <c r="A18" s="24" t="inlineStr">
        <is>
          <t>Capital contractual después de 12 meses</t>
        </is>
      </c>
      <c r="B18" s="25" t="inlineStr">
        <is>
          <t>'=SUMIFS('05_Tabla_amortizacion'!$H$5:$H$163,'05_Tabla_amortizacion'!$A$5:$A$163,A5,'05_Tabla_amortizacion'!$B$5:$B$163,C5)</t>
        </is>
      </c>
      <c r="C18" s="24" t="inlineStr">
        <is>
          <t>Busca en la hoja 05 (Tabla de amortización) el capital final de esta operación en el período a 12 meses: es lo que se seguirá debiendo dentro de un año.</t>
        </is>
      </c>
      <c r="D18" s="24" t="inlineStr">
        <is>
          <t>Fila 1: SUMIFS([«Capital final» de «Tabla de amortización», 159 filas]; [«Operación» de «Tabla de amortización», 159 filas]; «OP-101»; [«Período» de «Tabla de amortización», 159 filas]; 35) → 3.892,96</t>
        </is>
      </c>
      <c r="E18" s="24" t="inlineStr">
        <is>
          <t>«Operación» (esta hoja), «Período a 12 meses» (esta hoja), hoja «Tabla de amortización»</t>
        </is>
      </c>
      <c r="F18" s="24" t="inlineStr">
        <is>
          <t>—</t>
        </is>
      </c>
    </row>
    <row r="19">
      <c r="A19" s="24" t="inlineStr">
        <is>
          <t>Corriente: capital de 12 meses + interés devengado (69 c)</t>
        </is>
      </c>
      <c r="B19" s="25" t="inlineStr">
        <is>
          <t>'=MIN('06_Costo_amortizado'!E5-D5+'06_Costo_amortizado'!H5,B5)</t>
        </is>
      </c>
      <c r="C19" s="24" t="inlineStr">
        <is>
          <t>Capital contractual al corte (hoja 06) menos el que queda después de 12 meses, más el interés a la TIE devengado; sin superar el costo amortizado al corte.</t>
        </is>
      </c>
      <c r="D19" s="24" t="inlineStr">
        <is>
          <t>Fila 1: MIN(47.940,12-3.892,96+253,71; 47.814,46) → 44.300,86</t>
        </is>
      </c>
      <c r="E19" s="24" t="inlineStr">
        <is>
          <t>«Capital contractual después de 12 meses» (esta hoja), «Costo amortizado al corte» (esta hoja), hoja «Costo amortizado al corte y del ejercicio»</t>
        </is>
      </c>
      <c r="F19" s="24" t="inlineStr">
        <is>
          <t>—</t>
        </is>
      </c>
    </row>
    <row r="20">
      <c r="A20" s="24" t="inlineStr">
        <is>
          <t>Exigible por covenant</t>
        </is>
      </c>
      <c r="B20" s="25" t="inlineStr">
        <is>
          <t>'='10_Covenants'!L5</t>
        </is>
      </c>
      <c r="C20" s="24" t="inlineStr">
        <is>
          <t>Trae de la hoja 10 (Covenants) si la deuda es exigible por un covenant incumplido sin dispensa válida.</t>
        </is>
      </c>
      <c r="D20" s="24" t="inlineStr">
        <is>
          <t>Fila 1: «No» → No</t>
        </is>
      </c>
      <c r="E20" s="24" t="inlineStr">
        <is>
          <t>hoja «Covenants y dispensas»</t>
        </is>
      </c>
      <c r="F20" s="24" t="inlineStr">
        <is>
          <t>—</t>
        </is>
      </c>
    </row>
    <row r="21">
      <c r="A21" s="24" t="inlineStr">
        <is>
          <t>Corriente auditado</t>
        </is>
      </c>
      <c r="B21" s="25" t="inlineStr">
        <is>
          <t>'=IF(F5="Sí",B5,E5)</t>
        </is>
      </c>
      <c r="C21" s="24" t="inlineStr">
        <is>
          <t>Si la deuda es exigible por covenant, todo el costo amortizado es corriente; si no, la porción que vence en 12 meses más el interés devengado.</t>
        </is>
      </c>
      <c r="D21" s="24" t="inlineStr">
        <is>
          <t>Fila 1: IF(«No»="Sí"; 47.814,46; 44.300,86) → 44.300,86</t>
        </is>
      </c>
      <c r="E21" s="24" t="inlineStr">
        <is>
          <t>«Exigible por covenant» (esta hoja), «Costo amortizado al corte» (esta hoja), «Corriente: capital de 12 meses + interés devengado (69 c)» (esta hoja)</t>
        </is>
      </c>
      <c r="F21" s="24" t="inlineStr">
        <is>
          <t>—</t>
        </is>
      </c>
    </row>
    <row r="22">
      <c r="A22" s="24" t="inlineStr">
        <is>
          <t>No corriente auditado</t>
        </is>
      </c>
      <c r="B22" s="25" t="inlineStr">
        <is>
          <t>'=B5-G5</t>
        </is>
      </c>
      <c r="C22" s="24" t="inlineStr">
        <is>
          <t>Resta el corriente auditado del costo amortizado al corte: es la parte que vence después de 12 meses.</t>
        </is>
      </c>
      <c r="D22" s="24" t="inlineStr">
        <is>
          <t>Fila 1: 47.814,46-44.300,86 → 3.513,60</t>
        </is>
      </c>
      <c r="E22" s="24" t="inlineStr">
        <is>
          <t>«Costo amortizado al corte» (esta hoja), «Corriente auditado» (esta hoja)</t>
        </is>
      </c>
      <c r="F22" s="24" t="inlineStr">
        <is>
          <t>—</t>
        </is>
      </c>
    </row>
    <row r="23">
      <c r="A23" s="24" t="inlineStr">
        <is>
          <t>Corriente registrado</t>
        </is>
      </c>
      <c r="B23" s="25" t="inlineStr">
        <is>
          <t>'=IF('03_Prestamos'!P5="","",'03_Prestamos'!P5)</t>
        </is>
      </c>
      <c r="C23" s="24" t="inlineStr">
        <is>
          <t>Copia la porción corriente que presentó el cliente (hoja 03); en blanco si no la informó.</t>
        </is>
      </c>
      <c r="D23" s="24" t="inlineStr">
        <is>
          <t>Fila 1: IF((vacío)=""; ""; (vacío)) → (en blanco)</t>
        </is>
      </c>
      <c r="E23" s="24" t="inlineStr">
        <is>
          <t>hoja «Universo de préstamos»</t>
        </is>
      </c>
      <c r="F23" s="24" t="inlineStr">
        <is>
          <t>—</t>
        </is>
      </c>
    </row>
    <row r="24">
      <c r="A24" s="24" t="inlineStr">
        <is>
          <t>Diferencia corriente</t>
        </is>
      </c>
      <c r="B24" s="25" t="inlineStr">
        <is>
          <t>'=IF(I5="","",G5-I5)</t>
        </is>
      </c>
      <c r="C24" s="24" t="inlineStr">
        <is>
          <t>Resta el corriente registrado del corriente auditado; solo se calcula si el cliente informó su porción corriente. Positivo: falta reclasificar a corriente.</t>
        </is>
      </c>
      <c r="D24" s="24" t="inlineStr">
        <is>
          <t>Fila 1: IF((vacío)=""; ""; 44.300,86-(vacío)) → (en blanco)</t>
        </is>
      </c>
      <c r="E24" s="24" t="inlineStr">
        <is>
          <t>«Corriente registrado» (esta hoja), «Corriente auditado» (esta hoja)</t>
        </is>
      </c>
      <c r="F24"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J21"/>
  <sheetViews>
    <sheetView showGridLines="0" workbookViewId="0">
      <pane ySplit="4" topLeftCell="A5" activePane="bottomLeft" state="frozen"/>
      <selection pane="bottomLeft" activeCell="A1" sqref="A1"/>
    </sheetView>
  </sheetViews>
  <sheetFormatPr baseColWidth="8" defaultRowHeight="15"/>
  <cols>
    <col width="46" customWidth="1" min="1" max="1"/>
    <col width="20" customWidth="1" min="2" max="2"/>
    <col width="20" customWidth="1" min="3" max="3"/>
    <col width="20" customWidth="1" min="4" max="4"/>
    <col width="16" customWidth="1" min="5" max="5"/>
    <col width="12" customWidth="1" min="6" max="6"/>
    <col width="42" customWidth="1" min="7" max="7"/>
    <col width="60" customWidth="1" min="8" max="8"/>
  </cols>
  <sheetData>
    <row r="1">
      <c r="A1" s="3" t="inlineStr">
        <is>
          <t>Endeudamiento y ratios de covenants (analítica, no requisito NIIF)</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row>
    <row r="4" ht="30" customHeight="1">
      <c r="A4" s="17" t="inlineStr">
        <is>
          <t>Concepto</t>
        </is>
      </c>
      <c r="B4" s="17" t="inlineStr">
        <is>
          <t>Numerador</t>
        </is>
      </c>
      <c r="C4" s="17" t="inlineStr">
        <is>
          <t>Denominador</t>
        </is>
      </c>
      <c r="D4" s="17" t="inlineStr">
        <is>
          <t>Ratio (veces)</t>
        </is>
      </c>
      <c r="E4" s="17" t="inlineStr">
        <is>
          <t>Límite (veces)</t>
        </is>
      </c>
      <c r="F4" s="17" t="inlineStr">
        <is>
          <t>Tipo</t>
        </is>
      </c>
      <c r="G4" s="17" t="inlineStr">
        <is>
          <t>Cumple (solo con definición contractual)</t>
        </is>
      </c>
      <c r="H4" s="17" t="inlineStr">
        <is>
          <t>Definición aplicada</t>
        </is>
      </c>
    </row>
    <row r="5">
      <c r="A5" s="18" t="inlineStr">
        <is>
          <t>Deuda financiera auditada (costo amortizado)</t>
        </is>
      </c>
      <c r="B5" s="20">
        <f>SUM('06_Costo_amortizado'!I5:I11)</f>
        <v/>
      </c>
      <c r="C5" s="20" t="n"/>
      <c r="D5" s="18" t="n"/>
      <c r="E5" s="18" t="n"/>
      <c r="F5" s="18" t="n"/>
      <c r="G5" s="18" t="n"/>
      <c r="H5" s="18" t="n"/>
    </row>
    <row r="6">
      <c r="A6" s="19" t="inlineStr">
        <is>
          <t>Gasto financiero del ejercicio (TIE)</t>
        </is>
      </c>
      <c r="B6" s="21">
        <f>SUM('06_Costo_amortizado'!U5:U11)</f>
        <v/>
      </c>
      <c r="C6" s="21" t="n"/>
      <c r="D6" s="19" t="n"/>
      <c r="E6" s="19" t="n"/>
      <c r="F6" s="19" t="n"/>
      <c r="G6" s="19" t="n"/>
      <c r="H6" s="19" t="n"/>
    </row>
    <row r="7">
      <c r="A7" s="18" t="inlineStr">
        <is>
          <t>Servicio de la deuda del ejercicio (pagos)</t>
        </is>
      </c>
      <c r="B7" s="20">
        <f>SUM('06_Costo_amortizado'!S5:S11)</f>
        <v/>
      </c>
      <c r="C7" s="20" t="n"/>
      <c r="D7" s="18" t="n"/>
      <c r="E7" s="18" t="n"/>
      <c r="F7" s="18" t="n"/>
      <c r="G7" s="18" t="n"/>
      <c r="H7" s="18" t="n"/>
    </row>
    <row r="8">
      <c r="A8" s="19" t="inlineStr">
        <is>
          <t>Deuda / activos</t>
        </is>
      </c>
      <c r="B8" s="21">
        <f>B5</f>
        <v/>
      </c>
      <c r="C8" s="21">
        <f>IF('02_Parametros'!$B$8="","",'02_Parametros'!$B$8)</f>
        <v/>
      </c>
      <c r="D8" s="28">
        <f>IF(OR(B8="",C8="",C8&lt;=0),"",B8/C8)</f>
        <v/>
      </c>
      <c r="E8" s="28">
        <f>IF('02_Parametros'!$B$14="","",'02_Parametros'!$B$14)</f>
        <v/>
      </c>
      <c r="F8" s="19" t="inlineStr">
        <is>
          <t>Máximo</t>
        </is>
      </c>
      <c r="G8" s="19">
        <f>IF(OR(D8="",E8=""),"",IF(F8="Máximo",IF(D8&lt;=E8,"Sí","No"),IF(D8&gt;=E8,"Sí","No")))</f>
        <v/>
      </c>
      <c r="H8" s="19" t="inlineStr">
        <is>
          <t>Analítica de auditoría (no es un requisito NIIF)</t>
        </is>
      </c>
    </row>
    <row r="9">
      <c r="A9" s="18" t="inlineStr">
        <is>
          <t>Deuda / patrimonio</t>
        </is>
      </c>
      <c r="B9" s="20">
        <f>B5</f>
        <v/>
      </c>
      <c r="C9" s="20">
        <f>IF('02_Parametros'!$B$9="","",'02_Parametros'!$B$9)</f>
        <v/>
      </c>
      <c r="D9" s="29">
        <f>IF(OR(B9="",C9="",C9&lt;=0),"",B9/C9)</f>
        <v/>
      </c>
      <c r="E9" s="29">
        <f>IF('02_Parametros'!$B$15="","",'02_Parametros'!$B$15)</f>
        <v/>
      </c>
      <c r="F9" s="18" t="inlineStr">
        <is>
          <t>Máximo</t>
        </is>
      </c>
      <c r="G9" s="18">
        <f>IF(OR(D9="",E9=""),"",IF(F9="Máximo",IF(D9&lt;=E9,"Sí","No"),IF(D9&gt;=E9,"Sí","No")))</f>
        <v/>
      </c>
      <c r="H9" s="18" t="inlineStr">
        <is>
          <t>Analítica de auditoría (no es un requisito NIIF)</t>
        </is>
      </c>
    </row>
    <row r="10">
      <c r="A10" s="19" t="inlineStr">
        <is>
          <t>Deuda / EBITDA</t>
        </is>
      </c>
      <c r="B10" s="21">
        <f>B5</f>
        <v/>
      </c>
      <c r="C10" s="21">
        <f>IF('02_Parametros'!$B$10="","",'02_Parametros'!$B$10)</f>
        <v/>
      </c>
      <c r="D10" s="28">
        <f>IF(OR(B10="",C10="",C10&lt;=0),"",B10/C10)</f>
        <v/>
      </c>
      <c r="E10" s="28">
        <f>IF('02_Parametros'!$B$16="","",'02_Parametros'!$B$16)</f>
        <v/>
      </c>
      <c r="F10" s="19" t="inlineStr">
        <is>
          <t>Máximo</t>
        </is>
      </c>
      <c r="G10" s="19">
        <f>IF(OR(D10="",E10=""),"",IF(F10="Máximo",IF(D10&lt;=E10,"Sí","No"),IF(D10&gt;=E10,"Sí","No")))</f>
        <v/>
      </c>
      <c r="H10" s="19" t="inlineStr">
        <is>
          <t>Analítica de auditoría (no es un requisito NIIF)</t>
        </is>
      </c>
    </row>
    <row r="11">
      <c r="A11" s="18" t="inlineStr">
        <is>
          <t>Cobertura de intereses</t>
        </is>
      </c>
      <c r="B11" s="20">
        <f>IF('02_Parametros'!$B$13="EBIT",IF('02_Parametros'!$B$11="","",'02_Parametros'!$B$11),IF('02_Parametros'!$B$10="","",'02_Parametros'!$B$10))</f>
        <v/>
      </c>
      <c r="C11" s="20">
        <f>B6</f>
        <v/>
      </c>
      <c r="D11" s="29">
        <f>IF(OR(B11="",C11="",C11&lt;=0),"",B11/C11)</f>
        <v/>
      </c>
      <c r="E11" s="29">
        <f>IF('02_Parametros'!$B$17="","",'02_Parametros'!$B$17)</f>
        <v/>
      </c>
      <c r="F11" s="18" t="inlineStr">
        <is>
          <t>Mínimo</t>
        </is>
      </c>
      <c r="G11" s="18">
        <f>IF(OR(D11="",E11=""),"",IF(F11="Máximo",IF(D11&lt;=E11,"Sí","No"),IF(D11&gt;=E11,"Sí","No")))</f>
        <v/>
      </c>
      <c r="H11" s="18" t="inlineStr">
        <is>
          <t>Analítica de auditoría (no es un requisito NIIF)</t>
        </is>
      </c>
    </row>
    <row r="12">
      <c r="A12" s="19" t="inlineStr">
        <is>
          <t>DSCR</t>
        </is>
      </c>
      <c r="B12" s="21">
        <f>IF('02_Parametros'!$B$12="","",'02_Parametros'!$B$12)</f>
        <v/>
      </c>
      <c r="C12" s="21">
        <f>IF('02_Parametros'!$B$20="",B7,'02_Parametros'!$B$20)</f>
        <v/>
      </c>
      <c r="D12" s="28">
        <f>IF(OR(B12="",C12="",C12&lt;=0),"",B12/C12)</f>
        <v/>
      </c>
      <c r="E12" s="28">
        <f>IF('02_Parametros'!$B$18="","",'02_Parametros'!$B$18)</f>
        <v/>
      </c>
      <c r="F12" s="19" t="inlineStr">
        <is>
          <t>Mínimo</t>
        </is>
      </c>
      <c r="G12" s="19">
        <f>IF(OR(D12="",E12="",'02_Parametros'!$B$19=""),"",IF(F12="Máximo",IF(D12&lt;=E12,"Sí","No"),IF(D12&gt;=E12,"Sí","No")))</f>
        <v/>
      </c>
      <c r="H12" s="19">
        <f>IF('02_Parametros'!$B$19="","DSCR analítico de la firma",'02_Parametros'!$B$19)</f>
        <v/>
      </c>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Numerador</t>
        </is>
      </c>
      <c r="B16" s="25" t="inlineStr">
        <is>
          <t>'=SUM('06_Costo_amortizado'!I5:I11)</t>
        </is>
      </c>
      <c r="C16" s="24" t="inlineStr">
        <is>
          <t>Cambia por fila: la deuda auditada es la suma del costo amortizado al corte (hoja 06), el gasto financiero la suma del gasto a la TIE y el servicio de la deuda la suma de los pagos del ejercicio; en los ratios, la deuda auditada, el EBITDA o EBIT según la base elegida, o el efectivo para el servicio de la deuda (hoja 02).</t>
        </is>
      </c>
      <c r="D16" s="24" t="inlineStr">
        <is>
          <t>Fila 1: SUM([«Costo amortizado al corte» de «Costo amortizado al corte y del ejercicio», 7 filas]) → 659.965,19</t>
        </is>
      </c>
      <c r="E16" s="24" t="inlineStr">
        <is>
          <t>hoja «Costo amortizado al corte y del ejercicio»</t>
        </is>
      </c>
      <c r="F16" s="24" t="inlineStr">
        <is>
          <t>—</t>
        </is>
      </c>
    </row>
    <row r="17">
      <c r="A17" s="24" t="inlineStr">
        <is>
          <t>Denominador</t>
        </is>
      </c>
      <c r="B17" s="25" t="inlineStr">
        <is>
          <t>'=IF('02_Parametros'!$B$8="","",'02_Parametros'!$B$8)</t>
        </is>
      </c>
      <c r="C17" s="24" t="inlineStr">
        <is>
          <t>En cada ratio trae la base de la hoja 02 (Parámetros): total de activos, patrimonio o EBITDA; en la cobertura, el gasto financiero del ejercicio; en el DSCR, el servicio de la deuda del contrato o, si falta, el del ejercicio.</t>
        </is>
      </c>
      <c r="D17" s="24" t="inlineStr">
        <is>
          <t>Fila 4: IF(2.500.000,00=""; ""; 2.500.000,00) → 2.500.000,00</t>
        </is>
      </c>
      <c r="E17" s="24" t="inlineStr">
        <is>
          <t>hoja «Parámetros»</t>
        </is>
      </c>
      <c r="F17" s="24" t="inlineStr">
        <is>
          <t>—</t>
        </is>
      </c>
    </row>
    <row r="18">
      <c r="A18" s="24" t="inlineStr">
        <is>
          <t>Ratio (veces)</t>
        </is>
      </c>
      <c r="B18" s="25" t="inlineStr">
        <is>
          <t>'=IF(OR(B8="",C8="",C8&lt;=0),"",B8/C8)</t>
        </is>
      </c>
      <c r="C18" s="24" t="inlineStr">
        <is>
          <t>Divide el numerador para el denominador; queda en blanco si falta alguno o si el denominador es cero o negativo.</t>
        </is>
      </c>
      <c r="D18" s="24" t="inlineStr">
        <is>
          <t>Fila 4: IF(OR(659.965,19=""; 2.500.000,00=""; 2.500.000,00&lt;=0); ""; 659.965,19/2.500.000,00) → 0,26</t>
        </is>
      </c>
      <c r="E18" s="24" t="inlineStr">
        <is>
          <t>«Numerador» (esta hoja), «Denominador» (esta hoja)</t>
        </is>
      </c>
      <c r="F18" s="24" t="inlineStr">
        <is>
          <t>—</t>
        </is>
      </c>
    </row>
    <row r="19">
      <c r="A19" s="24" t="inlineStr">
        <is>
          <t>Límite (veces)</t>
        </is>
      </c>
      <c r="B19" s="25" t="inlineStr">
        <is>
          <t>'=IF('02_Parametros'!$B$14="","",'02_Parametros'!$B$14)</t>
        </is>
      </c>
      <c r="C19" s="24" t="inlineStr">
        <is>
          <t>Trae el límite pactado para este ratio desde la hoja 02 (Parámetros); en blanco si el contrato no lo fija.</t>
        </is>
      </c>
      <c r="D19" s="24" t="inlineStr">
        <is>
          <t>Fila 4: IF(0,60=""; ""; 0,60) → 0,60</t>
        </is>
      </c>
      <c r="E19" s="24" t="inlineStr">
        <is>
          <t>hoja «Parámetros»</t>
        </is>
      </c>
      <c r="F19" s="24" t="inlineStr">
        <is>
          <t>—</t>
        </is>
      </c>
    </row>
    <row r="20">
      <c r="A20" s="24" t="inlineStr">
        <is>
          <t>Cumple (solo con definición contractual)</t>
        </is>
      </c>
      <c r="B20" s="25" t="inlineStr">
        <is>
          <t>'=IF(OR(D8="",E8=""),"",IF(F8="Máximo",IF(D8&lt;=E8,"Sí","No"),IF(D8&gt;=E8,"Sí","No")))</t>
        </is>
      </c>
      <c r="C20" s="24" t="inlineStr">
        <is>
          <t>Compara el ratio con el límite: si es un máximo, cumple cuando no lo supera; si es un mínimo, cuando lo alcanza. En el DSCR solo concluye si hay definición contractual.</t>
        </is>
      </c>
      <c r="D20" s="24" t="inlineStr">
        <is>
          <t>Fila 4: IF(OR(0,26=""; 0,60=""); ""; IF(«Máximo»="Máximo"; IF(0,26&lt;=0,60; "Sí"; "No"); IF(0,26&gt;=0,60; "Sí"; "No"))) → Sí</t>
        </is>
      </c>
      <c r="E20" s="24" t="inlineStr">
        <is>
          <t>«Ratio (veces)» (esta hoja), «Límite (veces)» (esta hoja), «Tipo» (esta hoja)</t>
        </is>
      </c>
      <c r="F20" s="24" t="inlineStr">
        <is>
          <t>—</t>
        </is>
      </c>
    </row>
    <row r="21">
      <c r="A21" s="24" t="inlineStr">
        <is>
          <t>Definición aplicada</t>
        </is>
      </c>
      <c r="B21" s="25" t="inlineStr">
        <is>
          <t>'=IF('02_Parametros'!$B$19="","DSCR analítico de la firma",'02_Parametros'!$B$19)</t>
        </is>
      </c>
      <c r="C21" s="24" t="inlineStr">
        <is>
          <t>En el DSCR muestra la definición contractual de la hoja 02 o, si falta, «DSCR analítico de la firma», que no concluye incumplimiento.</t>
        </is>
      </c>
      <c r="D21" s="24" t="inlineStr">
        <is>
          <t>Fila 8: IF(«Flujo de caja operativo antes de intereses ÷ servicio de la deuda del ejercicio (cláusula 8.2 del contrato)»=""; "DSCR analítico de la firma"; «Flujo de caja operativo antes de intereses ÷ servicio de la deuda del ejercicio (cláusula 8.2 del contrato)») → Flujo de caja operativo antes de intereses ÷ servicio de la deuda del ejercicio (cláusula 8.2 del contrato)</t>
        </is>
      </c>
      <c r="E21" s="24" t="inlineStr">
        <is>
          <t>hoja «Parámetros»</t>
        </is>
      </c>
      <c r="F21"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23"/>
  <sheetViews>
    <sheetView showGridLines="0" workbookViewId="0">
      <pane ySplit="4" topLeftCell="A5" activePane="bottomLeft" state="frozen"/>
      <selection pane="bottomLeft" activeCell="A1" sqref="A1"/>
    </sheetView>
  </sheetViews>
  <sheetFormatPr baseColWidth="8" defaultRowHeight="15"/>
  <cols>
    <col width="12" customWidth="1" min="1" max="1"/>
    <col width="27" customWidth="1" min="2" max="2"/>
    <col width="20" customWidth="1" min="3" max="3"/>
    <col width="23" customWidth="1" min="4" max="4"/>
    <col width="20" customWidth="1" min="5" max="5"/>
    <col width="24" customWidth="1" min="6" max="6"/>
    <col width="20" customWidth="1" min="7" max="7"/>
    <col width="23" customWidth="1" min="8" max="8"/>
    <col width="24" customWidth="1" min="9" max="9"/>
  </cols>
  <sheetData>
    <row r="1">
      <c r="A1" s="3" t="inlineStr">
        <is>
          <t>Conciliación y ajuste</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row>
    <row r="4" ht="30" customHeight="1">
      <c r="A4" s="17" t="inlineStr">
        <is>
          <t>Operación</t>
        </is>
      </c>
      <c r="B4" s="17" t="inlineStr">
        <is>
          <t>Costo amortizado auditado</t>
        </is>
      </c>
      <c r="C4" s="17" t="inlineStr">
        <is>
          <t>Capital registrado</t>
        </is>
      </c>
      <c r="D4" s="17" t="inlineStr">
        <is>
          <t>Intereses registrados</t>
        </is>
      </c>
      <c r="E4" s="17" t="inlineStr">
        <is>
          <t>Total registrado</t>
        </is>
      </c>
      <c r="F4" s="17" t="inlineStr">
        <is>
          <t>Ajuste propuesto</t>
        </is>
      </c>
      <c r="G4" s="17" t="inlineStr">
        <is>
          <t>Corriente auditado</t>
        </is>
      </c>
      <c r="H4" s="17" t="inlineStr">
        <is>
          <t>No corriente auditado</t>
        </is>
      </c>
      <c r="I4" s="17" t="inlineStr">
        <is>
          <t>Gasto financiero (TIE)</t>
        </is>
      </c>
    </row>
    <row r="5">
      <c r="A5" s="18" t="inlineStr">
        <is>
          <t>OP-101</t>
        </is>
      </c>
      <c r="B5" s="20">
        <f>'06_Costo_amortizado'!I5</f>
        <v/>
      </c>
      <c r="C5" s="20">
        <f>N('03_Prestamos'!M5)</f>
        <v/>
      </c>
      <c r="D5" s="20">
        <f>N('03_Prestamos'!N5)</f>
        <v/>
      </c>
      <c r="E5" s="20">
        <f>C5+D5</f>
        <v/>
      </c>
      <c r="F5" s="20">
        <f>B5-E5</f>
        <v/>
      </c>
      <c r="G5" s="20">
        <f>'11_Clasificacion'!G5</f>
        <v/>
      </c>
      <c r="H5" s="20">
        <f>'11_Clasificacion'!H5</f>
        <v/>
      </c>
      <c r="I5" s="20">
        <f>'06_Costo_amortizado'!U5</f>
        <v/>
      </c>
    </row>
    <row r="6">
      <c r="A6" s="19" t="inlineStr">
        <is>
          <t>OP-102</t>
        </is>
      </c>
      <c r="B6" s="21">
        <f>'06_Costo_amortizado'!I6</f>
        <v/>
      </c>
      <c r="C6" s="21">
        <f>N('03_Prestamos'!M6)</f>
        <v/>
      </c>
      <c r="D6" s="21">
        <f>N('03_Prestamos'!N6)</f>
        <v/>
      </c>
      <c r="E6" s="21">
        <f>C6+D6</f>
        <v/>
      </c>
      <c r="F6" s="21">
        <f>B6-E6</f>
        <v/>
      </c>
      <c r="G6" s="21">
        <f>'11_Clasificacion'!G6</f>
        <v/>
      </c>
      <c r="H6" s="21">
        <f>'11_Clasificacion'!H6</f>
        <v/>
      </c>
      <c r="I6" s="21">
        <f>'06_Costo_amortizado'!U6</f>
        <v/>
      </c>
    </row>
    <row r="7">
      <c r="A7" s="18" t="inlineStr">
        <is>
          <t>OP-103</t>
        </is>
      </c>
      <c r="B7" s="20">
        <f>'06_Costo_amortizado'!I7</f>
        <v/>
      </c>
      <c r="C7" s="20">
        <f>N('03_Prestamos'!M7)</f>
        <v/>
      </c>
      <c r="D7" s="20">
        <f>N('03_Prestamos'!N7)</f>
        <v/>
      </c>
      <c r="E7" s="20">
        <f>C7+D7</f>
        <v/>
      </c>
      <c r="F7" s="20">
        <f>B7-E7</f>
        <v/>
      </c>
      <c r="G7" s="20">
        <f>'11_Clasificacion'!G7</f>
        <v/>
      </c>
      <c r="H7" s="20">
        <f>'11_Clasificacion'!H7</f>
        <v/>
      </c>
      <c r="I7" s="20">
        <f>'06_Costo_amortizado'!U7</f>
        <v/>
      </c>
    </row>
    <row r="8">
      <c r="A8" s="19" t="inlineStr">
        <is>
          <t>OP-104</t>
        </is>
      </c>
      <c r="B8" s="21">
        <f>'06_Costo_amortizado'!I8</f>
        <v/>
      </c>
      <c r="C8" s="21">
        <f>N('03_Prestamos'!M8)</f>
        <v/>
      </c>
      <c r="D8" s="21">
        <f>N('03_Prestamos'!N8)</f>
        <v/>
      </c>
      <c r="E8" s="21">
        <f>C8+D8</f>
        <v/>
      </c>
      <c r="F8" s="21">
        <f>B8-E8</f>
        <v/>
      </c>
      <c r="G8" s="21">
        <f>'11_Clasificacion'!G8</f>
        <v/>
      </c>
      <c r="H8" s="21">
        <f>'11_Clasificacion'!H8</f>
        <v/>
      </c>
      <c r="I8" s="21">
        <f>'06_Costo_amortizado'!U8</f>
        <v/>
      </c>
    </row>
    <row r="9">
      <c r="A9" s="18" t="inlineStr">
        <is>
          <t>OP-105</t>
        </is>
      </c>
      <c r="B9" s="20">
        <f>'06_Costo_amortizado'!I9</f>
        <v/>
      </c>
      <c r="C9" s="20">
        <f>N('03_Prestamos'!M9)</f>
        <v/>
      </c>
      <c r="D9" s="20">
        <f>N('03_Prestamos'!N9)</f>
        <v/>
      </c>
      <c r="E9" s="20">
        <f>C9+D9</f>
        <v/>
      </c>
      <c r="F9" s="20">
        <f>B9-E9</f>
        <v/>
      </c>
      <c r="G9" s="20">
        <f>'11_Clasificacion'!G9</f>
        <v/>
      </c>
      <c r="H9" s="20">
        <f>'11_Clasificacion'!H9</f>
        <v/>
      </c>
      <c r="I9" s="20">
        <f>'06_Costo_amortizado'!U9</f>
        <v/>
      </c>
    </row>
    <row r="10">
      <c r="A10" s="19" t="inlineStr">
        <is>
          <t>OP-106</t>
        </is>
      </c>
      <c r="B10" s="21">
        <f>'06_Costo_amortizado'!I10</f>
        <v/>
      </c>
      <c r="C10" s="21">
        <f>N('03_Prestamos'!M10)</f>
        <v/>
      </c>
      <c r="D10" s="21">
        <f>N('03_Prestamos'!N10)</f>
        <v/>
      </c>
      <c r="E10" s="21">
        <f>C10+D10</f>
        <v/>
      </c>
      <c r="F10" s="21">
        <f>B10-E10</f>
        <v/>
      </c>
      <c r="G10" s="21">
        <f>'11_Clasificacion'!G10</f>
        <v/>
      </c>
      <c r="H10" s="21">
        <f>'11_Clasificacion'!H10</f>
        <v/>
      </c>
      <c r="I10" s="21">
        <f>'06_Costo_amortizado'!U10</f>
        <v/>
      </c>
    </row>
    <row r="11">
      <c r="A11" s="18" t="inlineStr">
        <is>
          <t>OP-107</t>
        </is>
      </c>
      <c r="B11" s="20">
        <f>'06_Costo_amortizado'!I11</f>
        <v/>
      </c>
      <c r="C11" s="20">
        <f>N('03_Prestamos'!M11)</f>
        <v/>
      </c>
      <c r="D11" s="20">
        <f>N('03_Prestamos'!N11)</f>
        <v/>
      </c>
      <c r="E11" s="20">
        <f>C11+D11</f>
        <v/>
      </c>
      <c r="F11" s="20">
        <f>B11-E11</f>
        <v/>
      </c>
      <c r="G11" s="20">
        <f>'11_Clasificacion'!G11</f>
        <v/>
      </c>
      <c r="H11" s="20">
        <f>'11_Clasificacion'!H11</f>
        <v/>
      </c>
      <c r="I11" s="20">
        <f>'06_Costo_amortizado'!U11</f>
        <v/>
      </c>
    </row>
    <row r="12">
      <c r="A12" s="38" t="inlineStr">
        <is>
          <t>TOTAL</t>
        </is>
      </c>
      <c r="B12" s="39">
        <f>SUM(B5:B11)</f>
        <v/>
      </c>
      <c r="C12" s="39">
        <f>SUM(C5:C11)</f>
        <v/>
      </c>
      <c r="D12" s="39">
        <f>SUM(D5:D11)</f>
        <v/>
      </c>
      <c r="E12" s="39">
        <f>SUM(E5:E11)</f>
        <v/>
      </c>
      <c r="F12" s="39">
        <f>SUM(F5:F11)</f>
        <v/>
      </c>
      <c r="G12" s="39">
        <f>SUM(G5:G11)</f>
        <v/>
      </c>
      <c r="H12" s="39">
        <f>SUM(H5:H11)</f>
        <v/>
      </c>
      <c r="I12" s="39">
        <f>SUM(I5:I11)</f>
        <v/>
      </c>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Costo amortizado auditado</t>
        </is>
      </c>
      <c r="B16" s="25" t="inlineStr">
        <is>
          <t>'='06_Costo_amortizado'!I5</t>
        </is>
      </c>
      <c r="C16" s="24" t="inlineStr">
        <is>
          <t>Trae el costo amortizado al corte de esta operación, calculado en la hoja 06 (Costo amortizado).</t>
        </is>
      </c>
      <c r="D16" s="24" t="inlineStr">
        <is>
          <t>Fila 1: 47.814,46 → 47.814,46</t>
        </is>
      </c>
      <c r="E16" s="24" t="inlineStr">
        <is>
          <t>hoja «Costo amortizado al corte y del ejercicio»</t>
        </is>
      </c>
      <c r="F16" s="24" t="inlineStr">
        <is>
          <t>—</t>
        </is>
      </c>
    </row>
    <row r="17">
      <c r="A17" s="24" t="inlineStr">
        <is>
          <t>Capital registrado</t>
        </is>
      </c>
      <c r="B17" s="25" t="inlineStr">
        <is>
          <t>'=N('03_Prestamos'!M5)</t>
        </is>
      </c>
      <c r="C17" s="24" t="inlineStr">
        <is>
          <t>Copia el saldo de capital que registró el cliente en la hoja 03 (Universo de préstamos); vacío cuenta cero.</t>
        </is>
      </c>
      <c r="D17" s="24" t="inlineStr">
        <is>
          <t>Fila 1: N(47.940,12) → 47.940,12</t>
        </is>
      </c>
      <c r="E17" s="24" t="inlineStr">
        <is>
          <t>hoja «Universo de préstamos»</t>
        </is>
      </c>
      <c r="F17" s="24" t="inlineStr">
        <is>
          <t>—</t>
        </is>
      </c>
    </row>
    <row r="18">
      <c r="A18" s="24" t="inlineStr">
        <is>
          <t>Intereses registrados</t>
        </is>
      </c>
      <c r="B18" s="25" t="inlineStr">
        <is>
          <t>'=N('03_Prestamos'!N5)</t>
        </is>
      </c>
      <c r="C18" s="24" t="inlineStr">
        <is>
          <t>Copia los intereses por pagar que registró el cliente en la hoja 03 (Universo de préstamos); vacío cuenta cero.</t>
        </is>
      </c>
      <c r="D18" s="24" t="inlineStr">
        <is>
          <t>Fila 1: N(226,81) → 226,81</t>
        </is>
      </c>
      <c r="E18" s="24" t="inlineStr">
        <is>
          <t>hoja «Universo de préstamos»</t>
        </is>
      </c>
      <c r="F18" s="24" t="inlineStr">
        <is>
          <t>—</t>
        </is>
      </c>
    </row>
    <row r="19">
      <c r="A19" s="24" t="inlineStr">
        <is>
          <t>Total registrado</t>
        </is>
      </c>
      <c r="B19" s="25" t="inlineStr">
        <is>
          <t>'=C5+D5</t>
        </is>
      </c>
      <c r="C19" s="24" t="inlineStr">
        <is>
          <t>Suma el capital registrado y los intereses registrados: es el pasivo según los libros del cliente.</t>
        </is>
      </c>
      <c r="D19" s="24" t="inlineStr">
        <is>
          <t>Fila 1: 47.940,12+226,81 → 48.166,93</t>
        </is>
      </c>
      <c r="E19" s="24" t="inlineStr">
        <is>
          <t>«Capital registrado» (esta hoja), «Intereses registrados» (esta hoja)</t>
        </is>
      </c>
      <c r="F19" s="24" t="inlineStr">
        <is>
          <t>—</t>
        </is>
      </c>
    </row>
    <row r="20">
      <c r="A20" s="24" t="inlineStr">
        <is>
          <t>Ajuste propuesto</t>
        </is>
      </c>
      <c r="B20" s="25" t="inlineStr">
        <is>
          <t>'=B5-E5</t>
        </is>
      </c>
      <c r="C20" s="24" t="inlineStr">
        <is>
          <t>Resta el total registrado del costo amortizado auditado. Positivo: el pasivo del cliente está subestimado.</t>
        </is>
      </c>
      <c r="D20" s="24" t="inlineStr">
        <is>
          <t>Fila 1: 47.814,46-48.166,93 → -352,47</t>
        </is>
      </c>
      <c r="E20" s="24" t="inlineStr">
        <is>
          <t>«Costo amortizado auditado» (esta hoja), «Total registrado» (esta hoja)</t>
        </is>
      </c>
      <c r="F20" s="24" t="inlineStr">
        <is>
          <t>—</t>
        </is>
      </c>
    </row>
    <row r="21">
      <c r="A21" s="24" t="inlineStr">
        <is>
          <t>Corriente auditado</t>
        </is>
      </c>
      <c r="B21" s="25" t="inlineStr">
        <is>
          <t>'='11_Clasificacion'!G5</t>
        </is>
      </c>
      <c r="C21" s="24" t="inlineStr">
        <is>
          <t>Trae la porción corriente auditada de la operación desde la hoja 11 (Clasificación corriente / no corriente).</t>
        </is>
      </c>
      <c r="D21" s="24" t="inlineStr">
        <is>
          <t>Fila 1: 44.300,86 → 44.300,86</t>
        </is>
      </c>
      <c r="E21" s="24" t="inlineStr">
        <is>
          <t>hoja «Clasificación corriente / no corriente»</t>
        </is>
      </c>
      <c r="F21" s="24" t="inlineStr">
        <is>
          <t>—</t>
        </is>
      </c>
    </row>
    <row r="22">
      <c r="A22" s="24" t="inlineStr">
        <is>
          <t>No corriente auditado</t>
        </is>
      </c>
      <c r="B22" s="25" t="inlineStr">
        <is>
          <t>'='11_Clasificacion'!H5</t>
        </is>
      </c>
      <c r="C22" s="24" t="inlineStr">
        <is>
          <t>Trae la porción no corriente auditada de la operación desde la hoja 11 (Clasificación corriente / no corriente).</t>
        </is>
      </c>
      <c r="D22" s="24" t="inlineStr">
        <is>
          <t>Fila 1: 3.513,60 → 3.513,60</t>
        </is>
      </c>
      <c r="E22" s="24" t="inlineStr">
        <is>
          <t>hoja «Clasificación corriente / no corriente»</t>
        </is>
      </c>
      <c r="F22" s="24" t="inlineStr">
        <is>
          <t>—</t>
        </is>
      </c>
    </row>
    <row r="23">
      <c r="A23" s="24" t="inlineStr">
        <is>
          <t>Gasto financiero (TIE)</t>
        </is>
      </c>
      <c r="B23" s="25" t="inlineStr">
        <is>
          <t>'='06_Costo_amortizado'!U5</t>
        </is>
      </c>
      <c r="C23" s="24" t="inlineStr">
        <is>
          <t>Trae el gasto financiero del ejercicio a la TIE de esta operación desde la hoja 06 (Costo amortizado).</t>
        </is>
      </c>
      <c r="D23" s="24" t="inlineStr">
        <is>
          <t>Fila 1: 8.334,99 → 8.334,99</t>
        </is>
      </c>
      <c r="E23" s="24" t="inlineStr">
        <is>
          <t>hoja «Costo amortizado al corte y del ejercicio»</t>
        </is>
      </c>
      <c r="F23"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7" customWidth="1" min="3" max="3"/>
    <col width="19" customWidth="1" min="4" max="4"/>
    <col width="32" customWidth="1" min="5" max="5"/>
    <col width="21" customWidth="1" min="6" max="6"/>
    <col width="34" customWidth="1" min="7" max="7"/>
  </cols>
  <sheetData>
    <row r="1">
      <c r="A1" s="3" t="inlineStr">
        <is>
          <t>Flujos de la modificación (adenda) descontados a la TIE original</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row>
    <row r="4" ht="30" customHeight="1">
      <c r="A4" s="17" t="inlineStr">
        <is>
          <t>Operación</t>
        </is>
      </c>
      <c r="B4" s="17" t="inlineStr">
        <is>
          <t>Escenario</t>
        </is>
      </c>
      <c r="C4" s="17" t="inlineStr">
        <is>
          <t>Fecha del flujo</t>
        </is>
      </c>
      <c r="D4" s="17" t="inlineStr">
        <is>
          <t>Importe del flujo</t>
        </is>
      </c>
      <c r="E4" s="17" t="inlineStr">
        <is>
          <t>Años al descuento (días ÷ 365)</t>
        </is>
      </c>
      <c r="F4" s="17" t="inlineStr">
        <is>
          <t>TIE anual original</t>
        </is>
      </c>
      <c r="G4" s="17" t="inlineStr">
        <is>
          <t>Valor presente a la TIE original</t>
        </is>
      </c>
    </row>
    <row r="5">
      <c r="A5" s="18" t="inlineStr">
        <is>
          <t>OP-103</t>
        </is>
      </c>
      <c r="B5" s="18" t="inlineStr">
        <is>
          <t>Modificado</t>
        </is>
      </c>
      <c r="C5" s="30" t="n">
        <v>46388</v>
      </c>
      <c r="D5" s="20" t="n">
        <v>30000</v>
      </c>
      <c r="E5" s="29">
        <f>IF('03_Prestamos'!W7="","",(C5-'03_Prestamos'!W7)/365)</f>
        <v/>
      </c>
      <c r="F5" s="35">
        <f>'04_Condiciones_TIE'!M7</f>
        <v/>
      </c>
      <c r="G5" s="20">
        <f>IF(E5="","",D5/(1+F5)^E5)</f>
        <v/>
      </c>
    </row>
    <row r="6">
      <c r="A6" s="19" t="inlineStr">
        <is>
          <t>OP-103</t>
        </is>
      </c>
      <c r="B6" s="19" t="inlineStr">
        <is>
          <t>Modificado</t>
        </is>
      </c>
      <c r="C6" s="32" t="n">
        <v>46569</v>
      </c>
      <c r="D6" s="21" t="n">
        <v>30000</v>
      </c>
      <c r="E6" s="28">
        <f>IF('03_Prestamos'!W7="","",(C6-'03_Prestamos'!W7)/365)</f>
        <v/>
      </c>
      <c r="F6" s="37">
        <f>'04_Condiciones_TIE'!M7</f>
        <v/>
      </c>
      <c r="G6" s="21">
        <f>IF(E6="","",D6/(1+F6)^E6)</f>
        <v/>
      </c>
    </row>
    <row r="7">
      <c r="A7" s="18" t="inlineStr">
        <is>
          <t>OP-103</t>
        </is>
      </c>
      <c r="B7" s="18" t="inlineStr">
        <is>
          <t>Modificado</t>
        </is>
      </c>
      <c r="C7" s="30" t="n">
        <v>46753</v>
      </c>
      <c r="D7" s="20" t="n">
        <v>30000</v>
      </c>
      <c r="E7" s="29">
        <f>IF('03_Prestamos'!W7="","",(C7-'03_Prestamos'!W7)/365)</f>
        <v/>
      </c>
      <c r="F7" s="35">
        <f>'04_Condiciones_TIE'!M7</f>
        <v/>
      </c>
      <c r="G7" s="20">
        <f>IF(E7="","",D7/(1+F7)^E7)</f>
        <v/>
      </c>
    </row>
    <row r="8">
      <c r="A8" s="19" t="inlineStr">
        <is>
          <t>OP-103</t>
        </is>
      </c>
      <c r="B8" s="19" t="inlineStr">
        <is>
          <t>Modificado</t>
        </is>
      </c>
      <c r="C8" s="32" t="n">
        <v>46935</v>
      </c>
      <c r="D8" s="21" t="n">
        <v>30000</v>
      </c>
      <c r="E8" s="28">
        <f>IF('03_Prestamos'!W7="","",(C8-'03_Prestamos'!W7)/365)</f>
        <v/>
      </c>
      <c r="F8" s="37">
        <f>'04_Condiciones_TIE'!M7</f>
        <v/>
      </c>
      <c r="G8" s="21">
        <f>IF(E8="","",D8/(1+F8)^E8)</f>
        <v/>
      </c>
    </row>
    <row r="9">
      <c r="A9" s="18" t="inlineStr">
        <is>
          <t>OP-103</t>
        </is>
      </c>
      <c r="B9" s="18" t="inlineStr">
        <is>
          <t>Modificado</t>
        </is>
      </c>
      <c r="C9" s="30" t="n">
        <v>47119</v>
      </c>
      <c r="D9" s="20" t="n">
        <v>30000</v>
      </c>
      <c r="E9" s="29">
        <f>IF('03_Prestamos'!W7="","",(C9-'03_Prestamos'!W7)/365)</f>
        <v/>
      </c>
      <c r="F9" s="35">
        <f>'04_Condiciones_TIE'!M7</f>
        <v/>
      </c>
      <c r="G9" s="20">
        <f>IF(E9="","",D9/(1+F9)^E9)</f>
        <v/>
      </c>
    </row>
    <row r="10">
      <c r="A10" s="19" t="inlineStr">
        <is>
          <t>OP-103</t>
        </is>
      </c>
      <c r="B10" s="19" t="inlineStr">
        <is>
          <t>Modificado</t>
        </is>
      </c>
      <c r="C10" s="32" t="n">
        <v>47300</v>
      </c>
      <c r="D10" s="21" t="n">
        <v>30000</v>
      </c>
      <c r="E10" s="28">
        <f>IF('03_Prestamos'!W7="","",(C10-'03_Prestamos'!W7)/365)</f>
        <v/>
      </c>
      <c r="F10" s="37">
        <f>'04_Condiciones_TIE'!M7</f>
        <v/>
      </c>
      <c r="G10" s="21">
        <f>IF(E10="","",D10/(1+F10)^E10)</f>
        <v/>
      </c>
    </row>
    <row r="11">
      <c r="A11" s="18" t="inlineStr">
        <is>
          <t>OP-103</t>
        </is>
      </c>
      <c r="B11" s="18" t="inlineStr">
        <is>
          <t>Original</t>
        </is>
      </c>
      <c r="C11" s="30" t="n">
        <v>46023</v>
      </c>
      <c r="D11" s="20" t="n">
        <v>45948.59</v>
      </c>
      <c r="E11" s="29">
        <f>IF('03_Prestamos'!W7="","",(C11-'03_Prestamos'!W7)/365)</f>
        <v/>
      </c>
      <c r="F11" s="35">
        <f>'04_Condiciones_TIE'!M7</f>
        <v/>
      </c>
      <c r="G11" s="20">
        <f>IF(E11="","",D11/(1+F11)^E11)</f>
        <v/>
      </c>
    </row>
    <row r="12">
      <c r="A12" s="19" t="inlineStr">
        <is>
          <t>OP-103</t>
        </is>
      </c>
      <c r="B12" s="19" t="inlineStr">
        <is>
          <t>Original</t>
        </is>
      </c>
      <c r="C12" s="32" t="n">
        <v>46204</v>
      </c>
      <c r="D12" s="21" t="n">
        <v>45948.59</v>
      </c>
      <c r="E12" s="28">
        <f>IF('03_Prestamos'!W7="","",(C12-'03_Prestamos'!W7)/365)</f>
        <v/>
      </c>
      <c r="F12" s="37">
        <f>'04_Condiciones_TIE'!M7</f>
        <v/>
      </c>
      <c r="G12" s="21">
        <f>IF(E12="","",D12/(1+F12)^E12)</f>
        <v/>
      </c>
    </row>
    <row r="13">
      <c r="A13" s="18" t="inlineStr">
        <is>
          <t>OP-103</t>
        </is>
      </c>
      <c r="B13" s="18" t="inlineStr">
        <is>
          <t>Original</t>
        </is>
      </c>
      <c r="C13" s="30" t="n">
        <v>46388</v>
      </c>
      <c r="D13" s="20" t="n">
        <v>45948.59</v>
      </c>
      <c r="E13" s="29">
        <f>IF('03_Prestamos'!W7="","",(C13-'03_Prestamos'!W7)/365)</f>
        <v/>
      </c>
      <c r="F13" s="35">
        <f>'04_Condiciones_TIE'!M7</f>
        <v/>
      </c>
      <c r="G13" s="20">
        <f>IF(E13="","",D13/(1+F13)^E13)</f>
        <v/>
      </c>
    </row>
    <row r="14">
      <c r="A14" s="19" t="inlineStr">
        <is>
          <t>OP-103</t>
        </is>
      </c>
      <c r="B14" s="19" t="inlineStr">
        <is>
          <t>Original</t>
        </is>
      </c>
      <c r="C14" s="32" t="n">
        <v>46569</v>
      </c>
      <c r="D14" s="21" t="n">
        <v>45948.59</v>
      </c>
      <c r="E14" s="28">
        <f>IF('03_Prestamos'!W7="","",(C14-'03_Prestamos'!W7)/365)</f>
        <v/>
      </c>
      <c r="F14" s="37">
        <f>'04_Condiciones_TIE'!M7</f>
        <v/>
      </c>
      <c r="G14" s="21">
        <f>IF(E14="","",D14/(1+F14)^E14)</f>
        <v/>
      </c>
    </row>
    <row r="16">
      <c r="A16" s="22" t="inlineStr">
        <is>
          <t>ⓘ  Cómo se calcula esta hoja</t>
        </is>
      </c>
    </row>
    <row r="17">
      <c r="A17" s="23" t="inlineStr">
        <is>
          <t>Columna</t>
        </is>
      </c>
      <c r="B17" s="23" t="inlineStr">
        <is>
          <t>Fórmula (Excel)</t>
        </is>
      </c>
      <c r="C17" s="23" t="inlineStr">
        <is>
          <t>Cómo se calcula (sencillo)</t>
        </is>
      </c>
      <c r="D17" s="23" t="inlineStr">
        <is>
          <t>Ejemplo con números reales</t>
        </is>
      </c>
      <c r="E17" s="23" t="inlineStr">
        <is>
          <t>De dónde viene</t>
        </is>
      </c>
      <c r="F17" s="23" t="inlineStr">
        <is>
          <t>Norma</t>
        </is>
      </c>
    </row>
    <row r="18">
      <c r="A18" s="24" t="inlineStr">
        <is>
          <t>Años al descuento (días ÷ 365)</t>
        </is>
      </c>
      <c r="B18" s="25" t="inlineStr">
        <is>
          <t>'=IF('03_Prestamos'!W7="","",(C5-'03_Prestamos'!W7)/365)</t>
        </is>
      </c>
      <c r="C18" s="24" t="inlineStr">
        <is>
          <t>Cuenta los días entre la fecha de la modificación (hoja 03) y la fecha del flujo y los divide para 365; en blanco si no hay fecha de modificación.</t>
        </is>
      </c>
      <c r="D18" s="24" t="inlineStr">
        <is>
          <t>Fila 1: IF(«2025-12-01»=""; ""; («2027-01-01»-«2025-12-01»)/365) → 1,08</t>
        </is>
      </c>
      <c r="E18" s="24" t="inlineStr">
        <is>
          <t>«Fecha del flujo» (esta hoja), hoja «Universo de préstamos»</t>
        </is>
      </c>
      <c r="F18" s="24" t="inlineStr">
        <is>
          <t>—</t>
        </is>
      </c>
    </row>
    <row r="19">
      <c r="A19" s="24" t="inlineStr">
        <is>
          <t>TIE anual original</t>
        </is>
      </c>
      <c r="B19" s="25" t="inlineStr">
        <is>
          <t>'='04_Condiciones_TIE'!M7</t>
        </is>
      </c>
      <c r="C19" s="24" t="inlineStr">
        <is>
          <t>Trae la TIE anual efectiva original del préstamo desde la hoja 04 (Condiciones y tasa de interés efectiva).</t>
        </is>
      </c>
      <c r="D19" s="24" t="inlineStr">
        <is>
          <t>Fila 1: 9,73 % → 9,73 %</t>
        </is>
      </c>
      <c r="E19" s="24" t="inlineStr">
        <is>
          <t>hoja «Condiciones y tasa de interés efectiva»</t>
        </is>
      </c>
      <c r="F19" s="24" t="inlineStr">
        <is>
          <t>—</t>
        </is>
      </c>
    </row>
    <row r="20">
      <c r="A20" s="24" t="inlineStr">
        <is>
          <t>Valor presente a la TIE original</t>
        </is>
      </c>
      <c r="B20" s="25" t="inlineStr">
        <is>
          <t>'=IF(E5="","",D5/(1+F5)^E5)</t>
        </is>
      </c>
      <c r="C20" s="24" t="inlineStr">
        <is>
          <t>Descuenta el importe del flujo a la TIE anual original por los años al descuento: importe ÷ (1 + TIE) elevado a los años. En blanco si no hay años.</t>
        </is>
      </c>
      <c r="D20" s="24" t="inlineStr">
        <is>
          <t>Fila 1: IF(1,08=""; ""; 30.000,00/(1+9,73 %)^1,08) → 27.126,25</t>
        </is>
      </c>
      <c r="E20" s="24" t="inlineStr">
        <is>
          <t>«Años al descuento (días ÷ 365)» (esta hoja), «Importe del flujo» (esta hoja), «TIE anual original» (esta hoja)</t>
        </is>
      </c>
      <c r="F20" s="24" t="inlineStr">
        <is>
          <t>—</t>
        </is>
      </c>
    </row>
  </sheetData>
  <mergeCells count="3">
    <mergeCell ref="A2:F2"/>
    <mergeCell ref="A16:F16"/>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O21"/>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26" customWidth="1" min="3" max="3"/>
    <col width="21" customWidth="1" min="4" max="4"/>
    <col width="40" customWidth="1" min="5" max="5"/>
    <col width="31" customWidth="1" min="6" max="6"/>
    <col width="51" customWidth="1" min="7" max="7"/>
    <col width="42" customWidth="1" min="8" max="8"/>
    <col width="46" customWidth="1" min="9" max="9"/>
    <col width="42" customWidth="1" min="10" max="10"/>
    <col width="21" customWidth="1" min="11" max="11"/>
    <col width="38" customWidth="1" min="12" max="12"/>
    <col width="51" customWidth="1" min="13" max="13"/>
    <col width="60" customWidth="1" min="14" max="14"/>
    <col width="60" customWidth="1" min="15" max="15"/>
  </cols>
  <sheetData>
    <row r="1">
      <c r="A1" s="3" t="inlineStr">
        <is>
          <t>Prueba del 10 % (NIIF 9 3.3.2 y B3.3.6)</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c r="G2" s="16" t="n"/>
      <c r="H2" s="16" t="n"/>
      <c r="I2" s="16" t="n"/>
      <c r="J2" s="16" t="n"/>
      <c r="K2" s="16" t="n"/>
      <c r="L2" s="16" t="n"/>
      <c r="M2" s="16" t="n"/>
      <c r="N2" s="16" t="n"/>
      <c r="O2" s="16" t="n"/>
    </row>
    <row r="4" ht="30" customHeight="1">
      <c r="A4" s="17" t="inlineStr">
        <is>
          <t>Operación</t>
        </is>
      </c>
      <c r="B4" s="17" t="inlineStr">
        <is>
          <t>Modificación declarada</t>
        </is>
      </c>
      <c r="C4" s="17" t="inlineStr">
        <is>
          <t>Fecha de la modificación</t>
        </is>
      </c>
      <c r="D4" s="17" t="inlineStr">
        <is>
          <t>TIE anual original</t>
        </is>
      </c>
      <c r="E4" s="17" t="inlineStr">
        <is>
          <t>Flujos originales restantes informados</t>
        </is>
      </c>
      <c r="F4" s="17" t="inlineStr">
        <is>
          <t>Flujos modificados informados</t>
        </is>
      </c>
      <c r="G4" s="17" t="inlineStr">
        <is>
          <t>Valor presente de los flujos originales restantes</t>
        </is>
      </c>
      <c r="H4" s="17" t="inlineStr">
        <is>
          <t>Valor presente de los flujos modificados</t>
        </is>
      </c>
      <c r="I4" s="17" t="inlineStr">
        <is>
          <t>Comisiones netas pagadas por la modificación</t>
        </is>
      </c>
      <c r="J4" s="17" t="inlineStr">
        <is>
          <t>Valor presente de las nuevas condiciones</t>
        </is>
      </c>
      <c r="K4" s="17" t="inlineStr">
        <is>
          <t>Diferencia</t>
        </is>
      </c>
      <c r="L4" s="17" t="inlineStr">
        <is>
          <t>Diferencia / valor presente original</t>
        </is>
      </c>
      <c r="M4" s="17" t="inlineStr">
        <is>
          <t>¿Condiciones sustancialmente diferentes (≥ 10 %)?</t>
        </is>
      </c>
      <c r="N4" s="17" t="inlineStr">
        <is>
          <t>Conclusión</t>
        </is>
      </c>
      <c r="O4" s="17" t="inlineStr">
        <is>
          <t>Marco aplicado</t>
        </is>
      </c>
    </row>
    <row r="5">
      <c r="A5" s="18" t="inlineStr">
        <is>
          <t>OP-103</t>
        </is>
      </c>
      <c r="B5" s="18">
        <f>IF('03_Prestamos'!V7="","No",'03_Prestamos'!V7)</f>
        <v/>
      </c>
      <c r="C5" s="30" t="n">
        <v>45992</v>
      </c>
      <c r="D5" s="35">
        <f>'04_Condiciones_TIE'!M7</f>
        <v/>
      </c>
      <c r="E5" s="34">
        <f>COUNTIFS('14_Flujos_modificacion'!$A$5:$A$14,A5,'14_Flujos_modificacion'!$B$5:$B$14,"Original")</f>
        <v/>
      </c>
      <c r="F5" s="34">
        <f>COUNTIFS('14_Flujos_modificacion'!$A$5:$A$14,A5,'14_Flujos_modificacion'!$B$5:$B$14,"Modificado")</f>
        <v/>
      </c>
      <c r="G5" s="20">
        <f>SUMIFS('14_Flujos_modificacion'!$G$5:$G$14,'14_Flujos_modificacion'!$A$5:$A$14,A5,'14_Flujos_modificacion'!$B$5:$B$14,"Original")</f>
        <v/>
      </c>
      <c r="H5" s="20">
        <f>SUMIFS('14_Flujos_modificacion'!$G$5:$G$14,'14_Flujos_modificacion'!$A$5:$A$14,A5,'14_Flujos_modificacion'!$B$5:$B$14,"Modificado")</f>
        <v/>
      </c>
      <c r="I5" s="20">
        <f>N('03_Prestamos'!X7)</f>
        <v/>
      </c>
      <c r="J5" s="20">
        <f>IF(OR(E5=0,F5=0,'03_Prestamos'!W7="",G5&lt;=0),"",H5+I5)</f>
        <v/>
      </c>
      <c r="K5" s="20">
        <f>IF(J5="","",J5-G5)</f>
        <v/>
      </c>
      <c r="L5" s="35">
        <f>IF(J5="","",K5/G5)</f>
        <v/>
      </c>
      <c r="M5" s="18">
        <f>IF(L5="","",IF(ABS(L5)&gt;=0.1,"Sí","No"))</f>
        <v/>
      </c>
      <c r="N5" s="18">
        <f>IF(M5="","Dato insuficiente: conclusión bloqueada",IF(M5="Sí","Sustancial: baja del pasivo original y reconocimiento de uno nuevo (3.3.2)","No sustancial: el pasivo continúa; costos y comisiones se amortizan (B3.3.6A)"))</f>
        <v/>
      </c>
      <c r="O5" s="18" t="inlineStr">
        <is>
          <t>NIIF 9 3.3.2 y B3.3.6: prueba del 10 % sobre el valor presente descontado a la tasa de interés efectiva original.</t>
        </is>
      </c>
    </row>
    <row r="6">
      <c r="A6" s="19" t="inlineStr">
        <is>
          <t>OP-105</t>
        </is>
      </c>
      <c r="B6" s="19">
        <f>IF('03_Prestamos'!V9="","No",'03_Prestamos'!V9)</f>
        <v/>
      </c>
      <c r="C6" s="33" t="n"/>
      <c r="D6" s="37">
        <f>'04_Condiciones_TIE'!M9</f>
        <v/>
      </c>
      <c r="E6" s="36">
        <f>COUNTIFS('14_Flujos_modificacion'!$A$5:$A$14,A6,'14_Flujos_modificacion'!$B$5:$B$14,"Original")</f>
        <v/>
      </c>
      <c r="F6" s="36">
        <f>COUNTIFS('14_Flujos_modificacion'!$A$5:$A$14,A6,'14_Flujos_modificacion'!$B$5:$B$14,"Modificado")</f>
        <v/>
      </c>
      <c r="G6" s="21">
        <f>SUMIFS('14_Flujos_modificacion'!$G$5:$G$14,'14_Flujos_modificacion'!$A$5:$A$14,A6,'14_Flujos_modificacion'!$B$5:$B$14,"Original")</f>
        <v/>
      </c>
      <c r="H6" s="21">
        <f>SUMIFS('14_Flujos_modificacion'!$G$5:$G$14,'14_Flujos_modificacion'!$A$5:$A$14,A6,'14_Flujos_modificacion'!$B$5:$B$14,"Modificado")</f>
        <v/>
      </c>
      <c r="I6" s="21">
        <f>N('03_Prestamos'!X9)</f>
        <v/>
      </c>
      <c r="J6" s="21">
        <f>IF(OR(E6=0,F6=0,'03_Prestamos'!W9="",G6&lt;=0),"",H6+I6)</f>
        <v/>
      </c>
      <c r="K6" s="21">
        <f>IF(J6="","",J6-G6)</f>
        <v/>
      </c>
      <c r="L6" s="37">
        <f>IF(J6="","",K6/G6)</f>
        <v/>
      </c>
      <c r="M6" s="19">
        <f>IF(L6="","",IF(ABS(L6)&gt;=0.1,"Sí","No"))</f>
        <v/>
      </c>
      <c r="N6" s="19">
        <f>IF(M6="","Dato insuficiente: conclusión bloqueada",IF(M6="Sí","Sustancial: baja del pasivo original y reconocimiento de uno nuevo (3.3.2)","No sustancial: el pasivo continúa; costos y comisiones se amortizan (B3.3.6A)"))</f>
        <v/>
      </c>
      <c r="O6" s="19" t="inlineStr">
        <is>
          <t>NIIF 9 3.3.2 y B3.3.6: prueba del 10 % sobre el valor presente descontado a la tasa de interés efectiva original.</t>
        </is>
      </c>
    </row>
    <row r="8">
      <c r="A8" s="22" t="inlineStr">
        <is>
          <t>ⓘ  Cómo se calcula esta hoja</t>
        </is>
      </c>
    </row>
    <row r="9">
      <c r="A9" s="23" t="inlineStr">
        <is>
          <t>Columna</t>
        </is>
      </c>
      <c r="B9" s="23" t="inlineStr">
        <is>
          <t>Fórmula (Excel)</t>
        </is>
      </c>
      <c r="C9" s="23" t="inlineStr">
        <is>
          <t>Cómo se calcula (sencillo)</t>
        </is>
      </c>
      <c r="D9" s="23" t="inlineStr">
        <is>
          <t>Ejemplo con números reales</t>
        </is>
      </c>
      <c r="E9" s="23" t="inlineStr">
        <is>
          <t>De dónde viene</t>
        </is>
      </c>
      <c r="F9" s="23" t="inlineStr">
        <is>
          <t>Norma</t>
        </is>
      </c>
    </row>
    <row r="10">
      <c r="A10" s="24" t="inlineStr">
        <is>
          <t>Modificación declarada</t>
        </is>
      </c>
      <c r="B10" s="25" t="inlineStr">
        <is>
          <t>'=IF('03_Prestamos'!V7="","No",'03_Prestamos'!V7)</t>
        </is>
      </c>
      <c r="C10" s="24" t="inlineStr">
        <is>
          <t>Copia si el cliente declaró una modificación de condiciones en el año (hoja 03); si no dijo nada, «No».</t>
        </is>
      </c>
      <c r="D10" s="24" t="inlineStr">
        <is>
          <t>Fila 1: IF(«Sí»=""; "No"; «Sí») → Sí</t>
        </is>
      </c>
      <c r="E10" s="24" t="inlineStr">
        <is>
          <t>hoja «Universo de préstamos»</t>
        </is>
      </c>
      <c r="F10" s="24" t="inlineStr">
        <is>
          <t>—</t>
        </is>
      </c>
    </row>
    <row r="11">
      <c r="A11" s="24" t="inlineStr">
        <is>
          <t>TIE anual original</t>
        </is>
      </c>
      <c r="B11" s="25" t="inlineStr">
        <is>
          <t>'='04_Condiciones_TIE'!M7</t>
        </is>
      </c>
      <c r="C11" s="24" t="inlineStr">
        <is>
          <t>Trae la TIE anual efectiva original de la operación desde la hoja 04 (Condiciones y TIE).</t>
        </is>
      </c>
      <c r="D11" s="24" t="inlineStr">
        <is>
          <t>Fila 1: 9,73 % → 9,73 %</t>
        </is>
      </c>
      <c r="E11" s="24" t="inlineStr">
        <is>
          <t>hoja «Condiciones y tasa de interés efectiva»</t>
        </is>
      </c>
      <c r="F11" s="24" t="inlineStr">
        <is>
          <t>—</t>
        </is>
      </c>
    </row>
    <row r="12">
      <c r="A12" s="24" t="inlineStr">
        <is>
          <t>Flujos originales restantes informados</t>
        </is>
      </c>
      <c r="B12" s="25" t="inlineStr">
        <is>
          <t>'=COUNTIFS('14_Flujos_modificacion'!$A$5:$A$14,A5,'14_Flujos_modificacion'!$B$5:$B$14,"Original")</t>
        </is>
      </c>
      <c r="C12" s="24" t="inlineStr">
        <is>
          <t>Cuenta cuántos flujos «Original» de esta operación hay en la hoja 14 (Flujos de la modificación).</t>
        </is>
      </c>
      <c r="D12" s="24" t="inlineStr">
        <is>
          <t>Fila 1: COUNTIFS([«Operación» de «Flujos de la modificación (adenda) descontados a la TIE original», 10 filas]; «OP-103»; [«Escenario» de «Flujos de la modificación (adenda) descontados a la TIE original», 10 filas]; "Original") → 4</t>
        </is>
      </c>
      <c r="E12" s="24" t="inlineStr">
        <is>
          <t>«Operación» (esta hoja), hoja «Flujos de la modificación (adenda) descontados a la TIE original»</t>
        </is>
      </c>
      <c r="F12" s="24" t="inlineStr">
        <is>
          <t>—</t>
        </is>
      </c>
    </row>
    <row r="13">
      <c r="A13" s="24" t="inlineStr">
        <is>
          <t>Flujos modificados informados</t>
        </is>
      </c>
      <c r="B13" s="25" t="inlineStr">
        <is>
          <t>'=COUNTIFS('14_Flujos_modificacion'!$A$5:$A$14,A5,'14_Flujos_modificacion'!$B$5:$B$14,"Modificado")</t>
        </is>
      </c>
      <c r="C13" s="24" t="inlineStr">
        <is>
          <t>Cuenta cuántos flujos «Modificado» de esta operación hay en la hoja 14 (Flujos de la modificación).</t>
        </is>
      </c>
      <c r="D13" s="24" t="inlineStr">
        <is>
          <t>Fila 1: COUNTIFS([«Operación» de «Flujos de la modificación (adenda) descontados a la TIE original», 10 filas]; «OP-103»; [«Escenario» de «Flujos de la modificación (adenda) descontados a la TIE original», 10 filas]; "Modificado") → 6</t>
        </is>
      </c>
      <c r="E13" s="24" t="inlineStr">
        <is>
          <t>«Operación» (esta hoja), hoja «Flujos de la modificación (adenda) descontados a la TIE original»</t>
        </is>
      </c>
      <c r="F13" s="24" t="inlineStr">
        <is>
          <t>—</t>
        </is>
      </c>
    </row>
    <row r="14">
      <c r="A14" s="24" t="inlineStr">
        <is>
          <t>Valor presente de los flujos originales restantes</t>
        </is>
      </c>
      <c r="B14" s="25" t="inlineStr">
        <is>
          <t>'=SUMIFS('14_Flujos_modificacion'!$G$5:$G$14,'14_Flujos_modificacion'!$A$5:$A$14,A5,'14_Flujos_modificacion'!$B$5:$B$14,"Original")</t>
        </is>
      </c>
      <c r="C14" s="24" t="inlineStr">
        <is>
          <t>Suma en la hoja 14 el valor presente a la TIE original de los flujos «Original» de esta operación.</t>
        </is>
      </c>
      <c r="D14" s="24" t="inlineStr">
        <is>
          <t>Fila 1: SUMIFS([«Valor presente a la TIE original» de «Flujos de la modificación (adenda) descontados a la TIE original», 10 filas]; [«Operación» de «Flujos de la modificación (adenda) descontados a la TIE original», 10 filas]; «OP-103»; [«Escenario» de «Flujos de la modificación (adenda) descontados a la TIE original», 10 filas]; "Original") → 170.350,33</t>
        </is>
      </c>
      <c r="E14" s="24" t="inlineStr">
        <is>
          <t>«Operación» (esta hoja), hoja «Flujos de la modificación (adenda) descontados a la TIE original»</t>
        </is>
      </c>
      <c r="F14" s="24" t="inlineStr">
        <is>
          <t>—</t>
        </is>
      </c>
    </row>
    <row r="15">
      <c r="A15" s="24" t="inlineStr">
        <is>
          <t>Valor presente de los flujos modificados</t>
        </is>
      </c>
      <c r="B15" s="25" t="inlineStr">
        <is>
          <t>'=SUMIFS('14_Flujos_modificacion'!$G$5:$G$14,'14_Flujos_modificacion'!$A$5:$A$14,A5,'14_Flujos_modificacion'!$B$5:$B$14,"Modificado")</t>
        </is>
      </c>
      <c r="C15" s="24" t="inlineStr">
        <is>
          <t>Suma en la hoja 14 el valor presente a la TIE original de los flujos «Modificado» de esta operación.</t>
        </is>
      </c>
      <c r="D15" s="24" t="inlineStr">
        <is>
          <t>Fila 1: SUMIFS([«Valor presente a la TIE original» de «Flujos de la modificación (adenda) descontados a la TIE original», 10 filas]; [«Operación» de «Flujos de la modificación (adenda) descontados a la TIE original», 10 filas]; «OP-103»; [«Escenario» de «Flujos de la modificación (adenda) descontados a la TIE original», 10 filas]; "Modificado") → 145.394,68</t>
        </is>
      </c>
      <c r="E15" s="24" t="inlineStr">
        <is>
          <t>«Operación» (esta hoja), hoja «Flujos de la modificación (adenda) descontados a la TIE original»</t>
        </is>
      </c>
      <c r="F15" s="24" t="inlineStr">
        <is>
          <t>—</t>
        </is>
      </c>
    </row>
    <row r="16">
      <c r="A16" s="24" t="inlineStr">
        <is>
          <t>Comisiones netas pagadas por la modificación</t>
        </is>
      </c>
      <c r="B16" s="25" t="inlineStr">
        <is>
          <t>'=N('03_Prestamos'!X7)</t>
        </is>
      </c>
      <c r="C16" s="24" t="inlineStr">
        <is>
          <t>Copia las comisiones pagadas al prestamista netas de las recibidas por la adenda (hoja 03); vacío cuenta cero.</t>
        </is>
      </c>
      <c r="D16" s="24" t="inlineStr">
        <is>
          <t>Fila 1: N(1.500,00) → 1.500,00</t>
        </is>
      </c>
      <c r="E16" s="24" t="inlineStr">
        <is>
          <t>hoja «Universo de préstamos»</t>
        </is>
      </c>
      <c r="F16" s="24" t="inlineStr">
        <is>
          <t>—</t>
        </is>
      </c>
    </row>
    <row r="17">
      <c r="A17" s="24" t="inlineStr">
        <is>
          <t>Valor presente de las nuevas condiciones</t>
        </is>
      </c>
      <c r="B17" s="25" t="inlineStr">
        <is>
          <t>'=IF(OR(E5=0,F5=0,'03_Prestamos'!W7="",G5&lt;=0),"",H5+I5)</t>
        </is>
      </c>
      <c r="C17" s="24" t="inlineStr">
        <is>
          <t>Suma el valor presente de los flujos modificados y las comisiones netas. Queda en blanco si faltan flujos originales o modificados, la fecha de modificación o el valor presente original.</t>
        </is>
      </c>
      <c r="D17" s="24" t="inlineStr">
        <is>
          <t>Fila 1: IF(OR(4=0; 6=0; «2025-12-01»=""; 170.350,33&lt;=0); ""; 145.394,68+1.500,00) → 146.894,68</t>
        </is>
      </c>
      <c r="E17" s="24" t="inlineStr">
        <is>
          <t>«Flujos originales restantes informados» (esta hoja), «Flujos modificados informados» (esta hoja), «Valor presente de los flujos originales restantes» (esta hoja), «Valor presente de los flujos modificados» (esta hoja), «Comisiones netas pagadas por la modificación» (esta hoja), hoja «Universo de préstamos»</t>
        </is>
      </c>
      <c r="F17" s="24" t="inlineStr">
        <is>
          <t>—</t>
        </is>
      </c>
    </row>
    <row r="18">
      <c r="A18" s="24" t="inlineStr">
        <is>
          <t>Diferencia</t>
        </is>
      </c>
      <c r="B18" s="25" t="inlineStr">
        <is>
          <t>'=IF(J5="","",J5-G5)</t>
        </is>
      </c>
      <c r="C18" s="24" t="inlineStr">
        <is>
          <t>Resta el valor presente de los flujos originales restantes del valor presente de las nuevas condiciones.</t>
        </is>
      </c>
      <c r="D18" s="24" t="inlineStr">
        <is>
          <t>Fila 1: IF(146.894,68=""; ""; 146.894,68-170.350,33) → -23.455,66</t>
        </is>
      </c>
      <c r="E18" s="24" t="inlineStr">
        <is>
          <t>«Valor presente de las nuevas condiciones» (esta hoja), «Valor presente de los flujos originales restantes» (esta hoja)</t>
        </is>
      </c>
      <c r="F18" s="24" t="inlineStr">
        <is>
          <t>—</t>
        </is>
      </c>
    </row>
    <row r="19">
      <c r="A19" s="24" t="inlineStr">
        <is>
          <t>Diferencia / valor presente original</t>
        </is>
      </c>
      <c r="B19" s="25" t="inlineStr">
        <is>
          <t>'=IF(J5="","",K5/G5)</t>
        </is>
      </c>
      <c r="C19" s="24" t="inlineStr">
        <is>
          <t>Divide la diferencia para el valor presente de los flujos originales restantes: es el porcentaje de cambio.</t>
        </is>
      </c>
      <c r="D19" s="24" t="inlineStr">
        <is>
          <t>Fila 1: IF(146.894,68=""; ""; -23.455,66/170.350,33) → -13,77 %</t>
        </is>
      </c>
      <c r="E19" s="24" t="inlineStr">
        <is>
          <t>«Valor presente de las nuevas condiciones» (esta hoja), «Diferencia» (esta hoja), «Valor presente de los flujos originales restantes» (esta hoja)</t>
        </is>
      </c>
      <c r="F19" s="24" t="inlineStr">
        <is>
          <t>—</t>
        </is>
      </c>
    </row>
    <row r="20">
      <c r="A20" s="24" t="inlineStr">
        <is>
          <t>¿Condiciones sustancialmente diferentes (≥ 10 %)?</t>
        </is>
      </c>
      <c r="B20" s="25" t="inlineStr">
        <is>
          <t>'=IF(L5="","",IF(ABS(L5)&gt;=0.1,"Sí","No"))</t>
        </is>
      </c>
      <c r="C20" s="24" t="inlineStr">
        <is>
          <t>«Sí» si la diferencia, en valor absoluto, llega al 10 % del valor presente original; en blanco si la prueba no se pudo calcular.</t>
        </is>
      </c>
      <c r="D20" s="24" t="inlineStr">
        <is>
          <t>Fila 1: IF(-13,77 %=""; ""; IF(ABS(-13,77 %)&gt;=0.1; "Sí"; "No")) → Sí</t>
        </is>
      </c>
      <c r="E20" s="24" t="inlineStr">
        <is>
          <t>«Diferencia / valor presente original» (esta hoja)</t>
        </is>
      </c>
      <c r="F20" s="24" t="inlineStr">
        <is>
          <t>—</t>
        </is>
      </c>
    </row>
    <row r="21">
      <c r="A21" s="24" t="inlineStr">
        <is>
          <t>Conclusión</t>
        </is>
      </c>
      <c r="B21" s="25" t="inlineStr">
        <is>
          <t>'=IF(M5="","Dato insuficiente: conclusión bloqueada",IF(M5="Sí","Sustancial: baja del pasivo original y reconocimiento de uno nuevo (3.3.2)","No sustancial: el pasivo continúa; costos y comisiones se amortizan (B3.3.6A)"))</t>
        </is>
      </c>
      <c r="C21" s="24" t="inlineStr">
        <is>
          <t>Redacta la conclusión: sin resultado, «Dato insuficiente: conclusión bloqueada»; si es sustancial, baja del pasivo original y alta de uno nuevo; si no, el pasivo continúa y los costos se amortizan.</t>
        </is>
      </c>
      <c r="D21" s="24" t="inlineStr">
        <is>
          <t>Fila 1: IF(«Sí»=""; "Dato insuficiente: conclusión bloqueada"; IF(«Sí»="Sí"; "Sustancial: baja del pasivo original y reconocimiento de uno nuevo (3.3.2)"; "No sustancial: el pasivo continúa; costos y comisiones se amortizan (B3.3.6A)")) → Sustancial: baja del pasivo original y reconocimiento de uno nuevo (3.3.2)</t>
        </is>
      </c>
      <c r="E21" s="24" t="inlineStr">
        <is>
          <t>«¿Condiciones sustancialmente diferentes (≥ 10 %)?» (esta hoja)</t>
        </is>
      </c>
      <c r="F21" s="24" t="inlineStr">
        <is>
          <t>—</t>
        </is>
      </c>
    </row>
  </sheetData>
  <mergeCells count="3">
    <mergeCell ref="A8:F8"/>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J28"/>
  <sheetViews>
    <sheetView showGridLines="0" workbookViewId="0">
      <pane ySplit="4" topLeftCell="A5" activePane="bottomLeft" state="frozen"/>
      <selection pane="bottomLeft" activeCell="A1" sqref="A1"/>
    </sheetView>
  </sheetViews>
  <sheetFormatPr baseColWidth="8" defaultRowHeight="15"/>
  <cols>
    <col width="33" customWidth="1" min="1" max="1"/>
    <col width="60" customWidth="1" min="2" max="2"/>
    <col width="12" customWidth="1" min="3" max="3"/>
  </cols>
  <sheetData>
    <row r="1">
      <c r="A1" s="3" t="inlineStr">
        <is>
          <t>Problemas encontrados</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row>
    <row r="4" ht="30" customHeight="1">
      <c r="A4" s="17" t="inlineStr">
        <is>
          <t>Código</t>
        </is>
      </c>
      <c r="B4" s="17" t="inlineStr">
        <is>
          <t>Descripción</t>
        </is>
      </c>
      <c r="C4" s="17" t="inlineStr">
        <is>
          <t>Importe</t>
        </is>
      </c>
    </row>
    <row r="5">
      <c r="A5" s="18" t="inlineStr">
        <is>
          <t>NO_DESEMBOLSADO</t>
        </is>
      </c>
      <c r="B5" s="18" t="inlineStr">
        <is>
          <t>OP-108: desembolso del 2026-01-10, posterior al corte; no es un pasivo al corte (NIIF 9 3.1.1). Revele si es un hecho posterior significativo.</t>
        </is>
      </c>
      <c r="C5" s="20" t="n">
        <v>0</v>
      </c>
    </row>
    <row r="6">
      <c r="A6" s="19" t="inlineStr">
        <is>
          <t>ENDEUDAMIENTO_SOBRE_LIMITE</t>
        </is>
      </c>
      <c r="B6" s="19" t="inlineStr">
        <is>
          <t>Deuda / EBITDA: 2,20 veces frente al límite máximo de 1,8 veces. Analítica de auditoría (no es un requisito NIIF): revise el efecto en covenants, empresa en marcha (NIA 570) y revelaciones (NIIF 7 18–19).</t>
        </is>
      </c>
      <c r="C6" s="21" t="n">
        <v>0</v>
      </c>
    </row>
    <row r="7">
      <c r="A7" s="18" t="inlineStr">
        <is>
          <t>ENDEUDAMIENTO_SOBRE_LIMITE</t>
        </is>
      </c>
      <c r="B7" s="18" t="inlineStr">
        <is>
          <t>DSCR: 0,76 veces frente al límite mínimo de 1,25 veces. Analítica de auditoría (no es un requisito NIIF): revise el efecto en covenants, empresa en marcha (NIA 570) y revelaciones (NIIF 7 18–19).</t>
        </is>
      </c>
      <c r="C7" s="20" t="n">
        <v>0</v>
      </c>
    </row>
    <row r="8">
      <c r="A8" s="19" t="inlineStr">
        <is>
          <t>COMISIONES_A_GASTO</t>
        </is>
      </c>
      <c r="B8" s="19" t="inlineStr">
        <is>
          <t>OP-101: las comisiones de 2.400,00 se llevaron a gasto; forman parte de la TIE (NIIF 9 5.1.1 y Apéndice A). Costo pendiente de amortizar al corte 379,36.</t>
        </is>
      </c>
      <c r="C8" s="21" t="n">
        <v>-379.36</v>
      </c>
    </row>
    <row r="9">
      <c r="A9" s="18" t="inlineStr">
        <is>
          <t>GASTO_FINANCIERO_DIFERENCIA</t>
        </is>
      </c>
      <c r="B9" s="18" t="inlineStr">
        <is>
          <t>OP-101: gasto financiero a la TIE 8.334,99 vs registrado 7.478,25.</t>
        </is>
      </c>
      <c r="C9" s="20" t="n">
        <v>856.74</v>
      </c>
    </row>
    <row r="10">
      <c r="A10" s="19" t="inlineStr">
        <is>
          <t>PASIVO_DIFERENCIA</t>
        </is>
      </c>
      <c r="B10" s="19" t="inlineStr">
        <is>
          <t>OP-101: costo amortizado con intereses devengados 47.814,46 vs registrado (capital + intereses) 48.166,93.</t>
        </is>
      </c>
      <c r="C10" s="21" t="n">
        <v>-352.47</v>
      </c>
    </row>
    <row r="11">
      <c r="A11" s="18" t="inlineStr">
        <is>
          <t>INTERES_DEVENGADO_NO_REGISTRADO</t>
        </is>
      </c>
      <c r="B11" s="18" t="inlineStr">
        <is>
          <t>OP-102: interés devengado desde el último vencimiento 1.416,67 y registrado 0,00 (devengo, NIIF 9 4.2.1 y Apéndice A).</t>
        </is>
      </c>
      <c r="C11" s="20" t="n">
        <v>1416.67</v>
      </c>
    </row>
    <row r="12">
      <c r="A12" s="19" t="inlineStr">
        <is>
          <t>GASTO_FINANCIERO_DIFERENCIA</t>
        </is>
      </c>
      <c r="B12" s="19" t="inlineStr">
        <is>
          <t>OP-102: gasto financiero a la TIE 16.504,82 vs registrado 15.010,65.</t>
        </is>
      </c>
      <c r="C12" s="21" t="n">
        <v>1494.17</v>
      </c>
    </row>
    <row r="13">
      <c r="A13" s="18" t="inlineStr">
        <is>
          <t>COVENANT_SIN_DISPENSA</t>
        </is>
      </c>
      <c r="B13" s="18" t="inlineStr">
        <is>
          <t>OP-102: covenant «Deuda / EBITDA» incumplido al corte sin dispensa obtenida hasta el corte con gracia ≥ 12 meses: toda la deuda es corriente (NIC 1 74–75).</t>
        </is>
      </c>
      <c r="C13" s="20" t="n">
        <v>127760.65</v>
      </c>
    </row>
    <row r="14">
      <c r="A14" s="19" t="inlineStr">
        <is>
          <t>DISPENSA_POSTERIOR</t>
        </is>
      </c>
      <c r="B14" s="19" t="inlineStr">
        <is>
          <t>OP-102: la dispensa del 2026-01-20 es posterior al corte: no cambia la clasificación (NIC 1 74); revele como hecho posterior no ajustante (NIC 1 76 b)–c), NIC 10).</t>
        </is>
      </c>
      <c r="C14" s="21" t="n">
        <v>0</v>
      </c>
    </row>
    <row r="15">
      <c r="A15" s="18" t="inlineStr">
        <is>
          <t>CLASIFICACION_CP_LP</t>
        </is>
      </c>
      <c r="B15" s="18" t="inlineStr">
        <is>
          <t>OP-102: porción corriente auditada 169.254,82 vs registrada 41.494,17 (NIC 1 69–76).</t>
        </is>
      </c>
      <c r="C15" s="20" t="n">
        <v>127760.65</v>
      </c>
    </row>
    <row r="16">
      <c r="A16" s="19" t="inlineStr">
        <is>
          <t>PASIVO_DIFERENCIA</t>
        </is>
      </c>
      <c r="B16" s="19" t="inlineStr">
        <is>
          <t>OP-102: costo amortizado con intereses devengados 169.254,82 vs registrado (capital + intereses) 167.760,65.</t>
        </is>
      </c>
      <c r="C16" s="21" t="n">
        <v>1494.17</v>
      </c>
    </row>
    <row r="17">
      <c r="A17" s="18" t="inlineStr">
        <is>
          <t>REVELACION_INCUMPLIMIENTO</t>
        </is>
      </c>
      <c r="B17" s="18" t="inlineStr">
        <is>
          <t>OP-102: incumplimiento de la condición pactada «Deuda / EBITDA» sin subsanar al cierre. Revele el detalle del incumplimiento, el importe en libros del préstamo (169.254,82) y si se subsanó o se renegociaron las condiciones antes de la autorización de los estados financieros (NIIF 7 18–19).</t>
        </is>
      </c>
      <c r="C17" s="20" t="n">
        <v>169254.82</v>
      </c>
    </row>
    <row r="18">
      <c r="A18" s="19" t="inlineStr">
        <is>
          <t>COVENANT_SIN_FECHA_MEDICION</t>
        </is>
      </c>
      <c r="B18" s="19" t="inlineStr">
        <is>
          <t>OP-103: covenant «Cobertura de intereses» sin fecha de medición. Solo afectan la clasificación las condiciones que deben cumplirse al cierre o antes (NIC 1 72B); se mantuvo el tratamiento actual (el incumplimiento reclasifica a corriente). Informe la fecha de medición del contrato.</t>
        </is>
      </c>
      <c r="C18" s="21" t="n">
        <v>0</v>
      </c>
    </row>
    <row r="19">
      <c r="A19" s="18" t="inlineStr">
        <is>
          <t>MODIFICACION_SUSTANCIAL</t>
        </is>
      </c>
      <c r="B19" s="18" t="inlineStr">
        <is>
          <t>OP-103: las condiciones de la adenda del 2025-12-01 son sustancialmente diferentes: el valor presente de las nuevas condiciones 146.894,68 difiere en 13,77 % (-23.455,66) del valor presente de los flujos originales restantes 170.350,33, descontados a la tasa de interés efectiva original (9,7256 %). Dé de baja el pasivo original y reconozca uno nuevo a valor razonable; la diferencia va a resultados (3.3.3) y los costos y comisiones se reconocen en la pérdida o ganancia de la extinción (B3.3.6A). La herramienta no remide el pasivo después de la modificación: las cédulas 04 a 13 siguen el contrato original.</t>
        </is>
      </c>
      <c r="C19" s="20" t="n">
        <v>-23455.66</v>
      </c>
    </row>
    <row r="20">
      <c r="A20" s="19" t="inlineStr">
        <is>
          <t>CLASIFICACION_CP_LP</t>
        </is>
      </c>
      <c r="B20" s="19" t="inlineStr">
        <is>
          <t>OP-103: porción corriente auditada 85.883,27 vs registrada 70.000,00 (NIC 1 69–76).</t>
        </is>
      </c>
      <c r="C20" s="21" t="n">
        <v>15883.27</v>
      </c>
    </row>
    <row r="21">
      <c r="A21" s="18" t="inlineStr">
        <is>
          <t>CONFIRMACION_DIFERENCIA</t>
        </is>
      </c>
      <c r="B21" s="18" t="inlineStr">
        <is>
          <t>OP-104: el banco confirma 150.000,00 de capital y el cliente registra 145.000,00; diferencia no explicada por costos por amortizar 3.841,41 (NIA 505).</t>
        </is>
      </c>
      <c r="C21" s="20" t="n">
        <v>3841.41</v>
      </c>
    </row>
    <row r="22">
      <c r="A22" s="19" t="inlineStr">
        <is>
          <t>PASIVO_DIFERENCIA</t>
        </is>
      </c>
      <c r="B22" s="19" t="inlineStr">
        <is>
          <t>OP-104: costo amortizado con intereses devengados 148.892,86 vs registrado (capital + intereses) 145.049,45.</t>
        </is>
      </c>
      <c r="C22" s="21" t="n">
        <v>3843.41</v>
      </c>
    </row>
    <row r="23">
      <c r="A23" s="18" t="inlineStr">
        <is>
          <t>MODIFICACION_DATO_INSUFICIENTE</t>
        </is>
      </c>
      <c r="B23" s="18" t="inlineStr">
        <is>
          <t>OP-105: dato insuficiente: conclusión bloqueada. No se puede resolver la prueba del 10 % (NIIF 9 3.3.2 y B3.3.6) porque faltan la fecha de la modificación, los flujos contractuales originales que restaban a esa fecha y los flujos de la adenda (fecha e importe de cada pago). Papel que hay que revisar: la adenda del préstamo con su tabla de flujos; cargue en el anexo de flujos una fila por pago, con escenario «Original» o «Modificado», fecha e importe. Mientras falte, la herramienta no concluye si la modificación es sustancial: no se presume «no sustancial».</t>
        </is>
      </c>
      <c r="C23" s="20" t="n">
        <v>0</v>
      </c>
    </row>
    <row r="24">
      <c r="A24" s="19" t="inlineStr">
        <is>
          <t>REVELACION_INCUMPLIMIENTO</t>
        </is>
      </c>
      <c r="B24" s="19" t="inlineStr">
        <is>
          <t>OP-105: incumplimiento de la condición pactada «Deuda / patrimonio» sin subsanar al cierre. Revele el detalle del incumplimiento, el importe en libros del préstamo (20.265,22) y si se subsanó o se renegociaron las condiciones antes de la autorización de los estados financieros (NIIF 7 18–19).</t>
        </is>
      </c>
      <c r="C24" s="21" t="n">
        <v>20265.22</v>
      </c>
    </row>
    <row r="25">
      <c r="A25" s="18" t="inlineStr">
        <is>
          <t>PAGOS_DIFERENCIA</t>
        </is>
      </c>
      <c r="B25" s="18" t="inlineStr">
        <is>
          <t>OP-107: pagos del año según la tabla 41.645,83 vs informados 40.000,00; indague cuotas impagas o prepagos.</t>
        </is>
      </c>
      <c r="C25" s="20" t="n">
        <v>1645.83</v>
      </c>
    </row>
    <row r="26">
      <c r="A26" s="19" t="inlineStr">
        <is>
          <t>COVENANT_POSTERIOR_AL_CORTE</t>
        </is>
      </c>
      <c r="B26" s="19" t="inlineStr">
        <is>
          <t>OP-107: la condición pactada «DSCR» se mide el 2026-06-30, después del corte: no incide en la clasificación al cierre y la deuda no se reclasifica a corriente (NIC 1 72B), pese al incumplimiento identificado. Revele en las notas la información que permita a los usuarios entender el riesgo de que el pasivo pase a ser reembolsable dentro de los doce meses: el valor en libros, la naturaleza y la fecha de la condición y los hechos que indiquen dificultad para cumplirla (NIC 1 76ZA).</t>
        </is>
      </c>
      <c r="C26" s="21" t="n">
        <v>24624.9</v>
      </c>
    </row>
    <row r="27">
      <c r="A27" s="18" t="inlineStr">
        <is>
          <t>PASIVO_DIFERENCIA</t>
        </is>
      </c>
      <c r="B27" s="18" t="inlineStr">
        <is>
          <t>OP-107: costo amortizado con intereses devengados 59.563,11 vs registrado (capital + intereses) 59.472,84.</t>
        </is>
      </c>
      <c r="C27" s="20" t="n">
        <v>90.27</v>
      </c>
    </row>
    <row r="28">
      <c r="A28" s="19" t="inlineStr">
        <is>
          <t>REVELACION_INCUMPLIMIENTO</t>
        </is>
      </c>
      <c r="B28" s="19" t="inlineStr">
        <is>
          <t>OP-107: incumplimiento de la condición pactada «DSCR» y impago de principal o intereses por 1.645,83 (pagos de la tabla 41.645,83 vs informados 40.000,00) sin subsanar al cierre. Revele el detalle del incumplimiento, el importe en libros del préstamo (59.563,11) y si se subsanó o se renegociaron las condiciones antes de la autorización de los estados financieros (NIIF 7 18–19).</t>
        </is>
      </c>
      <c r="C28" s="21" t="n">
        <v>59563.11</v>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J8"/>
  <sheetViews>
    <sheetView showGridLines="0" workbookViewId="0">
      <pane ySplit="4" topLeftCell="A5" activePane="bottomLeft" state="frozen"/>
      <selection pane="bottomLeft" activeCell="A1" sqref="A1"/>
    </sheetView>
  </sheetViews>
  <sheetFormatPr baseColWidth="8" defaultRowHeight="15"/>
  <cols>
    <col width="27" customWidth="1" min="1" max="1"/>
    <col width="47" customWidth="1" min="2" max="2"/>
  </cols>
  <sheetData>
    <row r="1">
      <c r="A1" s="3" t="inlineStr">
        <is>
          <t>Conclusión</t>
        </is>
      </c>
      <c r="H1" s="14" t="inlineStr">
        <is>
          <t>⟵ Inicio</t>
        </is>
      </c>
      <c r="I1" s="14" t="inlineStr">
        <is>
          <t>◀ Anterior</t>
        </is>
      </c>
      <c r="J1" s="14" t="inlineStr">
        <is>
          <t>Siguiente ▶</t>
        </is>
      </c>
    </row>
    <row r="2">
      <c r="A2" s="15" t="inlineStr">
        <is>
          <t>Préstamos y obligaciones financieras · Cliente de muestra S.A. · corte 2025-12-31</t>
        </is>
      </c>
      <c r="B2" s="16" t="n"/>
      <c r="C2" s="16" t="n"/>
      <c r="D2" s="16" t="n"/>
      <c r="E2" s="16" t="n"/>
      <c r="F2" s="16" t="n"/>
    </row>
    <row r="4" ht="30" customHeight="1">
      <c r="A4" s="17" t="inlineStr">
        <is>
          <t>Concepto</t>
        </is>
      </c>
      <c r="B4" s="17" t="inlineStr">
        <is>
          <t>Detalle</t>
        </is>
      </c>
    </row>
    <row r="5">
      <c r="A5" s="18" t="inlineStr">
        <is>
          <t>Conciliación con el mayor</t>
        </is>
      </c>
      <c r="B5" s="18" t="inlineStr">
        <is>
          <t>Población None · mayor None · diferencia None</t>
        </is>
      </c>
    </row>
    <row r="6">
      <c r="A6" s="19" t="inlineStr">
        <is>
          <t>Evaluación de excepciones</t>
        </is>
      </c>
      <c r="B6" s="19" t="inlineStr"/>
    </row>
    <row r="7">
      <c r="A7" s="18" t="inlineStr">
        <is>
          <t>Análisis</t>
        </is>
      </c>
      <c r="B7" s="18" t="inlineStr"/>
    </row>
    <row r="8">
      <c r="A8" s="19" t="inlineStr">
        <is>
          <t>Conclusión</t>
        </is>
      </c>
      <c r="B8" s="19"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I4"/>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7" customWidth="1" min="3" max="3"/>
    <col width="14" customWidth="1" min="4" max="4"/>
    <col width="12" customWidth="1" min="5" max="5"/>
    <col width="12" customWidth="1" min="6" max="6"/>
  </cols>
  <sheetData>
    <row r="1">
      <c r="A1" s="3" t="inlineStr">
        <is>
          <t>Control de revisión</t>
        </is>
      </c>
      <c r="H1" s="14" t="inlineStr">
        <is>
          <t>⟵ Inicio</t>
        </is>
      </c>
      <c r="I1" s="14" t="inlineStr">
        <is>
          <t>◀ Anterior</t>
        </is>
      </c>
    </row>
    <row r="2">
      <c r="A2" s="15" t="inlineStr">
        <is>
          <t>Préstamos y obligaciones financieras · Cliente de muestra S.A. · corte 2025-12-31</t>
        </is>
      </c>
      <c r="B2" s="16" t="n"/>
      <c r="C2" s="16" t="n"/>
      <c r="D2" s="16" t="n"/>
      <c r="E2" s="16" t="n"/>
      <c r="F2" s="16" t="n"/>
    </row>
    <row r="4" ht="30" customHeight="1">
      <c r="A4" s="17" t="inlineStr">
        <is>
          <t>Fecha</t>
        </is>
      </c>
      <c r="B4" s="17" t="inlineStr">
        <is>
          <t>Acción</t>
        </is>
      </c>
      <c r="C4" s="17" t="inlineStr">
        <is>
          <t>Estado anterior</t>
        </is>
      </c>
      <c r="D4" s="17" t="inlineStr">
        <is>
          <t>Estado nuevo</t>
        </is>
      </c>
      <c r="E4" s="17" t="inlineStr">
        <is>
          <t>Actor</t>
        </is>
      </c>
      <c r="F4" s="17" t="inlineStr">
        <is>
          <t>Comentario</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2026-09-24T04:20:05Z</dcterms:created>
  <dcterms:modified xmlns:dcterms="http://purl.org/dc/terms/" xmlns:xsi="http://www.w3.org/2001/XMLSchema-instance" xsi:type="dcterms:W3CDTF">2026-09-24T04:20:05Z</dcterms:modified>
</cp:coreProperties>
</file>