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icio" sheetId="1" state="visible" r:id="rId1"/>
    <sheet xmlns:r="http://schemas.openxmlformats.org/officeDocument/2006/relationships" name="00_Caratula" sheetId="2" state="visible" r:id="rId2"/>
    <sheet xmlns:r="http://schemas.openxmlformats.org/officeDocument/2006/relationships" name="00_Programa" sheetId="3" state="visible" r:id="rId3"/>
    <sheet xmlns:r="http://schemas.openxmlformats.org/officeDocument/2006/relationships" name="00_Fuentes" sheetId="4" state="visible" r:id="rId4"/>
    <sheet xmlns:r="http://schemas.openxmlformats.org/officeDocument/2006/relationships" name="01_Resumen" sheetId="5" state="visible" r:id="rId5"/>
    <sheet xmlns:r="http://schemas.openxmlformats.org/officeDocument/2006/relationships" name="02_Parametros" sheetId="6" state="visible" r:id="rId6"/>
    <sheet xmlns:r="http://schemas.openxmlformats.org/officeDocument/2006/relationships" name="03_Contratos" sheetId="7" state="visible" r:id="rId7"/>
    <sheet xmlns:r="http://schemas.openxmlformats.org/officeDocument/2006/relationships" name="04_Identificacion" sheetId="8" state="visible" r:id="rId8"/>
    <sheet xmlns:r="http://schemas.openxmlformats.org/officeDocument/2006/relationships" name="05_Plazo" sheetId="9" state="visible" r:id="rId9"/>
    <sheet xmlns:r="http://schemas.openxmlformats.org/officeDocument/2006/relationships" name="06_Medicion_inicial" sheetId="10" state="visible" r:id="rId10"/>
    <sheet xmlns:r="http://schemas.openxmlformats.org/officeDocument/2006/relationships" name="07_Pagos_variables" sheetId="11" state="visible" r:id="rId11"/>
    <sheet xmlns:r="http://schemas.openxmlformats.org/officeDocument/2006/relationships" name="08_Remedicion" sheetId="12" state="visible" r:id="rId12"/>
    <sheet xmlns:r="http://schemas.openxmlformats.org/officeDocument/2006/relationships" name="09_Tabla_amortizacion" sheetId="13" state="visible" r:id="rId13"/>
    <sheet xmlns:r="http://schemas.openxmlformats.org/officeDocument/2006/relationships" name="10_Pasivo_corte" sheetId="14" state="visible" r:id="rId14"/>
    <sheet xmlns:r="http://schemas.openxmlformats.org/officeDocument/2006/relationships" name="11_Derecho_uso" sheetId="15" state="visible" r:id="rId15"/>
    <sheet xmlns:r="http://schemas.openxmlformats.org/officeDocument/2006/relationships" name="12_Gasto_lineal" sheetId="16" state="visible" r:id="rId16"/>
    <sheet xmlns:r="http://schemas.openxmlformats.org/officeDocument/2006/relationships" name="13_Venta_arr_posterior" sheetId="17" state="visible" r:id="rId17"/>
    <sheet xmlns:r="http://schemas.openxmlformats.org/officeDocument/2006/relationships" name="14_Venta_medicion_post" sheetId="18" state="visible" r:id="rId18"/>
    <sheet xmlns:r="http://schemas.openxmlformats.org/officeDocument/2006/relationships" name="15_Conciliacion" sheetId="19" state="visible" r:id="rId19"/>
    <sheet xmlns:r="http://schemas.openxmlformats.org/officeDocument/2006/relationships" name="16_Problemas" sheetId="20" state="visible" r:id="rId20"/>
    <sheet xmlns:r="http://schemas.openxmlformats.org/officeDocument/2006/relationships" name="13_Conclusion" sheetId="21" state="visible" r:id="rId21"/>
    <sheet xmlns:r="http://schemas.openxmlformats.org/officeDocument/2006/relationships" name="14_Control_Revision" sheetId="22" state="visible" r:id="rId22"/>
  </sheets>
  <definedNames>
    <definedName name="_xlnm.Print_Area" localSheetId="0">'00_Inicio'!$A$1:$L$71</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4">
    <font>
      <name val="Calibri"/>
      <family val="2"/>
      <color theme="1"/>
      <sz val="11"/>
      <scheme val="minor"/>
    </font>
    <font>
      <name val="Montserrat"/>
      <b val="1"/>
      <color rgb="00FFFFFF"/>
      <sz val="16"/>
    </font>
    <font>
      <name val="Montserrat"/>
      <b val="1"/>
      <color rgb="000A2342"/>
      <sz val="15"/>
    </font>
    <font>
      <name val="Montserrat"/>
      <b val="1"/>
      <color rgb="000D7377"/>
      <sz val="9"/>
    </font>
    <font>
      <name val="Calibri"/>
      <color rgb="001A1A1A"/>
      <sz val="9"/>
    </font>
    <font>
      <name val="Montserrat"/>
      <b val="1"/>
      <color rgb="00C7A83C"/>
      <sz val="10"/>
    </font>
    <font>
      <name val="Consolas"/>
      <b val="1"/>
      <color rgb="000A2342"/>
      <sz val="18"/>
    </font>
    <font>
      <name val="Consolas"/>
      <b val="1"/>
      <color rgb="00C0392B"/>
      <sz val="18"/>
    </font>
    <font>
      <name val="Montserrat"/>
      <b val="1"/>
      <color rgb="00FFFFFF"/>
      <sz val="10"/>
    </font>
    <font>
      <name val="Calibri"/>
      <i val="1"/>
      <color rgb="006B7280"/>
      <sz val="8"/>
    </font>
    <font>
      <name val="Calibri"/>
      <color rgb="008A94A6"/>
      <sz val="8"/>
    </font>
    <font>
      <name val="Montserrat"/>
      <b val="1"/>
      <color rgb="000A2342"/>
      <sz val="9"/>
    </font>
    <font>
      <name val="Consolas"/>
      <color rgb="001A1A1A"/>
      <sz val="9"/>
    </font>
    <font>
      <name val="Consolas"/>
      <b val="1"/>
      <color rgb="000A2342"/>
      <sz val="10"/>
    </font>
  </fonts>
  <fills count="8">
    <fill>
      <patternFill/>
    </fill>
    <fill>
      <patternFill patternType="gray125"/>
    </fill>
    <fill>
      <patternFill patternType="solid">
        <fgColor rgb="000A2342"/>
      </patternFill>
    </fill>
    <fill>
      <patternFill patternType="solid">
        <fgColor rgb="00F4F6F9"/>
      </patternFill>
    </fill>
    <fill>
      <patternFill patternType="solid">
        <fgColor rgb="000D7377"/>
      </patternFill>
    </fill>
    <fill>
      <patternFill patternType="solid">
        <fgColor rgb="00DCE6F1"/>
      </patternFill>
    </fill>
    <fill>
      <patternFill patternType="solid">
        <fgColor rgb="00F7F9FC"/>
      </patternFill>
    </fill>
    <fill>
      <patternFill patternType="solid">
        <fgColor rgb="00C7A83C"/>
      </patternFill>
    </fill>
  </fills>
  <borders count="5">
    <border>
      <left/>
      <right/>
      <top/>
      <bottom/>
      <diagonal/>
    </border>
    <border>
      <left style="thin">
        <color rgb="00B7C0CC"/>
      </left>
      <right style="thin">
        <color rgb="00B7C0CC"/>
      </right>
      <top style="thin">
        <color rgb="00B7C0CC"/>
      </top>
      <bottom style="thin">
        <color rgb="00B7C0CC"/>
      </bottom>
    </border>
    <border>
      <bottom style="medium">
        <color rgb="00C7A83C"/>
      </bottom>
    </border>
    <border>
      <bottom style="thin">
        <color rgb="00E3E8EF"/>
      </bottom>
    </border>
    <border>
      <left style="thin">
        <color rgb="00B7C0CC"/>
      </left>
      <right style="thin">
        <color rgb="00B7C0CC"/>
      </right>
      <top style="double">
        <color rgb="000A2342"/>
      </top>
      <bottom style="double">
        <color rgb="000A2342"/>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3" borderId="1" applyAlignment="1" pivotButton="0" quotePrefix="0" xfId="0">
      <alignment vertical="bottom" wrapText="1"/>
    </xf>
    <xf numFmtId="4" fontId="6" fillId="3" borderId="1" pivotButton="0" quotePrefix="0" xfId="0"/>
    <xf numFmtId="3" fontId="7" fillId="3" borderId="1" pivotButton="0" quotePrefix="0" xfId="0"/>
    <xf numFmtId="0" fontId="8" fillId="4" borderId="1" applyAlignment="1" pivotButton="0" quotePrefix="0" xfId="0">
      <alignment horizontal="center" vertical="center" wrapText="1"/>
    </xf>
    <xf numFmtId="0" fontId="9" fillId="0" borderId="0" pivotButton="0" quotePrefix="0" xfId="0"/>
    <xf numFmtId="0" fontId="10" fillId="0" borderId="0" pivotButton="0" quotePrefix="0" xfId="0"/>
    <xf numFmtId="4" fontId="10" fillId="0" borderId="0" pivotButton="0" quotePrefix="0" xfId="0"/>
    <xf numFmtId="0" fontId="11" fillId="5" borderId="1" applyAlignment="1" pivotButton="0" quotePrefix="0" xfId="0">
      <alignment horizontal="center" vertical="center" wrapText="1"/>
    </xf>
    <xf numFmtId="0" fontId="5" fillId="0" borderId="2" pivotButton="0" quotePrefix="0" xfId="0"/>
    <xf numFmtId="0" fontId="0" fillId="0" borderId="2" pivotButton="0" quotePrefix="0" xfId="0"/>
    <xf numFmtId="0" fontId="8" fillId="2" borderId="2" applyAlignment="1" pivotButton="0" quotePrefix="0" xfId="0">
      <alignment horizontal="center" vertical="center" wrapText="1"/>
    </xf>
    <xf numFmtId="0" fontId="4" fillId="0" borderId="3" applyAlignment="1" pivotButton="0" quotePrefix="0" xfId="0">
      <alignment horizontal="left" vertical="top" wrapText="1"/>
    </xf>
    <xf numFmtId="0" fontId="4" fillId="6" borderId="3" applyAlignment="1" pivotButton="0" quotePrefix="0" xfId="0">
      <alignment horizontal="left" vertical="top" wrapText="1"/>
    </xf>
    <xf numFmtId="4" fontId="12" fillId="0" borderId="3" applyAlignment="1" pivotButton="0" quotePrefix="0" xfId="0">
      <alignment horizontal="right" vertical="center"/>
    </xf>
    <xf numFmtId="4" fontId="12" fillId="6" borderId="3" applyAlignment="1" pivotButton="0" quotePrefix="0" xfId="0">
      <alignment horizontal="right" vertical="center"/>
    </xf>
    <xf numFmtId="0" fontId="5" fillId="7" borderId="0" applyAlignment="1" pivotButton="0" quotePrefix="0" xfId="0">
      <alignment horizontal="left" vertical="top" wrapText="1"/>
    </xf>
    <xf numFmtId="0" fontId="8" fillId="2" borderId="1" applyAlignment="1" pivotButton="0" quotePrefix="0" xfId="0">
      <alignment horizontal="center" vertical="center" wrapText="1"/>
    </xf>
    <xf numFmtId="0" fontId="4" fillId="3" borderId="1" applyAlignment="1" pivotButton="0" quotePrefix="0" xfId="0">
      <alignment horizontal="left" vertical="top" wrapText="1"/>
    </xf>
    <xf numFmtId="0" fontId="12" fillId="3" borderId="1" applyAlignment="1" pivotButton="0" quotePrefix="0" xfId="0">
      <alignment horizontal="left" vertical="top" wrapText="1"/>
    </xf>
    <xf numFmtId="165" fontId="4" fillId="0" borderId="3" applyAlignment="1" pivotButton="0" quotePrefix="0" xfId="0">
      <alignment horizontal="center" vertical="center" wrapText="1"/>
    </xf>
    <xf numFmtId="0" fontId="12" fillId="0" borderId="3" applyAlignment="1" pivotButton="0" quotePrefix="0" xfId="0">
      <alignment horizontal="right" vertical="center"/>
    </xf>
    <xf numFmtId="0" fontId="12" fillId="6" borderId="3" applyAlignment="1" pivotButton="0" quotePrefix="0" xfId="0">
      <alignment horizontal="right" vertical="center"/>
    </xf>
    <xf numFmtId="165" fontId="12" fillId="0" borderId="3" applyAlignment="1" pivotButton="0" quotePrefix="0" xfId="0">
      <alignment horizontal="center" vertical="center" wrapText="1"/>
    </xf>
    <xf numFmtId="165" fontId="12" fillId="0" borderId="3" applyAlignment="1" pivotButton="0" quotePrefix="0" xfId="0">
      <alignment horizontal="right" vertical="center"/>
    </xf>
    <xf numFmtId="165" fontId="12" fillId="6" borderId="3" applyAlignment="1" pivotButton="0" quotePrefix="0" xfId="0">
      <alignment horizontal="center" vertical="center" wrapText="1"/>
    </xf>
    <xf numFmtId="165" fontId="12" fillId="6" borderId="3" applyAlignment="1" pivotButton="0" quotePrefix="0" xfId="0">
      <alignment horizontal="right" vertical="center"/>
    </xf>
    <xf numFmtId="3" fontId="12" fillId="0" borderId="3" applyAlignment="1" pivotButton="0" quotePrefix="0" xfId="0">
      <alignment horizontal="right" vertical="center"/>
    </xf>
    <xf numFmtId="3" fontId="12" fillId="6" borderId="3" applyAlignment="1" pivotButton="0" quotePrefix="0" xfId="0">
      <alignment horizontal="right" vertical="center"/>
    </xf>
    <xf numFmtId="10" fontId="12" fillId="0" borderId="3" applyAlignment="1" pivotButton="0" quotePrefix="0" xfId="0">
      <alignment horizontal="right" vertical="center"/>
    </xf>
    <xf numFmtId="10" fontId="12" fillId="6" borderId="3" applyAlignment="1" pivotButton="0" quotePrefix="0" xfId="0">
      <alignment horizontal="right" vertical="center"/>
    </xf>
    <xf numFmtId="0" fontId="13" fillId="5" borderId="4" applyAlignment="1" pivotButton="0" quotePrefix="0" xfId="0">
      <alignment horizontal="left" vertical="top" wrapText="1"/>
    </xf>
    <xf numFmtId="10" fontId="13" fillId="5" borderId="4" applyAlignment="1" pivotButton="0" quotePrefix="0" xfId="0">
      <alignment horizontal="right" vertical="center"/>
    </xf>
    <xf numFmtId="3" fontId="13" fillId="5" borderId="4" applyAlignment="1" pivotButton="0" quotePrefix="0" xfId="0">
      <alignment horizontal="right" vertical="center"/>
    </xf>
    <xf numFmtId="4" fontId="13" fillId="5" borderId="4" applyAlignment="1" pivotButton="0" quotePrefix="0" xfId="0">
      <alignment horizontal="right" vertical="center"/>
    </xf>
    <xf numFmtId="165" fontId="13" fillId="5" borderId="4"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Cifras del resumen (USD)</a:t>
            </a:r>
          </a:p>
        </rich>
      </tx>
    </title>
    <plotArea>
      <barChart>
        <barDir val="bar"/>
        <grouping val="clustered"/>
        <ser>
          <idx val="0"/>
          <order val="0"/>
          <tx>
            <strRef>
              <f>'00_Inicio'!O24</f>
            </strRef>
          </tx>
          <spPr>
            <a:solidFill xmlns:a="http://schemas.openxmlformats.org/drawingml/2006/main">
              <a:srgbClr val="0093A3"/>
            </a:solidFill>
            <a:ln xmlns:a="http://schemas.openxmlformats.org/drawingml/2006/main">
              <a:noFill/>
              <a:prstDash val="solid"/>
            </a:ln>
          </spPr>
          <invertIfNegative val="0"/>
          <cat>
            <numRef>
              <f>'00_Inicio'!$N$25:$N$38</f>
            </numRef>
          </cat>
          <val>
            <numRef>
              <f>'00_Inicio'!$O$25:$O$38</f>
            </numRef>
          </val>
        </ser>
        <dLbls>
          <numFmt formatCode="#,##0.00"/>
          <showLegendKey val="0"/>
          <showVal val="1"/>
          <showCatName val="0"/>
          <showSerName val="0"/>
          <showPercent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Hallazgos de mayor impacto (USD)</a:t>
            </a:r>
          </a:p>
        </rich>
      </tx>
    </title>
    <plotArea>
      <barChart>
        <barDir val="bar"/>
        <grouping val="clustered"/>
        <ser>
          <idx val="0"/>
          <order val="0"/>
          <tx>
            <strRef>
              <f>'00_Inicio'!O40</f>
            </strRef>
          </tx>
          <spPr>
            <a:solidFill xmlns:a="http://schemas.openxmlformats.org/drawingml/2006/main">
              <a:srgbClr val="0093A3"/>
            </a:solidFill>
            <a:ln xmlns:a="http://schemas.openxmlformats.org/drawingml/2006/main">
              <a:noFill/>
              <a:prstDash val="solid"/>
            </a:ln>
          </spPr>
          <invertIfNegative val="0"/>
          <cat>
            <numRef>
              <f>'00_Inicio'!$N$41:$N$48</f>
            </numRef>
          </cat>
          <val>
            <numRef>
              <f>'00_Inicio'!$O$41:$O$48</f>
            </numRef>
          </val>
        </ser>
        <dLbls>
          <numFmt formatCode="#,##0.00"/>
          <showLegendKey val="0"/>
          <showVal val="1"/>
          <showCatName val="0"/>
          <showSerName val="0"/>
          <showPercent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24</row>
      <rowOff>0</rowOff>
    </from>
    <ext cx="7740000" cy="47088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51</row>
      <rowOff>0</rowOff>
    </from>
    <ext cx="7740000" cy="3153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Caratula'!A1" TargetMode="External" Id="rId1"/><Relationship Type="http://schemas.openxmlformats.org/officeDocument/2006/relationships/hyperlink" Target="#'00_Programa'!A1" TargetMode="External" Id="rId2"/><Relationship Type="http://schemas.openxmlformats.org/officeDocument/2006/relationships/hyperlink" Target="#'00_Fuentes'!A1" TargetMode="External" Id="rId3"/><Relationship Type="http://schemas.openxmlformats.org/officeDocument/2006/relationships/hyperlink" Target="#'01_Resumen'!A1" TargetMode="External" Id="rId4"/><Relationship Type="http://schemas.openxmlformats.org/officeDocument/2006/relationships/hyperlink" Target="#'02_Parametros'!A1" TargetMode="External" Id="rId5"/><Relationship Type="http://schemas.openxmlformats.org/officeDocument/2006/relationships/hyperlink" Target="#'03_Contratos'!A1" TargetMode="External" Id="rId6"/><Relationship Type="http://schemas.openxmlformats.org/officeDocument/2006/relationships/hyperlink" Target="#'04_Identificacion'!A1" TargetMode="External" Id="rId7"/><Relationship Type="http://schemas.openxmlformats.org/officeDocument/2006/relationships/hyperlink" Target="#'05_Plazo'!A1" TargetMode="External" Id="rId8"/><Relationship Type="http://schemas.openxmlformats.org/officeDocument/2006/relationships/hyperlink" Target="#'06_Medicion_inicial'!A1" TargetMode="External" Id="rId9"/><Relationship Type="http://schemas.openxmlformats.org/officeDocument/2006/relationships/hyperlink" Target="#'07_Pagos_variables'!A1" TargetMode="External" Id="rId10"/><Relationship Type="http://schemas.openxmlformats.org/officeDocument/2006/relationships/hyperlink" Target="#'08_Remedicion'!A1" TargetMode="External" Id="rId11"/><Relationship Type="http://schemas.openxmlformats.org/officeDocument/2006/relationships/hyperlink" Target="#'09_Tabla_amortizacion'!A1" TargetMode="External" Id="rId12"/><Relationship Type="http://schemas.openxmlformats.org/officeDocument/2006/relationships/hyperlink" Target="#'10_Pasivo_corte'!A1" TargetMode="External" Id="rId13"/><Relationship Type="http://schemas.openxmlformats.org/officeDocument/2006/relationships/hyperlink" Target="#'11_Derecho_uso'!A1" TargetMode="External" Id="rId14"/><Relationship Type="http://schemas.openxmlformats.org/officeDocument/2006/relationships/hyperlink" Target="#'12_Gasto_lineal'!A1" TargetMode="External" Id="rId15"/><Relationship Type="http://schemas.openxmlformats.org/officeDocument/2006/relationships/hyperlink" Target="#'13_Venta_arr_posterior'!A1" TargetMode="External" Id="rId16"/><Relationship Type="http://schemas.openxmlformats.org/officeDocument/2006/relationships/hyperlink" Target="#'14_Venta_medicion_post'!A1" TargetMode="External" Id="rId17"/><Relationship Type="http://schemas.openxmlformats.org/officeDocument/2006/relationships/hyperlink" Target="#'15_Conciliacion'!A1" TargetMode="External" Id="rId18"/><Relationship Type="http://schemas.openxmlformats.org/officeDocument/2006/relationships/hyperlink" Target="#'16_Problemas'!A1" TargetMode="External" Id="rId19"/><Relationship Type="http://schemas.openxmlformats.org/officeDocument/2006/relationships/hyperlink" Target="#'13_Conclusion'!A1" TargetMode="External" Id="rId20"/><Relationship Type="http://schemas.openxmlformats.org/officeDocument/2006/relationships/hyperlink" Target="#'14_Control_Revision'!A1" TargetMode="External" Id="rId21"/><Relationship Type="http://schemas.openxmlformats.org/officeDocument/2006/relationships/drawing" Target="/xl/drawings/drawing1.xml" Id="rId22"/></Relationships>
</file>

<file path=xl/worksheets/_rels/sheet2.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Programa'!A1" TargetMode="External" Id="rId2"/></Relationships>
</file>

<file path=xl/worksheets/_rels/sheet3.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Caratula'!A1" TargetMode="External" Id="rId2"/><Relationship Type="http://schemas.openxmlformats.org/officeDocument/2006/relationships/hyperlink" Target="#'00_Fuentes'!A1" TargetMode="External" Id="rId3"/></Relationships>
</file>

<file path=xl/worksheets/_rels/sheet4.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Programa'!A1" TargetMode="External" Id="rId2"/><Relationship Type="http://schemas.openxmlformats.org/officeDocument/2006/relationships/hyperlink" Target="#'01_Resumen'!A1" TargetMode="External" Id="rId3"/></Relationships>
</file>

<file path=xl/worksheets/_rels/sheet5.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Fuentes'!A1" TargetMode="External" Id="rId2"/><Relationship Type="http://schemas.openxmlformats.org/officeDocument/2006/relationships/hyperlink" Target="#'02_Parametros'!A1" TargetMode="External" Id="rId3"/></Relationships>
</file>

<file path=xl/worksheets/_rels/sheet6.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1_Resumen'!A1" TargetMode="External" Id="rId2"/><Relationship Type="http://schemas.openxmlformats.org/officeDocument/2006/relationships/hyperlink" Target="#'03_Contratos'!A1" TargetMode="External" Id="rId3"/></Relationships>
</file>

<file path=xl/worksheets/_rels/sheet7.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2_Parametros'!A1" TargetMode="External" Id="rId2"/><Relationship Type="http://schemas.openxmlformats.org/officeDocument/2006/relationships/hyperlink" Target="#'04_Identificacion'!A1" TargetMode="External" Id="rId3"/></Relationships>
</file>

<file path=xl/worksheets/_rels/sheet8.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3_Contratos'!A1" TargetMode="External" Id="rId2"/><Relationship Type="http://schemas.openxmlformats.org/officeDocument/2006/relationships/hyperlink" Target="#'05_Plazo'!A1" TargetMode="External" Id="rId3"/></Relationships>
</file>

<file path=xl/worksheets/_rels/sheet9.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4_Identificacion'!A1" TargetMode="External" Id="rId2"/><Relationship Type="http://schemas.openxmlformats.org/officeDocument/2006/relationships/hyperlink" Target="#'06_Medicion_inicial'!A1" TargetMode="External" Id="rId3"/></Relationships>
</file>

<file path=xl/worksheets/_rels/sheet10.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5_Plazo'!A1" TargetMode="External" Id="rId2"/><Relationship Type="http://schemas.openxmlformats.org/officeDocument/2006/relationships/hyperlink" Target="#'07_Pagos_variables'!A1" TargetMode="External" Id="rId3"/></Relationships>
</file>

<file path=xl/worksheets/_rels/sheet11.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6_Medicion_inicial'!A1" TargetMode="External" Id="rId2"/><Relationship Type="http://schemas.openxmlformats.org/officeDocument/2006/relationships/hyperlink" Target="#'08_Remedicion'!A1" TargetMode="External" Id="rId3"/></Relationships>
</file>

<file path=xl/worksheets/_rels/sheet12.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7_Pagos_variables'!A1" TargetMode="External" Id="rId2"/><Relationship Type="http://schemas.openxmlformats.org/officeDocument/2006/relationships/hyperlink" Target="#'09_Tabla_amortizacion'!A1" TargetMode="External" Id="rId3"/></Relationships>
</file>

<file path=xl/worksheets/_rels/sheet13.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8_Remedicion'!A1" TargetMode="External" Id="rId2"/><Relationship Type="http://schemas.openxmlformats.org/officeDocument/2006/relationships/hyperlink" Target="#'10_Pasivo_corte'!A1" TargetMode="External" Id="rId3"/></Relationships>
</file>

<file path=xl/worksheets/_rels/sheet14.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9_Tabla_amortizacion'!A1" TargetMode="External" Id="rId2"/><Relationship Type="http://schemas.openxmlformats.org/officeDocument/2006/relationships/hyperlink" Target="#'11_Derecho_uso'!A1" TargetMode="External" Id="rId3"/></Relationships>
</file>

<file path=xl/worksheets/_rels/sheet15.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0_Pasivo_corte'!A1" TargetMode="External" Id="rId2"/><Relationship Type="http://schemas.openxmlformats.org/officeDocument/2006/relationships/hyperlink" Target="#'12_Gasto_lineal'!A1" TargetMode="External" Id="rId3"/></Relationships>
</file>

<file path=xl/worksheets/_rels/sheet16.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1_Derecho_uso'!A1" TargetMode="External" Id="rId2"/><Relationship Type="http://schemas.openxmlformats.org/officeDocument/2006/relationships/hyperlink" Target="#'13_Venta_arr_posterior'!A1" TargetMode="External" Id="rId3"/></Relationships>
</file>

<file path=xl/worksheets/_rels/sheet17.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2_Gasto_lineal'!A1" TargetMode="External" Id="rId2"/><Relationship Type="http://schemas.openxmlformats.org/officeDocument/2006/relationships/hyperlink" Target="#'14_Venta_medicion_post'!A1" TargetMode="External" Id="rId3"/></Relationships>
</file>

<file path=xl/worksheets/_rels/sheet18.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3_Venta_arr_posterior'!A1" TargetMode="External" Id="rId2"/><Relationship Type="http://schemas.openxmlformats.org/officeDocument/2006/relationships/hyperlink" Target="#'15_Conciliacion'!A1" TargetMode="External" Id="rId3"/></Relationships>
</file>

<file path=xl/worksheets/_rels/sheet19.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4_Venta_medicion_post'!A1" TargetMode="External" Id="rId2"/><Relationship Type="http://schemas.openxmlformats.org/officeDocument/2006/relationships/hyperlink" Target="#'16_Problemas'!A1" TargetMode="External" Id="rId3"/></Relationships>
</file>

<file path=xl/worksheets/_rels/sheet20.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5_Conciliacion'!A1" TargetMode="External" Id="rId2"/><Relationship Type="http://schemas.openxmlformats.org/officeDocument/2006/relationships/hyperlink" Target="#'13_Conclusion'!A1" TargetMode="External" Id="rId3"/></Relationships>
</file>

<file path=xl/worksheets/_rels/sheet21.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6_Problemas'!A1" TargetMode="External" Id="rId2"/><Relationship Type="http://schemas.openxmlformats.org/officeDocument/2006/relationships/hyperlink" Target="#'14_Control_Revision'!A1" TargetMode="External" Id="rId3"/></Relationships>
</file>

<file path=xl/worksheets/_rels/sheet22.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3_Conclusion'!A1" TargetMode="External" Id="rId2"/></Relationships>
</file>

<file path=xl/worksheets/sheet1.xml><?xml version="1.0" encoding="utf-8"?>
<worksheet xmlns="http://schemas.openxmlformats.org/spreadsheetml/2006/main">
  <sheetPr>
    <outlinePr summaryBelow="1" summaryRight="1"/>
    <pageSetUpPr fitToPage="1"/>
  </sheetPr>
  <dimension ref="B2:O48"/>
  <sheetViews>
    <sheetView showGridLines="0" workbookViewId="0">
      <selection activeCell="A1" sqref="A1"/>
    </sheetView>
  </sheetViews>
  <sheetFormatPr baseColWidth="8" defaultRowHeight="15"/>
  <cols>
    <col width="3" customWidth="1" min="1" max="1"/>
    <col width="27" customWidth="1" min="2" max="2"/>
    <col width="27" customWidth="1" min="3" max="3"/>
    <col width="27" customWidth="1" min="4" max="4"/>
    <col width="27" customWidth="1" min="5" max="5"/>
    <col width="27" customWidth="1" min="6" max="6"/>
    <col width="34" customWidth="1" min="14" max="14"/>
    <col width="16" customWidth="1" min="15" max="15"/>
  </cols>
  <sheetData>
    <row r="2">
      <c r="B2" s="1" t="inlineStr">
        <is>
          <t>AuditConsulting Auditores Cía. Ltda.  ·  AUDIT-IA</t>
        </is>
      </c>
      <c r="C2" s="2" t="n"/>
      <c r="D2" s="2" t="n"/>
      <c r="E2" s="2" t="n"/>
      <c r="F2" s="2" t="n"/>
    </row>
    <row r="3">
      <c r="B3" s="2" t="n"/>
      <c r="C3" s="2" t="n"/>
      <c r="D3" s="2" t="n"/>
      <c r="E3" s="2" t="n"/>
      <c r="F3" s="2" t="n"/>
    </row>
    <row r="4">
      <c r="B4" s="3" t="inlineStr">
        <is>
          <t>Arrendamientos</t>
        </is>
      </c>
    </row>
    <row r="6">
      <c r="B6" s="4" t="inlineStr">
        <is>
          <t>Cliente</t>
        </is>
      </c>
      <c r="C6" s="5" t="inlineStr">
        <is>
          <t>Cliente de muestra S.A.</t>
        </is>
      </c>
      <c r="D6" s="4" t="inlineStr">
        <is>
          <t>RUC</t>
        </is>
      </c>
      <c r="E6" s="5" t="inlineStr">
        <is>
          <t>1790000000001</t>
        </is>
      </c>
    </row>
    <row r="7">
      <c r="B7" s="4" t="inlineStr">
        <is>
          <t>Marco contable</t>
        </is>
      </c>
      <c r="C7" s="5" t="inlineStr">
        <is>
          <t>NIIF completas</t>
        </is>
      </c>
      <c r="D7" s="4" t="inlineStr">
        <is>
          <t>Fecha de corte</t>
        </is>
      </c>
      <c r="E7" s="5" t="inlineStr">
        <is>
          <t>2025-12-31</t>
        </is>
      </c>
    </row>
    <row r="8">
      <c r="B8" s="4" t="inlineStr">
        <is>
          <t>Preparó</t>
        </is>
      </c>
      <c r="C8" s="5" t="inlineStr">
        <is>
          <t>Ejercicio modelo</t>
        </is>
      </c>
      <c r="D8" s="4" t="inlineStr">
        <is>
          <t>Revisó</t>
        </is>
      </c>
      <c r="E8" s="5" t="inlineStr">
        <is>
          <t>Pendiente</t>
        </is>
      </c>
    </row>
    <row r="10">
      <c r="B10" s="6" t="inlineStr">
        <is>
          <t>INDICADORES CLAVE</t>
        </is>
      </c>
    </row>
    <row r="11" ht="30" customHeight="1">
      <c r="B11" s="7" t="inlineStr">
        <is>
          <t>Ajuste propuesto al pasivo</t>
        </is>
      </c>
      <c r="C11" s="7" t="inlineStr">
        <is>
          <t>Problemas encontrados</t>
        </is>
      </c>
    </row>
    <row r="12">
      <c r="B12" s="8" t="n">
        <v>87220.64</v>
      </c>
      <c r="C12" s="9" t="n">
        <v>25</v>
      </c>
    </row>
    <row r="15">
      <c r="B15" s="6" t="inlineStr">
        <is>
          <t>IR A LA CÉDULA</t>
        </is>
      </c>
    </row>
    <row r="16" ht="32" customHeight="1">
      <c r="B16" s="10" t="inlineStr">
        <is>
          <t>Carátula</t>
        </is>
      </c>
      <c r="C16" s="10" t="inlineStr">
        <is>
          <t>Programa</t>
        </is>
      </c>
      <c r="D16" s="10" t="inlineStr">
        <is>
          <t>Base técnica</t>
        </is>
      </c>
      <c r="E16" s="10" t="inlineStr">
        <is>
          <t>Resumen</t>
        </is>
      </c>
    </row>
    <row r="17" ht="32" customHeight="1">
      <c r="B17" s="10" t="inlineStr">
        <is>
          <t>Parámetros</t>
        </is>
      </c>
      <c r="C17" s="10" t="inlineStr">
        <is>
          <t>Universo de contratos</t>
        </is>
      </c>
      <c r="D17" s="10" t="inlineStr">
        <is>
          <t>Identificación, clasificación y exenciones</t>
        </is>
      </c>
      <c r="E17" s="10" t="inlineStr">
        <is>
          <t>Plazo y opciones</t>
        </is>
      </c>
    </row>
    <row r="18" ht="32" customHeight="1">
      <c r="B18" s="10" t="inlineStr">
        <is>
          <t>Medición inicial: pasivo y activo</t>
        </is>
      </c>
      <c r="C18" s="10" t="inlineStr">
        <is>
          <t>Pago base, componente indexado y pagos variables</t>
        </is>
      </c>
      <c r="D18" s="10" t="inlineStr">
        <is>
          <t>Remedición y modificaciones</t>
        </is>
      </c>
      <c r="E18" s="10" t="inlineStr">
        <is>
          <t>Tabla de amortización</t>
        </is>
      </c>
    </row>
    <row r="19" ht="32" customHeight="1">
      <c r="B19" s="10" t="inlineStr">
        <is>
          <t>Pasivo al corte: corriente y no corriente</t>
        </is>
      </c>
      <c r="C19" s="10" t="inlineStr">
        <is>
          <t>Depreciación y deterioro del activo</t>
        </is>
      </c>
      <c r="D19" s="10" t="inlineStr">
        <is>
          <t>Gasto lineal: exentos y operativos</t>
        </is>
      </c>
      <c r="E19" s="10" t="inlineStr">
        <is>
          <t>Venta con arrendamiento posterior: medición inicial</t>
        </is>
      </c>
    </row>
    <row r="20" ht="32" customHeight="1">
      <c r="B20" s="10" t="inlineStr">
        <is>
          <t>Venta con arrendamiento posterior: medición posterior</t>
        </is>
      </c>
      <c r="C20" s="10" t="inlineStr">
        <is>
          <t>Conciliación y ajuste</t>
        </is>
      </c>
      <c r="D20" s="10" t="inlineStr">
        <is>
          <t>Problemas encontrados</t>
        </is>
      </c>
      <c r="E20" s="10" t="inlineStr">
        <is>
          <t>Conclusión</t>
        </is>
      </c>
    </row>
    <row r="21" ht="32" customHeight="1">
      <c r="B21" s="10" t="inlineStr">
        <is>
          <t>Control de revisión</t>
        </is>
      </c>
    </row>
    <row r="23">
      <c r="B23" s="6" t="inlineStr">
        <is>
          <t>PANORAMA</t>
        </is>
      </c>
      <c r="N23" s="11" t="inlineStr">
        <is>
          <t>Datos de los gráficos (fórmulas a las cédulas)</t>
        </is>
      </c>
    </row>
    <row r="24">
      <c r="N24" s="12" t="inlineStr">
        <is>
          <t>Cifras del resumen</t>
        </is>
      </c>
      <c r="O24" s="12" t="inlineStr">
        <is>
          <t>Importe (USD)</t>
        </is>
      </c>
    </row>
    <row r="25">
      <c r="N25" s="12">
        <f>'01_Resumen'!A5</f>
        <v/>
      </c>
      <c r="O25" s="13">
        <f>'01_Resumen'!B5</f>
        <v/>
      </c>
    </row>
    <row r="26">
      <c r="N26" s="12">
        <f>'01_Resumen'!A6</f>
        <v/>
      </c>
      <c r="O26" s="13">
        <f>'01_Resumen'!B6</f>
        <v/>
      </c>
    </row>
    <row r="27">
      <c r="N27" s="12">
        <f>'01_Resumen'!A7</f>
        <v/>
      </c>
      <c r="O27" s="13">
        <f>'01_Resumen'!B7</f>
        <v/>
      </c>
    </row>
    <row r="28">
      <c r="N28" s="12">
        <f>'01_Resumen'!A8</f>
        <v/>
      </c>
      <c r="O28" s="13">
        <f>'01_Resumen'!B8</f>
        <v/>
      </c>
    </row>
    <row r="29">
      <c r="N29" s="12">
        <f>'01_Resumen'!A9</f>
        <v/>
      </c>
      <c r="O29" s="13">
        <f>'01_Resumen'!B9</f>
        <v/>
      </c>
    </row>
    <row r="30">
      <c r="N30" s="12">
        <f>'01_Resumen'!A10</f>
        <v/>
      </c>
      <c r="O30" s="13">
        <f>'01_Resumen'!B10</f>
        <v/>
      </c>
    </row>
    <row r="31">
      <c r="N31" s="12">
        <f>'01_Resumen'!A11</f>
        <v/>
      </c>
      <c r="O31" s="13">
        <f>'01_Resumen'!B11</f>
        <v/>
      </c>
    </row>
    <row r="32">
      <c r="N32" s="12">
        <f>'01_Resumen'!A12</f>
        <v/>
      </c>
      <c r="O32" s="13">
        <f>'01_Resumen'!B12</f>
        <v/>
      </c>
    </row>
    <row r="33">
      <c r="N33" s="12">
        <f>'01_Resumen'!A13</f>
        <v/>
      </c>
      <c r="O33" s="13">
        <f>'01_Resumen'!B13</f>
        <v/>
      </c>
    </row>
    <row r="34">
      <c r="N34" s="12">
        <f>'01_Resumen'!A14</f>
        <v/>
      </c>
      <c r="O34" s="13">
        <f>'01_Resumen'!B14</f>
        <v/>
      </c>
    </row>
    <row r="35">
      <c r="N35" s="12">
        <f>'01_Resumen'!A15</f>
        <v/>
      </c>
      <c r="O35" s="13">
        <f>'01_Resumen'!B15</f>
        <v/>
      </c>
    </row>
    <row r="36">
      <c r="N36" s="12">
        <f>'01_Resumen'!A16</f>
        <v/>
      </c>
      <c r="O36" s="13">
        <f>'01_Resumen'!B16</f>
        <v/>
      </c>
    </row>
    <row r="37">
      <c r="N37" s="12">
        <f>'01_Resumen'!A17</f>
        <v/>
      </c>
      <c r="O37" s="13">
        <f>'01_Resumen'!B17</f>
        <v/>
      </c>
    </row>
    <row r="38">
      <c r="N38" s="12">
        <f>'01_Resumen'!A18</f>
        <v/>
      </c>
      <c r="O38" s="13">
        <f>'01_Resumen'!B18</f>
        <v/>
      </c>
    </row>
    <row r="40">
      <c r="N40" s="12" t="inlineStr">
        <is>
          <t>Hallazgos de mayor impacto</t>
        </is>
      </c>
      <c r="O40" s="12" t="inlineStr">
        <is>
          <t>Importe (USD)</t>
        </is>
      </c>
    </row>
    <row r="41">
      <c r="N41" s="12" t="inlineStr">
        <is>
          <t>Venta ganancia</t>
        </is>
      </c>
      <c r="O41" s="13">
        <f>SUMIFS('16_Problemas'!$C$5:$C$29,'16_Problemas'!$A$5:$A$29,"VENTA_GANANCIA",'16_Problemas'!$C$5:$C$29,"&gt;0")-SUMIFS('16_Problemas'!$C$5:$C$29,'16_Problemas'!$A$5:$A$29,"VENTA_GANANCIA",'16_Problemas'!$C$5:$C$29,"&lt;0")</f>
        <v/>
      </c>
    </row>
    <row r="42">
      <c r="N42" s="12" t="inlineStr">
        <is>
          <t>Activo diferencia (×6)</t>
        </is>
      </c>
      <c r="O42" s="13">
        <f>SUMIFS('16_Problemas'!$C$5:$C$29,'16_Problemas'!$A$5:$A$29,"ACTIVO_DIFERENCIA",'16_Problemas'!$C$5:$C$29,"&gt;0")-SUMIFS('16_Problemas'!$C$5:$C$29,'16_Problemas'!$A$5:$A$29,"ACTIVO_DIFERENCIA",'16_Problemas'!$C$5:$C$29,"&lt;0")</f>
        <v/>
      </c>
    </row>
    <row r="43">
      <c r="N43" s="12" t="inlineStr">
        <is>
          <t>Pasivo diferencia (×5)</t>
        </is>
      </c>
      <c r="O43" s="13">
        <f>SUMIFS('16_Problemas'!$C$5:$C$29,'16_Problemas'!$A$5:$A$29,"PASIVO_DIFERENCIA",'16_Problemas'!$C$5:$C$29,"&gt;0")-SUMIFS('16_Problemas'!$C$5:$C$29,'16_Problemas'!$A$5:$A$29,"PASIVO_DIFERENCIA",'16_Problemas'!$C$5:$C$29,"&lt;0")</f>
        <v/>
      </c>
    </row>
    <row r="44">
      <c r="N44" s="12" t="inlineStr">
        <is>
          <t>Deterioro</t>
        </is>
      </c>
      <c r="O44" s="13">
        <f>SUMIFS('16_Problemas'!$C$5:$C$29,'16_Problemas'!$A$5:$A$29,"DETERIORO",'16_Problemas'!$C$5:$C$29,"&gt;0")-SUMIFS('16_Problemas'!$C$5:$C$29,'16_Problemas'!$A$5:$A$29,"DETERIORO",'16_Problemas'!$C$5:$C$29,"&lt;0")</f>
        <v/>
      </c>
    </row>
    <row r="45">
      <c r="N45" s="12" t="inlineStr">
        <is>
          <t>Bajo valor vehiculo</t>
        </is>
      </c>
      <c r="O45" s="13">
        <f>SUMIFS('16_Problemas'!$C$5:$C$29,'16_Problemas'!$A$5:$A$29,"BAJO_VALOR_VEHICULO",'16_Problemas'!$C$5:$C$29,"&gt;0")-SUMIFS('16_Problemas'!$C$5:$C$29,'16_Problemas'!$A$5:$A$29,"BAJO_VALOR_VEHICULO",'16_Problemas'!$C$5:$C$29,"&lt;0")</f>
        <v/>
      </c>
    </row>
    <row r="46">
      <c r="N46" s="12" t="inlineStr">
        <is>
          <t>Exencion mal aplicada</t>
        </is>
      </c>
      <c r="O46" s="13">
        <f>SUMIFS('16_Problemas'!$C$5:$C$29,'16_Problemas'!$A$5:$A$29,"EXENCION_MAL_APLICADA",'16_Problemas'!$C$5:$C$29,"&gt;0")-SUMIFS('16_Problemas'!$C$5:$C$29,'16_Problemas'!$A$5:$A$29,"EXENCION_MAL_APLICADA",'16_Problemas'!$C$5:$C$29,"&lt;0")</f>
        <v/>
      </c>
    </row>
    <row r="47">
      <c r="N47" s="12" t="inlineStr">
        <is>
          <t>Venta ganancia posterior</t>
        </is>
      </c>
      <c r="O47" s="13">
        <f>SUMIFS('16_Problemas'!$C$5:$C$29,'16_Problemas'!$A$5:$A$29,"VENTA_GANANCIA_POSTERIOR",'16_Problemas'!$C$5:$C$29,"&gt;0")-SUMIFS('16_Problemas'!$C$5:$C$29,'16_Problemas'!$A$5:$A$29,"VENTA_GANANCIA_POSTERIOR",'16_Problemas'!$C$5:$C$29,"&lt;0")</f>
        <v/>
      </c>
    </row>
    <row r="48">
      <c r="N48" s="12" t="inlineStr">
        <is>
          <t>Otros (4 tipos)</t>
        </is>
      </c>
      <c r="O48" s="13">
        <f>SUMIF('16_Problemas'!$C$5:$C$29,"&gt;0")-SUMIF('16_Problemas'!$C$5:$C$29,"&lt;0")-((SUMIFS('16_Problemas'!$C$5:$C$29,'16_Problemas'!$A$5:$A$29,"VENTA_GANANCIA",'16_Problemas'!$C$5:$C$29,"&gt;0")-SUMIFS('16_Problemas'!$C$5:$C$29,'16_Problemas'!$A$5:$A$29,"VENTA_GANANCIA",'16_Problemas'!$C$5:$C$29,"&lt;0"))+(SUMIFS('16_Problemas'!$C$5:$C$29,'16_Problemas'!$A$5:$A$29,"ACTIVO_DIFERENCIA",'16_Problemas'!$C$5:$C$29,"&gt;0")-SUMIFS('16_Problemas'!$C$5:$C$29,'16_Problemas'!$A$5:$A$29,"ACTIVO_DIFERENCIA",'16_Problemas'!$C$5:$C$29,"&lt;0"))+(SUMIFS('16_Problemas'!$C$5:$C$29,'16_Problemas'!$A$5:$A$29,"PASIVO_DIFERENCIA",'16_Problemas'!$C$5:$C$29,"&gt;0")-SUMIFS('16_Problemas'!$C$5:$C$29,'16_Problemas'!$A$5:$A$29,"PASIVO_DIFERENCIA",'16_Problemas'!$C$5:$C$29,"&lt;0"))+(SUMIFS('16_Problemas'!$C$5:$C$29,'16_Problemas'!$A$5:$A$29,"DETERIORO",'16_Problemas'!$C$5:$C$29,"&gt;0")-SUMIFS('16_Problemas'!$C$5:$C$29,'16_Problemas'!$A$5:$A$29,"DETERIORO",'16_Problemas'!$C$5:$C$29,"&lt;0"))+(SUMIFS('16_Problemas'!$C$5:$C$29,'16_Problemas'!$A$5:$A$29,"BAJO_VALOR_VEHICULO",'16_Problemas'!$C$5:$C$29,"&gt;0")-SUMIFS('16_Problemas'!$C$5:$C$29,'16_Problemas'!$A$5:$A$29,"BAJO_VALOR_VEHICULO",'16_Problemas'!$C$5:$C$29,"&lt;0"))+(SUMIFS('16_Problemas'!$C$5:$C$29,'16_Problemas'!$A$5:$A$29,"EXENCION_MAL_APLICADA",'16_Problemas'!$C$5:$C$29,"&gt;0")-SUMIFS('16_Problemas'!$C$5:$C$29,'16_Problemas'!$A$5:$A$29,"EXENCION_MAL_APLICADA",'16_Problemas'!$C$5:$C$29,"&lt;0"))+(SUMIFS('16_Problemas'!$C$5:$C$29,'16_Problemas'!$A$5:$A$29,"VENTA_GANANCIA_POSTERIOR",'16_Problemas'!$C$5:$C$29,"&gt;0")-SUMIFS('16_Problemas'!$C$5:$C$29,'16_Problemas'!$A$5:$A$29,"VENTA_GANANCIA_POSTERIOR",'16_Problemas'!$C$5:$C$29,"&lt;0")))</f>
        <v/>
      </c>
    </row>
  </sheetData>
  <mergeCells count="2">
    <mergeCell ref="B4:F4"/>
    <mergeCell ref="B2:F3"/>
  </mergeCells>
  <hyperlinks>
    <hyperlink xmlns:r="http://schemas.openxmlformats.org/officeDocument/2006/relationships" ref="B16" r:id="rId1"/>
    <hyperlink xmlns:r="http://schemas.openxmlformats.org/officeDocument/2006/relationships" ref="C16" r:id="rId2"/>
    <hyperlink xmlns:r="http://schemas.openxmlformats.org/officeDocument/2006/relationships" ref="D16" r:id="rId3"/>
    <hyperlink xmlns:r="http://schemas.openxmlformats.org/officeDocument/2006/relationships" ref="E16" r:id="rId4"/>
    <hyperlink xmlns:r="http://schemas.openxmlformats.org/officeDocument/2006/relationships" ref="B17" r:id="rId5"/>
    <hyperlink xmlns:r="http://schemas.openxmlformats.org/officeDocument/2006/relationships" ref="C17" r:id="rId6"/>
    <hyperlink xmlns:r="http://schemas.openxmlformats.org/officeDocument/2006/relationships" ref="D17" r:id="rId7"/>
    <hyperlink xmlns:r="http://schemas.openxmlformats.org/officeDocument/2006/relationships" ref="E17" r:id="rId8"/>
    <hyperlink xmlns:r="http://schemas.openxmlformats.org/officeDocument/2006/relationships" ref="B18" r:id="rId9"/>
    <hyperlink xmlns:r="http://schemas.openxmlformats.org/officeDocument/2006/relationships" ref="C18" r:id="rId10"/>
    <hyperlink xmlns:r="http://schemas.openxmlformats.org/officeDocument/2006/relationships" ref="D18" r:id="rId11"/>
    <hyperlink xmlns:r="http://schemas.openxmlformats.org/officeDocument/2006/relationships" ref="E18" r:id="rId12"/>
    <hyperlink xmlns:r="http://schemas.openxmlformats.org/officeDocument/2006/relationships" ref="B19" r:id="rId13"/>
    <hyperlink xmlns:r="http://schemas.openxmlformats.org/officeDocument/2006/relationships" ref="C19" r:id="rId14"/>
    <hyperlink xmlns:r="http://schemas.openxmlformats.org/officeDocument/2006/relationships" ref="D19" r:id="rId15"/>
    <hyperlink xmlns:r="http://schemas.openxmlformats.org/officeDocument/2006/relationships" ref="E19" r:id="rId16"/>
    <hyperlink xmlns:r="http://schemas.openxmlformats.org/officeDocument/2006/relationships" ref="B20" r:id="rId17"/>
    <hyperlink xmlns:r="http://schemas.openxmlformats.org/officeDocument/2006/relationships" ref="C20" r:id="rId18"/>
    <hyperlink xmlns:r="http://schemas.openxmlformats.org/officeDocument/2006/relationships" ref="D20" r:id="rId19"/>
    <hyperlink xmlns:r="http://schemas.openxmlformats.org/officeDocument/2006/relationships" ref="E20" r:id="rId20"/>
    <hyperlink xmlns:r="http://schemas.openxmlformats.org/officeDocument/2006/relationships" ref="B21" r:id="rId21"/>
  </hyperlinks>
  <printOptions horizontalCentered="1"/>
  <pageMargins left="0.75" right="0.75" top="1" bottom="1" header="0.5" footer="0.5"/>
  <pageSetup orientation="landscape" fitToHeight="0" fitToWidth="1"/>
  <headerFooter>
    <oddHeader/>
    <oddFooter>&amp;LAuditConsulting Auditores Cía. Ltda.&amp;CCliente de muestra S.A.&amp;RPágina &amp;P de &amp;N</oddFooter>
    <evenHeader/>
    <evenFooter/>
    <firstHeader/>
    <firstFooter/>
  </headerFooter>
  <drawing xmlns:r="http://schemas.openxmlformats.org/officeDocument/2006/relationships" r:id="rId22"/>
</worksheet>
</file>

<file path=xl/worksheets/sheet2.xml><?xml version="1.0" encoding="utf-8"?>
<worksheet xmlns="http://schemas.openxmlformats.org/spreadsheetml/2006/main">
  <sheetPr>
    <outlinePr summaryBelow="1" summaryRight="1"/>
    <pageSetUpPr fitToPage="1"/>
  </sheetPr>
  <dimension ref="A1:J20"/>
  <sheetViews>
    <sheetView showGridLines="0" workbookViewId="0">
      <pane ySplit="4" topLeftCell="A5" activePane="bottomLeft" state="frozen"/>
      <selection pane="bottomLeft" activeCell="A1" sqref="A1"/>
    </sheetView>
  </sheetViews>
  <sheetFormatPr baseColWidth="8" defaultRowHeight="15"/>
  <cols>
    <col width="34" customWidth="1" min="1" max="1"/>
    <col width="38" customWidth="1" min="2" max="2"/>
  </cols>
  <sheetData>
    <row r="1">
      <c r="A1" s="3" t="inlineStr">
        <is>
          <t>Carátula</t>
        </is>
      </c>
      <c r="H1" s="14" t="inlineStr">
        <is>
          <t>⟵ Inicio</t>
        </is>
      </c>
      <c r="J1" s="14" t="inlineStr">
        <is>
          <t>Siguiente ▶</t>
        </is>
      </c>
    </row>
    <row r="2">
      <c r="A2" s="15" t="inlineStr">
        <is>
          <t>Arrendamientos · Cliente de muestra S.A. · corte 2025-12-31</t>
        </is>
      </c>
      <c r="B2" s="16" t="n"/>
      <c r="C2" s="16" t="n"/>
      <c r="D2" s="16" t="n"/>
      <c r="E2" s="16" t="n"/>
      <c r="F2" s="16" t="n"/>
    </row>
    <row r="4" ht="30" customHeight="1">
      <c r="A4" s="17" t="inlineStr">
        <is>
          <t>Concepto</t>
        </is>
      </c>
      <c r="B4" s="17" t="inlineStr">
        <is>
          <t>Detalle</t>
        </is>
      </c>
    </row>
    <row r="5">
      <c r="A5" s="18" t="inlineStr">
        <is>
          <t>Firma</t>
        </is>
      </c>
      <c r="B5" s="18" t="inlineStr">
        <is>
          <t>AuditConsulting Auditores Cía. Ltda.</t>
        </is>
      </c>
    </row>
    <row r="6">
      <c r="A6" s="19" t="inlineStr">
        <is>
          <t>Cliente</t>
        </is>
      </c>
      <c r="B6" s="19" t="inlineStr">
        <is>
          <t>Cliente de muestra S.A.</t>
        </is>
      </c>
    </row>
    <row r="7">
      <c r="A7" s="18" t="inlineStr">
        <is>
          <t>RUC</t>
        </is>
      </c>
      <c r="B7" s="18" t="inlineStr">
        <is>
          <t>1790000000001</t>
        </is>
      </c>
    </row>
    <row r="8">
      <c r="A8" s="19" t="inlineStr">
        <is>
          <t>Ejercicio</t>
        </is>
      </c>
      <c r="B8" s="19" t="inlineStr">
        <is>
          <t>2025</t>
        </is>
      </c>
    </row>
    <row r="9">
      <c r="A9" s="18" t="inlineStr">
        <is>
          <t>Fecha de corte</t>
        </is>
      </c>
      <c r="B9" s="18" t="inlineStr">
        <is>
          <t>2025-12-31</t>
        </is>
      </c>
    </row>
    <row r="10">
      <c r="A10" s="19" t="inlineStr">
        <is>
          <t>Marco contable</t>
        </is>
      </c>
      <c r="B10" s="19" t="inlineStr">
        <is>
          <t>NIIF completas</t>
        </is>
      </c>
    </row>
    <row r="11">
      <c r="A11" s="18" t="inlineStr">
        <is>
          <t>Herramienta</t>
        </is>
      </c>
      <c r="B11" s="18" t="inlineStr">
        <is>
          <t>Arrendamientos</t>
        </is>
      </c>
    </row>
    <row r="12">
      <c r="A12" s="19" t="inlineStr">
        <is>
          <t>Rubro</t>
        </is>
      </c>
      <c r="B12" s="19" t="inlineStr">
        <is>
          <t>Arrendamientos</t>
        </is>
      </c>
    </row>
    <row r="13">
      <c r="A13" s="18" t="inlineStr">
        <is>
          <t>Motor</t>
        </is>
      </c>
      <c r="B13" s="18" t="inlineStr">
        <is>
          <t>arrendamientos 1.0</t>
        </is>
      </c>
    </row>
    <row r="14">
      <c r="A14" s="19" t="inlineStr">
        <is>
          <t>Versión del papel</t>
        </is>
      </c>
      <c r="B14" s="19" t="inlineStr">
        <is>
          <t>v1</t>
        </is>
      </c>
    </row>
    <row r="15">
      <c r="A15" s="18" t="inlineStr">
        <is>
          <t>Estado</t>
        </is>
      </c>
      <c r="B15" s="18" t="inlineStr">
        <is>
          <t>MUESTRA</t>
        </is>
      </c>
    </row>
    <row r="16">
      <c r="A16" s="19" t="inlineStr">
        <is>
          <t>Preparó</t>
        </is>
      </c>
      <c r="B16" s="19" t="inlineStr">
        <is>
          <t>Ejercicio modelo</t>
        </is>
      </c>
    </row>
    <row r="17">
      <c r="A17" s="18" t="inlineStr">
        <is>
          <t>Revisó</t>
        </is>
      </c>
      <c r="B17" s="18" t="inlineStr">
        <is>
          <t>Pendiente</t>
        </is>
      </c>
    </row>
    <row r="18">
      <c r="A18" s="19" t="inlineStr">
        <is>
          <t>Aprobó</t>
        </is>
      </c>
      <c r="B18" s="19" t="inlineStr"/>
    </row>
    <row r="19">
      <c r="A19" s="18" t="inlineStr">
        <is>
          <t>Fecha de aprobación</t>
        </is>
      </c>
      <c r="B19" s="18" t="inlineStr"/>
    </row>
    <row r="20">
      <c r="A20" s="19" t="inlineStr">
        <is>
          <t>Huella de la ejecución (SHA-256)</t>
        </is>
      </c>
      <c r="B20" s="19" t="inlineStr"/>
    </row>
  </sheetData>
  <mergeCells count="2">
    <mergeCell ref="A2:F2"/>
    <mergeCell ref="A1:F1"/>
  </mergeCells>
  <hyperlinks>
    <hyperlink xmlns:r="http://schemas.openxmlformats.org/officeDocument/2006/relationships" ref="H1" r:id="rId1"/>
    <hyperlink xmlns:r="http://schemas.openxmlformats.org/officeDocument/2006/relationships" ref="J1" r:id="rId2"/>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15"/>
  <sheetViews>
    <sheetView showGridLines="0" workbookViewId="0">
      <pane ySplit="4" topLeftCell="A5" activePane="bottomLeft" state="frozen"/>
      <selection pane="bottomLeft" activeCell="A1" sqref="A1"/>
    </sheetView>
  </sheetViews>
  <sheetFormatPr baseColWidth="8" defaultRowHeight="15"/>
  <cols>
    <col width="12" customWidth="1" min="1" max="1"/>
    <col width="60" customWidth="1" min="2" max="2"/>
    <col width="14" customWidth="1" min="3" max="3"/>
    <col width="60" customWidth="1" min="4" max="4"/>
    <col width="60" customWidth="1" min="5" max="5"/>
    <col width="60" customWidth="1" min="6" max="6"/>
    <col width="60" customWidth="1" min="7" max="7"/>
  </cols>
  <sheetData>
    <row r="1">
      <c r="A1" s="3" t="inlineStr">
        <is>
          <t>Programa</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c r="G2" s="16" t="n"/>
    </row>
    <row r="4" ht="30" customHeight="1">
      <c r="A4" s="17" t="inlineStr">
        <is>
          <t>Código</t>
        </is>
      </c>
      <c r="B4" s="17" t="inlineStr">
        <is>
          <t>Objetivo</t>
        </is>
      </c>
      <c r="C4" s="17" t="inlineStr">
        <is>
          <t>Afirmación</t>
        </is>
      </c>
      <c r="D4" s="17" t="inlineStr">
        <is>
          <t>Procedimiento</t>
        </is>
      </c>
      <c r="E4" s="17" t="inlineStr">
        <is>
          <t>Evidencia</t>
        </is>
      </c>
      <c r="F4" s="17" t="inlineStr">
        <is>
          <t>Criterio</t>
        </is>
      </c>
      <c r="G4" s="17" t="inlineStr">
        <is>
          <t>Referencia</t>
        </is>
      </c>
    </row>
    <row r="5">
      <c r="A5" s="18" t="inlineStr">
        <is>
          <t>ARR-01</t>
        </is>
      </c>
      <c r="B5" s="18" t="inlineStr">
        <is>
          <t>Integridad del universo de contratos</t>
        </is>
      </c>
      <c r="C5" s="18" t="inlineStr">
        <is>
          <t>Integridad</t>
        </is>
      </c>
      <c r="D5" s="18" t="inlineStr">
        <is>
          <t>Conciliar el anexo con el mayor; revisar contratos de servicios, actas y gastos de alquiler para identificar arrendamientos (9, B9–B31)</t>
        </is>
      </c>
      <c r="E5" s="18" t="inlineStr">
        <is>
          <t>Anexo de contratos, contratos firmados, mayor de gastos de alquiler</t>
        </is>
      </c>
      <c r="F5" s="18" t="inlineStr">
        <is>
          <t>Universo completo y conciliado</t>
        </is>
      </c>
      <c r="G5" s="18" t="inlineStr">
        <is>
          <t>NIIF 16 párr. 9 · NIA 500</t>
        </is>
      </c>
    </row>
    <row r="6">
      <c r="A6" s="19" t="inlineStr">
        <is>
          <t>ARR-02</t>
        </is>
      </c>
      <c r="B6" s="19" t="inlineStr">
        <is>
          <t>Exenciones y clasificación</t>
        </is>
      </c>
      <c r="C6" s="19" t="inlineStr">
        <is>
          <t>Presentación</t>
        </is>
      </c>
      <c r="D6" s="19" t="inlineStr">
        <is>
          <t>Evaluar plazo, opción de compra, valor del activo nuevo (B3) y las condiciones de B5 a B7 (uso independiente, no automóvil, sin subarriendo); en PYMES, los indicadores de 20.5</t>
        </is>
      </c>
      <c r="E6" s="19" t="inlineStr">
        <is>
          <t>Contratos, cotizaciones del activo nuevo, contratos de subarriendo</t>
        </is>
      </c>
      <c r="F6" s="19" t="inlineStr">
        <is>
          <t>Tratamiento conforme a 5–8, B3–B8 / 20.4–20.8</t>
        </is>
      </c>
      <c r="G6" s="19" t="inlineStr">
        <is>
          <t>NIIF 16 párr. 5–8, B3–B8 · Sección 20.4–20.8</t>
        </is>
      </c>
    </row>
    <row r="7">
      <c r="A7" s="18" t="inlineStr">
        <is>
          <t>ARR-03</t>
        </is>
      </c>
      <c r="B7" s="18" t="inlineStr">
        <is>
          <t>Plazo y opciones</t>
        </is>
      </c>
      <c r="C7" s="18" t="inlineStr">
        <is>
          <t>Valoración</t>
        </is>
      </c>
      <c r="D7" s="18" t="inlineStr">
        <is>
          <t>Evaluar incentivos económicos para renovar o comprar (mejoras, penalidades, importancia del activo)</t>
        </is>
      </c>
      <c r="E7" s="18" t="inlineStr">
        <is>
          <t>Contratos, presupuestos, historial de renovaciones</t>
        </is>
      </c>
      <c r="F7" s="18" t="inlineStr">
        <is>
          <t>Plazo conforme a 18–21 y B37</t>
        </is>
      </c>
      <c r="G7" s="18" t="inlineStr">
        <is>
          <t>NIIF 16 párr. 18–21, 27 d, B34–B41</t>
        </is>
      </c>
    </row>
    <row r="8">
      <c r="A8" s="19" t="inlineStr">
        <is>
          <t>ARR-04</t>
        </is>
      </c>
      <c r="B8" s="19" t="inlineStr">
        <is>
          <t>Tasa de descuento</t>
        </is>
      </c>
      <c r="C8" s="19" t="inlineStr">
        <is>
          <t>Valoración</t>
        </is>
      </c>
      <c r="D8" s="19" t="inlineStr">
        <is>
          <t>Verificar la tasa implícita o la incremental con préstamos recientes y plazos comparables</t>
        </is>
      </c>
      <c r="E8" s="19" t="inlineStr">
        <is>
          <t>Contratos de préstamo, cotizaciones bancarias</t>
        </is>
      </c>
      <c r="F8" s="19" t="inlineStr">
        <is>
          <t>Tasa sustentada</t>
        </is>
      </c>
      <c r="G8" s="19" t="inlineStr">
        <is>
          <t>NIIF 16 párr. 26 · Sección 20.10 · NIA 540</t>
        </is>
      </c>
    </row>
    <row r="9">
      <c r="A9" s="18" t="inlineStr">
        <is>
          <t>ARR-05</t>
        </is>
      </c>
      <c r="B9" s="18" t="inlineStr">
        <is>
          <t>Medición del pasivo y del activo</t>
        </is>
      </c>
      <c r="C9" s="18" t="inlineStr">
        <is>
          <t>Valoración</t>
        </is>
      </c>
      <c r="D9" s="18" t="inlineStr">
        <is>
          <t>Recalcular VP, tabla de amortización, interés, depreciación y compararlos con lo registrado</t>
        </is>
      </c>
      <c r="E9" s="18" t="inlineStr">
        <is>
          <t>Cédulas 06, 08, 09 y 10</t>
        </is>
      </c>
      <c r="F9" s="18" t="inlineStr">
        <is>
          <t>Diferencias cuantificadas</t>
        </is>
      </c>
      <c r="G9" s="18" t="inlineStr">
        <is>
          <t>NIIF 16 párr. 23–38 · Sección 20.9–20.12</t>
        </is>
      </c>
    </row>
    <row r="10">
      <c r="A10" s="19" t="inlineStr">
        <is>
          <t>ARR-06</t>
        </is>
      </c>
      <c r="B10" s="19" t="inlineStr">
        <is>
          <t>Presentación corriente / no corriente</t>
        </is>
      </c>
      <c r="C10" s="19" t="inlineStr">
        <is>
          <t>Presentación</t>
        </is>
      </c>
      <c r="D10" s="19" t="inlineStr">
        <is>
          <t>Recalcular el capital que se paga en los 12 meses siguientes al corte</t>
        </is>
      </c>
      <c r="E10" s="19" t="inlineStr">
        <is>
          <t>Tabla de amortización</t>
        </is>
      </c>
      <c r="F10" s="19" t="inlineStr">
        <is>
          <t>Clasificación conforme a NIC 1 párr. 69</t>
        </is>
      </c>
      <c r="G10" s="19" t="inlineStr">
        <is>
          <t>NIIF 16 párr. 47 · NIC 1 párr. 69</t>
        </is>
      </c>
    </row>
    <row r="11">
      <c r="A11" s="18" t="inlineStr">
        <is>
          <t>ARR-07</t>
        </is>
      </c>
      <c r="B11" s="18" t="inlineStr">
        <is>
          <t>Modificaciones y remediciones</t>
        </is>
      </c>
      <c r="C11" s="18" t="inlineStr">
        <is>
          <t>Valoración</t>
        </is>
      </c>
      <c r="D11" s="18" t="inlineStr">
        <is>
          <t>Revisar adendas y cambios de índice; recalcular el pasivo remedido y el ajuste al derecho de uso</t>
        </is>
      </c>
      <c r="E11" s="18" t="inlineStr">
        <is>
          <t>Adendas, comunicaciones del arrendador</t>
        </is>
      </c>
      <c r="F11" s="18" t="inlineStr">
        <is>
          <t>Remedición conforme a 39–46</t>
        </is>
      </c>
      <c r="G11" s="18" t="inlineStr">
        <is>
          <t>NIIF 16 párr. 39–46 · NIA 560</t>
        </is>
      </c>
    </row>
    <row r="12">
      <c r="A12" s="19" t="inlineStr">
        <is>
          <t>ARR-08</t>
        </is>
      </c>
      <c r="B12" s="19" t="inlineStr">
        <is>
          <t>Deterioro del activo</t>
        </is>
      </c>
      <c r="C12" s="19" t="inlineStr">
        <is>
          <t>Valoración</t>
        </is>
      </c>
      <c r="D12" s="19" t="inlineStr">
        <is>
          <t>Evaluar indicios y comparar el neto con el importe recuperable</t>
        </is>
      </c>
      <c r="E12" s="19" t="inlineStr">
        <is>
          <t>Evaluación de deterioro del cliente</t>
        </is>
      </c>
      <c r="F12" s="19" t="inlineStr">
        <is>
          <t>Deterioro reconocido</t>
        </is>
      </c>
      <c r="G12" s="19" t="inlineStr">
        <is>
          <t>NIIF 16 párr. 33 · NIC 36 · Sección 20.12 y 27</t>
        </is>
      </c>
    </row>
    <row r="13">
      <c r="A13" s="18" t="inlineStr">
        <is>
          <t>ARR-09</t>
        </is>
      </c>
      <c r="B13" s="18" t="inlineStr">
        <is>
          <t>Venta con arrendamiento posterior</t>
        </is>
      </c>
      <c r="C13" s="18" t="inlineStr">
        <is>
          <t>Ocurrencia</t>
        </is>
      </c>
      <c r="D13" s="18" t="inlineStr">
        <is>
          <t>Verificar que la transferencia es venta (NIIF 15), medir el derecho de uso conservado y la ganancia de los derechos transferidos</t>
        </is>
      </c>
      <c r="E13" s="18" t="inlineStr">
        <is>
          <t>Contrato de compraventa, tasación, contrato de arrendamiento</t>
        </is>
      </c>
      <c r="F13" s="18" t="inlineStr">
        <is>
          <t>Ganancia conforme a 99–103 / 20.32–20.34</t>
        </is>
      </c>
      <c r="G13" s="18" t="inlineStr">
        <is>
          <t>NIIF 16 párr. 98–103 · Sección 20.32–20.34</t>
        </is>
      </c>
    </row>
    <row r="14">
      <c r="A14" s="19" t="inlineStr">
        <is>
          <t>ARR-10</t>
        </is>
      </c>
      <c r="B14" s="19" t="inlineStr">
        <is>
          <t>Pago base y componente ligado a un índice de inflación</t>
        </is>
      </c>
      <c r="C14" s="19" t="inlineStr">
        <is>
          <t>Valoración</t>
        </is>
      </c>
      <c r="D14" s="19" t="inlineStr">
        <is>
          <t>Separar en la factura o liquidación del período la renta base del reajuste por índice; comprobar que en NIIF completas el componente se midió con el índice de la fecha de comienzo y que en PYMES se cargó como gasto del período</t>
        </is>
      </c>
      <c r="E14" s="19" t="inlineStr">
        <is>
          <t>Facturas y liquidaciones de renta, cláusula de revisión del contrato, índice publicado (INEC u organismo oficial)</t>
        </is>
      </c>
      <c r="F14" s="19" t="inlineStr">
        <is>
          <t>Componente medido o expensado según el marco y revelado</t>
        </is>
      </c>
      <c r="G14" s="19" t="inlineStr">
        <is>
          <t>NIIF 16 párr. 27 b, 28, 38 b, 42 b y 43 · Sección 20.11, 20.13 c, 20.15 b y 20.16 c</t>
        </is>
      </c>
    </row>
    <row r="15">
      <c r="A15" s="18" t="inlineStr">
        <is>
          <t>ARR-11</t>
        </is>
      </c>
      <c r="B15" s="18" t="inlineStr">
        <is>
          <t>Medición posterior de la venta con arrendamiento posterior</t>
        </is>
      </c>
      <c r="C15" s="18" t="inlineStr">
        <is>
          <t>Valoración</t>
        </is>
      </c>
      <c r="D15" s="18" t="inlineStr">
        <is>
          <t>Recorrer el movimiento del pasivo (saldo inicial, interés, pagos fijos y variables, remedición, saldo final) y del derecho de uso conservado (costo, depreciación, neto); revisar los asientos posteriores a la venta que afecten resultados</t>
        </is>
      </c>
      <c r="E15" s="18" t="inlineStr">
        <is>
          <t>Mayor del pasivo y del derecho de uso, asientos de remedición, contrato de arrendamiento</t>
        </is>
      </c>
      <c r="F15" s="18" t="inlineStr">
        <is>
          <t>Sin ganancia ni pérdida sobre el derecho de uso conservado, salvo terminación (46 a)</t>
        </is>
      </c>
      <c r="G15" s="18" t="inlineStr">
        <is>
          <t>NIIF 16 párr. 102A, 29–35 y 36–46</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8"/>
  <sheetViews>
    <sheetView showGridLines="0" workbookViewId="0">
      <pane ySplit="4" topLeftCell="A5" activePane="bottomLeft" state="frozen"/>
      <selection pane="bottomLeft" activeCell="A1" sqref="A1"/>
    </sheetView>
  </sheetViews>
  <sheetFormatPr baseColWidth="8" defaultRowHeight="15"/>
  <cols>
    <col width="26" customWidth="1" min="1" max="1"/>
    <col width="60" customWidth="1" min="2" max="2"/>
    <col width="60" customWidth="1" min="3" max="3"/>
    <col width="12" customWidth="1" min="4" max="4"/>
    <col width="12" customWidth="1" min="5" max="5"/>
  </cols>
  <sheetData>
    <row r="1">
      <c r="A1" s="3" t="inlineStr">
        <is>
          <t>Base técnica</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row>
    <row r="4" ht="30" customHeight="1">
      <c r="A4" s="17" t="inlineStr">
        <is>
          <t>Categoría</t>
        </is>
      </c>
      <c r="B4" s="17" t="inlineStr">
        <is>
          <t>Documento</t>
        </is>
      </c>
      <c r="C4" s="17" t="inlineStr">
        <is>
          <t>Párrafos</t>
        </is>
      </c>
      <c r="D4" s="17" t="inlineStr">
        <is>
          <t>URL</t>
        </is>
      </c>
      <c r="E4" s="17" t="inlineStr">
        <is>
          <t>Verificada</t>
        </is>
      </c>
    </row>
    <row r="5">
      <c r="A5" s="18" t="inlineStr">
        <is>
          <t>NIA · NIA 540 (Revisada)</t>
        </is>
      </c>
      <c r="B5" s="18" t="inlineStr">
        <is>
          <t>Estimación contable: evaluar método (VP, tabla), datos (contratos) y supuestos (tasa incremental, plazo, opciones).</t>
        </is>
      </c>
      <c r="C5" s="18" t="inlineStr">
        <is>
          <t>párr. 13, 16–17, 18–27 y 28–30 (28: el recálculo del auditor es una estimación puntual propia; 30: NIA 500)</t>
        </is>
      </c>
      <c r="D5" s="18" t="inlineStr"/>
      <c r="E5" s="18" t="inlineStr"/>
    </row>
    <row r="6">
      <c r="A6" s="19" t="inlineStr">
        <is>
          <t>NIA · NIA 500</t>
        </is>
      </c>
      <c r="B6" s="19" t="inlineStr">
        <is>
          <t>Exactitud e integridad del anexo de contratos contra el mayor y los contratos firmados.</t>
        </is>
      </c>
      <c r="C6" s="19" t="inlineStr">
        <is>
          <t>párr. 9</t>
        </is>
      </c>
      <c r="D6" s="19" t="inlineStr"/>
      <c r="E6" s="19" t="inlineStr"/>
    </row>
    <row r="7">
      <c r="A7" s="18" t="inlineStr">
        <is>
          <t>NIA · NIA 505</t>
        </is>
      </c>
      <c r="B7" s="18" t="inlineStr">
        <is>
          <t>Confirmar con arrendadores condiciones y pagos cuando sea significativo.</t>
        </is>
      </c>
      <c r="C7" s="18" t="inlineStr">
        <is>
          <t>párr. 7 (decisión de confirmar: NIA 330 párr. 19)</t>
        </is>
      </c>
      <c r="D7" s="18" t="inlineStr"/>
      <c r="E7" s="18" t="inlineStr"/>
    </row>
    <row r="8">
      <c r="A8" s="19" t="inlineStr">
        <is>
          <t>NIA · NIA 560</t>
        </is>
      </c>
      <c r="B8" s="19" t="inlineStr">
        <is>
          <t>Modificaciones, renovaciones o terminaciones posteriores al cierre.</t>
        </is>
      </c>
      <c r="C8" s="19" t="inlineStr">
        <is>
          <t>párr. 6</t>
        </is>
      </c>
      <c r="D8" s="19" t="inlineStr"/>
      <c r="E8" s="19" t="inlineStr"/>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22"/>
  <sheetViews>
    <sheetView showGridLines="0" workbookViewId="0">
      <pane ySplit="4" topLeftCell="A5" activePane="bottomLeft" state="frozen"/>
      <selection pane="bottomLeft" activeCell="A1" sqref="A1"/>
    </sheetView>
  </sheetViews>
  <sheetFormatPr baseColWidth="8" defaultRowHeight="15"/>
  <cols>
    <col width="60" customWidth="1" min="1" max="1"/>
    <col width="20" customWidth="1" min="2" max="2"/>
  </cols>
  <sheetData>
    <row r="1">
      <c r="A1" s="3" t="inlineStr">
        <is>
          <t>Resumen</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row>
    <row r="4" ht="30" customHeight="1">
      <c r="A4" s="17" t="inlineStr">
        <is>
          <t>Concepto</t>
        </is>
      </c>
      <c r="B4" s="17" t="inlineStr">
        <is>
          <t>Importe</t>
        </is>
      </c>
    </row>
    <row r="5">
      <c r="A5" s="18" t="inlineStr">
        <is>
          <t>Pasivo por arrendamiento registrado (mayor)</t>
        </is>
      </c>
      <c r="B5" s="20">
        <f>'15_Conciliacion'!C16</f>
        <v/>
      </c>
    </row>
    <row r="6">
      <c r="A6" s="19" t="inlineStr">
        <is>
          <t>Pasivo por arrendamiento recalculado</t>
        </is>
      </c>
      <c r="B6" s="21">
        <f>'15_Conciliacion'!B16</f>
        <v/>
      </c>
    </row>
    <row r="7">
      <c r="A7" s="18" t="inlineStr">
        <is>
          <t>Ajuste propuesto al pasivo</t>
        </is>
      </c>
      <c r="B7" s="20">
        <f>B6-B5</f>
        <v/>
      </c>
    </row>
    <row r="8">
      <c r="A8" s="19" t="inlineStr">
        <is>
          <t>Pasivo corriente recalculado</t>
        </is>
      </c>
      <c r="B8" s="21">
        <f>SUM('10_Pasivo_corte'!O5:O15)</f>
        <v/>
      </c>
    </row>
    <row r="9">
      <c r="A9" s="18" t="inlineStr">
        <is>
          <t>Pasivo no corriente recalculado</t>
        </is>
      </c>
      <c r="B9" s="20">
        <f>SUM('10_Pasivo_corte'!P5:P15)</f>
        <v/>
      </c>
    </row>
    <row r="10">
      <c r="A10" s="19" t="inlineStr">
        <is>
          <t>Derecho de uso neto recalculado</t>
        </is>
      </c>
      <c r="B10" s="21">
        <f>'15_Conciliacion'!E16</f>
        <v/>
      </c>
    </row>
    <row r="11">
      <c r="A11" s="18" t="inlineStr">
        <is>
          <t>Activo registrado neto</t>
        </is>
      </c>
      <c r="B11" s="20">
        <f>'15_Conciliacion'!F16</f>
        <v/>
      </c>
    </row>
    <row r="12">
      <c r="A12" s="19" t="inlineStr">
        <is>
          <t>Ajuste propuesto al activo</t>
        </is>
      </c>
      <c r="B12" s="21">
        <f>B10-B11</f>
        <v/>
      </c>
    </row>
    <row r="13">
      <c r="A13" s="18" t="inlineStr">
        <is>
          <t>Depreciación del ejercicio</t>
        </is>
      </c>
      <c r="B13" s="20">
        <f>'15_Conciliacion'!H16</f>
        <v/>
      </c>
    </row>
    <row r="14">
      <c r="A14" s="19" t="inlineStr">
        <is>
          <t>Interés del ejercicio</t>
        </is>
      </c>
      <c r="B14" s="21">
        <f>'15_Conciliacion'!I16</f>
        <v/>
      </c>
    </row>
    <row r="15">
      <c r="A15" s="18" t="inlineStr">
        <is>
          <t>Deterioro del activo</t>
        </is>
      </c>
      <c r="B15" s="20">
        <f>SUM('11_Derecho_uso'!N5:N15)</f>
        <v/>
      </c>
    </row>
    <row r="16">
      <c r="A16" s="19" t="inlineStr">
        <is>
          <t>Gasto lineal (exentos / operativos)</t>
        </is>
      </c>
      <c r="B16" s="21">
        <f>SUM('12_Gasto_lineal'!F5:F15)</f>
        <v/>
      </c>
    </row>
    <row r="17">
      <c r="A17" s="18" t="inlineStr">
        <is>
          <t>Gasto del ejercicio por pagos variables (38 b / 20.11 y 20.15 b)</t>
        </is>
      </c>
      <c r="B17" s="20">
        <f>SUM('07_Pagos_variables'!L5:L15)</f>
        <v/>
      </c>
    </row>
    <row r="18">
      <c r="A18" s="19" t="inlineStr">
        <is>
          <t>Remedición del pasivo</t>
        </is>
      </c>
      <c r="B18" s="21">
        <f>SUM('08_Remedicion'!L5:L15)</f>
        <v/>
      </c>
    </row>
    <row r="20">
      <c r="A20" s="22" t="inlineStr">
        <is>
          <t>ⓘ  Cómo se calcula esta hoja</t>
        </is>
      </c>
    </row>
    <row r="21">
      <c r="A21" s="23" t="inlineStr">
        <is>
          <t>Columna</t>
        </is>
      </c>
      <c r="B21" s="23" t="inlineStr">
        <is>
          <t>Fórmula (Excel)</t>
        </is>
      </c>
      <c r="C21" s="23" t="inlineStr">
        <is>
          <t>Cómo se calcula (sencillo)</t>
        </is>
      </c>
      <c r="D21" s="23" t="inlineStr">
        <is>
          <t>Ejemplo con números reales</t>
        </is>
      </c>
      <c r="E21" s="23" t="inlineStr">
        <is>
          <t>De dónde viene</t>
        </is>
      </c>
      <c r="F21" s="23" t="inlineStr">
        <is>
          <t>Norma</t>
        </is>
      </c>
    </row>
    <row r="22">
      <c r="A22" s="24" t="inlineStr">
        <is>
          <t>Importe</t>
        </is>
      </c>
      <c r="B22" s="25" t="inlineStr">
        <is>
          <t>'='15_Conciliacion'!C16</t>
        </is>
      </c>
      <c r="C22" s="24" t="inlineStr">
        <is>
          <t>Trae cada importe de su hoja de origen, concepto por concepto: pasivo, activo, depreciación e interés de la fila TOTAL de la hoja 15 (Conciliación y ajuste); corriente y no corriente de la hoja 10; deterioro de la hoja 11; gasto lineal de la hoja 12; pagos variables de la hoja 07 y remedición de la hoja 08. Los ajustes son recalculado menos registrado.</t>
        </is>
      </c>
      <c r="D22" s="24" t="inlineStr">
        <is>
          <t>Fila 1: 1.594.538,08 → 1.594.538,08</t>
        </is>
      </c>
      <c r="E22" s="24" t="inlineStr">
        <is>
          <t>hoja «Conciliación y ajuste»</t>
        </is>
      </c>
      <c r="F22" s="24" t="inlineStr">
        <is>
          <t>—</t>
        </is>
      </c>
    </row>
  </sheetData>
  <mergeCells count="3">
    <mergeCell ref="A20:F20"/>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10"/>
  <sheetViews>
    <sheetView showGridLines="0" workbookViewId="0">
      <pane ySplit="4" topLeftCell="A5" activePane="bottomLeft" state="frozen"/>
      <selection pane="bottomLeft" activeCell="A1" sqref="A1"/>
    </sheetView>
  </sheetViews>
  <sheetFormatPr baseColWidth="8" defaultRowHeight="15"/>
  <cols>
    <col width="56" customWidth="1" min="1" max="1"/>
    <col width="58" customWidth="1" min="2" max="2"/>
    <col width="60" customWidth="1" min="3" max="3"/>
  </cols>
  <sheetData>
    <row r="1">
      <c r="A1" s="3" t="inlineStr">
        <is>
          <t>Parámetros</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row>
    <row r="4" ht="30" customHeight="1">
      <c r="A4" s="17" t="inlineStr">
        <is>
          <t>Parámetro</t>
        </is>
      </c>
      <c r="B4" s="17" t="inlineStr">
        <is>
          <t>Valor</t>
        </is>
      </c>
      <c r="C4" s="17" t="inlineStr">
        <is>
          <t>Sustento</t>
        </is>
      </c>
    </row>
    <row r="5">
      <c r="A5" s="18" t="inlineStr">
        <is>
          <t>Fecha de corte</t>
        </is>
      </c>
      <c r="B5" s="26" t="n">
        <v>46022</v>
      </c>
      <c r="C5" s="18" t="inlineStr">
        <is>
          <t>Ficha del encargo</t>
        </is>
      </c>
    </row>
    <row r="6">
      <c r="A6" s="19" t="inlineStr">
        <is>
          <t>Tasa anual del contrato</t>
        </is>
      </c>
      <c r="B6" s="19" t="inlineStr">
        <is>
          <t>Efectiva anual</t>
        </is>
      </c>
      <c r="C6" s="19" t="inlineStr">
        <is>
          <t>Efectiva: (1 + r)^(meses/12) − 1 · Nominal: r × meses/12</t>
        </is>
      </c>
    </row>
    <row r="7">
      <c r="A7" s="18" t="inlineStr">
        <is>
          <t>PYMES: plazo ≥ % de la vida económica</t>
        </is>
      </c>
      <c r="B7" s="27" t="n">
        <v>75</v>
      </c>
      <c r="C7" s="18" t="inlineStr">
        <is>
          <t>Indicador 20.5 c; umbral de juicio del auditor; la Sección 20 no fija porcentajes</t>
        </is>
      </c>
    </row>
    <row r="8">
      <c r="A8" s="19" t="inlineStr">
        <is>
          <t>PYMES: VP de los pagos mínimos ≥ % del valor razonable</t>
        </is>
      </c>
      <c r="B8" s="28" t="n">
        <v>90</v>
      </c>
      <c r="C8" s="19" t="inlineStr">
        <is>
          <t>Indicador 20.5 d; umbral de juicio del auditor; la Sección 20 no fija porcentajes</t>
        </is>
      </c>
    </row>
    <row r="9">
      <c r="A9" s="18" t="inlineStr">
        <is>
          <t>Límite de bajo valor del activo nuevo (USD)</t>
        </is>
      </c>
      <c r="B9" s="27" t="n">
        <v>5000</v>
      </c>
      <c r="C9" s="18" t="inlineStr">
        <is>
          <t>NIIF 16 B3–B8 no fija importe; el IASB pensó en activos de unos USD 5.000 o menos cuando son nuevos (Fundamentos BC100, no forman parte de la norma). Además de no pasar del límite, el bajo valor exige el valor del activo nuevo (B3), que el arrendatario pueda usarlo por sí solo o con recursos disponibles y que no dependa ni esté interrelacionado con otros activos (B5), que no sea un automóvil (coche nuevo, B6) y que no se subarriende (B7).</t>
        </is>
      </c>
    </row>
    <row r="10">
      <c r="A10" s="19" t="inlineStr">
        <is>
          <t>Marco y ruta de cálculo</t>
        </is>
      </c>
      <c r="B10" s="19" t="inlineStr">
        <is>
          <t>NIIF completas · NIIF 16 (modelo único del arrendatario)</t>
        </is>
      </c>
      <c r="C10" s="19" t="inlineStr">
        <is>
          <t>NIIF 16 párr. 22–46</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S15"/>
  <sheetViews>
    <sheetView showGridLines="0" workbookViewId="0">
      <pane ySplit="4" topLeftCell="A5" activePane="bottomLeft" state="frozen"/>
      <selection pane="bottomLeft" activeCell="A1" sqref="A1"/>
    </sheetView>
  </sheetViews>
  <sheetFormatPr baseColWidth="8" defaultRowHeight="15"/>
  <cols>
    <col width="12" customWidth="1" min="1" max="1"/>
    <col width="60" customWidth="1" min="2" max="2"/>
    <col width="19" customWidth="1" min="3" max="3"/>
    <col width="29" customWidth="1" min="4" max="4"/>
    <col width="34" customWidth="1" min="5" max="5"/>
    <col width="42" customWidth="1" min="6" max="6"/>
    <col width="36" customWidth="1" min="7" max="7"/>
    <col width="60" customWidth="1" min="8" max="8"/>
    <col width="51" customWidth="1" min="9" max="9"/>
    <col width="39" customWidth="1" min="10" max="10"/>
    <col width="54" customWidth="1" min="11" max="11"/>
    <col width="60" customWidth="1" min="12" max="12"/>
    <col width="32" customWidth="1" min="13" max="13"/>
    <col width="49" customWidth="1" min="14" max="14"/>
    <col width="16" customWidth="1" min="15" max="15"/>
    <col width="38" customWidth="1" min="16" max="16"/>
    <col width="38" customWidth="1" min="17" max="17"/>
    <col width="27" customWidth="1" min="18" max="18"/>
    <col width="36" customWidth="1" min="19" max="19"/>
    <col width="22" customWidth="1" min="20" max="20"/>
    <col width="31" customWidth="1" min="21" max="21"/>
    <col width="38" customWidth="1" min="22" max="22"/>
    <col width="30" customWidth="1" min="23" max="23"/>
    <col width="36" customWidth="1" min="24" max="24"/>
    <col width="30" customWidth="1" min="25" max="25"/>
    <col width="60" customWidth="1" min="26" max="26"/>
    <col width="39" customWidth="1" min="27" max="27"/>
    <col width="56" customWidth="1" min="28" max="28"/>
    <col width="46" customWidth="1" min="29" max="29"/>
    <col width="29" customWidth="1" min="30" max="30"/>
    <col width="41" customWidth="1" min="31" max="31"/>
    <col width="39" customWidth="1" min="32" max="32"/>
    <col width="34" customWidth="1" min="33" max="33"/>
    <col width="42" customWidth="1" min="34" max="34"/>
    <col width="44" customWidth="1" min="35" max="35"/>
    <col width="22" customWidth="1" min="36" max="36"/>
    <col width="25" customWidth="1" min="37" max="37"/>
    <col width="48" customWidth="1" min="38" max="38"/>
    <col width="38" customWidth="1" min="39" max="39"/>
    <col width="32" customWidth="1" min="40" max="40"/>
    <col width="43" customWidth="1" min="41" max="41"/>
    <col width="17" customWidth="1" min="42" max="42"/>
    <col width="37" customWidth="1" min="43" max="43"/>
    <col width="33" customWidth="1" min="44" max="44"/>
    <col width="60" customWidth="1" min="45" max="45"/>
  </cols>
  <sheetData>
    <row r="1">
      <c r="A1" s="3" t="inlineStr">
        <is>
          <t>Universo de contratos</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c r="G2" s="16" t="n"/>
      <c r="H2" s="16" t="n"/>
      <c r="I2" s="16" t="n"/>
      <c r="J2" s="16" t="n"/>
      <c r="K2" s="16" t="n"/>
      <c r="L2" s="16" t="n"/>
      <c r="M2" s="16" t="n"/>
      <c r="N2" s="16" t="n"/>
      <c r="O2" s="16" t="n"/>
      <c r="P2" s="16" t="n"/>
      <c r="Q2" s="16" t="n"/>
      <c r="R2" s="16" t="n"/>
      <c r="S2" s="16" t="n"/>
      <c r="T2" s="16" t="n"/>
      <c r="U2" s="16" t="n"/>
      <c r="V2" s="16" t="n"/>
      <c r="W2" s="16" t="n"/>
      <c r="X2" s="16" t="n"/>
      <c r="Y2" s="16" t="n"/>
      <c r="Z2" s="16" t="n"/>
      <c r="AA2" s="16" t="n"/>
      <c r="AB2" s="16" t="n"/>
      <c r="AC2" s="16" t="n"/>
      <c r="AD2" s="16" t="n"/>
      <c r="AE2" s="16" t="n"/>
      <c r="AF2" s="16" t="n"/>
      <c r="AG2" s="16" t="n"/>
      <c r="AH2" s="16" t="n"/>
      <c r="AI2" s="16" t="n"/>
      <c r="AJ2" s="16" t="n"/>
      <c r="AK2" s="16" t="n"/>
      <c r="AL2" s="16" t="n"/>
      <c r="AM2" s="16" t="n"/>
      <c r="AN2" s="16" t="n"/>
      <c r="AO2" s="16" t="n"/>
      <c r="AP2" s="16" t="n"/>
      <c r="AQ2" s="16" t="n"/>
      <c r="AR2" s="16" t="n"/>
      <c r="AS2" s="16" t="n"/>
    </row>
    <row r="4" ht="30" customHeight="1">
      <c r="A4" s="17" t="inlineStr">
        <is>
          <t>Contrato</t>
        </is>
      </c>
      <c r="B4" s="17" t="inlineStr">
        <is>
          <t>Activo subyacente</t>
        </is>
      </c>
      <c r="C4" s="17" t="inlineStr">
        <is>
          <t>Fecha de comienzo</t>
        </is>
      </c>
      <c r="D4" s="17" t="inlineStr">
        <is>
          <t>Plazo no cancelable (meses)</t>
        </is>
      </c>
      <c r="E4" s="17" t="inlineStr">
        <is>
          <t>Meses de la opción de renovación</t>
        </is>
      </c>
      <c r="F4" s="17" t="inlineStr">
        <is>
          <t>Renovación razonablemente cierta (sí/no)</t>
        </is>
      </c>
      <c r="G4" s="17" t="inlineStr">
        <is>
          <t>Plazo usado por el cliente (meses)</t>
        </is>
      </c>
      <c r="H4" s="17" t="inlineStr">
        <is>
          <t>Pago periódico total del contrato (incluye el componente indexado)</t>
        </is>
      </c>
      <c r="I4" s="17" t="inlineStr">
        <is>
          <t>Periodicidad (mensual/trimestral/semestral/anual)</t>
        </is>
      </c>
      <c r="J4" s="17" t="inlineStr">
        <is>
          <t>Pago al inicio o al final del período</t>
        </is>
      </c>
      <c r="K4" s="17" t="inlineStr">
        <is>
          <t>El pago se ajusta por un índice de inflación (sí/no)</t>
        </is>
      </c>
      <c r="L4" s="17" t="inlineStr">
        <is>
          <t>Componente del pago ligado al índice (importe por período)</t>
        </is>
      </c>
      <c r="M4" s="17" t="inlineStr">
        <is>
          <t>Índice o referencia del ajuste</t>
        </is>
      </c>
      <c r="N4" s="17" t="inlineStr">
        <is>
          <t>Pago variable del período no ligado a un índice</t>
        </is>
      </c>
      <c r="O4" s="17" t="inlineStr">
        <is>
          <t>Tasa anual (%)</t>
        </is>
      </c>
      <c r="P4" s="17" t="inlineStr">
        <is>
          <t>Tipo de tasa (implícita/incremental)</t>
        </is>
      </c>
      <c r="Q4" s="17" t="inlineStr">
        <is>
          <t>Pagos anticipados antes del comienzo</t>
        </is>
      </c>
      <c r="R4" s="17" t="inlineStr">
        <is>
          <t>Costos directos iniciales</t>
        </is>
      </c>
      <c r="S4" s="17" t="inlineStr">
        <is>
          <t>Costo estimado de desmantelamiento</t>
        </is>
      </c>
      <c r="T4" s="17" t="inlineStr">
        <is>
          <t>Incentivos recibidos</t>
        </is>
      </c>
      <c r="U4" s="17" t="inlineStr">
        <is>
          <t>Precio de la opción de compra</t>
        </is>
      </c>
      <c r="V4" s="17" t="inlineStr">
        <is>
          <t>Compra razonablemente cierta (sí/no)</t>
        </is>
      </c>
      <c r="W4" s="17" t="inlineStr">
        <is>
          <t>Vida útil del activo (meses)</t>
        </is>
      </c>
      <c r="X4" s="17" t="inlineStr">
        <is>
          <t>Valor razonable del activo (nuevo)</t>
        </is>
      </c>
      <c r="Y4" s="17" t="inlineStr">
        <is>
          <t>Activo de bajo valor (sí/no)</t>
        </is>
      </c>
      <c r="Z4" s="17" t="inlineStr">
        <is>
          <t>Bajo valor: se usa por sí solo, no depende de otros activos y no se subarrienda (B5, B7) (sí/no)</t>
        </is>
      </c>
      <c r="AA4" s="17" t="inlineStr">
        <is>
          <t>El cliente aplicó la exención (sí/no)</t>
        </is>
      </c>
      <c r="AB4" s="17" t="inlineStr">
        <is>
          <t>Clasificación PYMES del cliente (financiero/operativo)</t>
        </is>
      </c>
      <c r="AC4" s="17" t="inlineStr">
        <is>
          <t>Pasivo por arrendamiento registrado al corte</t>
        </is>
      </c>
      <c r="AD4" s="17" t="inlineStr">
        <is>
          <t>Pasivo corriente registrado</t>
        </is>
      </c>
      <c r="AE4" s="17" t="inlineStr">
        <is>
          <t>Derecho de uso / activo registrado neto</t>
        </is>
      </c>
      <c r="AF4" s="17" t="inlineStr">
        <is>
          <t>Depreciación registrada del ejercicio</t>
        </is>
      </c>
      <c r="AG4" s="17" t="inlineStr">
        <is>
          <t>Interés registrado del ejercicio</t>
        </is>
      </c>
      <c r="AH4" s="17" t="inlineStr">
        <is>
          <t>Fecha de modificación o nueva evaluación</t>
        </is>
      </c>
      <c r="AI4" s="17" t="inlineStr">
        <is>
          <t>Tipo de evento (modificación/índice/plazo)</t>
        </is>
      </c>
      <c r="AJ4" s="17" t="inlineStr">
        <is>
          <t>Nuevo pago periódico</t>
        </is>
      </c>
      <c r="AK4" s="17" t="inlineStr">
        <is>
          <t>Tasa anual revisada (%)</t>
        </is>
      </c>
      <c r="AL4" s="17" t="inlineStr">
        <is>
          <t>Plazo total revisado (meses desde el comienzo)</t>
        </is>
      </c>
      <c r="AM4" s="17" t="inlineStr">
        <is>
          <t>El cliente remidió el pasivo (sí/no)</t>
        </is>
      </c>
      <c r="AN4" s="17" t="inlineStr">
        <is>
          <t>Importe recuperable del activo</t>
        </is>
      </c>
      <c r="AO4" s="17" t="inlineStr">
        <is>
          <t>Venta con arrendamiento posterior (sí/no)</t>
        </is>
      </c>
      <c r="AP4" s="17" t="inlineStr">
        <is>
          <t>Precio de venta</t>
        </is>
      </c>
      <c r="AQ4" s="17" t="inlineStr">
        <is>
          <t>Importe en libros antes de la venta</t>
        </is>
      </c>
      <c r="AR4" s="17" t="inlineStr">
        <is>
          <t>Ganancia registrada en la venta</t>
        </is>
      </c>
      <c r="AS4" s="17" t="inlineStr">
        <is>
          <t>Ganancia o pérdida reconocida después de la venta por la medición posterior del arrendamiento</t>
        </is>
      </c>
    </row>
    <row r="5">
      <c r="A5" s="18" t="inlineStr">
        <is>
          <t>C-01</t>
        </is>
      </c>
      <c r="B5" s="18" t="inlineStr">
        <is>
          <t>Local comercial matriz</t>
        </is>
      </c>
      <c r="C5" s="29" t="n">
        <v>45292</v>
      </c>
      <c r="D5" s="20" t="n">
        <v>36</v>
      </c>
      <c r="E5" s="20" t="n">
        <v>24</v>
      </c>
      <c r="F5" s="18" t="inlineStr">
        <is>
          <t>Sí</t>
        </is>
      </c>
      <c r="G5" s="20" t="n">
        <v>36</v>
      </c>
      <c r="H5" s="20" t="n">
        <v>1500</v>
      </c>
      <c r="I5" s="18" t="inlineStr">
        <is>
          <t>Mensual</t>
        </is>
      </c>
      <c r="J5" s="18" t="inlineStr">
        <is>
          <t>Final</t>
        </is>
      </c>
      <c r="K5" s="18" t="n"/>
      <c r="L5" s="20" t="n"/>
      <c r="M5" s="18" t="n"/>
      <c r="N5" s="20" t="n"/>
      <c r="O5" s="20" t="n">
        <v>12</v>
      </c>
      <c r="P5" s="18" t="inlineStr">
        <is>
          <t>Incremental</t>
        </is>
      </c>
      <c r="Q5" s="20" t="n"/>
      <c r="R5" s="20" t="n"/>
      <c r="S5" s="20" t="n"/>
      <c r="T5" s="20" t="n"/>
      <c r="U5" s="20" t="n"/>
      <c r="V5" s="18" t="n"/>
      <c r="W5" s="20" t="n"/>
      <c r="X5" s="20" t="n"/>
      <c r="Y5" s="18" t="n"/>
      <c r="Z5" s="18" t="n"/>
      <c r="AA5" s="18" t="n"/>
      <c r="AB5" s="18" t="inlineStr">
        <is>
          <t>Operativo</t>
        </is>
      </c>
      <c r="AC5" s="20" t="n">
        <v>17000</v>
      </c>
      <c r="AD5" s="20" t="n">
        <v>17000</v>
      </c>
      <c r="AE5" s="20" t="n">
        <v>16500</v>
      </c>
      <c r="AF5" s="20" t="n"/>
      <c r="AG5" s="20" t="n">
        <v>2600</v>
      </c>
      <c r="AH5" s="30" t="n"/>
      <c r="AI5" s="18" t="n"/>
      <c r="AJ5" s="20" t="n"/>
      <c r="AK5" s="20" t="n"/>
      <c r="AL5" s="20" t="n"/>
      <c r="AM5" s="18" t="n"/>
      <c r="AN5" s="20" t="n"/>
      <c r="AO5" s="18" t="n"/>
      <c r="AP5" s="20" t="n"/>
      <c r="AQ5" s="20" t="n"/>
      <c r="AR5" s="20" t="n"/>
      <c r="AS5" s="20" t="n"/>
    </row>
    <row r="6">
      <c r="A6" s="19" t="inlineStr">
        <is>
          <t>C-02</t>
        </is>
      </c>
      <c r="B6" s="19" t="inlineStr">
        <is>
          <t>Bodega norte</t>
        </is>
      </c>
      <c r="C6" s="31" t="n">
        <v>44927</v>
      </c>
      <c r="D6" s="21" t="n">
        <v>60</v>
      </c>
      <c r="E6" s="21" t="n"/>
      <c r="F6" s="19" t="n"/>
      <c r="G6" s="21" t="n"/>
      <c r="H6" s="21" t="n">
        <v>10000</v>
      </c>
      <c r="I6" s="19" t="inlineStr">
        <is>
          <t>Anual</t>
        </is>
      </c>
      <c r="J6" s="19" t="inlineStr">
        <is>
          <t>Final</t>
        </is>
      </c>
      <c r="K6" s="19" t="n"/>
      <c r="L6" s="21" t="n"/>
      <c r="M6" s="19" t="n"/>
      <c r="N6" s="21" t="n"/>
      <c r="O6" s="21" t="n">
        <v>10</v>
      </c>
      <c r="P6" s="19" t="inlineStr">
        <is>
          <t>Incremental</t>
        </is>
      </c>
      <c r="Q6" s="21" t="n"/>
      <c r="R6" s="21" t="n">
        <v>500</v>
      </c>
      <c r="S6" s="21" t="n"/>
      <c r="T6" s="21" t="n"/>
      <c r="U6" s="21" t="n"/>
      <c r="V6" s="19" t="n"/>
      <c r="W6" s="21" t="n"/>
      <c r="X6" s="21" t="n">
        <v>40000</v>
      </c>
      <c r="Y6" s="19" t="n"/>
      <c r="Z6" s="19" t="n"/>
      <c r="AA6" s="19" t="n"/>
      <c r="AB6" s="19" t="inlineStr">
        <is>
          <t>Operativo</t>
        </is>
      </c>
      <c r="AC6" s="21" t="n">
        <v>17355.37</v>
      </c>
      <c r="AD6" s="21" t="n">
        <v>10000</v>
      </c>
      <c r="AE6" s="21" t="n">
        <v>15363.15</v>
      </c>
      <c r="AF6" s="21" t="n">
        <v>7681.57</v>
      </c>
      <c r="AG6" s="21" t="n">
        <v>2486.85</v>
      </c>
      <c r="AH6" s="32" t="n"/>
      <c r="AI6" s="19" t="n"/>
      <c r="AJ6" s="21" t="n"/>
      <c r="AK6" s="21" t="n"/>
      <c r="AL6" s="21" t="n"/>
      <c r="AM6" s="19" t="n"/>
      <c r="AN6" s="21" t="n"/>
      <c r="AO6" s="19" t="n"/>
      <c r="AP6" s="21" t="n"/>
      <c r="AQ6" s="21" t="n"/>
      <c r="AR6" s="21" t="n"/>
      <c r="AS6" s="21" t="n"/>
    </row>
    <row r="7">
      <c r="A7" s="18" t="inlineStr">
        <is>
          <t>C-03</t>
        </is>
      </c>
      <c r="B7" s="18" t="inlineStr">
        <is>
          <t>Vehículo de gerencia</t>
        </is>
      </c>
      <c r="C7" s="29" t="n">
        <v>45748</v>
      </c>
      <c r="D7" s="20" t="n">
        <v>36</v>
      </c>
      <c r="E7" s="20" t="n"/>
      <c r="F7" s="18" t="n"/>
      <c r="G7" s="20" t="n"/>
      <c r="H7" s="20" t="n">
        <v>900</v>
      </c>
      <c r="I7" s="18" t="inlineStr">
        <is>
          <t>Mensual</t>
        </is>
      </c>
      <c r="J7" s="18" t="inlineStr">
        <is>
          <t>Inicio</t>
        </is>
      </c>
      <c r="K7" s="18" t="n"/>
      <c r="L7" s="20" t="n"/>
      <c r="M7" s="18" t="n"/>
      <c r="N7" s="20" t="n"/>
      <c r="O7" s="20" t="n">
        <v>11</v>
      </c>
      <c r="P7" s="18" t="n"/>
      <c r="Q7" s="20" t="n"/>
      <c r="R7" s="20" t="n"/>
      <c r="S7" s="20" t="n"/>
      <c r="T7" s="20" t="n"/>
      <c r="U7" s="20" t="n"/>
      <c r="V7" s="18" t="n"/>
      <c r="W7" s="20" t="n"/>
      <c r="X7" s="20" t="n">
        <v>45000</v>
      </c>
      <c r="Y7" s="18" t="inlineStr">
        <is>
          <t>Sí</t>
        </is>
      </c>
      <c r="Z7" s="18" t="n"/>
      <c r="AA7" s="18" t="inlineStr">
        <is>
          <t>Sí</t>
        </is>
      </c>
      <c r="AB7" s="18" t="inlineStr">
        <is>
          <t>Operativo</t>
        </is>
      </c>
      <c r="AC7" s="20" t="n">
        <v>0</v>
      </c>
      <c r="AD7" s="20" t="n"/>
      <c r="AE7" s="20" t="n">
        <v>0</v>
      </c>
      <c r="AF7" s="20" t="n"/>
      <c r="AG7" s="20" t="n"/>
      <c r="AH7" s="30" t="n"/>
      <c r="AI7" s="18" t="n"/>
      <c r="AJ7" s="20" t="n"/>
      <c r="AK7" s="20" t="n"/>
      <c r="AL7" s="20" t="n"/>
      <c r="AM7" s="18" t="n"/>
      <c r="AN7" s="20" t="n"/>
      <c r="AO7" s="18" t="n"/>
      <c r="AP7" s="20" t="n"/>
      <c r="AQ7" s="20" t="n"/>
      <c r="AR7" s="20" t="n"/>
      <c r="AS7" s="20" t="n"/>
    </row>
    <row r="8">
      <c r="A8" s="19" t="inlineStr">
        <is>
          <t>C-04</t>
        </is>
      </c>
      <c r="B8" s="19" t="inlineStr">
        <is>
          <t>Computadores portátiles</t>
        </is>
      </c>
      <c r="C8" s="31" t="n">
        <v>45658</v>
      </c>
      <c r="D8" s="21" t="n">
        <v>24</v>
      </c>
      <c r="E8" s="21" t="n"/>
      <c r="F8" s="19" t="n"/>
      <c r="G8" s="21" t="n"/>
      <c r="H8" s="21" t="n">
        <v>80</v>
      </c>
      <c r="I8" s="19" t="inlineStr">
        <is>
          <t>Mensual</t>
        </is>
      </c>
      <c r="J8" s="19" t="inlineStr">
        <is>
          <t>Final</t>
        </is>
      </c>
      <c r="K8" s="19" t="n"/>
      <c r="L8" s="21" t="n"/>
      <c r="M8" s="19" t="n"/>
      <c r="N8" s="21" t="n"/>
      <c r="O8" s="21" t="n">
        <v>12</v>
      </c>
      <c r="P8" s="19" t="n"/>
      <c r="Q8" s="21" t="n"/>
      <c r="R8" s="21" t="n"/>
      <c r="S8" s="21" t="n"/>
      <c r="T8" s="21" t="n"/>
      <c r="U8" s="21" t="n"/>
      <c r="V8" s="19" t="n"/>
      <c r="W8" s="21" t="n"/>
      <c r="X8" s="21" t="n">
        <v>1200</v>
      </c>
      <c r="Y8" s="19" t="inlineStr">
        <is>
          <t>Sí</t>
        </is>
      </c>
      <c r="Z8" s="19" t="n"/>
      <c r="AA8" s="19" t="inlineStr">
        <is>
          <t>Sí</t>
        </is>
      </c>
      <c r="AB8" s="19" t="inlineStr">
        <is>
          <t>Operativo</t>
        </is>
      </c>
      <c r="AC8" s="21" t="n">
        <v>0</v>
      </c>
      <c r="AD8" s="21" t="n"/>
      <c r="AE8" s="21" t="n">
        <v>0</v>
      </c>
      <c r="AF8" s="21" t="n"/>
      <c r="AG8" s="21" t="n"/>
      <c r="AH8" s="32" t="n"/>
      <c r="AI8" s="19" t="n"/>
      <c r="AJ8" s="21" t="n"/>
      <c r="AK8" s="21" t="n"/>
      <c r="AL8" s="21" t="n"/>
      <c r="AM8" s="19" t="n"/>
      <c r="AN8" s="21" t="n"/>
      <c r="AO8" s="19" t="n"/>
      <c r="AP8" s="21" t="n"/>
      <c r="AQ8" s="21" t="n"/>
      <c r="AR8" s="21" t="n"/>
      <c r="AS8" s="21" t="n"/>
    </row>
    <row r="9">
      <c r="A9" s="18" t="inlineStr">
        <is>
          <t>C-05</t>
        </is>
      </c>
      <c r="B9" s="18" t="inlineStr">
        <is>
          <t>Parqueadero temporal</t>
        </is>
      </c>
      <c r="C9" s="29" t="n">
        <v>45839</v>
      </c>
      <c r="D9" s="20" t="n">
        <v>12</v>
      </c>
      <c r="E9" s="20" t="n"/>
      <c r="F9" s="18" t="n"/>
      <c r="G9" s="20" t="n"/>
      <c r="H9" s="20" t="n">
        <v>300</v>
      </c>
      <c r="I9" s="18" t="inlineStr">
        <is>
          <t>Mensual</t>
        </is>
      </c>
      <c r="J9" s="18" t="inlineStr">
        <is>
          <t>Final</t>
        </is>
      </c>
      <c r="K9" s="18" t="n"/>
      <c r="L9" s="20" t="n"/>
      <c r="M9" s="18" t="n"/>
      <c r="N9" s="20" t="n"/>
      <c r="O9" s="20" t="n">
        <v>10</v>
      </c>
      <c r="P9" s="18" t="n"/>
      <c r="Q9" s="20" t="n"/>
      <c r="R9" s="20" t="n"/>
      <c r="S9" s="20" t="n"/>
      <c r="T9" s="20" t="n"/>
      <c r="U9" s="20" t="n"/>
      <c r="V9" s="18" t="n"/>
      <c r="W9" s="20" t="n"/>
      <c r="X9" s="20" t="n"/>
      <c r="Y9" s="18" t="n"/>
      <c r="Z9" s="18" t="n"/>
      <c r="AA9" s="18" t="inlineStr">
        <is>
          <t>Sí</t>
        </is>
      </c>
      <c r="AB9" s="18" t="inlineStr">
        <is>
          <t>Operativo</t>
        </is>
      </c>
      <c r="AC9" s="20" t="n">
        <v>0</v>
      </c>
      <c r="AD9" s="20" t="n"/>
      <c r="AE9" s="20" t="n">
        <v>0</v>
      </c>
      <c r="AF9" s="20" t="n"/>
      <c r="AG9" s="20" t="n"/>
      <c r="AH9" s="30" t="n"/>
      <c r="AI9" s="18" t="n"/>
      <c r="AJ9" s="20" t="n"/>
      <c r="AK9" s="20" t="n"/>
      <c r="AL9" s="20" t="n"/>
      <c r="AM9" s="18" t="n"/>
      <c r="AN9" s="20" t="n"/>
      <c r="AO9" s="18" t="n"/>
      <c r="AP9" s="20" t="n"/>
      <c r="AQ9" s="20" t="n"/>
      <c r="AR9" s="20" t="n"/>
      <c r="AS9" s="20" t="n"/>
    </row>
    <row r="10">
      <c r="A10" s="19" t="inlineStr">
        <is>
          <t>C-06</t>
        </is>
      </c>
      <c r="B10" s="19" t="inlineStr">
        <is>
          <t>Montacargas con opción de compra</t>
        </is>
      </c>
      <c r="C10" s="31" t="n">
        <v>45474</v>
      </c>
      <c r="D10" s="21" t="n">
        <v>48</v>
      </c>
      <c r="E10" s="21" t="n"/>
      <c r="F10" s="19" t="n"/>
      <c r="G10" s="21" t="n"/>
      <c r="H10" s="21" t="n">
        <v>6000</v>
      </c>
      <c r="I10" s="19" t="inlineStr">
        <is>
          <t>Trimestral</t>
        </is>
      </c>
      <c r="J10" s="19" t="inlineStr">
        <is>
          <t>Final</t>
        </is>
      </c>
      <c r="K10" s="19" t="n"/>
      <c r="L10" s="21" t="n"/>
      <c r="M10" s="19" t="n"/>
      <c r="N10" s="21" t="n"/>
      <c r="O10" s="21" t="n">
        <v>9</v>
      </c>
      <c r="P10" s="19" t="inlineStr">
        <is>
          <t>Implícita</t>
        </is>
      </c>
      <c r="Q10" s="21" t="n"/>
      <c r="R10" s="21" t="n"/>
      <c r="S10" s="21" t="n"/>
      <c r="T10" s="21" t="n"/>
      <c r="U10" s="21" t="n">
        <v>5000</v>
      </c>
      <c r="V10" s="19" t="inlineStr">
        <is>
          <t>Sí</t>
        </is>
      </c>
      <c r="W10" s="21" t="n">
        <v>120</v>
      </c>
      <c r="X10" s="21" t="n">
        <v>85000</v>
      </c>
      <c r="Y10" s="19" t="n"/>
      <c r="Z10" s="19" t="n"/>
      <c r="AA10" s="19" t="n"/>
      <c r="AB10" s="19" t="inlineStr">
        <is>
          <t>Financiero</t>
        </is>
      </c>
      <c r="AC10" s="21" t="n">
        <v>57428.43</v>
      </c>
      <c r="AD10" s="21" t="n">
        <v>19626.9</v>
      </c>
      <c r="AE10" s="21" t="n">
        <v>71291.60000000001</v>
      </c>
      <c r="AF10" s="21" t="n">
        <v>8387.25</v>
      </c>
      <c r="AG10" s="21" t="n">
        <v>5993.67</v>
      </c>
      <c r="AH10" s="32" t="n"/>
      <c r="AI10" s="19" t="n"/>
      <c r="AJ10" s="21" t="n"/>
      <c r="AK10" s="21" t="n"/>
      <c r="AL10" s="21" t="n"/>
      <c r="AM10" s="19" t="n"/>
      <c r="AN10" s="21" t="n"/>
      <c r="AO10" s="19" t="n"/>
      <c r="AP10" s="21" t="n"/>
      <c r="AQ10" s="21" t="n"/>
      <c r="AR10" s="21" t="n"/>
      <c r="AS10" s="21" t="n"/>
    </row>
    <row r="11">
      <c r="A11" s="18" t="inlineStr">
        <is>
          <t>C-07</t>
        </is>
      </c>
      <c r="B11" s="18" t="inlineStr">
        <is>
          <t>Oficina sucursal</t>
        </is>
      </c>
      <c r="C11" s="29" t="n">
        <v>44927</v>
      </c>
      <c r="D11" s="20" t="n">
        <v>60</v>
      </c>
      <c r="E11" s="20" t="n"/>
      <c r="F11" s="18" t="n"/>
      <c r="G11" s="20" t="n"/>
      <c r="H11" s="20" t="n">
        <v>12000</v>
      </c>
      <c r="I11" s="18" t="inlineStr">
        <is>
          <t>Anual</t>
        </is>
      </c>
      <c r="J11" s="18" t="inlineStr">
        <is>
          <t>Final</t>
        </is>
      </c>
      <c r="K11" s="18" t="n"/>
      <c r="L11" s="20" t="n"/>
      <c r="M11" s="18" t="n"/>
      <c r="N11" s="20" t="n"/>
      <c r="O11" s="20" t="n">
        <v>8</v>
      </c>
      <c r="P11" s="18" t="n"/>
      <c r="Q11" s="20" t="n"/>
      <c r="R11" s="20" t="n"/>
      <c r="S11" s="20" t="n"/>
      <c r="T11" s="20" t="n"/>
      <c r="U11" s="20" t="n"/>
      <c r="V11" s="18" t="n"/>
      <c r="W11" s="20" t="n"/>
      <c r="X11" s="20" t="n"/>
      <c r="Y11" s="18" t="n"/>
      <c r="Z11" s="18" t="n"/>
      <c r="AA11" s="18" t="n"/>
      <c r="AB11" s="18" t="inlineStr">
        <is>
          <t>Operativo</t>
        </is>
      </c>
      <c r="AC11" s="20" t="n">
        <v>19925.16</v>
      </c>
      <c r="AD11" s="20" t="n"/>
      <c r="AE11" s="20" t="n">
        <v>19165.01</v>
      </c>
      <c r="AF11" s="20" t="n"/>
      <c r="AG11" s="20" t="n">
        <v>2474.01</v>
      </c>
      <c r="AH11" s="29" t="n">
        <v>45658</v>
      </c>
      <c r="AI11" s="18" t="inlineStr">
        <is>
          <t>Modificación</t>
        </is>
      </c>
      <c r="AJ11" s="20" t="n">
        <v>13500</v>
      </c>
      <c r="AK11" s="20" t="n">
        <v>9</v>
      </c>
      <c r="AL11" s="20" t="n"/>
      <c r="AM11" s="18" t="inlineStr">
        <is>
          <t>No</t>
        </is>
      </c>
      <c r="AN11" s="20" t="n"/>
      <c r="AO11" s="18" t="n"/>
      <c r="AP11" s="20" t="n"/>
      <c r="AQ11" s="20" t="n"/>
      <c r="AR11" s="20" t="n"/>
      <c r="AS11" s="20" t="n"/>
    </row>
    <row r="12">
      <c r="A12" s="19" t="inlineStr">
        <is>
          <t>C-08</t>
        </is>
      </c>
      <c r="B12" s="19" t="inlineStr">
        <is>
          <t>Edificio administrativo (venta con arrendamiento posterior)</t>
        </is>
      </c>
      <c r="C12" s="31" t="n">
        <v>45658</v>
      </c>
      <c r="D12" s="21" t="n">
        <v>216</v>
      </c>
      <c r="E12" s="21" t="n"/>
      <c r="F12" s="19" t="n"/>
      <c r="G12" s="21" t="n"/>
      <c r="H12" s="21" t="n">
        <v>120000</v>
      </c>
      <c r="I12" s="19" t="inlineStr">
        <is>
          <t>Anual</t>
        </is>
      </c>
      <c r="J12" s="19" t="inlineStr">
        <is>
          <t>Final</t>
        </is>
      </c>
      <c r="K12" s="19" t="n"/>
      <c r="L12" s="21" t="n"/>
      <c r="M12" s="19" t="n"/>
      <c r="N12" s="21" t="n"/>
      <c r="O12" s="21" t="n">
        <v>4.5</v>
      </c>
      <c r="P12" s="19" t="n"/>
      <c r="Q12" s="21" t="n"/>
      <c r="R12" s="21" t="n"/>
      <c r="S12" s="21" t="n"/>
      <c r="T12" s="21" t="n"/>
      <c r="U12" s="21" t="n"/>
      <c r="V12" s="19" t="n"/>
      <c r="W12" s="21" t="n"/>
      <c r="X12" s="21" t="n">
        <v>1800000</v>
      </c>
      <c r="Y12" s="19" t="n"/>
      <c r="Z12" s="19" t="n"/>
      <c r="AA12" s="19" t="n"/>
      <c r="AB12" s="19" t="inlineStr">
        <is>
          <t>Operativo</t>
        </is>
      </c>
      <c r="AC12" s="21" t="n">
        <v>1404862.97</v>
      </c>
      <c r="AD12" s="21" t="n"/>
      <c r="AE12" s="21" t="n">
        <v>660690.84</v>
      </c>
      <c r="AF12" s="21" t="n"/>
      <c r="AG12" s="21" t="n"/>
      <c r="AH12" s="32" t="n"/>
      <c r="AI12" s="19" t="n"/>
      <c r="AJ12" s="21" t="n"/>
      <c r="AK12" s="21" t="n"/>
      <c r="AL12" s="21" t="n"/>
      <c r="AM12" s="19" t="n"/>
      <c r="AN12" s="21" t="n"/>
      <c r="AO12" s="19" t="inlineStr">
        <is>
          <t>Sí</t>
        </is>
      </c>
      <c r="AP12" s="21" t="n">
        <v>2000000</v>
      </c>
      <c r="AQ12" s="21" t="n">
        <v>1000000</v>
      </c>
      <c r="AR12" s="21" t="n">
        <v>800000</v>
      </c>
      <c r="AS12" s="21" t="n">
        <v>18500</v>
      </c>
    </row>
    <row r="13">
      <c r="A13" s="18" t="inlineStr">
        <is>
          <t>C-09</t>
        </is>
      </c>
      <c r="B13" s="18" t="inlineStr">
        <is>
          <t>Local cerrado en centro comercial</t>
        </is>
      </c>
      <c r="C13" s="29" t="n">
        <v>45292</v>
      </c>
      <c r="D13" s="20" t="n">
        <v>60</v>
      </c>
      <c r="E13" s="20" t="n"/>
      <c r="F13" s="18" t="n"/>
      <c r="G13" s="20" t="n"/>
      <c r="H13" s="20" t="n">
        <v>2500</v>
      </c>
      <c r="I13" s="18" t="inlineStr">
        <is>
          <t>Mensual</t>
        </is>
      </c>
      <c r="J13" s="18" t="inlineStr">
        <is>
          <t>Final</t>
        </is>
      </c>
      <c r="K13" s="18" t="n"/>
      <c r="L13" s="20" t="n"/>
      <c r="M13" s="18" t="n"/>
      <c r="N13" s="20" t="n"/>
      <c r="O13" s="20" t="n">
        <v>10</v>
      </c>
      <c r="P13" s="18" t="n"/>
      <c r="Q13" s="20" t="n"/>
      <c r="R13" s="20" t="n"/>
      <c r="S13" s="20" t="n"/>
      <c r="T13" s="20" t="n"/>
      <c r="U13" s="20" t="n"/>
      <c r="V13" s="18" t="n"/>
      <c r="W13" s="20" t="n"/>
      <c r="X13" s="20" t="n"/>
      <c r="Y13" s="18" t="n"/>
      <c r="Z13" s="18" t="n"/>
      <c r="AA13" s="18" t="n"/>
      <c r="AB13" s="18" t="inlineStr">
        <is>
          <t>Operativo</t>
        </is>
      </c>
      <c r="AC13" s="20" t="n">
        <v>77966.14999999999</v>
      </c>
      <c r="AD13" s="20" t="n"/>
      <c r="AE13" s="20" t="n">
        <v>71307.75</v>
      </c>
      <c r="AF13" s="20" t="n"/>
      <c r="AG13" s="20" t="n"/>
      <c r="AH13" s="30" t="n"/>
      <c r="AI13" s="18" t="n"/>
      <c r="AJ13" s="20" t="n"/>
      <c r="AK13" s="20" t="n"/>
      <c r="AL13" s="20" t="n"/>
      <c r="AM13" s="18" t="n"/>
      <c r="AN13" s="20" t="n">
        <v>50000</v>
      </c>
      <c r="AO13" s="18" t="n"/>
      <c r="AP13" s="20" t="n"/>
      <c r="AQ13" s="20" t="n"/>
      <c r="AR13" s="20" t="n"/>
      <c r="AS13" s="20" t="n"/>
    </row>
    <row r="14">
      <c r="A14" s="19" t="inlineStr">
        <is>
          <t>C-10</t>
        </is>
      </c>
      <c r="B14" s="19" t="inlineStr">
        <is>
          <t>Bodega sur con renta ajustada por inflación</t>
        </is>
      </c>
      <c r="C14" s="31" t="n">
        <v>45292</v>
      </c>
      <c r="D14" s="21" t="n">
        <v>36</v>
      </c>
      <c r="E14" s="21" t="n"/>
      <c r="F14" s="19" t="n"/>
      <c r="G14" s="21" t="n"/>
      <c r="H14" s="21" t="n">
        <v>2000</v>
      </c>
      <c r="I14" s="19" t="inlineStr">
        <is>
          <t>Mensual</t>
        </is>
      </c>
      <c r="J14" s="19" t="inlineStr">
        <is>
          <t>Final</t>
        </is>
      </c>
      <c r="K14" s="19" t="inlineStr">
        <is>
          <t>Sí</t>
        </is>
      </c>
      <c r="L14" s="21" t="n">
        <v>200</v>
      </c>
      <c r="M14" s="19" t="inlineStr">
        <is>
          <t>IPC del INEC (Ecuador)</t>
        </is>
      </c>
      <c r="N14" s="21" t="n">
        <v>50</v>
      </c>
      <c r="O14" s="21" t="n">
        <v>12</v>
      </c>
      <c r="P14" s="19" t="n"/>
      <c r="Q14" s="21" t="n"/>
      <c r="R14" s="21" t="n"/>
      <c r="S14" s="21" t="n"/>
      <c r="T14" s="21" t="n"/>
      <c r="U14" s="21" t="n"/>
      <c r="V14" s="19" t="n"/>
      <c r="W14" s="21" t="n"/>
      <c r="X14" s="21" t="n"/>
      <c r="Y14" s="19" t="n"/>
      <c r="Z14" s="19" t="n"/>
      <c r="AA14" s="19" t="n"/>
      <c r="AB14" s="19" t="inlineStr">
        <is>
          <t>Operativo</t>
        </is>
      </c>
      <c r="AC14" s="21" t="n">
        <v>0</v>
      </c>
      <c r="AD14" s="21" t="n"/>
      <c r="AE14" s="21" t="n">
        <v>0</v>
      </c>
      <c r="AF14" s="21" t="n"/>
      <c r="AG14" s="21" t="n"/>
      <c r="AH14" s="32" t="n"/>
      <c r="AI14" s="19" t="n"/>
      <c r="AJ14" s="21" t="n"/>
      <c r="AK14" s="21" t="n"/>
      <c r="AL14" s="21" t="n"/>
      <c r="AM14" s="19" t="n"/>
      <c r="AN14" s="21" t="n"/>
      <c r="AO14" s="19" t="n"/>
      <c r="AP14" s="21" t="n"/>
      <c r="AQ14" s="21" t="n"/>
      <c r="AR14" s="21" t="n"/>
      <c r="AS14" s="21" t="n"/>
    </row>
    <row r="15">
      <c r="A15" s="18" t="inlineStr">
        <is>
          <t>C-11</t>
        </is>
      </c>
      <c r="B15" s="18" t="inlineStr">
        <is>
          <t>Oficina regional con reajuste sin detalle</t>
        </is>
      </c>
      <c r="C15" s="29" t="n">
        <v>45658</v>
      </c>
      <c r="D15" s="20" t="n">
        <v>24</v>
      </c>
      <c r="E15" s="20" t="n"/>
      <c r="F15" s="18" t="n"/>
      <c r="G15" s="20" t="n"/>
      <c r="H15" s="20" t="n">
        <v>1000</v>
      </c>
      <c r="I15" s="18" t="inlineStr">
        <is>
          <t>Mensual</t>
        </is>
      </c>
      <c r="J15" s="18" t="inlineStr">
        <is>
          <t>Final</t>
        </is>
      </c>
      <c r="K15" s="18" t="inlineStr">
        <is>
          <t>Sí</t>
        </is>
      </c>
      <c r="L15" s="20" t="n"/>
      <c r="M15" s="18" t="inlineStr">
        <is>
          <t>Índice de precios del contrato</t>
        </is>
      </c>
      <c r="N15" s="20" t="n"/>
      <c r="O15" s="20" t="n">
        <v>10</v>
      </c>
      <c r="P15" s="18" t="n"/>
      <c r="Q15" s="20" t="n"/>
      <c r="R15" s="20" t="n"/>
      <c r="S15" s="20" t="n"/>
      <c r="T15" s="20" t="n"/>
      <c r="U15" s="20" t="n"/>
      <c r="V15" s="18" t="n"/>
      <c r="W15" s="20" t="n"/>
      <c r="X15" s="20" t="n"/>
      <c r="Y15" s="18" t="n"/>
      <c r="Z15" s="18" t="n"/>
      <c r="AA15" s="18" t="n"/>
      <c r="AB15" s="18" t="inlineStr">
        <is>
          <t>Operativo</t>
        </is>
      </c>
      <c r="AC15" s="20" t="n">
        <v>0</v>
      </c>
      <c r="AD15" s="20" t="n"/>
      <c r="AE15" s="20" t="n">
        <v>0</v>
      </c>
      <c r="AF15" s="20" t="n"/>
      <c r="AG15" s="20" t="n"/>
      <c r="AH15" s="30" t="n"/>
      <c r="AI15" s="18" t="n"/>
      <c r="AJ15" s="20" t="n"/>
      <c r="AK15" s="20" t="n"/>
      <c r="AL15" s="20" t="n"/>
      <c r="AM15" s="18" t="n"/>
      <c r="AN15" s="20" t="n"/>
      <c r="AO15" s="18" t="n"/>
      <c r="AP15" s="20" t="n"/>
      <c r="AQ15" s="20" t="n"/>
      <c r="AR15" s="20" t="n"/>
      <c r="AS15" s="20" t="n"/>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N30"/>
  <sheetViews>
    <sheetView showGridLines="0" workbookViewId="0">
      <pane ySplit="4" topLeftCell="A5" activePane="bottomLeft" state="frozen"/>
      <selection pane="bottomLeft" activeCell="A1" sqref="A1"/>
    </sheetView>
  </sheetViews>
  <sheetFormatPr baseColWidth="8" defaultRowHeight="15"/>
  <cols>
    <col width="12" customWidth="1" min="1" max="1"/>
    <col width="60" customWidth="1" min="2" max="2"/>
    <col width="15" customWidth="1" min="3" max="3"/>
    <col width="18" customWidth="1" min="4" max="4"/>
    <col width="34" customWidth="1" min="5" max="5"/>
    <col width="22" customWidth="1" min="6" max="6"/>
    <col width="29" customWidth="1" min="7" max="7"/>
    <col width="16" customWidth="1" min="8" max="8"/>
    <col width="46" customWidth="1" min="9" max="9"/>
    <col width="33" customWidth="1" min="10" max="10"/>
    <col width="23" customWidth="1" min="11" max="11"/>
    <col width="34" customWidth="1" min="12" max="12"/>
    <col width="17" customWidth="1" min="13" max="13"/>
    <col width="19" customWidth="1" min="14" max="14"/>
  </cols>
  <sheetData>
    <row r="1">
      <c r="A1" s="3" t="inlineStr">
        <is>
          <t>Identificación, clasificación y exenciones</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c r="G2" s="16" t="n"/>
      <c r="H2" s="16" t="n"/>
      <c r="I2" s="16" t="n"/>
      <c r="J2" s="16" t="n"/>
      <c r="K2" s="16" t="n"/>
      <c r="L2" s="16" t="n"/>
      <c r="M2" s="16" t="n"/>
      <c r="N2" s="16" t="n"/>
    </row>
    <row r="4" ht="30" customHeight="1">
      <c r="A4" s="17" t="inlineStr">
        <is>
          <t>Contrato</t>
        </is>
      </c>
      <c r="B4" s="17" t="inlineStr">
        <is>
          <t>Activo</t>
        </is>
      </c>
      <c r="C4" s="17" t="inlineStr">
        <is>
          <t>Plazo (meses)</t>
        </is>
      </c>
      <c r="D4" s="17" t="inlineStr">
        <is>
          <t>Opción de compra</t>
        </is>
      </c>
      <c r="E4" s="17" t="inlineStr">
        <is>
          <t>Corto plazo (≤ 12 m, sin opción)</t>
        </is>
      </c>
      <c r="F4" s="17" t="inlineStr">
        <is>
          <t>Bajo valor declarado</t>
        </is>
      </c>
      <c r="G4" s="17" t="inlineStr">
        <is>
          <t>Valor del activo nuevo (B3)</t>
        </is>
      </c>
      <c r="H4" s="17" t="inlineStr">
        <is>
          <t>Automóvil (B6)</t>
        </is>
      </c>
      <c r="I4" s="17" t="inlineStr">
        <is>
          <t>Uso independiente y sin subarriendo (B5, B7)</t>
        </is>
      </c>
      <c r="J4" s="17" t="inlineStr">
        <is>
          <t>Bajo valor elegible (B3, B5–B7)</t>
        </is>
      </c>
      <c r="K4" s="17" t="inlineStr">
        <is>
          <t>Exención elegible (5)</t>
        </is>
      </c>
      <c r="L4" s="17" t="inlineStr">
        <is>
          <t>Exención aplicada por el cliente</t>
        </is>
      </c>
      <c r="M4" s="17" t="inlineStr">
        <is>
          <t>Reconoce pasivo</t>
        </is>
      </c>
      <c r="N4" s="17" t="inlineStr">
        <is>
          <t>Tipo de tasa (26)</t>
        </is>
      </c>
    </row>
    <row r="5">
      <c r="A5" s="18" t="inlineStr">
        <is>
          <t>C-01</t>
        </is>
      </c>
      <c r="B5" s="18" t="inlineStr">
        <is>
          <t>Local comercial matriz</t>
        </is>
      </c>
      <c r="C5" s="33">
        <f>'05_Plazo'!E5</f>
        <v/>
      </c>
      <c r="D5" s="18">
        <f>IF(N('03_Contratos'!U5)&gt;0,"Sí","No")</f>
        <v/>
      </c>
      <c r="E5" s="18">
        <f>IF(AND(C5&lt;=12,D5="No"),"Sí","No")</f>
        <v/>
      </c>
      <c r="F5" s="18">
        <f>IF('03_Contratos'!Y5="","No",'03_Contratos'!Y5)</f>
        <v/>
      </c>
      <c r="G5" s="20">
        <f>IF('03_Contratos'!X5="","",'03_Contratos'!X5)</f>
        <v/>
      </c>
      <c r="H5" s="18">
        <f>IF(OR(ISNUMBER(SEARCH("automovil",B5)),ISNUMBER(SEARCH("automóvil",B5)),ISNUMBER(SEARCH("vehiculo",B5)),ISNUMBER(SEARCH("vehículo",B5)),ISNUMBER(SEARCH("camioneta",B5)),ISNUMBER(SEARCH("coche",B5)),ISNUMBER(SEARCH("furgoneta",B5))),"Sí","No")</f>
        <v/>
      </c>
      <c r="I5" s="18">
        <f>IF('03_Contratos'!Z5="","",'03_Contratos'!Z5)</f>
        <v/>
      </c>
      <c r="J5" s="18">
        <f>IF(OR(F5="No",G5="",G5&gt;'02_Parametros'!$B$9,H5="Sí",I5="No"),"No","Sí")</f>
        <v/>
      </c>
      <c r="K5" s="18">
        <f>IF(OR(E5="Sí",J5="Sí"),"Sí","No")</f>
        <v/>
      </c>
      <c r="L5" s="18">
        <f>IF('03_Contratos'!AA5="","No",'03_Contratos'!AA5)</f>
        <v/>
      </c>
      <c r="M5" s="18">
        <f>IF(AND(L5="Sí",K5="Sí"),"No","Sí")</f>
        <v/>
      </c>
      <c r="N5" s="18">
        <f>IF('03_Contratos'!P5="","",'03_Contratos'!P5)</f>
        <v/>
      </c>
    </row>
    <row r="6">
      <c r="A6" s="19" t="inlineStr">
        <is>
          <t>C-02</t>
        </is>
      </c>
      <c r="B6" s="19" t="inlineStr">
        <is>
          <t>Bodega norte</t>
        </is>
      </c>
      <c r="C6" s="34">
        <f>'05_Plazo'!E6</f>
        <v/>
      </c>
      <c r="D6" s="19">
        <f>IF(N('03_Contratos'!U6)&gt;0,"Sí","No")</f>
        <v/>
      </c>
      <c r="E6" s="19">
        <f>IF(AND(C6&lt;=12,D6="No"),"Sí","No")</f>
        <v/>
      </c>
      <c r="F6" s="19">
        <f>IF('03_Contratos'!Y6="","No",'03_Contratos'!Y6)</f>
        <v/>
      </c>
      <c r="G6" s="21">
        <f>IF('03_Contratos'!X6="","",'03_Contratos'!X6)</f>
        <v/>
      </c>
      <c r="H6" s="19">
        <f>IF(OR(ISNUMBER(SEARCH("automovil",B6)),ISNUMBER(SEARCH("automóvil",B6)),ISNUMBER(SEARCH("vehiculo",B6)),ISNUMBER(SEARCH("vehículo",B6)),ISNUMBER(SEARCH("camioneta",B6)),ISNUMBER(SEARCH("coche",B6)),ISNUMBER(SEARCH("furgoneta",B6))),"Sí","No")</f>
        <v/>
      </c>
      <c r="I6" s="19">
        <f>IF('03_Contratos'!Z6="","",'03_Contratos'!Z6)</f>
        <v/>
      </c>
      <c r="J6" s="19">
        <f>IF(OR(F6="No",G6="",G6&gt;'02_Parametros'!$B$9,H6="Sí",I6="No"),"No","Sí")</f>
        <v/>
      </c>
      <c r="K6" s="19">
        <f>IF(OR(E6="Sí",J6="Sí"),"Sí","No")</f>
        <v/>
      </c>
      <c r="L6" s="19">
        <f>IF('03_Contratos'!AA6="","No",'03_Contratos'!AA6)</f>
        <v/>
      </c>
      <c r="M6" s="19">
        <f>IF(AND(L6="Sí",K6="Sí"),"No","Sí")</f>
        <v/>
      </c>
      <c r="N6" s="19">
        <f>IF('03_Contratos'!P6="","",'03_Contratos'!P6)</f>
        <v/>
      </c>
    </row>
    <row r="7">
      <c r="A7" s="18" t="inlineStr">
        <is>
          <t>C-03</t>
        </is>
      </c>
      <c r="B7" s="18" t="inlineStr">
        <is>
          <t>Vehículo de gerencia</t>
        </is>
      </c>
      <c r="C7" s="33">
        <f>'05_Plazo'!E7</f>
        <v/>
      </c>
      <c r="D7" s="18">
        <f>IF(N('03_Contratos'!U7)&gt;0,"Sí","No")</f>
        <v/>
      </c>
      <c r="E7" s="18">
        <f>IF(AND(C7&lt;=12,D7="No"),"Sí","No")</f>
        <v/>
      </c>
      <c r="F7" s="18">
        <f>IF('03_Contratos'!Y7="","No",'03_Contratos'!Y7)</f>
        <v/>
      </c>
      <c r="G7" s="20">
        <f>IF('03_Contratos'!X7="","",'03_Contratos'!X7)</f>
        <v/>
      </c>
      <c r="H7" s="18">
        <f>IF(OR(ISNUMBER(SEARCH("automovil",B7)),ISNUMBER(SEARCH("automóvil",B7)),ISNUMBER(SEARCH("vehiculo",B7)),ISNUMBER(SEARCH("vehículo",B7)),ISNUMBER(SEARCH("camioneta",B7)),ISNUMBER(SEARCH("coche",B7)),ISNUMBER(SEARCH("furgoneta",B7))),"Sí","No")</f>
        <v/>
      </c>
      <c r="I7" s="18">
        <f>IF('03_Contratos'!Z7="","",'03_Contratos'!Z7)</f>
        <v/>
      </c>
      <c r="J7" s="18">
        <f>IF(OR(F7="No",G7="",G7&gt;'02_Parametros'!$B$9,H7="Sí",I7="No"),"No","Sí")</f>
        <v/>
      </c>
      <c r="K7" s="18">
        <f>IF(OR(E7="Sí",J7="Sí"),"Sí","No")</f>
        <v/>
      </c>
      <c r="L7" s="18">
        <f>IF('03_Contratos'!AA7="","No",'03_Contratos'!AA7)</f>
        <v/>
      </c>
      <c r="M7" s="18">
        <f>IF(AND(L7="Sí",K7="Sí"),"No","Sí")</f>
        <v/>
      </c>
      <c r="N7" s="18">
        <f>IF('03_Contratos'!P7="","",'03_Contratos'!P7)</f>
        <v/>
      </c>
    </row>
    <row r="8">
      <c r="A8" s="19" t="inlineStr">
        <is>
          <t>C-04</t>
        </is>
      </c>
      <c r="B8" s="19" t="inlineStr">
        <is>
          <t>Computadores portátiles</t>
        </is>
      </c>
      <c r="C8" s="34">
        <f>'05_Plazo'!E8</f>
        <v/>
      </c>
      <c r="D8" s="19">
        <f>IF(N('03_Contratos'!U8)&gt;0,"Sí","No")</f>
        <v/>
      </c>
      <c r="E8" s="19">
        <f>IF(AND(C8&lt;=12,D8="No"),"Sí","No")</f>
        <v/>
      </c>
      <c r="F8" s="19">
        <f>IF('03_Contratos'!Y8="","No",'03_Contratos'!Y8)</f>
        <v/>
      </c>
      <c r="G8" s="21">
        <f>IF('03_Contratos'!X8="","",'03_Contratos'!X8)</f>
        <v/>
      </c>
      <c r="H8" s="19">
        <f>IF(OR(ISNUMBER(SEARCH("automovil",B8)),ISNUMBER(SEARCH("automóvil",B8)),ISNUMBER(SEARCH("vehiculo",B8)),ISNUMBER(SEARCH("vehículo",B8)),ISNUMBER(SEARCH("camioneta",B8)),ISNUMBER(SEARCH("coche",B8)),ISNUMBER(SEARCH("furgoneta",B8))),"Sí","No")</f>
        <v/>
      </c>
      <c r="I8" s="19">
        <f>IF('03_Contratos'!Z8="","",'03_Contratos'!Z8)</f>
        <v/>
      </c>
      <c r="J8" s="19">
        <f>IF(OR(F8="No",G8="",G8&gt;'02_Parametros'!$B$9,H8="Sí",I8="No"),"No","Sí")</f>
        <v/>
      </c>
      <c r="K8" s="19">
        <f>IF(OR(E8="Sí",J8="Sí"),"Sí","No")</f>
        <v/>
      </c>
      <c r="L8" s="19">
        <f>IF('03_Contratos'!AA8="","No",'03_Contratos'!AA8)</f>
        <v/>
      </c>
      <c r="M8" s="19">
        <f>IF(AND(L8="Sí",K8="Sí"),"No","Sí")</f>
        <v/>
      </c>
      <c r="N8" s="19">
        <f>IF('03_Contratos'!P8="","",'03_Contratos'!P8)</f>
        <v/>
      </c>
    </row>
    <row r="9">
      <c r="A9" s="18" t="inlineStr">
        <is>
          <t>C-05</t>
        </is>
      </c>
      <c r="B9" s="18" t="inlineStr">
        <is>
          <t>Parqueadero temporal</t>
        </is>
      </c>
      <c r="C9" s="33">
        <f>'05_Plazo'!E9</f>
        <v/>
      </c>
      <c r="D9" s="18">
        <f>IF(N('03_Contratos'!U9)&gt;0,"Sí","No")</f>
        <v/>
      </c>
      <c r="E9" s="18">
        <f>IF(AND(C9&lt;=12,D9="No"),"Sí","No")</f>
        <v/>
      </c>
      <c r="F9" s="18">
        <f>IF('03_Contratos'!Y9="","No",'03_Contratos'!Y9)</f>
        <v/>
      </c>
      <c r="G9" s="20">
        <f>IF('03_Contratos'!X9="","",'03_Contratos'!X9)</f>
        <v/>
      </c>
      <c r="H9" s="18">
        <f>IF(OR(ISNUMBER(SEARCH("automovil",B9)),ISNUMBER(SEARCH("automóvil",B9)),ISNUMBER(SEARCH("vehiculo",B9)),ISNUMBER(SEARCH("vehículo",B9)),ISNUMBER(SEARCH("camioneta",B9)),ISNUMBER(SEARCH("coche",B9)),ISNUMBER(SEARCH("furgoneta",B9))),"Sí","No")</f>
        <v/>
      </c>
      <c r="I9" s="18">
        <f>IF('03_Contratos'!Z9="","",'03_Contratos'!Z9)</f>
        <v/>
      </c>
      <c r="J9" s="18">
        <f>IF(OR(F9="No",G9="",G9&gt;'02_Parametros'!$B$9,H9="Sí",I9="No"),"No","Sí")</f>
        <v/>
      </c>
      <c r="K9" s="18">
        <f>IF(OR(E9="Sí",J9="Sí"),"Sí","No")</f>
        <v/>
      </c>
      <c r="L9" s="18">
        <f>IF('03_Contratos'!AA9="","No",'03_Contratos'!AA9)</f>
        <v/>
      </c>
      <c r="M9" s="18">
        <f>IF(AND(L9="Sí",K9="Sí"),"No","Sí")</f>
        <v/>
      </c>
      <c r="N9" s="18">
        <f>IF('03_Contratos'!P9="","",'03_Contratos'!P9)</f>
        <v/>
      </c>
    </row>
    <row r="10">
      <c r="A10" s="19" t="inlineStr">
        <is>
          <t>C-06</t>
        </is>
      </c>
      <c r="B10" s="19" t="inlineStr">
        <is>
          <t>Montacargas con opción de compra</t>
        </is>
      </c>
      <c r="C10" s="34">
        <f>'05_Plazo'!E10</f>
        <v/>
      </c>
      <c r="D10" s="19">
        <f>IF(N('03_Contratos'!U10)&gt;0,"Sí","No")</f>
        <v/>
      </c>
      <c r="E10" s="19">
        <f>IF(AND(C10&lt;=12,D10="No"),"Sí","No")</f>
        <v/>
      </c>
      <c r="F10" s="19">
        <f>IF('03_Contratos'!Y10="","No",'03_Contratos'!Y10)</f>
        <v/>
      </c>
      <c r="G10" s="21">
        <f>IF('03_Contratos'!X10="","",'03_Contratos'!X10)</f>
        <v/>
      </c>
      <c r="H10" s="19">
        <f>IF(OR(ISNUMBER(SEARCH("automovil",B10)),ISNUMBER(SEARCH("automóvil",B10)),ISNUMBER(SEARCH("vehiculo",B10)),ISNUMBER(SEARCH("vehículo",B10)),ISNUMBER(SEARCH("camioneta",B10)),ISNUMBER(SEARCH("coche",B10)),ISNUMBER(SEARCH("furgoneta",B10))),"Sí","No")</f>
        <v/>
      </c>
      <c r="I10" s="19">
        <f>IF('03_Contratos'!Z10="","",'03_Contratos'!Z10)</f>
        <v/>
      </c>
      <c r="J10" s="19">
        <f>IF(OR(F10="No",G10="",G10&gt;'02_Parametros'!$B$9,H10="Sí",I10="No"),"No","Sí")</f>
        <v/>
      </c>
      <c r="K10" s="19">
        <f>IF(OR(E10="Sí",J10="Sí"),"Sí","No")</f>
        <v/>
      </c>
      <c r="L10" s="19">
        <f>IF('03_Contratos'!AA10="","No",'03_Contratos'!AA10)</f>
        <v/>
      </c>
      <c r="M10" s="19">
        <f>IF(AND(L10="Sí",K10="Sí"),"No","Sí")</f>
        <v/>
      </c>
      <c r="N10" s="19">
        <f>IF('03_Contratos'!P10="","",'03_Contratos'!P10)</f>
        <v/>
      </c>
    </row>
    <row r="11">
      <c r="A11" s="18" t="inlineStr">
        <is>
          <t>C-07</t>
        </is>
      </c>
      <c r="B11" s="18" t="inlineStr">
        <is>
          <t>Oficina sucursal</t>
        </is>
      </c>
      <c r="C11" s="33">
        <f>'05_Plazo'!E11</f>
        <v/>
      </c>
      <c r="D11" s="18">
        <f>IF(N('03_Contratos'!U11)&gt;0,"Sí","No")</f>
        <v/>
      </c>
      <c r="E11" s="18">
        <f>IF(AND(C11&lt;=12,D11="No"),"Sí","No")</f>
        <v/>
      </c>
      <c r="F11" s="18">
        <f>IF('03_Contratos'!Y11="","No",'03_Contratos'!Y11)</f>
        <v/>
      </c>
      <c r="G11" s="20">
        <f>IF('03_Contratos'!X11="","",'03_Contratos'!X11)</f>
        <v/>
      </c>
      <c r="H11" s="18">
        <f>IF(OR(ISNUMBER(SEARCH("automovil",B11)),ISNUMBER(SEARCH("automóvil",B11)),ISNUMBER(SEARCH("vehiculo",B11)),ISNUMBER(SEARCH("vehículo",B11)),ISNUMBER(SEARCH("camioneta",B11)),ISNUMBER(SEARCH("coche",B11)),ISNUMBER(SEARCH("furgoneta",B11))),"Sí","No")</f>
        <v/>
      </c>
      <c r="I11" s="18">
        <f>IF('03_Contratos'!Z11="","",'03_Contratos'!Z11)</f>
        <v/>
      </c>
      <c r="J11" s="18">
        <f>IF(OR(F11="No",G11="",G11&gt;'02_Parametros'!$B$9,H11="Sí",I11="No"),"No","Sí")</f>
        <v/>
      </c>
      <c r="K11" s="18">
        <f>IF(OR(E11="Sí",J11="Sí"),"Sí","No")</f>
        <v/>
      </c>
      <c r="L11" s="18">
        <f>IF('03_Contratos'!AA11="","No",'03_Contratos'!AA11)</f>
        <v/>
      </c>
      <c r="M11" s="18">
        <f>IF(AND(L11="Sí",K11="Sí"),"No","Sí")</f>
        <v/>
      </c>
      <c r="N11" s="18">
        <f>IF('03_Contratos'!P11="","",'03_Contratos'!P11)</f>
        <v/>
      </c>
    </row>
    <row r="12">
      <c r="A12" s="19" t="inlineStr">
        <is>
          <t>C-08</t>
        </is>
      </c>
      <c r="B12" s="19" t="inlineStr">
        <is>
          <t>Edificio administrativo (venta con arrendamiento posterior)</t>
        </is>
      </c>
      <c r="C12" s="34">
        <f>'05_Plazo'!E12</f>
        <v/>
      </c>
      <c r="D12" s="19">
        <f>IF(N('03_Contratos'!U12)&gt;0,"Sí","No")</f>
        <v/>
      </c>
      <c r="E12" s="19">
        <f>IF(AND(C12&lt;=12,D12="No"),"Sí","No")</f>
        <v/>
      </c>
      <c r="F12" s="19">
        <f>IF('03_Contratos'!Y12="","No",'03_Contratos'!Y12)</f>
        <v/>
      </c>
      <c r="G12" s="21">
        <f>IF('03_Contratos'!X12="","",'03_Contratos'!X12)</f>
        <v/>
      </c>
      <c r="H12" s="19">
        <f>IF(OR(ISNUMBER(SEARCH("automovil",B12)),ISNUMBER(SEARCH("automóvil",B12)),ISNUMBER(SEARCH("vehiculo",B12)),ISNUMBER(SEARCH("vehículo",B12)),ISNUMBER(SEARCH("camioneta",B12)),ISNUMBER(SEARCH("coche",B12)),ISNUMBER(SEARCH("furgoneta",B12))),"Sí","No")</f>
        <v/>
      </c>
      <c r="I12" s="19">
        <f>IF('03_Contratos'!Z12="","",'03_Contratos'!Z12)</f>
        <v/>
      </c>
      <c r="J12" s="19">
        <f>IF(OR(F12="No",G12="",G12&gt;'02_Parametros'!$B$9,H12="Sí",I12="No"),"No","Sí")</f>
        <v/>
      </c>
      <c r="K12" s="19">
        <f>IF(OR(E12="Sí",J12="Sí"),"Sí","No")</f>
        <v/>
      </c>
      <c r="L12" s="19">
        <f>IF('03_Contratos'!AA12="","No",'03_Contratos'!AA12)</f>
        <v/>
      </c>
      <c r="M12" s="19">
        <f>IF(AND(L12="Sí",K12="Sí"),"No","Sí")</f>
        <v/>
      </c>
      <c r="N12" s="19">
        <f>IF('03_Contratos'!P12="","",'03_Contratos'!P12)</f>
        <v/>
      </c>
    </row>
    <row r="13">
      <c r="A13" s="18" t="inlineStr">
        <is>
          <t>C-09</t>
        </is>
      </c>
      <c r="B13" s="18" t="inlineStr">
        <is>
          <t>Local cerrado en centro comercial</t>
        </is>
      </c>
      <c r="C13" s="33">
        <f>'05_Plazo'!E13</f>
        <v/>
      </c>
      <c r="D13" s="18">
        <f>IF(N('03_Contratos'!U13)&gt;0,"Sí","No")</f>
        <v/>
      </c>
      <c r="E13" s="18">
        <f>IF(AND(C13&lt;=12,D13="No"),"Sí","No")</f>
        <v/>
      </c>
      <c r="F13" s="18">
        <f>IF('03_Contratos'!Y13="","No",'03_Contratos'!Y13)</f>
        <v/>
      </c>
      <c r="G13" s="20">
        <f>IF('03_Contratos'!X13="","",'03_Contratos'!X13)</f>
        <v/>
      </c>
      <c r="H13" s="18">
        <f>IF(OR(ISNUMBER(SEARCH("automovil",B13)),ISNUMBER(SEARCH("automóvil",B13)),ISNUMBER(SEARCH("vehiculo",B13)),ISNUMBER(SEARCH("vehículo",B13)),ISNUMBER(SEARCH("camioneta",B13)),ISNUMBER(SEARCH("coche",B13)),ISNUMBER(SEARCH("furgoneta",B13))),"Sí","No")</f>
        <v/>
      </c>
      <c r="I13" s="18">
        <f>IF('03_Contratos'!Z13="","",'03_Contratos'!Z13)</f>
        <v/>
      </c>
      <c r="J13" s="18">
        <f>IF(OR(F13="No",G13="",G13&gt;'02_Parametros'!$B$9,H13="Sí",I13="No"),"No","Sí")</f>
        <v/>
      </c>
      <c r="K13" s="18">
        <f>IF(OR(E13="Sí",J13="Sí"),"Sí","No")</f>
        <v/>
      </c>
      <c r="L13" s="18">
        <f>IF('03_Contratos'!AA13="","No",'03_Contratos'!AA13)</f>
        <v/>
      </c>
      <c r="M13" s="18">
        <f>IF(AND(L13="Sí",K13="Sí"),"No","Sí")</f>
        <v/>
      </c>
      <c r="N13" s="18">
        <f>IF('03_Contratos'!P13="","",'03_Contratos'!P13)</f>
        <v/>
      </c>
    </row>
    <row r="14">
      <c r="A14" s="19" t="inlineStr">
        <is>
          <t>C-10</t>
        </is>
      </c>
      <c r="B14" s="19" t="inlineStr">
        <is>
          <t>Bodega sur con renta ajustada por inflación</t>
        </is>
      </c>
      <c r="C14" s="34">
        <f>'05_Plazo'!E14</f>
        <v/>
      </c>
      <c r="D14" s="19">
        <f>IF(N('03_Contratos'!U14)&gt;0,"Sí","No")</f>
        <v/>
      </c>
      <c r="E14" s="19">
        <f>IF(AND(C14&lt;=12,D14="No"),"Sí","No")</f>
        <v/>
      </c>
      <c r="F14" s="19">
        <f>IF('03_Contratos'!Y14="","No",'03_Contratos'!Y14)</f>
        <v/>
      </c>
      <c r="G14" s="21">
        <f>IF('03_Contratos'!X14="","",'03_Contratos'!X14)</f>
        <v/>
      </c>
      <c r="H14" s="19">
        <f>IF(OR(ISNUMBER(SEARCH("automovil",B14)),ISNUMBER(SEARCH("automóvil",B14)),ISNUMBER(SEARCH("vehiculo",B14)),ISNUMBER(SEARCH("vehículo",B14)),ISNUMBER(SEARCH("camioneta",B14)),ISNUMBER(SEARCH("coche",B14)),ISNUMBER(SEARCH("furgoneta",B14))),"Sí","No")</f>
        <v/>
      </c>
      <c r="I14" s="19">
        <f>IF('03_Contratos'!Z14="","",'03_Contratos'!Z14)</f>
        <v/>
      </c>
      <c r="J14" s="19">
        <f>IF(OR(F14="No",G14="",G14&gt;'02_Parametros'!$B$9,H14="Sí",I14="No"),"No","Sí")</f>
        <v/>
      </c>
      <c r="K14" s="19">
        <f>IF(OR(E14="Sí",J14="Sí"),"Sí","No")</f>
        <v/>
      </c>
      <c r="L14" s="19">
        <f>IF('03_Contratos'!AA14="","No",'03_Contratos'!AA14)</f>
        <v/>
      </c>
      <c r="M14" s="19">
        <f>IF(AND(L14="Sí",K14="Sí"),"No","Sí")</f>
        <v/>
      </c>
      <c r="N14" s="19">
        <f>IF('03_Contratos'!P14="","",'03_Contratos'!P14)</f>
        <v/>
      </c>
    </row>
    <row r="15">
      <c r="A15" s="18" t="inlineStr">
        <is>
          <t>C-11</t>
        </is>
      </c>
      <c r="B15" s="18" t="inlineStr">
        <is>
          <t>Oficina regional con reajuste sin detalle</t>
        </is>
      </c>
      <c r="C15" s="33">
        <f>'05_Plazo'!E15</f>
        <v/>
      </c>
      <c r="D15" s="18">
        <f>IF(N('03_Contratos'!U15)&gt;0,"Sí","No")</f>
        <v/>
      </c>
      <c r="E15" s="18">
        <f>IF(AND(C15&lt;=12,D15="No"),"Sí","No")</f>
        <v/>
      </c>
      <c r="F15" s="18">
        <f>IF('03_Contratos'!Y15="","No",'03_Contratos'!Y15)</f>
        <v/>
      </c>
      <c r="G15" s="20">
        <f>IF('03_Contratos'!X15="","",'03_Contratos'!X15)</f>
        <v/>
      </c>
      <c r="H15" s="18">
        <f>IF(OR(ISNUMBER(SEARCH("automovil",B15)),ISNUMBER(SEARCH("automóvil",B15)),ISNUMBER(SEARCH("vehiculo",B15)),ISNUMBER(SEARCH("vehículo",B15)),ISNUMBER(SEARCH("camioneta",B15)),ISNUMBER(SEARCH("coche",B15)),ISNUMBER(SEARCH("furgoneta",B15))),"Sí","No")</f>
        <v/>
      </c>
      <c r="I15" s="18">
        <f>IF('03_Contratos'!Z15="","",'03_Contratos'!Z15)</f>
        <v/>
      </c>
      <c r="J15" s="18">
        <f>IF(OR(F15="No",G15="",G15&gt;'02_Parametros'!$B$9,H15="Sí",I15="No"),"No","Sí")</f>
        <v/>
      </c>
      <c r="K15" s="18">
        <f>IF(OR(E15="Sí",J15="Sí"),"Sí","No")</f>
        <v/>
      </c>
      <c r="L15" s="18">
        <f>IF('03_Contratos'!AA15="","No",'03_Contratos'!AA15)</f>
        <v/>
      </c>
      <c r="M15" s="18">
        <f>IF(AND(L15="Sí",K15="Sí"),"No","Sí")</f>
        <v/>
      </c>
      <c r="N15" s="18">
        <f>IF('03_Contratos'!P15="","",'03_Contratos'!P15)</f>
        <v/>
      </c>
    </row>
    <row r="17">
      <c r="A17" s="22" t="inlineStr">
        <is>
          <t>ⓘ  Cómo se calcula esta hoja</t>
        </is>
      </c>
    </row>
    <row r="18">
      <c r="A18" s="23" t="inlineStr">
        <is>
          <t>Columna</t>
        </is>
      </c>
      <c r="B18" s="23" t="inlineStr">
        <is>
          <t>Fórmula (Excel)</t>
        </is>
      </c>
      <c r="C18" s="23" t="inlineStr">
        <is>
          <t>Cómo se calcula (sencillo)</t>
        </is>
      </c>
      <c r="D18" s="23" t="inlineStr">
        <is>
          <t>Ejemplo con números reales</t>
        </is>
      </c>
      <c r="E18" s="23" t="inlineStr">
        <is>
          <t>De dónde viene</t>
        </is>
      </c>
      <c r="F18" s="23" t="inlineStr">
        <is>
          <t>Norma</t>
        </is>
      </c>
    </row>
    <row r="19">
      <c r="A19" s="24" t="inlineStr">
        <is>
          <t>Plazo (meses)</t>
        </is>
      </c>
      <c r="B19" s="25" t="inlineStr">
        <is>
          <t>'='05_Plazo'!E5</t>
        </is>
      </c>
      <c r="C19" s="24" t="inlineStr">
        <is>
          <t>Trae el plazo del arrendamiento (plazo no cancelable más la renovación razonablemente cierta) calculado en la hoja 05 (Plazo y opciones).</t>
        </is>
      </c>
      <c r="D19" s="24" t="inlineStr">
        <is>
          <t>Fila 1: 60 → 60</t>
        </is>
      </c>
      <c r="E19" s="24" t="inlineStr">
        <is>
          <t>hoja «Plazo y opciones»</t>
        </is>
      </c>
      <c r="F19" s="24" t="inlineStr">
        <is>
          <t>—</t>
        </is>
      </c>
    </row>
    <row r="20">
      <c r="A20" s="24" t="inlineStr">
        <is>
          <t>Opción de compra</t>
        </is>
      </c>
      <c r="B20" s="25" t="inlineStr">
        <is>
          <t>'=IF(N('03_Contratos'!U5)&gt;0,"Sí","No")</t>
        </is>
      </c>
      <c r="C20" s="24" t="inlineStr">
        <is>
          <t>Marca «Sí» si el contrato tiene un precio de opción de compra mayor que cero en la hoja 03 (Universo de contratos); si no, «No».</t>
        </is>
      </c>
      <c r="D20" s="24" t="inlineStr">
        <is>
          <t>Fila 1: IF(N((vacío))&gt;0; "Sí"; "No") → No</t>
        </is>
      </c>
      <c r="E20" s="24" t="inlineStr">
        <is>
          <t>hoja «Universo de contratos»</t>
        </is>
      </c>
      <c r="F20" s="24" t="inlineStr">
        <is>
          <t>—</t>
        </is>
      </c>
    </row>
    <row r="21">
      <c r="A21" s="24" t="inlineStr">
        <is>
          <t>Corto plazo (≤ 12 m, sin opción)</t>
        </is>
      </c>
      <c r="B21" s="25" t="inlineStr">
        <is>
          <t>'=IF(AND(C5&lt;=12,D5="No"),"Sí","No")</t>
        </is>
      </c>
      <c r="C21" s="24" t="inlineStr">
        <is>
          <t>Marca «Sí» cuando el plazo del arrendamiento es de 12 meses o menos y el contrato no tiene opción de compra; de lo contrario, «No».</t>
        </is>
      </c>
      <c r="D21" s="24" t="inlineStr">
        <is>
          <t>Fila 1: IF(AND(60&lt;=12; «No»="No"); "Sí"; "No") → No</t>
        </is>
      </c>
      <c r="E21" s="24" t="inlineStr">
        <is>
          <t>«Plazo (meses)» (esta hoja), «Opción de compra» (esta hoja)</t>
        </is>
      </c>
      <c r="F21" s="24" t="inlineStr">
        <is>
          <t>—</t>
        </is>
      </c>
    </row>
    <row r="22">
      <c r="A22" s="24" t="inlineStr">
        <is>
          <t>Bajo valor declarado</t>
        </is>
      </c>
      <c r="B22" s="25" t="inlineStr">
        <is>
          <t>'=IF('03_Contratos'!Y5="","No",'03_Contratos'!Y5)</t>
        </is>
      </c>
      <c r="C22" s="24" t="inlineStr">
        <is>
          <t>Trae de la hoja 03 (Universo de contratos) si el cliente declaró el activo como de bajo valor; si no lo indicó, se toma «No».</t>
        </is>
      </c>
      <c r="D22" s="24" t="inlineStr">
        <is>
          <t>Fila 1: IF((vacío)=""; "No"; (vacío)) → No</t>
        </is>
      </c>
      <c r="E22" s="24" t="inlineStr">
        <is>
          <t>hoja «Universo de contratos»</t>
        </is>
      </c>
      <c r="F22" s="24" t="inlineStr">
        <is>
          <t>—</t>
        </is>
      </c>
    </row>
    <row r="23">
      <c r="A23" s="24" t="inlineStr">
        <is>
          <t>Valor del activo nuevo (B3)</t>
        </is>
      </c>
      <c r="B23" s="25" t="inlineStr">
        <is>
          <t>'=IF('03_Contratos'!X5="","",'03_Contratos'!X5)</t>
        </is>
      </c>
      <c r="C23" s="24" t="inlineStr">
        <is>
          <t>Trae de la hoja 03 el valor del activo en estado nuevo; si falta queda en blanco y el contrato no puede calificar como de bajo valor.</t>
        </is>
      </c>
      <c r="D23" s="24" t="inlineStr">
        <is>
          <t>Fila 1: IF((vacío)=""; ""; (vacío)) → (en blanco)</t>
        </is>
      </c>
      <c r="E23" s="24" t="inlineStr">
        <is>
          <t>hoja «Universo de contratos»</t>
        </is>
      </c>
      <c r="F23" s="24" t="inlineStr">
        <is>
          <t>—</t>
        </is>
      </c>
    </row>
    <row r="24">
      <c r="A24" s="24" t="inlineStr">
        <is>
          <t>Automóvil (B6)</t>
        </is>
      </c>
      <c r="B24" s="25" t="inlineStr">
        <is>
          <t>'=IF(OR(ISNUMBER(SEARCH("automovil",B5)),ISNUMBER(SEARCH("automóvil",B5)),ISNUMBER(SEARCH("vehiculo",B5)),ISNUMBER(SEARCH("vehículo",B5)),ISNUMBER(SEARCH("camioneta",B5)),ISNUMBER(SEARCH("coche",B5)),ISNUMBER(SEARCH("furgoneta",B5))),"Sí","No")</t>
        </is>
      </c>
      <c r="C24" s="24" t="inlineStr">
        <is>
          <t>Marca «Sí» si la descripción del activo contiene palabras como automóvil, vehículo, camioneta, coche o furgoneta; esos activos no califican como de bajo valor.</t>
        </is>
      </c>
      <c r="D24" s="24" t="inlineStr">
        <is>
          <t>Fila 1: IF(OR(ISNUMBER(SEARCH("automovil"; «Local comercial matriz»)); ISNUMBER(SEARCH("automóvil"; «Local comercial matriz»)); ISNUMBER(SEARCH("vehiculo"; «Local comercial matriz»)); ISNUMBER(SEARCH("vehículo"; «Local comercial matriz»)); ISNUMBER(SEARCH("camioneta"; «Local comercial matriz»)); ISNUMBER(SEARCH("coche"; «Local comercial matriz»)); ISNUMBER(SEARCH("furgoneta"; «Local comercial matriz»))); "Sí"; "No") → No</t>
        </is>
      </c>
      <c r="E24" s="24" t="inlineStr">
        <is>
          <t>«Activo» (esta hoja)</t>
        </is>
      </c>
      <c r="F24" s="24" t="inlineStr">
        <is>
          <t>—</t>
        </is>
      </c>
    </row>
    <row r="25">
      <c r="A25" s="24" t="inlineStr">
        <is>
          <t>Uso independiente y sin subarriendo (B5, B7)</t>
        </is>
      </c>
      <c r="B25" s="25" t="inlineStr">
        <is>
          <t>'=IF('03_Contratos'!Z5="","",'03_Contratos'!Z5)</t>
        </is>
      </c>
      <c r="C25" s="24" t="inlineStr">
        <is>
          <t>Trae la respuesta del cliente en la hoja 03 sobre si el activo se usa por sí solo, sin depender de otros activos, y no se subarrienda; en blanco si no respondió.</t>
        </is>
      </c>
      <c r="D25" s="24" t="inlineStr">
        <is>
          <t>Fila 1: IF((vacío)=""; ""; (vacío)) → (en blanco)</t>
        </is>
      </c>
      <c r="E25" s="24" t="inlineStr">
        <is>
          <t>hoja «Universo de contratos»</t>
        </is>
      </c>
      <c r="F25" s="24" t="inlineStr">
        <is>
          <t>—</t>
        </is>
      </c>
    </row>
    <row r="26">
      <c r="A26" s="24" t="inlineStr">
        <is>
          <t>Bajo valor elegible (B3, B5–B7)</t>
        </is>
      </c>
      <c r="B26" s="25" t="inlineStr">
        <is>
          <t>'=IF(OR(F5="No",G5="",G5&gt;'02_Parametros'!$B$9,H5="Sí",I5="No"),"No","Sí")</t>
        </is>
      </c>
      <c r="C26" s="24" t="inlineStr">
        <is>
          <t>Es «Sí» solo si el cliente lo declaró de bajo valor, informó el valor del activo nuevo, ese valor no pasa del límite de la hoja 02 (Parámetros), no es un automóvil y el uso independiente no es «No».</t>
        </is>
      </c>
      <c r="D26" s="24" t="inlineStr">
        <is>
          <t>Fila 1: IF(OR(«No»="No"; (vacío)=""; (vacío)&gt;5.000,00; «No»="Sí"; (vacío)="No"); "No"; "Sí") → No</t>
        </is>
      </c>
      <c r="E26" s="24" t="inlineStr">
        <is>
          <t>«Bajo valor declarado» (esta hoja), «Valor del activo nuevo (B3)» (esta hoja), «Automóvil (B6)» (esta hoja), «Uso independiente y sin subarriendo (B5, B7)» (esta hoja), hoja «Parámetros»</t>
        </is>
      </c>
      <c r="F26" s="24" t="inlineStr">
        <is>
          <t>—</t>
        </is>
      </c>
    </row>
    <row r="27">
      <c r="A27" s="24" t="inlineStr">
        <is>
          <t>Exención elegible (5)</t>
        </is>
      </c>
      <c r="B27" s="25" t="inlineStr">
        <is>
          <t>'=IF(OR(E5="Sí",J5="Sí"),"Sí","No")</t>
        </is>
      </c>
      <c r="C27" s="24" t="inlineStr">
        <is>
          <t>Marca «Sí» si el contrato califica como de corto plazo o como de bajo valor elegible; si no califica por ninguna de las dos vías, «No».</t>
        </is>
      </c>
      <c r="D27" s="24" t="inlineStr">
        <is>
          <t>Fila 1: IF(OR(«No»="Sí"; «No»="Sí"); "Sí"; "No") → No</t>
        </is>
      </c>
      <c r="E27" s="24" t="inlineStr">
        <is>
          <t>«Corto plazo (≤ 12 m, sin opción)» (esta hoja), «Bajo valor elegible (B3, B5–B7)» (esta hoja)</t>
        </is>
      </c>
      <c r="F27" s="24" t="inlineStr">
        <is>
          <t>—</t>
        </is>
      </c>
    </row>
    <row r="28">
      <c r="A28" s="24" t="inlineStr">
        <is>
          <t>Exención aplicada por el cliente</t>
        </is>
      </c>
      <c r="B28" s="25" t="inlineStr">
        <is>
          <t>'=IF('03_Contratos'!AA5="","No",'03_Contratos'!AA5)</t>
        </is>
      </c>
      <c r="C28" s="24" t="inlineStr">
        <is>
          <t>Trae de la hoja 03 (Universo de contratos) si el cliente aplicó la exención y no reconoció el arrendamiento; si no lo indicó, se toma «No».</t>
        </is>
      </c>
      <c r="D28" s="24" t="inlineStr">
        <is>
          <t>Fila 1: IF((vacío)=""; "No"; (vacío)) → No</t>
        </is>
      </c>
      <c r="E28" s="24" t="inlineStr">
        <is>
          <t>hoja «Universo de contratos»</t>
        </is>
      </c>
      <c r="F28" s="24" t="inlineStr">
        <is>
          <t>—</t>
        </is>
      </c>
    </row>
    <row r="29">
      <c r="A29" s="24" t="inlineStr">
        <is>
          <t>Reconoce pasivo</t>
        </is>
      </c>
      <c r="B29" s="25" t="inlineStr">
        <is>
          <t>'=IF(AND(L5="Sí",K5="Sí"),"No","Sí")</t>
        </is>
      </c>
      <c r="C29" s="24" t="inlineStr">
        <is>
          <t>Solo es «No» cuando el cliente aplicó la exención y además es elegible; en cualquier otro caso el contrato debe reconocerse en balance («Sí»).</t>
        </is>
      </c>
      <c r="D29" s="24" t="inlineStr">
        <is>
          <t>Fila 1: IF(AND(«No»="Sí"; «No»="Sí"); "No"; "Sí") → Sí</t>
        </is>
      </c>
      <c r="E29" s="24" t="inlineStr">
        <is>
          <t>«Exención aplicada por el cliente» (esta hoja), «Exención elegible (5)» (esta hoja)</t>
        </is>
      </c>
      <c r="F29" s="24" t="inlineStr">
        <is>
          <t>—</t>
        </is>
      </c>
    </row>
    <row r="30">
      <c r="A30" s="24" t="inlineStr">
        <is>
          <t>Tipo de tasa (26)</t>
        </is>
      </c>
      <c r="B30" s="25" t="inlineStr">
        <is>
          <t>'=IF('03_Contratos'!P5="","",'03_Contratos'!P5)</t>
        </is>
      </c>
      <c r="C30" s="24" t="inlineStr">
        <is>
          <t>Trae de la hoja 03 (Universo de contratos) si la tasa del contrato es implícita o incremental; en blanco si no se informó.</t>
        </is>
      </c>
      <c r="D30" s="24" t="inlineStr">
        <is>
          <t>Fila 1: IF(«Incremental»=""; ""; «Incremental») → Incremental</t>
        </is>
      </c>
      <c r="E30" s="24" t="inlineStr">
        <is>
          <t>hoja «Universo de contratos»</t>
        </is>
      </c>
      <c r="F30" s="24" t="inlineStr">
        <is>
          <t>—</t>
        </is>
      </c>
    </row>
  </sheetData>
  <mergeCells count="3">
    <mergeCell ref="A2:F2"/>
    <mergeCell ref="A1:F1"/>
    <mergeCell ref="A17:F17"/>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J27"/>
  <sheetViews>
    <sheetView showGridLines="0" workbookViewId="0">
      <pane ySplit="4" topLeftCell="A5" activePane="bottomLeft" state="frozen"/>
      <selection pane="bottomLeft" activeCell="A1" sqref="A1"/>
    </sheetView>
  </sheetViews>
  <sheetFormatPr baseColWidth="8" defaultRowHeight="15"/>
  <cols>
    <col width="12" customWidth="1" min="1" max="1"/>
    <col width="29" customWidth="1" min="2" max="2"/>
    <col width="34" customWidth="1" min="3" max="3"/>
    <col width="21" customWidth="1" min="4" max="4"/>
    <col width="30" customWidth="1" min="5" max="5"/>
    <col width="28" customWidth="1" min="6" max="6"/>
    <col width="19" customWidth="1" min="7" max="7"/>
    <col width="12" customWidth="1" min="8" max="8"/>
    <col width="30" customWidth="1" min="9" max="9"/>
    <col width="36" customWidth="1" min="10" max="10"/>
  </cols>
  <sheetData>
    <row r="1">
      <c r="A1" s="3" t="inlineStr">
        <is>
          <t>Plazo y opciones</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c r="G2" s="16" t="n"/>
      <c r="H2" s="16" t="n"/>
      <c r="I2" s="16" t="n"/>
      <c r="J2" s="16" t="n"/>
    </row>
    <row r="4" ht="30" customHeight="1">
      <c r="A4" s="17" t="inlineStr">
        <is>
          <t>Contrato</t>
        </is>
      </c>
      <c r="B4" s="17" t="inlineStr">
        <is>
          <t>Plazo no cancelable (meses)</t>
        </is>
      </c>
      <c r="C4" s="17" t="inlineStr">
        <is>
          <t>Renovación razonablemente cierta</t>
        </is>
      </c>
      <c r="D4" s="17" t="inlineStr">
        <is>
          <t>Meses de renovación</t>
        </is>
      </c>
      <c r="E4" s="17" t="inlineStr">
        <is>
          <t>Plazo del arrendamiento (18)</t>
        </is>
      </c>
      <c r="F4" s="17" t="inlineStr">
        <is>
          <t>Plazo usado por el cliente</t>
        </is>
      </c>
      <c r="G4" s="17" t="inlineStr">
        <is>
          <t>Meses por período</t>
        </is>
      </c>
      <c r="H4" s="17" t="inlineStr">
        <is>
          <t>Períodos</t>
        </is>
      </c>
      <c r="I4" s="17" t="inlineStr">
        <is>
          <t>Meses transcurridos al corte</t>
        </is>
      </c>
      <c r="J4" s="17" t="inlineStr">
        <is>
          <t>Meses de depreciación (32 / 20.12)</t>
        </is>
      </c>
    </row>
    <row r="5">
      <c r="A5" s="18" t="inlineStr">
        <is>
          <t>C-01</t>
        </is>
      </c>
      <c r="B5" s="33">
        <f>'03_Contratos'!D5</f>
        <v/>
      </c>
      <c r="C5" s="18">
        <f>IF('03_Contratos'!F5="","",'03_Contratos'!F5)</f>
        <v/>
      </c>
      <c r="D5" s="33">
        <f>N('03_Contratos'!E5)</f>
        <v/>
      </c>
      <c r="E5" s="33">
        <f>B5+IF(C5="Sí",D5,0)</f>
        <v/>
      </c>
      <c r="F5" s="33">
        <f>IF('03_Contratos'!G5="","",'03_Contratos'!G5)</f>
        <v/>
      </c>
      <c r="G5" s="33">
        <f>IF('03_Contratos'!I5="Mensual",1,IF('03_Contratos'!I5="Trimestral",3,IF('03_Contratos'!I5="Semestral",6,12)))</f>
        <v/>
      </c>
      <c r="H5" s="33">
        <f>E5/G5</f>
        <v/>
      </c>
      <c r="I5" s="33">
        <f>DATEDIF('03_Contratos'!C5,'02_Parametros'!$B$5+1,"m")</f>
        <v/>
      </c>
      <c r="J5" s="33">
        <f>IF('03_Contratos'!V5="Sí",IF('03_Contratos'!W5="",E5,'03_Contratos'!W5),IF('03_Contratos'!W5="",E5,MIN(E5,'03_Contratos'!W5)))</f>
        <v/>
      </c>
    </row>
    <row r="6">
      <c r="A6" s="19" t="inlineStr">
        <is>
          <t>C-02</t>
        </is>
      </c>
      <c r="B6" s="34">
        <f>'03_Contratos'!D6</f>
        <v/>
      </c>
      <c r="C6" s="19">
        <f>IF('03_Contratos'!F6="","",'03_Contratos'!F6)</f>
        <v/>
      </c>
      <c r="D6" s="34">
        <f>N('03_Contratos'!E6)</f>
        <v/>
      </c>
      <c r="E6" s="34">
        <f>B6+IF(C6="Sí",D6,0)</f>
        <v/>
      </c>
      <c r="F6" s="34">
        <f>IF('03_Contratos'!G6="","",'03_Contratos'!G6)</f>
        <v/>
      </c>
      <c r="G6" s="34">
        <f>IF('03_Contratos'!I6="Mensual",1,IF('03_Contratos'!I6="Trimestral",3,IF('03_Contratos'!I6="Semestral",6,12)))</f>
        <v/>
      </c>
      <c r="H6" s="34">
        <f>E6/G6</f>
        <v/>
      </c>
      <c r="I6" s="34">
        <f>DATEDIF('03_Contratos'!C6,'02_Parametros'!$B$5+1,"m")</f>
        <v/>
      </c>
      <c r="J6" s="34">
        <f>IF('03_Contratos'!V6="Sí",IF('03_Contratos'!W6="",E6,'03_Contratos'!W6),IF('03_Contratos'!W6="",E6,MIN(E6,'03_Contratos'!W6)))</f>
        <v/>
      </c>
    </row>
    <row r="7">
      <c r="A7" s="18" t="inlineStr">
        <is>
          <t>C-03</t>
        </is>
      </c>
      <c r="B7" s="33">
        <f>'03_Contratos'!D7</f>
        <v/>
      </c>
      <c r="C7" s="18">
        <f>IF('03_Contratos'!F7="","",'03_Contratos'!F7)</f>
        <v/>
      </c>
      <c r="D7" s="33">
        <f>N('03_Contratos'!E7)</f>
        <v/>
      </c>
      <c r="E7" s="33">
        <f>B7+IF(C7="Sí",D7,0)</f>
        <v/>
      </c>
      <c r="F7" s="33">
        <f>IF('03_Contratos'!G7="","",'03_Contratos'!G7)</f>
        <v/>
      </c>
      <c r="G7" s="33">
        <f>IF('03_Contratos'!I7="Mensual",1,IF('03_Contratos'!I7="Trimestral",3,IF('03_Contratos'!I7="Semestral",6,12)))</f>
        <v/>
      </c>
      <c r="H7" s="33">
        <f>E7/G7</f>
        <v/>
      </c>
      <c r="I7" s="33">
        <f>DATEDIF('03_Contratos'!C7,'02_Parametros'!$B$5+1,"m")</f>
        <v/>
      </c>
      <c r="J7" s="33">
        <f>IF('03_Contratos'!V7="Sí",IF('03_Contratos'!W7="",E7,'03_Contratos'!W7),IF('03_Contratos'!W7="",E7,MIN(E7,'03_Contratos'!W7)))</f>
        <v/>
      </c>
    </row>
    <row r="8">
      <c r="A8" s="19" t="inlineStr">
        <is>
          <t>C-04</t>
        </is>
      </c>
      <c r="B8" s="34">
        <f>'03_Contratos'!D8</f>
        <v/>
      </c>
      <c r="C8" s="19">
        <f>IF('03_Contratos'!F8="","",'03_Contratos'!F8)</f>
        <v/>
      </c>
      <c r="D8" s="34">
        <f>N('03_Contratos'!E8)</f>
        <v/>
      </c>
      <c r="E8" s="34">
        <f>B8+IF(C8="Sí",D8,0)</f>
        <v/>
      </c>
      <c r="F8" s="34">
        <f>IF('03_Contratos'!G8="","",'03_Contratos'!G8)</f>
        <v/>
      </c>
      <c r="G8" s="34">
        <f>IF('03_Contratos'!I8="Mensual",1,IF('03_Contratos'!I8="Trimestral",3,IF('03_Contratos'!I8="Semestral",6,12)))</f>
        <v/>
      </c>
      <c r="H8" s="34">
        <f>E8/G8</f>
        <v/>
      </c>
      <c r="I8" s="34">
        <f>DATEDIF('03_Contratos'!C8,'02_Parametros'!$B$5+1,"m")</f>
        <v/>
      </c>
      <c r="J8" s="34">
        <f>IF('03_Contratos'!V8="Sí",IF('03_Contratos'!W8="",E8,'03_Contratos'!W8),IF('03_Contratos'!W8="",E8,MIN(E8,'03_Contratos'!W8)))</f>
        <v/>
      </c>
    </row>
    <row r="9">
      <c r="A9" s="18" t="inlineStr">
        <is>
          <t>C-05</t>
        </is>
      </c>
      <c r="B9" s="33">
        <f>'03_Contratos'!D9</f>
        <v/>
      </c>
      <c r="C9" s="18">
        <f>IF('03_Contratos'!F9="","",'03_Contratos'!F9)</f>
        <v/>
      </c>
      <c r="D9" s="33">
        <f>N('03_Contratos'!E9)</f>
        <v/>
      </c>
      <c r="E9" s="33">
        <f>B9+IF(C9="Sí",D9,0)</f>
        <v/>
      </c>
      <c r="F9" s="33">
        <f>IF('03_Contratos'!G9="","",'03_Contratos'!G9)</f>
        <v/>
      </c>
      <c r="G9" s="33">
        <f>IF('03_Contratos'!I9="Mensual",1,IF('03_Contratos'!I9="Trimestral",3,IF('03_Contratos'!I9="Semestral",6,12)))</f>
        <v/>
      </c>
      <c r="H9" s="33">
        <f>E9/G9</f>
        <v/>
      </c>
      <c r="I9" s="33">
        <f>DATEDIF('03_Contratos'!C9,'02_Parametros'!$B$5+1,"m")</f>
        <v/>
      </c>
      <c r="J9" s="33">
        <f>IF('03_Contratos'!V9="Sí",IF('03_Contratos'!W9="",E9,'03_Contratos'!W9),IF('03_Contratos'!W9="",E9,MIN(E9,'03_Contratos'!W9)))</f>
        <v/>
      </c>
    </row>
    <row r="10">
      <c r="A10" s="19" t="inlineStr">
        <is>
          <t>C-06</t>
        </is>
      </c>
      <c r="B10" s="34">
        <f>'03_Contratos'!D10</f>
        <v/>
      </c>
      <c r="C10" s="19">
        <f>IF('03_Contratos'!F10="","",'03_Contratos'!F10)</f>
        <v/>
      </c>
      <c r="D10" s="34">
        <f>N('03_Contratos'!E10)</f>
        <v/>
      </c>
      <c r="E10" s="34">
        <f>B10+IF(C10="Sí",D10,0)</f>
        <v/>
      </c>
      <c r="F10" s="34">
        <f>IF('03_Contratos'!G10="","",'03_Contratos'!G10)</f>
        <v/>
      </c>
      <c r="G10" s="34">
        <f>IF('03_Contratos'!I10="Mensual",1,IF('03_Contratos'!I10="Trimestral",3,IF('03_Contratos'!I10="Semestral",6,12)))</f>
        <v/>
      </c>
      <c r="H10" s="34">
        <f>E10/G10</f>
        <v/>
      </c>
      <c r="I10" s="34">
        <f>DATEDIF('03_Contratos'!C10,'02_Parametros'!$B$5+1,"m")</f>
        <v/>
      </c>
      <c r="J10" s="34">
        <f>IF('03_Contratos'!V10="Sí",IF('03_Contratos'!W10="",E10,'03_Contratos'!W10),IF('03_Contratos'!W10="",E10,MIN(E10,'03_Contratos'!W10)))</f>
        <v/>
      </c>
    </row>
    <row r="11">
      <c r="A11" s="18" t="inlineStr">
        <is>
          <t>C-07</t>
        </is>
      </c>
      <c r="B11" s="33">
        <f>'03_Contratos'!D11</f>
        <v/>
      </c>
      <c r="C11" s="18">
        <f>IF('03_Contratos'!F11="","",'03_Contratos'!F11)</f>
        <v/>
      </c>
      <c r="D11" s="33">
        <f>N('03_Contratos'!E11)</f>
        <v/>
      </c>
      <c r="E11" s="33">
        <f>B11+IF(C11="Sí",D11,0)</f>
        <v/>
      </c>
      <c r="F11" s="33">
        <f>IF('03_Contratos'!G11="","",'03_Contratos'!G11)</f>
        <v/>
      </c>
      <c r="G11" s="33">
        <f>IF('03_Contratos'!I11="Mensual",1,IF('03_Contratos'!I11="Trimestral",3,IF('03_Contratos'!I11="Semestral",6,12)))</f>
        <v/>
      </c>
      <c r="H11" s="33">
        <f>E11/G11</f>
        <v/>
      </c>
      <c r="I11" s="33">
        <f>DATEDIF('03_Contratos'!C11,'02_Parametros'!$B$5+1,"m")</f>
        <v/>
      </c>
      <c r="J11" s="33">
        <f>IF('03_Contratos'!V11="Sí",IF('03_Contratos'!W11="",E11,'03_Contratos'!W11),IF('03_Contratos'!W11="",E11,MIN(E11,'03_Contratos'!W11)))</f>
        <v/>
      </c>
    </row>
    <row r="12">
      <c r="A12" s="19" t="inlineStr">
        <is>
          <t>C-08</t>
        </is>
      </c>
      <c r="B12" s="34">
        <f>'03_Contratos'!D12</f>
        <v/>
      </c>
      <c r="C12" s="19">
        <f>IF('03_Contratos'!F12="","",'03_Contratos'!F12)</f>
        <v/>
      </c>
      <c r="D12" s="34">
        <f>N('03_Contratos'!E12)</f>
        <v/>
      </c>
      <c r="E12" s="34">
        <f>B12+IF(C12="Sí",D12,0)</f>
        <v/>
      </c>
      <c r="F12" s="34">
        <f>IF('03_Contratos'!G12="","",'03_Contratos'!G12)</f>
        <v/>
      </c>
      <c r="G12" s="34">
        <f>IF('03_Contratos'!I12="Mensual",1,IF('03_Contratos'!I12="Trimestral",3,IF('03_Contratos'!I12="Semestral",6,12)))</f>
        <v/>
      </c>
      <c r="H12" s="34">
        <f>E12/G12</f>
        <v/>
      </c>
      <c r="I12" s="34">
        <f>DATEDIF('03_Contratos'!C12,'02_Parametros'!$B$5+1,"m")</f>
        <v/>
      </c>
      <c r="J12" s="34">
        <f>IF('03_Contratos'!V12="Sí",IF('03_Contratos'!W12="",E12,'03_Contratos'!W12),IF('03_Contratos'!W12="",E12,MIN(E12,'03_Contratos'!W12)))</f>
        <v/>
      </c>
    </row>
    <row r="13">
      <c r="A13" s="18" t="inlineStr">
        <is>
          <t>C-09</t>
        </is>
      </c>
      <c r="B13" s="33">
        <f>'03_Contratos'!D13</f>
        <v/>
      </c>
      <c r="C13" s="18">
        <f>IF('03_Contratos'!F13="","",'03_Contratos'!F13)</f>
        <v/>
      </c>
      <c r="D13" s="33">
        <f>N('03_Contratos'!E13)</f>
        <v/>
      </c>
      <c r="E13" s="33">
        <f>B13+IF(C13="Sí",D13,0)</f>
        <v/>
      </c>
      <c r="F13" s="33">
        <f>IF('03_Contratos'!G13="","",'03_Contratos'!G13)</f>
        <v/>
      </c>
      <c r="G13" s="33">
        <f>IF('03_Contratos'!I13="Mensual",1,IF('03_Contratos'!I13="Trimestral",3,IF('03_Contratos'!I13="Semestral",6,12)))</f>
        <v/>
      </c>
      <c r="H13" s="33">
        <f>E13/G13</f>
        <v/>
      </c>
      <c r="I13" s="33">
        <f>DATEDIF('03_Contratos'!C13,'02_Parametros'!$B$5+1,"m")</f>
        <v/>
      </c>
      <c r="J13" s="33">
        <f>IF('03_Contratos'!V13="Sí",IF('03_Contratos'!W13="",E13,'03_Contratos'!W13),IF('03_Contratos'!W13="",E13,MIN(E13,'03_Contratos'!W13)))</f>
        <v/>
      </c>
    </row>
    <row r="14">
      <c r="A14" s="19" t="inlineStr">
        <is>
          <t>C-10</t>
        </is>
      </c>
      <c r="B14" s="34">
        <f>'03_Contratos'!D14</f>
        <v/>
      </c>
      <c r="C14" s="19">
        <f>IF('03_Contratos'!F14="","",'03_Contratos'!F14)</f>
        <v/>
      </c>
      <c r="D14" s="34">
        <f>N('03_Contratos'!E14)</f>
        <v/>
      </c>
      <c r="E14" s="34">
        <f>B14+IF(C14="Sí",D14,0)</f>
        <v/>
      </c>
      <c r="F14" s="34">
        <f>IF('03_Contratos'!G14="","",'03_Contratos'!G14)</f>
        <v/>
      </c>
      <c r="G14" s="34">
        <f>IF('03_Contratos'!I14="Mensual",1,IF('03_Contratos'!I14="Trimestral",3,IF('03_Contratos'!I14="Semestral",6,12)))</f>
        <v/>
      </c>
      <c r="H14" s="34">
        <f>E14/G14</f>
        <v/>
      </c>
      <c r="I14" s="34">
        <f>DATEDIF('03_Contratos'!C14,'02_Parametros'!$B$5+1,"m")</f>
        <v/>
      </c>
      <c r="J14" s="34">
        <f>IF('03_Contratos'!V14="Sí",IF('03_Contratos'!W14="",E14,'03_Contratos'!W14),IF('03_Contratos'!W14="",E14,MIN(E14,'03_Contratos'!W14)))</f>
        <v/>
      </c>
    </row>
    <row r="15">
      <c r="A15" s="18" t="inlineStr">
        <is>
          <t>C-11</t>
        </is>
      </c>
      <c r="B15" s="33">
        <f>'03_Contratos'!D15</f>
        <v/>
      </c>
      <c r="C15" s="18">
        <f>IF('03_Contratos'!F15="","",'03_Contratos'!F15)</f>
        <v/>
      </c>
      <c r="D15" s="33">
        <f>N('03_Contratos'!E15)</f>
        <v/>
      </c>
      <c r="E15" s="33">
        <f>B15+IF(C15="Sí",D15,0)</f>
        <v/>
      </c>
      <c r="F15" s="33">
        <f>IF('03_Contratos'!G15="","",'03_Contratos'!G15)</f>
        <v/>
      </c>
      <c r="G15" s="33">
        <f>IF('03_Contratos'!I15="Mensual",1,IF('03_Contratos'!I15="Trimestral",3,IF('03_Contratos'!I15="Semestral",6,12)))</f>
        <v/>
      </c>
      <c r="H15" s="33">
        <f>E15/G15</f>
        <v/>
      </c>
      <c r="I15" s="33">
        <f>DATEDIF('03_Contratos'!C15,'02_Parametros'!$B$5+1,"m")</f>
        <v/>
      </c>
      <c r="J15" s="33">
        <f>IF('03_Contratos'!V15="Sí",IF('03_Contratos'!W15="",E15,'03_Contratos'!W15),IF('03_Contratos'!W15="",E15,MIN(E15,'03_Contratos'!W15)))</f>
        <v/>
      </c>
    </row>
    <row r="17">
      <c r="A17" s="22" t="inlineStr">
        <is>
          <t>ⓘ  Cómo se calcula esta hoja</t>
        </is>
      </c>
    </row>
    <row r="18">
      <c r="A18" s="23" t="inlineStr">
        <is>
          <t>Columna</t>
        </is>
      </c>
      <c r="B18" s="23" t="inlineStr">
        <is>
          <t>Fórmula (Excel)</t>
        </is>
      </c>
      <c r="C18" s="23" t="inlineStr">
        <is>
          <t>Cómo se calcula (sencillo)</t>
        </is>
      </c>
      <c r="D18" s="23" t="inlineStr">
        <is>
          <t>Ejemplo con números reales</t>
        </is>
      </c>
      <c r="E18" s="23" t="inlineStr">
        <is>
          <t>De dónde viene</t>
        </is>
      </c>
      <c r="F18" s="23" t="inlineStr">
        <is>
          <t>Norma</t>
        </is>
      </c>
    </row>
    <row r="19">
      <c r="A19" s="24" t="inlineStr">
        <is>
          <t>Plazo no cancelable (meses)</t>
        </is>
      </c>
      <c r="B19" s="25" t="inlineStr">
        <is>
          <t>'='03_Contratos'!D5</t>
        </is>
      </c>
      <c r="C19" s="24" t="inlineStr">
        <is>
          <t>Trae el plazo no cancelable del contrato, en meses, de la hoja 03 (Universo de contratos).</t>
        </is>
      </c>
      <c r="D19" s="24" t="inlineStr">
        <is>
          <t>Fila 1: 36,00 → 36</t>
        </is>
      </c>
      <c r="E19" s="24" t="inlineStr">
        <is>
          <t>hoja «Universo de contratos»</t>
        </is>
      </c>
      <c r="F19" s="24" t="inlineStr">
        <is>
          <t>—</t>
        </is>
      </c>
    </row>
    <row r="20">
      <c r="A20" s="24" t="inlineStr">
        <is>
          <t>Renovación razonablemente cierta</t>
        </is>
      </c>
      <c r="B20" s="25" t="inlineStr">
        <is>
          <t>'=IF('03_Contratos'!F5="","",'03_Contratos'!F5)</t>
        </is>
      </c>
      <c r="C20" s="24" t="inlineStr">
        <is>
          <t>Trae de la hoja 03 (Universo de contratos) si es razonablemente cierto que se ejercerá la renovación; en blanco si no se informó.</t>
        </is>
      </c>
      <c r="D20" s="24" t="inlineStr">
        <is>
          <t>Fila 1: IF(«Sí»=""; ""; «Sí») → Sí</t>
        </is>
      </c>
      <c r="E20" s="24" t="inlineStr">
        <is>
          <t>hoja «Universo de contratos»</t>
        </is>
      </c>
      <c r="F20" s="24" t="inlineStr">
        <is>
          <t>—</t>
        </is>
      </c>
    </row>
    <row r="21">
      <c r="A21" s="24" t="inlineStr">
        <is>
          <t>Meses de renovación</t>
        </is>
      </c>
      <c r="B21" s="25" t="inlineStr">
        <is>
          <t>'=N('03_Contratos'!E5)</t>
        </is>
      </c>
      <c r="C21" s="24" t="inlineStr">
        <is>
          <t>Trae los meses de la opción de renovación de la hoja 03 (Universo de contratos); si no hay dato, cuenta cero.</t>
        </is>
      </c>
      <c r="D21" s="24" t="inlineStr">
        <is>
          <t>Fila 1: N(24,00) → 24</t>
        </is>
      </c>
      <c r="E21" s="24" t="inlineStr">
        <is>
          <t>hoja «Universo de contratos»</t>
        </is>
      </c>
      <c r="F21" s="24" t="inlineStr">
        <is>
          <t>—</t>
        </is>
      </c>
    </row>
    <row r="22">
      <c r="A22" s="24" t="inlineStr">
        <is>
          <t>Plazo del arrendamiento (18)</t>
        </is>
      </c>
      <c r="B22" s="25" t="inlineStr">
        <is>
          <t>'=B5+IF(C5="Sí",D5,0)</t>
        </is>
      </c>
      <c r="C22" s="24" t="inlineStr">
        <is>
          <t>Suma al plazo no cancelable los meses de renovación solo cuando la renovación es razonablemente cierta («Sí»); si no, el plazo es solo el no cancelable.</t>
        </is>
      </c>
      <c r="D22" s="24" t="inlineStr">
        <is>
          <t>Fila 1: 36+IF(«Sí»="Sí"; 24; 0) → 60</t>
        </is>
      </c>
      <c r="E22" s="24" t="inlineStr">
        <is>
          <t>«Plazo no cancelable (meses)» (esta hoja), «Renovación razonablemente cierta» (esta hoja), «Meses de renovación» (esta hoja)</t>
        </is>
      </c>
      <c r="F22" s="24" t="inlineStr">
        <is>
          <t>—</t>
        </is>
      </c>
    </row>
    <row r="23">
      <c r="A23" s="24" t="inlineStr">
        <is>
          <t>Plazo usado por el cliente</t>
        </is>
      </c>
      <c r="B23" s="25" t="inlineStr">
        <is>
          <t>'=IF('03_Contratos'!G5="","",'03_Contratos'!G5)</t>
        </is>
      </c>
      <c r="C23" s="24" t="inlineStr">
        <is>
          <t>Trae de la hoja 03 (Universo de contratos) el plazo en meses que usó el cliente, para compararlo con el recalculado; en blanco si no se informó.</t>
        </is>
      </c>
      <c r="D23" s="24" t="inlineStr">
        <is>
          <t>Fila 1: IF(36,00=""; ""; 36,00) → 36</t>
        </is>
      </c>
      <c r="E23" s="24" t="inlineStr">
        <is>
          <t>hoja «Universo de contratos»</t>
        </is>
      </c>
      <c r="F23" s="24" t="inlineStr">
        <is>
          <t>—</t>
        </is>
      </c>
    </row>
    <row r="24">
      <c r="A24" s="24" t="inlineStr">
        <is>
          <t>Meses por período</t>
        </is>
      </c>
      <c r="B24" s="25" t="inlineStr">
        <is>
          <t>'=IF('03_Contratos'!I5="Mensual",1,IF('03_Contratos'!I5="Trimestral",3,IF('03_Contratos'!I5="Semestral",6,12)))</t>
        </is>
      </c>
      <c r="C24" s="24" t="inlineStr">
        <is>
          <t>Convierte la periodicidad de pago de la hoja 03 en meses: mensual 1, trimestral 3, semestral 6 y cualquier otra (anual) 12.</t>
        </is>
      </c>
      <c r="D24" s="24" t="inlineStr">
        <is>
          <t>Fila 1: IF(«Mensual»="Mensual"; 1; IF(«Mensual»="Trimestral"; 3; IF(«Mensual»="Semestral"; 6; 12))) → 1</t>
        </is>
      </c>
      <c r="E24" s="24" t="inlineStr">
        <is>
          <t>hoja «Universo de contratos»</t>
        </is>
      </c>
      <c r="F24" s="24" t="inlineStr">
        <is>
          <t>—</t>
        </is>
      </c>
    </row>
    <row r="25">
      <c r="A25" s="24" t="inlineStr">
        <is>
          <t>Períodos</t>
        </is>
      </c>
      <c r="B25" s="25" t="inlineStr">
        <is>
          <t>'=E5/G5</t>
        </is>
      </c>
      <c r="C25" s="24" t="inlineStr">
        <is>
          <t>Divide el plazo del arrendamiento entre los meses por período: es el número de cuotas del contrato.</t>
        </is>
      </c>
      <c r="D25" s="24" t="inlineStr">
        <is>
          <t>Fila 1: 60/1 → 60</t>
        </is>
      </c>
      <c r="E25" s="24" t="inlineStr">
        <is>
          <t>«Plazo del arrendamiento (18)» (esta hoja), «Meses por período» (esta hoja)</t>
        </is>
      </c>
      <c r="F25" s="24" t="inlineStr">
        <is>
          <t>—</t>
        </is>
      </c>
    </row>
    <row r="26">
      <c r="A26" s="24" t="inlineStr">
        <is>
          <t>Meses transcurridos al corte</t>
        </is>
      </c>
      <c r="B26" s="25" t="inlineStr">
        <is>
          <t>'=DATEDIF('03_Contratos'!C5,'02_Parametros'!$B$5+1,"m")</t>
        </is>
      </c>
      <c r="C26" s="24" t="inlineStr">
        <is>
          <t>Cuenta los meses completos desde la fecha de comienzo (hoja 03) hasta el día siguiente a la fecha de corte de la hoja 02 (Parámetros).</t>
        </is>
      </c>
      <c r="D26" s="24" t="inlineStr">
        <is>
          <t>Fila 1: DATEDIF(«2024-01-01»; «2025-12-31»+1; "m") → 24</t>
        </is>
      </c>
      <c r="E26" s="24" t="inlineStr">
        <is>
          <t>hoja «Universo de contratos», hoja «Parámetros»</t>
        </is>
      </c>
      <c r="F26" s="24" t="inlineStr">
        <is>
          <t>—</t>
        </is>
      </c>
    </row>
    <row r="27">
      <c r="A27" s="24" t="inlineStr">
        <is>
          <t>Meses de depreciación (32 / 20.12)</t>
        </is>
      </c>
      <c r="B27" s="25" t="inlineStr">
        <is>
          <t>'=IF('03_Contratos'!V5="Sí",IF('03_Contratos'!W5="",E5,'03_Contratos'!W5),IF('03_Contratos'!W5="",E5,MIN(E5,'03_Contratos'!W5)))</t>
        </is>
      </c>
      <c r="C27" s="24" t="inlineStr">
        <is>
          <t>Si la compra es razonablemente cierta, usa la vida útil del activo (o el plazo si falta); si no, el menor entre el plazo del arrendamiento y la vida útil (o el plazo si no hay vida útil).</t>
        </is>
      </c>
      <c r="D27" s="24" t="inlineStr">
        <is>
          <t>Fila 1: IF((vacío)="Sí"; IF((vacío)=""; 60; (vacío)); IF((vacío)=""; 60; MIN(60; (vacío)))) → 60</t>
        </is>
      </c>
      <c r="E27" s="24" t="inlineStr">
        <is>
          <t>«Plazo del arrendamiento (18)» (esta hoja), hoja «Universo de contratos»</t>
        </is>
      </c>
      <c r="F27" s="24" t="inlineStr">
        <is>
          <t>—</t>
        </is>
      </c>
    </row>
  </sheetData>
  <mergeCells count="3">
    <mergeCell ref="A2:F2"/>
    <mergeCell ref="A1:F1"/>
    <mergeCell ref="A17:F17"/>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Q35"/>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22" customWidth="1" min="4" max="4"/>
    <col width="35" customWidth="1" min="5" max="5"/>
    <col width="34" customWidth="1" min="6" max="6"/>
    <col width="20" customWidth="1" min="7" max="7"/>
    <col width="17" customWidth="1" min="8" max="8"/>
    <col width="23" customWidth="1" min="9" max="9"/>
    <col width="24" customWidth="1" min="10" max="10"/>
    <col width="21" customWidth="1" min="11" max="11"/>
    <col width="20" customWidth="1" min="12" max="12"/>
    <col width="19" customWidth="1" min="13" max="13"/>
    <col width="27" customWidth="1" min="14" max="14"/>
    <col width="18" customWidth="1" min="15" max="15"/>
    <col width="12" customWidth="1" min="16" max="16"/>
    <col width="21" customWidth="1" min="17" max="17"/>
  </cols>
  <sheetData>
    <row r="1">
      <c r="A1" s="3" t="inlineStr">
        <is>
          <t>Medición inicial: pasivo y activo</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c r="G2" s="16" t="n"/>
      <c r="H2" s="16" t="n"/>
      <c r="I2" s="16" t="n"/>
      <c r="J2" s="16" t="n"/>
      <c r="K2" s="16" t="n"/>
      <c r="L2" s="16" t="n"/>
      <c r="M2" s="16" t="n"/>
      <c r="N2" s="16" t="n"/>
      <c r="O2" s="16" t="n"/>
      <c r="P2" s="16" t="n"/>
      <c r="Q2" s="16" t="n"/>
    </row>
    <row r="4" ht="30" customHeight="1">
      <c r="A4" s="17" t="inlineStr">
        <is>
          <t>Contrato</t>
        </is>
      </c>
      <c r="B4" s="17" t="inlineStr">
        <is>
          <t>Tipo de tasa</t>
        </is>
      </c>
      <c r="C4" s="17" t="inlineStr">
        <is>
          <t>Tasa anual (%)</t>
        </is>
      </c>
      <c r="D4" s="17" t="inlineStr">
        <is>
          <t>Tasa periódica</t>
        </is>
      </c>
      <c r="E4" s="17" t="inlineStr">
        <is>
          <t>Pago al inicio (1) / al final (0)</t>
        </is>
      </c>
      <c r="F4" s="17" t="inlineStr">
        <is>
          <t>Opción de compra incluida (27 d)</t>
        </is>
      </c>
      <c r="G4" s="17" t="inlineStr">
        <is>
          <t>VP de los pagos</t>
        </is>
      </c>
      <c r="H4" s="17" t="inlineStr">
        <is>
          <t>Valor razonable</t>
        </is>
      </c>
      <c r="I4" s="17" t="inlineStr">
        <is>
          <t>Base de medición (26)</t>
        </is>
      </c>
      <c r="J4" s="17" t="inlineStr">
        <is>
          <t>Tasa usada en la tabla</t>
        </is>
      </c>
      <c r="K4" s="17" t="inlineStr">
        <is>
          <t>Pago en el comienzo</t>
        </is>
      </c>
      <c r="L4" s="17" t="inlineStr">
        <is>
          <t>Pasivo inicial</t>
        </is>
      </c>
      <c r="M4" s="17" t="inlineStr">
        <is>
          <t>Pagos anticipados</t>
        </is>
      </c>
      <c r="N4" s="17" t="inlineStr">
        <is>
          <t>Costos directos iniciales</t>
        </is>
      </c>
      <c r="O4" s="17" t="inlineStr">
        <is>
          <t>Desmantelamiento</t>
        </is>
      </c>
      <c r="P4" s="17" t="inlineStr">
        <is>
          <t>Incentivos</t>
        </is>
      </c>
      <c r="Q4" s="17" t="inlineStr">
        <is>
          <t>Derecho de uso (24)</t>
        </is>
      </c>
    </row>
    <row r="5">
      <c r="A5" s="18" t="inlineStr">
        <is>
          <t>C-01</t>
        </is>
      </c>
      <c r="B5" s="18">
        <f>IF('03_Contratos'!P5="","",'03_Contratos'!P5)</f>
        <v/>
      </c>
      <c r="C5" s="27">
        <f>'03_Contratos'!O5</f>
        <v/>
      </c>
      <c r="D5" s="35">
        <f>IF('02_Parametros'!$B$6="Nominal anual",C5/100*'05_Plazo'!G5/12,(1+C5/100)^('05_Plazo'!G5/12)-1)</f>
        <v/>
      </c>
      <c r="E5" s="33">
        <f>IF('03_Contratos'!J5="Inicio",1,0)</f>
        <v/>
      </c>
      <c r="F5" s="20">
        <f>IF('03_Contratos'!V5="Sí",N('03_Contratos'!U5),0)</f>
        <v/>
      </c>
      <c r="G5" s="20">
        <f>PV(D5,'05_Plazo'!H5,-'07_Pagos_variables'!G5,-F5,E5)</f>
        <v/>
      </c>
      <c r="H5" s="20">
        <f>IF('03_Contratos'!X5="","",'03_Contratos'!X5)</f>
        <v/>
      </c>
      <c r="I5" s="20">
        <f>G5</f>
        <v/>
      </c>
      <c r="J5" s="35">
        <f>D5</f>
        <v/>
      </c>
      <c r="K5" s="20">
        <f>E5*'07_Pagos_variables'!G5</f>
        <v/>
      </c>
      <c r="L5" s="20">
        <f>I5-K5</f>
        <v/>
      </c>
      <c r="M5" s="20">
        <f>N('03_Contratos'!Q5)</f>
        <v/>
      </c>
      <c r="N5" s="20">
        <f>N('03_Contratos'!R5)</f>
        <v/>
      </c>
      <c r="O5" s="20">
        <f>N('03_Contratos'!S5)</f>
        <v/>
      </c>
      <c r="P5" s="20">
        <f>N('03_Contratos'!T5)</f>
        <v/>
      </c>
      <c r="Q5" s="20">
        <f>L5+K5+M5+N5+O5-P5</f>
        <v/>
      </c>
    </row>
    <row r="6">
      <c r="A6" s="19" t="inlineStr">
        <is>
          <t>C-02</t>
        </is>
      </c>
      <c r="B6" s="19">
        <f>IF('03_Contratos'!P6="","",'03_Contratos'!P6)</f>
        <v/>
      </c>
      <c r="C6" s="28">
        <f>'03_Contratos'!O6</f>
        <v/>
      </c>
      <c r="D6" s="36">
        <f>IF('02_Parametros'!$B$6="Nominal anual",C6/100*'05_Plazo'!G6/12,(1+C6/100)^('05_Plazo'!G6/12)-1)</f>
        <v/>
      </c>
      <c r="E6" s="34">
        <f>IF('03_Contratos'!J6="Inicio",1,0)</f>
        <v/>
      </c>
      <c r="F6" s="21">
        <f>IF('03_Contratos'!V6="Sí",N('03_Contratos'!U6),0)</f>
        <v/>
      </c>
      <c r="G6" s="21">
        <f>PV(D6,'05_Plazo'!H6,-'07_Pagos_variables'!G6,-F6,E6)</f>
        <v/>
      </c>
      <c r="H6" s="21">
        <f>IF('03_Contratos'!X6="","",'03_Contratos'!X6)</f>
        <v/>
      </c>
      <c r="I6" s="21">
        <f>G6</f>
        <v/>
      </c>
      <c r="J6" s="36">
        <f>D6</f>
        <v/>
      </c>
      <c r="K6" s="21">
        <f>E6*'07_Pagos_variables'!G6</f>
        <v/>
      </c>
      <c r="L6" s="21">
        <f>I6-K6</f>
        <v/>
      </c>
      <c r="M6" s="21">
        <f>N('03_Contratos'!Q6)</f>
        <v/>
      </c>
      <c r="N6" s="21">
        <f>N('03_Contratos'!R6)</f>
        <v/>
      </c>
      <c r="O6" s="21">
        <f>N('03_Contratos'!S6)</f>
        <v/>
      </c>
      <c r="P6" s="21">
        <f>N('03_Contratos'!T6)</f>
        <v/>
      </c>
      <c r="Q6" s="21">
        <f>L6+K6+M6+N6+O6-P6</f>
        <v/>
      </c>
    </row>
    <row r="7">
      <c r="A7" s="18" t="inlineStr">
        <is>
          <t>C-03</t>
        </is>
      </c>
      <c r="B7" s="18">
        <f>IF('03_Contratos'!P7="","",'03_Contratos'!P7)</f>
        <v/>
      </c>
      <c r="C7" s="27">
        <f>'03_Contratos'!O7</f>
        <v/>
      </c>
      <c r="D7" s="35">
        <f>IF('02_Parametros'!$B$6="Nominal anual",C7/100*'05_Plazo'!G7/12,(1+C7/100)^('05_Plazo'!G7/12)-1)</f>
        <v/>
      </c>
      <c r="E7" s="33">
        <f>IF('03_Contratos'!J7="Inicio",1,0)</f>
        <v/>
      </c>
      <c r="F7" s="20">
        <f>IF('03_Contratos'!V7="Sí",N('03_Contratos'!U7),0)</f>
        <v/>
      </c>
      <c r="G7" s="20">
        <f>PV(D7,'05_Plazo'!H7,-'07_Pagos_variables'!G7,-F7,E7)</f>
        <v/>
      </c>
      <c r="H7" s="20">
        <f>IF('03_Contratos'!X7="","",'03_Contratos'!X7)</f>
        <v/>
      </c>
      <c r="I7" s="20">
        <f>G7</f>
        <v/>
      </c>
      <c r="J7" s="35">
        <f>D7</f>
        <v/>
      </c>
      <c r="K7" s="20">
        <f>E7*'07_Pagos_variables'!G7</f>
        <v/>
      </c>
      <c r="L7" s="20">
        <f>I7-K7</f>
        <v/>
      </c>
      <c r="M7" s="20">
        <f>N('03_Contratos'!Q7)</f>
        <v/>
      </c>
      <c r="N7" s="20">
        <f>N('03_Contratos'!R7)</f>
        <v/>
      </c>
      <c r="O7" s="20">
        <f>N('03_Contratos'!S7)</f>
        <v/>
      </c>
      <c r="P7" s="20">
        <f>N('03_Contratos'!T7)</f>
        <v/>
      </c>
      <c r="Q7" s="20">
        <f>L7+K7+M7+N7+O7-P7</f>
        <v/>
      </c>
    </row>
    <row r="8">
      <c r="A8" s="19" t="inlineStr">
        <is>
          <t>C-04</t>
        </is>
      </c>
      <c r="B8" s="19">
        <f>IF('03_Contratos'!P8="","",'03_Contratos'!P8)</f>
        <v/>
      </c>
      <c r="C8" s="28">
        <f>'03_Contratos'!O8</f>
        <v/>
      </c>
      <c r="D8" s="36">
        <f>IF('02_Parametros'!$B$6="Nominal anual",C8/100*'05_Plazo'!G8/12,(1+C8/100)^('05_Plazo'!G8/12)-1)</f>
        <v/>
      </c>
      <c r="E8" s="34">
        <f>IF('03_Contratos'!J8="Inicio",1,0)</f>
        <v/>
      </c>
      <c r="F8" s="21">
        <f>IF('03_Contratos'!V8="Sí",N('03_Contratos'!U8),0)</f>
        <v/>
      </c>
      <c r="G8" s="21">
        <f>PV(D8,'05_Plazo'!H8,-'07_Pagos_variables'!G8,-F8,E8)</f>
        <v/>
      </c>
      <c r="H8" s="21">
        <f>IF('03_Contratos'!X8="","",'03_Contratos'!X8)</f>
        <v/>
      </c>
      <c r="I8" s="21">
        <f>G8</f>
        <v/>
      </c>
      <c r="J8" s="36">
        <f>D8</f>
        <v/>
      </c>
      <c r="K8" s="21">
        <f>E8*'07_Pagos_variables'!G8</f>
        <v/>
      </c>
      <c r="L8" s="21">
        <f>I8-K8</f>
        <v/>
      </c>
      <c r="M8" s="21">
        <f>N('03_Contratos'!Q8)</f>
        <v/>
      </c>
      <c r="N8" s="21">
        <f>N('03_Contratos'!R8)</f>
        <v/>
      </c>
      <c r="O8" s="21">
        <f>N('03_Contratos'!S8)</f>
        <v/>
      </c>
      <c r="P8" s="21">
        <f>N('03_Contratos'!T8)</f>
        <v/>
      </c>
      <c r="Q8" s="21">
        <f>L8+K8+M8+N8+O8-P8</f>
        <v/>
      </c>
    </row>
    <row r="9">
      <c r="A9" s="18" t="inlineStr">
        <is>
          <t>C-05</t>
        </is>
      </c>
      <c r="B9" s="18">
        <f>IF('03_Contratos'!P9="","",'03_Contratos'!P9)</f>
        <v/>
      </c>
      <c r="C9" s="27">
        <f>'03_Contratos'!O9</f>
        <v/>
      </c>
      <c r="D9" s="35">
        <f>IF('02_Parametros'!$B$6="Nominal anual",C9/100*'05_Plazo'!G9/12,(1+C9/100)^('05_Plazo'!G9/12)-1)</f>
        <v/>
      </c>
      <c r="E9" s="33">
        <f>IF('03_Contratos'!J9="Inicio",1,0)</f>
        <v/>
      </c>
      <c r="F9" s="20">
        <f>IF('03_Contratos'!V9="Sí",N('03_Contratos'!U9),0)</f>
        <v/>
      </c>
      <c r="G9" s="20">
        <f>PV(D9,'05_Plazo'!H9,-'07_Pagos_variables'!G9,-F9,E9)</f>
        <v/>
      </c>
      <c r="H9" s="20">
        <f>IF('03_Contratos'!X9="","",'03_Contratos'!X9)</f>
        <v/>
      </c>
      <c r="I9" s="20">
        <f>G9</f>
        <v/>
      </c>
      <c r="J9" s="35">
        <f>D9</f>
        <v/>
      </c>
      <c r="K9" s="20">
        <f>E9*'07_Pagos_variables'!G9</f>
        <v/>
      </c>
      <c r="L9" s="20">
        <f>I9-K9</f>
        <v/>
      </c>
      <c r="M9" s="20">
        <f>N('03_Contratos'!Q9)</f>
        <v/>
      </c>
      <c r="N9" s="20">
        <f>N('03_Contratos'!R9)</f>
        <v/>
      </c>
      <c r="O9" s="20">
        <f>N('03_Contratos'!S9)</f>
        <v/>
      </c>
      <c r="P9" s="20">
        <f>N('03_Contratos'!T9)</f>
        <v/>
      </c>
      <c r="Q9" s="20">
        <f>L9+K9+M9+N9+O9-P9</f>
        <v/>
      </c>
    </row>
    <row r="10">
      <c r="A10" s="19" t="inlineStr">
        <is>
          <t>C-06</t>
        </is>
      </c>
      <c r="B10" s="19">
        <f>IF('03_Contratos'!P10="","",'03_Contratos'!P10)</f>
        <v/>
      </c>
      <c r="C10" s="28">
        <f>'03_Contratos'!O10</f>
        <v/>
      </c>
      <c r="D10" s="36">
        <f>IF('02_Parametros'!$B$6="Nominal anual",C10/100*'05_Plazo'!G10/12,(1+C10/100)^('05_Plazo'!G10/12)-1)</f>
        <v/>
      </c>
      <c r="E10" s="34">
        <f>IF('03_Contratos'!J10="Inicio",1,0)</f>
        <v/>
      </c>
      <c r="F10" s="21">
        <f>IF('03_Contratos'!V10="Sí",N('03_Contratos'!U10),0)</f>
        <v/>
      </c>
      <c r="G10" s="21">
        <f>PV(D10,'05_Plazo'!H10,-'07_Pagos_variables'!G10,-F10,E10)</f>
        <v/>
      </c>
      <c r="H10" s="21">
        <f>IF('03_Contratos'!X10="","",'03_Contratos'!X10)</f>
        <v/>
      </c>
      <c r="I10" s="21">
        <f>G10</f>
        <v/>
      </c>
      <c r="J10" s="36">
        <f>D10</f>
        <v/>
      </c>
      <c r="K10" s="21">
        <f>E10*'07_Pagos_variables'!G10</f>
        <v/>
      </c>
      <c r="L10" s="21">
        <f>I10-K10</f>
        <v/>
      </c>
      <c r="M10" s="21">
        <f>N('03_Contratos'!Q10)</f>
        <v/>
      </c>
      <c r="N10" s="21">
        <f>N('03_Contratos'!R10)</f>
        <v/>
      </c>
      <c r="O10" s="21">
        <f>N('03_Contratos'!S10)</f>
        <v/>
      </c>
      <c r="P10" s="21">
        <f>N('03_Contratos'!T10)</f>
        <v/>
      </c>
      <c r="Q10" s="21">
        <f>L10+K10+M10+N10+O10-P10</f>
        <v/>
      </c>
    </row>
    <row r="11">
      <c r="A11" s="18" t="inlineStr">
        <is>
          <t>C-07</t>
        </is>
      </c>
      <c r="B11" s="18">
        <f>IF('03_Contratos'!P11="","",'03_Contratos'!P11)</f>
        <v/>
      </c>
      <c r="C11" s="27">
        <f>'03_Contratos'!O11</f>
        <v/>
      </c>
      <c r="D11" s="35">
        <f>IF('02_Parametros'!$B$6="Nominal anual",C11/100*'05_Plazo'!G11/12,(1+C11/100)^('05_Plazo'!G11/12)-1)</f>
        <v/>
      </c>
      <c r="E11" s="33">
        <f>IF('03_Contratos'!J11="Inicio",1,0)</f>
        <v/>
      </c>
      <c r="F11" s="20">
        <f>IF('03_Contratos'!V11="Sí",N('03_Contratos'!U11),0)</f>
        <v/>
      </c>
      <c r="G11" s="20">
        <f>PV(D11,'05_Plazo'!H11,-'07_Pagos_variables'!G11,-F11,E11)</f>
        <v/>
      </c>
      <c r="H11" s="20">
        <f>IF('03_Contratos'!X11="","",'03_Contratos'!X11)</f>
        <v/>
      </c>
      <c r="I11" s="20">
        <f>G11</f>
        <v/>
      </c>
      <c r="J11" s="35">
        <f>D11</f>
        <v/>
      </c>
      <c r="K11" s="20">
        <f>E11*'07_Pagos_variables'!G11</f>
        <v/>
      </c>
      <c r="L11" s="20">
        <f>I11-K11</f>
        <v/>
      </c>
      <c r="M11" s="20">
        <f>N('03_Contratos'!Q11)</f>
        <v/>
      </c>
      <c r="N11" s="20">
        <f>N('03_Contratos'!R11)</f>
        <v/>
      </c>
      <c r="O11" s="20">
        <f>N('03_Contratos'!S11)</f>
        <v/>
      </c>
      <c r="P11" s="20">
        <f>N('03_Contratos'!T11)</f>
        <v/>
      </c>
      <c r="Q11" s="20">
        <f>L11+K11+M11+N11+O11-P11</f>
        <v/>
      </c>
    </row>
    <row r="12">
      <c r="A12" s="19" t="inlineStr">
        <is>
          <t>C-08</t>
        </is>
      </c>
      <c r="B12" s="19">
        <f>IF('03_Contratos'!P12="","",'03_Contratos'!P12)</f>
        <v/>
      </c>
      <c r="C12" s="28">
        <f>'03_Contratos'!O12</f>
        <v/>
      </c>
      <c r="D12" s="36">
        <f>IF('02_Parametros'!$B$6="Nominal anual",C12/100*'05_Plazo'!G12/12,(1+C12/100)^('05_Plazo'!G12/12)-1)</f>
        <v/>
      </c>
      <c r="E12" s="34">
        <f>IF('03_Contratos'!J12="Inicio",1,0)</f>
        <v/>
      </c>
      <c r="F12" s="21">
        <f>IF('03_Contratos'!V12="Sí",N('03_Contratos'!U12),0)</f>
        <v/>
      </c>
      <c r="G12" s="21">
        <f>PV(D12,'05_Plazo'!H12,-'07_Pagos_variables'!G12,-F12,E12)</f>
        <v/>
      </c>
      <c r="H12" s="21">
        <f>IF('03_Contratos'!X12="","",'03_Contratos'!X12)</f>
        <v/>
      </c>
      <c r="I12" s="21">
        <f>G12</f>
        <v/>
      </c>
      <c r="J12" s="36">
        <f>D12</f>
        <v/>
      </c>
      <c r="K12" s="21">
        <f>E12*'07_Pagos_variables'!G12</f>
        <v/>
      </c>
      <c r="L12" s="21">
        <f>I12-K12</f>
        <v/>
      </c>
      <c r="M12" s="21">
        <f>N('03_Contratos'!Q12)</f>
        <v/>
      </c>
      <c r="N12" s="21">
        <f>N('03_Contratos'!R12)</f>
        <v/>
      </c>
      <c r="O12" s="21">
        <f>N('03_Contratos'!S12)</f>
        <v/>
      </c>
      <c r="P12" s="21">
        <f>N('03_Contratos'!T12)</f>
        <v/>
      </c>
      <c r="Q12" s="21">
        <f>'13_Venta_arr_posterior'!I12</f>
        <v/>
      </c>
    </row>
    <row r="13">
      <c r="A13" s="18" t="inlineStr">
        <is>
          <t>C-09</t>
        </is>
      </c>
      <c r="B13" s="18">
        <f>IF('03_Contratos'!P13="","",'03_Contratos'!P13)</f>
        <v/>
      </c>
      <c r="C13" s="27">
        <f>'03_Contratos'!O13</f>
        <v/>
      </c>
      <c r="D13" s="35">
        <f>IF('02_Parametros'!$B$6="Nominal anual",C13/100*'05_Plazo'!G13/12,(1+C13/100)^('05_Plazo'!G13/12)-1)</f>
        <v/>
      </c>
      <c r="E13" s="33">
        <f>IF('03_Contratos'!J13="Inicio",1,0)</f>
        <v/>
      </c>
      <c r="F13" s="20">
        <f>IF('03_Contratos'!V13="Sí",N('03_Contratos'!U13),0)</f>
        <v/>
      </c>
      <c r="G13" s="20">
        <f>PV(D13,'05_Plazo'!H13,-'07_Pagos_variables'!G13,-F13,E13)</f>
        <v/>
      </c>
      <c r="H13" s="20">
        <f>IF('03_Contratos'!X13="","",'03_Contratos'!X13)</f>
        <v/>
      </c>
      <c r="I13" s="20">
        <f>G13</f>
        <v/>
      </c>
      <c r="J13" s="35">
        <f>D13</f>
        <v/>
      </c>
      <c r="K13" s="20">
        <f>E13*'07_Pagos_variables'!G13</f>
        <v/>
      </c>
      <c r="L13" s="20">
        <f>I13-K13</f>
        <v/>
      </c>
      <c r="M13" s="20">
        <f>N('03_Contratos'!Q13)</f>
        <v/>
      </c>
      <c r="N13" s="20">
        <f>N('03_Contratos'!R13)</f>
        <v/>
      </c>
      <c r="O13" s="20">
        <f>N('03_Contratos'!S13)</f>
        <v/>
      </c>
      <c r="P13" s="20">
        <f>N('03_Contratos'!T13)</f>
        <v/>
      </c>
      <c r="Q13" s="20">
        <f>L13+K13+M13+N13+O13-P13</f>
        <v/>
      </c>
    </row>
    <row r="14">
      <c r="A14" s="19" t="inlineStr">
        <is>
          <t>C-10</t>
        </is>
      </c>
      <c r="B14" s="19">
        <f>IF('03_Contratos'!P14="","",'03_Contratos'!P14)</f>
        <v/>
      </c>
      <c r="C14" s="28">
        <f>'03_Contratos'!O14</f>
        <v/>
      </c>
      <c r="D14" s="36">
        <f>IF('02_Parametros'!$B$6="Nominal anual",C14/100*'05_Plazo'!G14/12,(1+C14/100)^('05_Plazo'!G14/12)-1)</f>
        <v/>
      </c>
      <c r="E14" s="34">
        <f>IF('03_Contratos'!J14="Inicio",1,0)</f>
        <v/>
      </c>
      <c r="F14" s="21">
        <f>IF('03_Contratos'!V14="Sí",N('03_Contratos'!U14),0)</f>
        <v/>
      </c>
      <c r="G14" s="21">
        <f>PV(D14,'05_Plazo'!H14,-'07_Pagos_variables'!G14,-F14,E14)</f>
        <v/>
      </c>
      <c r="H14" s="21">
        <f>IF('03_Contratos'!X14="","",'03_Contratos'!X14)</f>
        <v/>
      </c>
      <c r="I14" s="21">
        <f>G14</f>
        <v/>
      </c>
      <c r="J14" s="36">
        <f>D14</f>
        <v/>
      </c>
      <c r="K14" s="21">
        <f>E14*'07_Pagos_variables'!G14</f>
        <v/>
      </c>
      <c r="L14" s="21">
        <f>I14-K14</f>
        <v/>
      </c>
      <c r="M14" s="21">
        <f>N('03_Contratos'!Q14)</f>
        <v/>
      </c>
      <c r="N14" s="21">
        <f>N('03_Contratos'!R14)</f>
        <v/>
      </c>
      <c r="O14" s="21">
        <f>N('03_Contratos'!S14)</f>
        <v/>
      </c>
      <c r="P14" s="21">
        <f>N('03_Contratos'!T14)</f>
        <v/>
      </c>
      <c r="Q14" s="21">
        <f>L14+K14+M14+N14+O14-P14</f>
        <v/>
      </c>
    </row>
    <row r="15">
      <c r="A15" s="18" t="inlineStr">
        <is>
          <t>C-11</t>
        </is>
      </c>
      <c r="B15" s="18">
        <f>IF('03_Contratos'!P15="","",'03_Contratos'!P15)</f>
        <v/>
      </c>
      <c r="C15" s="27">
        <f>'03_Contratos'!O15</f>
        <v/>
      </c>
      <c r="D15" s="35">
        <f>IF('02_Parametros'!$B$6="Nominal anual",C15/100*'05_Plazo'!G15/12,(1+C15/100)^('05_Plazo'!G15/12)-1)</f>
        <v/>
      </c>
      <c r="E15" s="33">
        <f>IF('03_Contratos'!J15="Inicio",1,0)</f>
        <v/>
      </c>
      <c r="F15" s="20">
        <f>IF('03_Contratos'!V15="Sí",N('03_Contratos'!U15),0)</f>
        <v/>
      </c>
      <c r="G15" s="20">
        <f>PV(D15,'05_Plazo'!H15,-'07_Pagos_variables'!G15,-F15,E15)</f>
        <v/>
      </c>
      <c r="H15" s="20">
        <f>IF('03_Contratos'!X15="","",'03_Contratos'!X15)</f>
        <v/>
      </c>
      <c r="I15" s="20">
        <f>G15</f>
        <v/>
      </c>
      <c r="J15" s="35">
        <f>D15</f>
        <v/>
      </c>
      <c r="K15" s="20">
        <f>E15*'07_Pagos_variables'!G15</f>
        <v/>
      </c>
      <c r="L15" s="20">
        <f>I15-K15</f>
        <v/>
      </c>
      <c r="M15" s="20">
        <f>N('03_Contratos'!Q15)</f>
        <v/>
      </c>
      <c r="N15" s="20">
        <f>N('03_Contratos'!R15)</f>
        <v/>
      </c>
      <c r="O15" s="20">
        <f>N('03_Contratos'!S15)</f>
        <v/>
      </c>
      <c r="P15" s="20">
        <f>N('03_Contratos'!T15)</f>
        <v/>
      </c>
      <c r="Q15" s="20">
        <f>L15+K15+M15+N15+O15-P15</f>
        <v/>
      </c>
    </row>
    <row r="16">
      <c r="A16" s="37" t="inlineStr">
        <is>
          <t>TOTAL</t>
        </is>
      </c>
      <c r="B16" s="37" t="inlineStr"/>
      <c r="C16" s="37" t="n"/>
      <c r="D16" s="38" t="n"/>
      <c r="E16" s="39" t="n"/>
      <c r="F16" s="40" t="n"/>
      <c r="G16" s="40">
        <f>SUM(G5:G15)</f>
        <v/>
      </c>
      <c r="H16" s="40" t="n"/>
      <c r="I16" s="40" t="n"/>
      <c r="J16" s="38" t="n"/>
      <c r="K16" s="40" t="n"/>
      <c r="L16" s="40">
        <f>SUM(L5:L15)</f>
        <v/>
      </c>
      <c r="M16" s="40" t="n"/>
      <c r="N16" s="40" t="n"/>
      <c r="O16" s="40" t="n"/>
      <c r="P16" s="40" t="n"/>
      <c r="Q16" s="40">
        <f>SUM(Q5:Q15)</f>
        <v/>
      </c>
    </row>
    <row r="18">
      <c r="A18" s="22" t="inlineStr">
        <is>
          <t>ⓘ  Cómo se calcula esta hoja</t>
        </is>
      </c>
    </row>
    <row r="19">
      <c r="A19" s="23" t="inlineStr">
        <is>
          <t>Columna</t>
        </is>
      </c>
      <c r="B19" s="23" t="inlineStr">
        <is>
          <t>Fórmula (Excel)</t>
        </is>
      </c>
      <c r="C19" s="23" t="inlineStr">
        <is>
          <t>Cómo se calcula (sencillo)</t>
        </is>
      </c>
      <c r="D19" s="23" t="inlineStr">
        <is>
          <t>Ejemplo con números reales</t>
        </is>
      </c>
      <c r="E19" s="23" t="inlineStr">
        <is>
          <t>De dónde viene</t>
        </is>
      </c>
      <c r="F19" s="23" t="inlineStr">
        <is>
          <t>Norma</t>
        </is>
      </c>
    </row>
    <row r="20">
      <c r="A20" s="24" t="inlineStr">
        <is>
          <t>Tipo de tasa</t>
        </is>
      </c>
      <c r="B20" s="25" t="inlineStr">
        <is>
          <t>'=IF('03_Contratos'!P5="","",'03_Contratos'!P5)</t>
        </is>
      </c>
      <c r="C20" s="24" t="inlineStr">
        <is>
          <t>Trae de la hoja 03 (Universo de contratos) si la tasa del contrato es implícita o incremental; en blanco si no se informó.</t>
        </is>
      </c>
      <c r="D20" s="24" t="inlineStr">
        <is>
          <t>Fila 1: IF(«Incremental»=""; ""; «Incremental») → Incremental</t>
        </is>
      </c>
      <c r="E20" s="24" t="inlineStr">
        <is>
          <t>hoja «Universo de contratos»</t>
        </is>
      </c>
      <c r="F20" s="24" t="inlineStr">
        <is>
          <t>—</t>
        </is>
      </c>
    </row>
    <row r="21">
      <c r="A21" s="24" t="inlineStr">
        <is>
          <t>Tasa anual (%)</t>
        </is>
      </c>
      <c r="B21" s="25" t="inlineStr">
        <is>
          <t>'='03_Contratos'!O5</t>
        </is>
      </c>
      <c r="C21" s="24" t="inlineStr">
        <is>
          <t>Trae la tasa anual del contrato, en porcentaje, de la hoja 03 (Universo de contratos).</t>
        </is>
      </c>
      <c r="D21" s="24" t="inlineStr">
        <is>
          <t>Fila 1: 12,00 → 12,00</t>
        </is>
      </c>
      <c r="E21" s="24" t="inlineStr">
        <is>
          <t>hoja «Universo de contratos»</t>
        </is>
      </c>
      <c r="F21" s="24" t="inlineStr">
        <is>
          <t>—</t>
        </is>
      </c>
    </row>
    <row r="22">
      <c r="A22" s="24" t="inlineStr">
        <is>
          <t>Tasa periódica</t>
        </is>
      </c>
      <c r="B22" s="25" t="inlineStr">
        <is>
          <t>'=IF('02_Parametros'!$B$6="Nominal anual",C5/100*'05_Plazo'!G5/12,(1+C5/100)^('05_Plazo'!G5/12)-1)</t>
        </is>
      </c>
      <c r="C22" s="24" t="inlineStr">
        <is>
          <t>Convierte la tasa anual en la tasa de cada período de pago con la convención de la hoja 02: nominal = tasa × meses ÷ 12; efectiva = (1 + tasa)^(meses ÷ 12) − 1, con los meses por período de la hoja 05.</t>
        </is>
      </c>
      <c r="D22" s="24" t="inlineStr">
        <is>
          <t>Fila 1: IF(«Efectiva anual»="Nominal anual"; 12,00/100*1/12; (1+12,00/100)^(1/12)-1) → 0,95 %</t>
        </is>
      </c>
      <c r="E22" s="24" t="inlineStr">
        <is>
          <t>«Tasa anual (%)» (esta hoja), hoja «Parámetros», hoja «Plazo y opciones»</t>
        </is>
      </c>
      <c r="F22" s="24" t="inlineStr">
        <is>
          <t>—</t>
        </is>
      </c>
    </row>
    <row r="23">
      <c r="A23" s="24" t="inlineStr">
        <is>
          <t>Pago al inicio (1) / al final (0)</t>
        </is>
      </c>
      <c r="B23" s="25" t="inlineStr">
        <is>
          <t>'=IF('03_Contratos'!J5="Inicio",1,0)</t>
        </is>
      </c>
      <c r="C23" s="24" t="inlineStr">
        <is>
          <t>Pone 1 si el contrato se paga al inicio de cada período, según la hoja 03 (Universo de contratos), y 0 si se paga al final.</t>
        </is>
      </c>
      <c r="D23" s="24" t="inlineStr">
        <is>
          <t>Fila 1: IF(«Final»="Inicio"; 1; 0) → 0</t>
        </is>
      </c>
      <c r="E23" s="24" t="inlineStr">
        <is>
          <t>hoja «Universo de contratos»</t>
        </is>
      </c>
      <c r="F23" s="24" t="inlineStr">
        <is>
          <t>—</t>
        </is>
      </c>
    </row>
    <row r="24">
      <c r="A24" s="24" t="inlineStr">
        <is>
          <t>Opción de compra incluida (27 d)</t>
        </is>
      </c>
      <c r="B24" s="25" t="inlineStr">
        <is>
          <t>'=IF('03_Contratos'!V5="Sí",N('03_Contratos'!U5),0)</t>
        </is>
      </c>
      <c r="C24" s="24" t="inlineStr">
        <is>
          <t>Si la compra es razonablemente cierta, incluye el precio de la opción de compra de la hoja 03 (Universo de contratos); si no, pone 0.</t>
        </is>
      </c>
      <c r="D24" s="24" t="inlineStr">
        <is>
          <t>Fila 1: IF((vacío)="Sí"; N((vacío)); 0) → 0,00</t>
        </is>
      </c>
      <c r="E24" s="24" t="inlineStr">
        <is>
          <t>hoja «Universo de contratos»</t>
        </is>
      </c>
      <c r="F24" s="24" t="inlineStr">
        <is>
          <t>—</t>
        </is>
      </c>
    </row>
    <row r="25">
      <c r="A25" s="24" t="inlineStr">
        <is>
          <t>VP de los pagos</t>
        </is>
      </c>
      <c r="B25" s="25" t="inlineStr">
        <is>
          <t>'=PV(D5,'05_Plazo'!H5,-'07_Pagos_variables'!G5,-F5,E5)</t>
        </is>
      </c>
      <c r="C25" s="24" t="inlineStr">
        <is>
          <t>Descuenta con la tasa periódica (función VA de Excel) el pago usado en la medición (hoja 07) durante los períodos de la hoja 05, más la opción de compra incluida, según se pague al inicio o al final.</t>
        </is>
      </c>
      <c r="D25" s="24" t="inlineStr">
        <is>
          <t>Fila 1: PV(0,95 %; 60; -1.500,00; -0,00; 0) → 68.381,69</t>
        </is>
      </c>
      <c r="E25" s="24" t="inlineStr">
        <is>
          <t>«Tasa periódica» (esta hoja), «Opción de compra incluida (27 d)» (esta hoja), «Pago al inicio (1) / al final (0)» (esta hoja), hoja «Plazo y opciones», hoja «Pago base, componente indexado y pagos variables»</t>
        </is>
      </c>
      <c r="F25" s="24" t="inlineStr">
        <is>
          <t>—</t>
        </is>
      </c>
    </row>
    <row r="26">
      <c r="A26" s="24" t="inlineStr">
        <is>
          <t>Valor razonable</t>
        </is>
      </c>
      <c r="B26" s="25" t="inlineStr">
        <is>
          <t>'=IF('03_Contratos'!X5="","",'03_Contratos'!X5)</t>
        </is>
      </c>
      <c r="C26" s="24" t="inlineStr">
        <is>
          <t>Trae el valor razonable del activo de la hoja 03 (Universo de contratos); en blanco si no se informó.</t>
        </is>
      </c>
      <c r="D26" s="24" t="inlineStr">
        <is>
          <t>Fila 1: IF((vacío)=""; ""; (vacío)) → (en blanco)</t>
        </is>
      </c>
      <c r="E26" s="24" t="inlineStr">
        <is>
          <t>hoja «Universo de contratos»</t>
        </is>
      </c>
      <c r="F26" s="24" t="inlineStr">
        <is>
          <t>—</t>
        </is>
      </c>
    </row>
    <row r="27">
      <c r="A27" s="24" t="inlineStr">
        <is>
          <t>Base de medición (26)</t>
        </is>
      </c>
      <c r="B27" s="25" t="inlineStr">
        <is>
          <t>'=G5</t>
        </is>
      </c>
      <c r="C27" s="24" t="inlineStr">
        <is>
          <t>En NIIF completas la base de medición es directamente el VP de los pagos calculado en esta misma hoja.</t>
        </is>
      </c>
      <c r="D27" s="24" t="inlineStr">
        <is>
          <t>Fila 1: 68.381,69 → 68.381,69</t>
        </is>
      </c>
      <c r="E27" s="24" t="inlineStr">
        <is>
          <t>«VP de los pagos» (esta hoja)</t>
        </is>
      </c>
      <c r="F27" s="24" t="inlineStr">
        <is>
          <t>—</t>
        </is>
      </c>
    </row>
    <row r="28">
      <c r="A28" s="24" t="inlineStr">
        <is>
          <t>Tasa usada en la tabla</t>
        </is>
      </c>
      <c r="B28" s="25" t="inlineStr">
        <is>
          <t>'=D5</t>
        </is>
      </c>
      <c r="C28" s="24" t="inlineStr">
        <is>
          <t>Es la misma tasa periódica del contrato; con ella se calcula el interés en la hoja 09 (Tabla de amortización).</t>
        </is>
      </c>
      <c r="D28" s="24" t="inlineStr">
        <is>
          <t>Fila 1: 0,95 % → 0,95 %</t>
        </is>
      </c>
      <c r="E28" s="24" t="inlineStr">
        <is>
          <t>«Tasa periódica» (esta hoja)</t>
        </is>
      </c>
      <c r="F28" s="24" t="inlineStr">
        <is>
          <t>—</t>
        </is>
      </c>
    </row>
    <row r="29">
      <c r="A29" s="24" t="inlineStr">
        <is>
          <t>Pago en el comienzo</t>
        </is>
      </c>
      <c r="B29" s="25" t="inlineStr">
        <is>
          <t>'=E5*'07_Pagos_variables'!G5</t>
        </is>
      </c>
      <c r="C29" s="24" t="inlineStr">
        <is>
          <t>Si el pago es al inicio del período, es el primer pago (el usado en la medición, hoja 07), que se paga el mismo día del comienzo; si es al final, es 0.</t>
        </is>
      </c>
      <c r="D29" s="24" t="inlineStr">
        <is>
          <t>Fila 1: 0*1.500,00 → 0,00</t>
        </is>
      </c>
      <c r="E29" s="24" t="inlineStr">
        <is>
          <t>«Pago al inicio (1) / al final (0)» (esta hoja), hoja «Pago base, componente indexado y pagos variables»</t>
        </is>
      </c>
      <c r="F29" s="24" t="inlineStr">
        <is>
          <t>—</t>
        </is>
      </c>
    </row>
    <row r="30">
      <c r="A30" s="24" t="inlineStr">
        <is>
          <t>Pasivo inicial</t>
        </is>
      </c>
      <c r="B30" s="25" t="inlineStr">
        <is>
          <t>'=I5-K5</t>
        </is>
      </c>
      <c r="C30" s="24" t="inlineStr">
        <is>
          <t>Resta a la base de medición el pago hecho en el comienzo: es el pasivo que queda por pagar al inicio del contrato.</t>
        </is>
      </c>
      <c r="D30" s="24" t="inlineStr">
        <is>
          <t>Fila 1: 68.381,69-0,00 → 68.381,69</t>
        </is>
      </c>
      <c r="E30" s="24" t="inlineStr">
        <is>
          <t>«Base de medición (26)» (esta hoja), «Pago en el comienzo» (esta hoja)</t>
        </is>
      </c>
      <c r="F30" s="24" t="inlineStr">
        <is>
          <t>—</t>
        </is>
      </c>
    </row>
    <row r="31">
      <c r="A31" s="24" t="inlineStr">
        <is>
          <t>Pagos anticipados</t>
        </is>
      </c>
      <c r="B31" s="25" t="inlineStr">
        <is>
          <t>'=N('03_Contratos'!Q5)</t>
        </is>
      </c>
      <c r="C31" s="24" t="inlineStr">
        <is>
          <t>Trae los pagos hechos antes del comienzo, de la hoja 03 (Universo de contratos); sin dato cuenta cero.</t>
        </is>
      </c>
      <c r="D31" s="24" t="inlineStr">
        <is>
          <t>Fila 1: N((vacío)) → 0,00</t>
        </is>
      </c>
      <c r="E31" s="24" t="inlineStr">
        <is>
          <t>hoja «Universo de contratos»</t>
        </is>
      </c>
      <c r="F31" s="24" t="inlineStr">
        <is>
          <t>—</t>
        </is>
      </c>
    </row>
    <row r="32">
      <c r="A32" s="24" t="inlineStr">
        <is>
          <t>Costos directos iniciales</t>
        </is>
      </c>
      <c r="B32" s="25" t="inlineStr">
        <is>
          <t>'=N('03_Contratos'!R5)</t>
        </is>
      </c>
      <c r="C32" s="24" t="inlineStr">
        <is>
          <t>Trae los costos directos iniciales del arrendatario, de la hoja 03 (Universo de contratos); sin dato cuenta cero.</t>
        </is>
      </c>
      <c r="D32" s="24" t="inlineStr">
        <is>
          <t>Fila 1: N((vacío)) → 0,00</t>
        </is>
      </c>
      <c r="E32" s="24" t="inlineStr">
        <is>
          <t>hoja «Universo de contratos»</t>
        </is>
      </c>
      <c r="F32" s="24" t="inlineStr">
        <is>
          <t>—</t>
        </is>
      </c>
    </row>
    <row r="33">
      <c r="A33" s="24" t="inlineStr">
        <is>
          <t>Desmantelamiento</t>
        </is>
      </c>
      <c r="B33" s="25" t="inlineStr">
        <is>
          <t>'=N('03_Contratos'!S5)</t>
        </is>
      </c>
      <c r="C33" s="24" t="inlineStr">
        <is>
          <t>Trae el costo estimado de desmantelar o restaurar el activo, de la hoja 03 (Universo de contratos); sin dato cuenta cero.</t>
        </is>
      </c>
      <c r="D33" s="24" t="inlineStr">
        <is>
          <t>Fila 1: N((vacío)) → 0,00</t>
        </is>
      </c>
      <c r="E33" s="24" t="inlineStr">
        <is>
          <t>hoja «Universo de contratos»</t>
        </is>
      </c>
      <c r="F33" s="24" t="inlineStr">
        <is>
          <t>—</t>
        </is>
      </c>
    </row>
    <row r="34">
      <c r="A34" s="24" t="inlineStr">
        <is>
          <t>Incentivos</t>
        </is>
      </c>
      <c r="B34" s="25" t="inlineStr">
        <is>
          <t>'=N('03_Contratos'!T5)</t>
        </is>
      </c>
      <c r="C34" s="24" t="inlineStr">
        <is>
          <t>Trae los incentivos recibidos del arrendador, de la hoja 03 (Universo de contratos); sin dato cuenta cero.</t>
        </is>
      </c>
      <c r="D34" s="24" t="inlineStr">
        <is>
          <t>Fila 1: N((vacío)) → 0,00</t>
        </is>
      </c>
      <c r="E34" s="24" t="inlineStr">
        <is>
          <t>hoja «Universo de contratos»</t>
        </is>
      </c>
      <c r="F34" s="24" t="inlineStr">
        <is>
          <t>—</t>
        </is>
      </c>
    </row>
    <row r="35">
      <c r="A35" s="24" t="inlineStr">
        <is>
          <t>Derecho de uso (24)</t>
        </is>
      </c>
      <c r="B35" s="25" t="inlineStr">
        <is>
          <t>'=L5+K5+M5+N5+O5-P5</t>
        </is>
      </c>
      <c r="C35" s="24" t="inlineStr">
        <is>
          <t>Pasivo inicial + pago en el comienzo + pagos anticipados + costos directos + desmantelamiento − incentivos. En una venta con arrendamiento posterior que se reconoce, trae en su lugar el derecho de uso conservado de la hoja 13.</t>
        </is>
      </c>
      <c r="D35" s="24" t="inlineStr">
        <is>
          <t>Fila 1: 68.381,69+0,00+0,00+0,00+0,00-0,00 → 68.381,69</t>
        </is>
      </c>
      <c r="E35" s="24" t="inlineStr">
        <is>
          <t>«Pasivo inicial» (esta hoja), «Pago en el comienzo» (esta hoja), «Pagos anticipados» (esta hoja), «Costos directos iniciales» (esta hoja), «Desmantelamiento» (esta hoja), «Incentivos» (esta hoja)</t>
        </is>
      </c>
      <c r="F35" s="24" t="inlineStr">
        <is>
          <t>—</t>
        </is>
      </c>
    </row>
  </sheetData>
  <mergeCells count="3">
    <mergeCell ref="A2:F2"/>
    <mergeCell ref="A1:F1"/>
    <mergeCell ref="A18:F18"/>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L28"/>
  <sheetViews>
    <sheetView showGridLines="0" workbookViewId="0">
      <pane ySplit="4" topLeftCell="A5" activePane="bottomLeft" state="frozen"/>
      <selection pane="bottomLeft" activeCell="A1" sqref="A1"/>
    </sheetView>
  </sheetViews>
  <sheetFormatPr baseColWidth="8" defaultRowHeight="15"/>
  <cols>
    <col width="12" customWidth="1" min="1" max="1"/>
    <col width="35" customWidth="1" min="2" max="2"/>
    <col width="33" customWidth="1" min="3" max="3"/>
    <col width="32" customWidth="1" min="4" max="4"/>
    <col width="29" customWidth="1" min="5" max="5"/>
    <col width="12" customWidth="1" min="6" max="6"/>
    <col width="38" customWidth="1" min="7" max="7"/>
    <col width="60" customWidth="1" min="8" max="8"/>
    <col width="60" customWidth="1" min="9" max="9"/>
    <col width="44" customWidth="1" min="10" max="10"/>
    <col width="24" customWidth="1" min="11" max="11"/>
    <col width="41" customWidth="1" min="12" max="12"/>
  </cols>
  <sheetData>
    <row r="1">
      <c r="A1" s="3" t="inlineStr">
        <is>
          <t>Pago base, componente indexado y pagos variables</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c r="G2" s="16" t="n"/>
      <c r="H2" s="16" t="n"/>
      <c r="I2" s="16" t="n"/>
      <c r="J2" s="16" t="n"/>
      <c r="K2" s="16" t="n"/>
      <c r="L2" s="16" t="n"/>
    </row>
    <row r="4" ht="30" customHeight="1">
      <c r="A4" s="17" t="inlineStr">
        <is>
          <t>Contrato</t>
        </is>
      </c>
      <c r="B4" s="17" t="inlineStr">
        <is>
          <t>Pago periódico total del contrato</t>
        </is>
      </c>
      <c r="C4" s="17" t="inlineStr">
        <is>
          <t>Ligado a un índice de inflación</t>
        </is>
      </c>
      <c r="D4" s="17" t="inlineStr">
        <is>
          <t>Índice o referencia</t>
        </is>
      </c>
      <c r="E4" s="17" t="inlineStr">
        <is>
          <t>Componente ligado al índice</t>
        </is>
      </c>
      <c r="F4" s="17" t="inlineStr">
        <is>
          <t>Pago base</t>
        </is>
      </c>
      <c r="G4" s="17" t="inlineStr">
        <is>
          <t>Pago usado en la medición del pasivo</t>
        </is>
      </c>
      <c r="H4" s="17" t="inlineStr">
        <is>
          <t>Tratamiento del componente indexado</t>
        </is>
      </c>
      <c r="I4" s="17" t="inlineStr">
        <is>
          <t>Marco que lo manda</t>
        </is>
      </c>
      <c r="J4" s="17" t="inlineStr">
        <is>
          <t>Pago variable no ligado a un índice (38 b)</t>
        </is>
      </c>
      <c r="K4" s="17" t="inlineStr">
        <is>
          <t>Períodos del ejercicio</t>
        </is>
      </c>
      <c r="L4" s="17" t="inlineStr">
        <is>
          <t>Gasto del ejercicio por pagos variables</t>
        </is>
      </c>
    </row>
    <row r="5">
      <c r="A5" s="18" t="inlineStr">
        <is>
          <t>C-01</t>
        </is>
      </c>
      <c r="B5" s="20">
        <f>'03_Contratos'!H5</f>
        <v/>
      </c>
      <c r="C5" s="18">
        <f>IF(OR('03_Contratos'!K5="Sí",'03_Contratos'!L5&lt;&gt;""),"Sí","No")</f>
        <v/>
      </c>
      <c r="D5" s="18">
        <f>IF('03_Contratos'!M5="","",'03_Contratos'!M5)</f>
        <v/>
      </c>
      <c r="E5" s="20">
        <f>IF(C5="No",0,IF('03_Contratos'!L5="","",'03_Contratos'!L5))</f>
        <v/>
      </c>
      <c r="F5" s="20">
        <f>IF(E5="","",B5-E5)</f>
        <v/>
      </c>
      <c r="G5" s="20">
        <f>B5</f>
        <v/>
      </c>
      <c r="H5" s="18" t="inlineStr">
        <is>
          <t>Sin componente ligado a un índice</t>
        </is>
      </c>
      <c r="I5" s="18" t="inlineStr"/>
      <c r="J5" s="20">
        <f>IF('03_Contratos'!N5="","",'03_Contratos'!N5)</f>
        <v/>
      </c>
      <c r="K5" s="27">
        <f>'10_Pasivo_corte'!E5-'10_Pasivo_corte'!F5</f>
        <v/>
      </c>
      <c r="L5" s="20">
        <f>N(J5)*K5</f>
        <v/>
      </c>
    </row>
    <row r="6">
      <c r="A6" s="19" t="inlineStr">
        <is>
          <t>C-02</t>
        </is>
      </c>
      <c r="B6" s="21">
        <f>'03_Contratos'!H6</f>
        <v/>
      </c>
      <c r="C6" s="19">
        <f>IF(OR('03_Contratos'!K6="Sí",'03_Contratos'!L6&lt;&gt;""),"Sí","No")</f>
        <v/>
      </c>
      <c r="D6" s="19">
        <f>IF('03_Contratos'!M6="","",'03_Contratos'!M6)</f>
        <v/>
      </c>
      <c r="E6" s="21">
        <f>IF(C6="No",0,IF('03_Contratos'!L6="","",'03_Contratos'!L6))</f>
        <v/>
      </c>
      <c r="F6" s="21">
        <f>IF(E6="","",B6-E6)</f>
        <v/>
      </c>
      <c r="G6" s="21">
        <f>B6</f>
        <v/>
      </c>
      <c r="H6" s="19" t="inlineStr">
        <is>
          <t>Sin componente ligado a un índice</t>
        </is>
      </c>
      <c r="I6" s="19" t="inlineStr"/>
      <c r="J6" s="21">
        <f>IF('03_Contratos'!N6="","",'03_Contratos'!N6)</f>
        <v/>
      </c>
      <c r="K6" s="28">
        <f>'10_Pasivo_corte'!E6-'10_Pasivo_corte'!F6</f>
        <v/>
      </c>
      <c r="L6" s="21">
        <f>N(J6)*K6</f>
        <v/>
      </c>
    </row>
    <row r="7">
      <c r="A7" s="18" t="inlineStr">
        <is>
          <t>C-03</t>
        </is>
      </c>
      <c r="B7" s="20">
        <f>'03_Contratos'!H7</f>
        <v/>
      </c>
      <c r="C7" s="18">
        <f>IF(OR('03_Contratos'!K7="Sí",'03_Contratos'!L7&lt;&gt;""),"Sí","No")</f>
        <v/>
      </c>
      <c r="D7" s="18">
        <f>IF('03_Contratos'!M7="","",'03_Contratos'!M7)</f>
        <v/>
      </c>
      <c r="E7" s="20">
        <f>IF(C7="No",0,IF('03_Contratos'!L7="","",'03_Contratos'!L7))</f>
        <v/>
      </c>
      <c r="F7" s="20">
        <f>IF(E7="","",B7-E7)</f>
        <v/>
      </c>
      <c r="G7" s="20">
        <f>B7</f>
        <v/>
      </c>
      <c r="H7" s="18" t="inlineStr">
        <is>
          <t>Sin componente ligado a un índice</t>
        </is>
      </c>
      <c r="I7" s="18" t="inlineStr"/>
      <c r="J7" s="20">
        <f>IF('03_Contratos'!N7="","",'03_Contratos'!N7)</f>
        <v/>
      </c>
      <c r="K7" s="27">
        <f>'10_Pasivo_corte'!E7-'10_Pasivo_corte'!F7</f>
        <v/>
      </c>
      <c r="L7" s="20">
        <f>N(J7)*K7</f>
        <v/>
      </c>
    </row>
    <row r="8">
      <c r="A8" s="19" t="inlineStr">
        <is>
          <t>C-04</t>
        </is>
      </c>
      <c r="B8" s="21">
        <f>'03_Contratos'!H8</f>
        <v/>
      </c>
      <c r="C8" s="19">
        <f>IF(OR('03_Contratos'!K8="Sí",'03_Contratos'!L8&lt;&gt;""),"Sí","No")</f>
        <v/>
      </c>
      <c r="D8" s="19">
        <f>IF('03_Contratos'!M8="","",'03_Contratos'!M8)</f>
        <v/>
      </c>
      <c r="E8" s="21">
        <f>IF(C8="No",0,IF('03_Contratos'!L8="","",'03_Contratos'!L8))</f>
        <v/>
      </c>
      <c r="F8" s="21">
        <f>IF(E8="","",B8-E8)</f>
        <v/>
      </c>
      <c r="G8" s="21">
        <f>B8</f>
        <v/>
      </c>
      <c r="H8" s="19" t="inlineStr">
        <is>
          <t>Sin componente ligado a un índice</t>
        </is>
      </c>
      <c r="I8" s="19" t="inlineStr"/>
      <c r="J8" s="21">
        <f>IF('03_Contratos'!N8="","",'03_Contratos'!N8)</f>
        <v/>
      </c>
      <c r="K8" s="28">
        <f>'12_Gasto_lineal'!E8/'05_Plazo'!G8</f>
        <v/>
      </c>
      <c r="L8" s="21">
        <f>N(J8)*K8</f>
        <v/>
      </c>
    </row>
    <row r="9">
      <c r="A9" s="18" t="inlineStr">
        <is>
          <t>C-05</t>
        </is>
      </c>
      <c r="B9" s="20">
        <f>'03_Contratos'!H9</f>
        <v/>
      </c>
      <c r="C9" s="18">
        <f>IF(OR('03_Contratos'!K9="Sí",'03_Contratos'!L9&lt;&gt;""),"Sí","No")</f>
        <v/>
      </c>
      <c r="D9" s="18">
        <f>IF('03_Contratos'!M9="","",'03_Contratos'!M9)</f>
        <v/>
      </c>
      <c r="E9" s="20">
        <f>IF(C9="No",0,IF('03_Contratos'!L9="","",'03_Contratos'!L9))</f>
        <v/>
      </c>
      <c r="F9" s="20">
        <f>IF(E9="","",B9-E9)</f>
        <v/>
      </c>
      <c r="G9" s="20">
        <f>B9</f>
        <v/>
      </c>
      <c r="H9" s="18" t="inlineStr">
        <is>
          <t>Sin componente ligado a un índice</t>
        </is>
      </c>
      <c r="I9" s="18" t="inlineStr"/>
      <c r="J9" s="20">
        <f>IF('03_Contratos'!N9="","",'03_Contratos'!N9)</f>
        <v/>
      </c>
      <c r="K9" s="27">
        <f>'12_Gasto_lineal'!E9/'05_Plazo'!G9</f>
        <v/>
      </c>
      <c r="L9" s="20">
        <f>N(J9)*K9</f>
        <v/>
      </c>
    </row>
    <row r="10">
      <c r="A10" s="19" t="inlineStr">
        <is>
          <t>C-06</t>
        </is>
      </c>
      <c r="B10" s="21">
        <f>'03_Contratos'!H10</f>
        <v/>
      </c>
      <c r="C10" s="19">
        <f>IF(OR('03_Contratos'!K10="Sí",'03_Contratos'!L10&lt;&gt;""),"Sí","No")</f>
        <v/>
      </c>
      <c r="D10" s="19">
        <f>IF('03_Contratos'!M10="","",'03_Contratos'!M10)</f>
        <v/>
      </c>
      <c r="E10" s="21">
        <f>IF(C10="No",0,IF('03_Contratos'!L10="","",'03_Contratos'!L10))</f>
        <v/>
      </c>
      <c r="F10" s="21">
        <f>IF(E10="","",B10-E10)</f>
        <v/>
      </c>
      <c r="G10" s="21">
        <f>B10</f>
        <v/>
      </c>
      <c r="H10" s="19" t="inlineStr">
        <is>
          <t>Sin componente ligado a un índice</t>
        </is>
      </c>
      <c r="I10" s="19" t="inlineStr"/>
      <c r="J10" s="21">
        <f>IF('03_Contratos'!N10="","",'03_Contratos'!N10)</f>
        <v/>
      </c>
      <c r="K10" s="28">
        <f>'10_Pasivo_corte'!E10-'10_Pasivo_corte'!F10</f>
        <v/>
      </c>
      <c r="L10" s="21">
        <f>N(J10)*K10</f>
        <v/>
      </c>
    </row>
    <row r="11">
      <c r="A11" s="18" t="inlineStr">
        <is>
          <t>C-07</t>
        </is>
      </c>
      <c r="B11" s="20">
        <f>'03_Contratos'!H11</f>
        <v/>
      </c>
      <c r="C11" s="18">
        <f>IF(OR('03_Contratos'!K11="Sí",'03_Contratos'!L11&lt;&gt;""),"Sí","No")</f>
        <v/>
      </c>
      <c r="D11" s="18">
        <f>IF('03_Contratos'!M11="","",'03_Contratos'!M11)</f>
        <v/>
      </c>
      <c r="E11" s="20">
        <f>IF(C11="No",0,IF('03_Contratos'!L11="","",'03_Contratos'!L11))</f>
        <v/>
      </c>
      <c r="F11" s="20">
        <f>IF(E11="","",B11-E11)</f>
        <v/>
      </c>
      <c r="G11" s="20">
        <f>B11</f>
        <v/>
      </c>
      <c r="H11" s="18" t="inlineStr">
        <is>
          <t>Sin componente ligado a un índice</t>
        </is>
      </c>
      <c r="I11" s="18" t="inlineStr"/>
      <c r="J11" s="20">
        <f>IF('03_Contratos'!N11="","",'03_Contratos'!N11)</f>
        <v/>
      </c>
      <c r="K11" s="27">
        <f>'10_Pasivo_corte'!E11-'10_Pasivo_corte'!F11</f>
        <v/>
      </c>
      <c r="L11" s="20">
        <f>N(J11)*K11</f>
        <v/>
      </c>
    </row>
    <row r="12">
      <c r="A12" s="19" t="inlineStr">
        <is>
          <t>C-08</t>
        </is>
      </c>
      <c r="B12" s="21">
        <f>'03_Contratos'!H12</f>
        <v/>
      </c>
      <c r="C12" s="19">
        <f>IF(OR('03_Contratos'!K12="Sí",'03_Contratos'!L12&lt;&gt;""),"Sí","No")</f>
        <v/>
      </c>
      <c r="D12" s="19">
        <f>IF('03_Contratos'!M12="","",'03_Contratos'!M12)</f>
        <v/>
      </c>
      <c r="E12" s="21">
        <f>IF(C12="No",0,IF('03_Contratos'!L12="","",'03_Contratos'!L12))</f>
        <v/>
      </c>
      <c r="F12" s="21">
        <f>IF(E12="","",B12-E12)</f>
        <v/>
      </c>
      <c r="G12" s="21">
        <f>B12</f>
        <v/>
      </c>
      <c r="H12" s="19" t="inlineStr">
        <is>
          <t>Sin componente ligado a un índice</t>
        </is>
      </c>
      <c r="I12" s="19" t="inlineStr"/>
      <c r="J12" s="21">
        <f>IF('03_Contratos'!N12="","",'03_Contratos'!N12)</f>
        <v/>
      </c>
      <c r="K12" s="28">
        <f>'10_Pasivo_corte'!E12-'10_Pasivo_corte'!F12</f>
        <v/>
      </c>
      <c r="L12" s="21">
        <f>N(J12)*K12</f>
        <v/>
      </c>
    </row>
    <row r="13">
      <c r="A13" s="18" t="inlineStr">
        <is>
          <t>C-09</t>
        </is>
      </c>
      <c r="B13" s="20">
        <f>'03_Contratos'!H13</f>
        <v/>
      </c>
      <c r="C13" s="18">
        <f>IF(OR('03_Contratos'!K13="Sí",'03_Contratos'!L13&lt;&gt;""),"Sí","No")</f>
        <v/>
      </c>
      <c r="D13" s="18">
        <f>IF('03_Contratos'!M13="","",'03_Contratos'!M13)</f>
        <v/>
      </c>
      <c r="E13" s="20">
        <f>IF(C13="No",0,IF('03_Contratos'!L13="","",'03_Contratos'!L13))</f>
        <v/>
      </c>
      <c r="F13" s="20">
        <f>IF(E13="","",B13-E13)</f>
        <v/>
      </c>
      <c r="G13" s="20">
        <f>B13</f>
        <v/>
      </c>
      <c r="H13" s="18" t="inlineStr">
        <is>
          <t>Sin componente ligado a un índice</t>
        </is>
      </c>
      <c r="I13" s="18" t="inlineStr"/>
      <c r="J13" s="20">
        <f>IF('03_Contratos'!N13="","",'03_Contratos'!N13)</f>
        <v/>
      </c>
      <c r="K13" s="27">
        <f>'10_Pasivo_corte'!E13-'10_Pasivo_corte'!F13</f>
        <v/>
      </c>
      <c r="L13" s="20">
        <f>N(J13)*K13</f>
        <v/>
      </c>
    </row>
    <row r="14">
      <c r="A14" s="19" t="inlineStr">
        <is>
          <t>C-10</t>
        </is>
      </c>
      <c r="B14" s="21">
        <f>'03_Contratos'!H14</f>
        <v/>
      </c>
      <c r="C14" s="19">
        <f>IF(OR('03_Contratos'!K14="Sí",'03_Contratos'!L14&lt;&gt;""),"Sí","No")</f>
        <v/>
      </c>
      <c r="D14" s="19">
        <f>IF('03_Contratos'!M14="","",'03_Contratos'!M14)</f>
        <v/>
      </c>
      <c r="E14" s="21">
        <f>IF(C14="No",0,IF('03_Contratos'!L14="","",'03_Contratos'!L14))</f>
        <v/>
      </c>
      <c r="F14" s="21">
        <f>IF(E14="","",B14-E14)</f>
        <v/>
      </c>
      <c r="G14" s="21">
        <f>B14</f>
        <v/>
      </c>
      <c r="H14" s="19" t="inlineStr">
        <is>
          <t>Incluido en la medición del pasivo con el índice de la fecha de comienzo</t>
        </is>
      </c>
      <c r="I14" s="19" t="inlineStr">
        <is>
          <t>NIIF completas · NIIF 16 párr. 27 b y 28; se remide solo cuando cambian los flujos (42 b), con la tasa de descuento sin cambios (43)</t>
        </is>
      </c>
      <c r="J14" s="21">
        <f>IF('03_Contratos'!N14="","",'03_Contratos'!N14)</f>
        <v/>
      </c>
      <c r="K14" s="28">
        <f>'10_Pasivo_corte'!E14-'10_Pasivo_corte'!F14</f>
        <v/>
      </c>
      <c r="L14" s="21">
        <f>N(J14)*K14</f>
        <v/>
      </c>
    </row>
    <row r="15">
      <c r="A15" s="18" t="inlineStr">
        <is>
          <t>C-11</t>
        </is>
      </c>
      <c r="B15" s="20">
        <f>'03_Contratos'!H15</f>
        <v/>
      </c>
      <c r="C15" s="18">
        <f>IF(OR('03_Contratos'!K15="Sí",'03_Contratos'!L15&lt;&gt;""),"Sí","No")</f>
        <v/>
      </c>
      <c r="D15" s="18">
        <f>IF('03_Contratos'!M15="","",'03_Contratos'!M15)</f>
        <v/>
      </c>
      <c r="E15" s="20">
        <f>IF(C15="No",0,IF('03_Contratos'!L15="","",'03_Contratos'!L15))</f>
        <v/>
      </c>
      <c r="F15" s="20">
        <f>IF(E15="","",B15-E15)</f>
        <v/>
      </c>
      <c r="G15" s="20">
        <f>B15</f>
        <v/>
      </c>
      <c r="H15" s="18" t="inlineStr">
        <is>
          <t>No medible: falta el importe del componente</t>
        </is>
      </c>
      <c r="I15" s="18" t="inlineStr">
        <is>
          <t>El pago base y el componente quedan vacíos hasta que el cliente informe el importe</t>
        </is>
      </c>
      <c r="J15" s="20">
        <f>IF('03_Contratos'!N15="","",'03_Contratos'!N15)</f>
        <v/>
      </c>
      <c r="K15" s="27">
        <f>'10_Pasivo_corte'!E15-'10_Pasivo_corte'!F15</f>
        <v/>
      </c>
      <c r="L15" s="20">
        <f>N(J15)*K15</f>
        <v/>
      </c>
    </row>
    <row r="16">
      <c r="A16" s="37" t="inlineStr">
        <is>
          <t>TOTAL</t>
        </is>
      </c>
      <c r="B16" s="40">
        <f>SUM(B5:B15)</f>
        <v/>
      </c>
      <c r="C16" s="37" t="inlineStr"/>
      <c r="D16" s="37" t="inlineStr"/>
      <c r="E16" s="40">
        <f>SUM(E5:E15)</f>
        <v/>
      </c>
      <c r="F16" s="40">
        <f>SUM(F5:F15)</f>
        <v/>
      </c>
      <c r="G16" s="40">
        <f>SUM(G5:G15)</f>
        <v/>
      </c>
      <c r="H16" s="37" t="inlineStr"/>
      <c r="I16" s="37" t="inlineStr"/>
      <c r="J16" s="40">
        <f>SUM(J5:J15)</f>
        <v/>
      </c>
      <c r="K16" s="37" t="n"/>
      <c r="L16" s="40">
        <f>SUM(L5:L15)</f>
        <v/>
      </c>
    </row>
    <row r="18">
      <c r="A18" s="22" t="inlineStr">
        <is>
          <t>ⓘ  Cómo se calcula esta hoja</t>
        </is>
      </c>
    </row>
    <row r="19">
      <c r="A19" s="23" t="inlineStr">
        <is>
          <t>Columna</t>
        </is>
      </c>
      <c r="B19" s="23" t="inlineStr">
        <is>
          <t>Fórmula (Excel)</t>
        </is>
      </c>
      <c r="C19" s="23" t="inlineStr">
        <is>
          <t>Cómo se calcula (sencillo)</t>
        </is>
      </c>
      <c r="D19" s="23" t="inlineStr">
        <is>
          <t>Ejemplo con números reales</t>
        </is>
      </c>
      <c r="E19" s="23" t="inlineStr">
        <is>
          <t>De dónde viene</t>
        </is>
      </c>
      <c r="F19" s="23" t="inlineStr">
        <is>
          <t>Norma</t>
        </is>
      </c>
    </row>
    <row r="20">
      <c r="A20" s="24" t="inlineStr">
        <is>
          <t>Pago periódico total del contrato</t>
        </is>
      </c>
      <c r="B20" s="25" t="inlineStr">
        <is>
          <t>'='03_Contratos'!H5</t>
        </is>
      </c>
      <c r="C20" s="24" t="inlineStr">
        <is>
          <t>Trae de la hoja 03 (Universo de contratos) el pago periódico total, que incluye el componente ligado al índice.</t>
        </is>
      </c>
      <c r="D20" s="24" t="inlineStr">
        <is>
          <t>Fila 1: 1.500,00 → 1.500,00</t>
        </is>
      </c>
      <c r="E20" s="24" t="inlineStr">
        <is>
          <t>hoja «Universo de contratos»</t>
        </is>
      </c>
      <c r="F20" s="24" t="inlineStr">
        <is>
          <t>—</t>
        </is>
      </c>
    </row>
    <row r="21">
      <c r="A21" s="24" t="inlineStr">
        <is>
          <t>Ligado a un índice de inflación</t>
        </is>
      </c>
      <c r="B21" s="25" t="inlineStr">
        <is>
          <t>'=IF(OR('03_Contratos'!K5="Sí",'03_Contratos'!L5&lt;&gt;""),"Sí","No")</t>
        </is>
      </c>
      <c r="C21" s="24" t="inlineStr">
        <is>
          <t>Marca «Sí» si el cliente declaró en la hoja 03 que el pago se ajusta por un índice de inflación o informó el importe del componente indexado; si no, «No».</t>
        </is>
      </c>
      <c r="D21" s="24" t="inlineStr">
        <is>
          <t>Fila 1: IF(OR((vacío)="Sí"; (vacío)&lt;&gt;""); "Sí"; "No") → No</t>
        </is>
      </c>
      <c r="E21" s="24" t="inlineStr">
        <is>
          <t>hoja «Universo de contratos»</t>
        </is>
      </c>
      <c r="F21" s="24" t="inlineStr">
        <is>
          <t>—</t>
        </is>
      </c>
    </row>
    <row r="22">
      <c r="A22" s="24" t="inlineStr">
        <is>
          <t>Índice o referencia</t>
        </is>
      </c>
      <c r="B22" s="25" t="inlineStr">
        <is>
          <t>'=IF('03_Contratos'!M5="","",'03_Contratos'!M5)</t>
        </is>
      </c>
      <c r="C22" s="24" t="inlineStr">
        <is>
          <t>Trae el nombre del índice o referencia del reajuste, de la hoja 03 (Universo de contratos); en blanco si no se informó.</t>
        </is>
      </c>
      <c r="D22" s="24" t="inlineStr">
        <is>
          <t>Fila 1: IF((vacío)=""; ""; (vacío)) → (en blanco)</t>
        </is>
      </c>
      <c r="E22" s="24" t="inlineStr">
        <is>
          <t>hoja «Universo de contratos»</t>
        </is>
      </c>
      <c r="F22" s="24" t="inlineStr">
        <is>
          <t>—</t>
        </is>
      </c>
    </row>
    <row r="23">
      <c r="A23" s="24" t="inlineStr">
        <is>
          <t>Componente ligado al índice</t>
        </is>
      </c>
      <c r="B23" s="25" t="inlineStr">
        <is>
          <t>'=IF(C5="No",0,IF('03_Contratos'!L5="","",'03_Contratos'!L5))</t>
        </is>
      </c>
      <c r="C23" s="24" t="inlineStr">
        <is>
          <t>Si el pago no está ligado a un índice es 0; si lo está, trae de la hoja 03 el importe por período del componente indexado, y queda en blanco si el cliente no lo informó.</t>
        </is>
      </c>
      <c r="D23" s="24" t="inlineStr">
        <is>
          <t>Fila 1: IF(«No»="No"; 0; IF((vacío)=""; ""; (vacío))) → 0,00</t>
        </is>
      </c>
      <c r="E23" s="24" t="inlineStr">
        <is>
          <t>«Ligado a un índice de inflación» (esta hoja), hoja «Universo de contratos»</t>
        </is>
      </c>
      <c r="F23" s="24" t="inlineStr">
        <is>
          <t>—</t>
        </is>
      </c>
    </row>
    <row r="24">
      <c r="A24" s="24" t="inlineStr">
        <is>
          <t>Pago base</t>
        </is>
      </c>
      <c r="B24" s="25" t="inlineStr">
        <is>
          <t>'=IF(E5="","",B5-E5)</t>
        </is>
      </c>
      <c r="C24" s="24" t="inlineStr">
        <is>
          <t>Resta del pago periódico total el componente ligado al índice; en blanco cuando ese componente no se pudo medir.</t>
        </is>
      </c>
      <c r="D24" s="24" t="inlineStr">
        <is>
          <t>Fila 1: IF(0,00=""; ""; 1.500,00-0,00) → 1.500,00</t>
        </is>
      </c>
      <c r="E24" s="24" t="inlineStr">
        <is>
          <t>«Componente ligado al índice» (esta hoja), «Pago periódico total del contrato» (esta hoja)</t>
        </is>
      </c>
      <c r="F24" s="24" t="inlineStr">
        <is>
          <t>—</t>
        </is>
      </c>
    </row>
    <row r="25">
      <c r="A25" s="24" t="inlineStr">
        <is>
          <t>Pago usado en la medición del pasivo</t>
        </is>
      </c>
      <c r="B25" s="25" t="inlineStr">
        <is>
          <t>'=B5</t>
        </is>
      </c>
      <c r="C25" s="24" t="inlineStr">
        <is>
          <t>En NIIF completas el pasivo se mide con el pago periódico total, incluido el componente ligado al índice.</t>
        </is>
      </c>
      <c r="D25" s="24" t="inlineStr">
        <is>
          <t>Fila 1: 1.500,00 → 1.500,00</t>
        </is>
      </c>
      <c r="E25" s="24" t="inlineStr">
        <is>
          <t>«Pago periódico total del contrato» (esta hoja)</t>
        </is>
      </c>
      <c r="F25" s="24" t="inlineStr">
        <is>
          <t>—</t>
        </is>
      </c>
    </row>
    <row r="26">
      <c r="A26" s="24" t="inlineStr">
        <is>
          <t>Pago variable no ligado a un índice (38 b)</t>
        </is>
      </c>
      <c r="B26" s="25" t="inlineStr">
        <is>
          <t>'=IF('03_Contratos'!N5="","",'03_Contratos'!N5)</t>
        </is>
      </c>
      <c r="C26" s="24" t="inlineStr">
        <is>
          <t>Trae de la hoja 03 el pago variable del período que no depende de un índice (por ejemplo, por ventas o por uso); en blanco si no hay.</t>
        </is>
      </c>
      <c r="D26" s="24" t="inlineStr">
        <is>
          <t>Fila 1: IF((vacío)=""; ""; (vacío)) → (en blanco)</t>
        </is>
      </c>
      <c r="E26" s="24" t="inlineStr">
        <is>
          <t>hoja «Universo de contratos»</t>
        </is>
      </c>
      <c r="F26" s="24" t="inlineStr">
        <is>
          <t>—</t>
        </is>
      </c>
    </row>
    <row r="27">
      <c r="A27" s="24" t="inlineStr">
        <is>
          <t>Períodos del ejercicio</t>
        </is>
      </c>
      <c r="B27" s="25" t="inlineStr">
        <is>
          <t>'='10_Pasivo_corte'!E5-'10_Pasivo_corte'!F5</t>
        </is>
      </c>
      <c r="C27" s="24" t="inlineStr">
        <is>
          <t>Cuenta los períodos de pago del ejercicio: si el contrato se reconoce, períodos vencidos al corte menos los vencidos al inicio del año (hoja 10); si no, meses del contrato en el año (hoja 12) entre meses por período (hoja 05).</t>
        </is>
      </c>
      <c r="D27" s="24" t="inlineStr">
        <is>
          <t>Fila 1: 24-12 → 12,00</t>
        </is>
      </c>
      <c r="E27" s="24" t="inlineStr">
        <is>
          <t>hoja «Pasivo al corte: corriente y no corriente»</t>
        </is>
      </c>
      <c r="F27" s="24" t="inlineStr">
        <is>
          <t>—</t>
        </is>
      </c>
    </row>
    <row r="28">
      <c r="A28" s="24" t="inlineStr">
        <is>
          <t>Gasto del ejercicio por pagos variables</t>
        </is>
      </c>
      <c r="B28" s="25" t="inlineStr">
        <is>
          <t>'=N(J5)*K5</t>
        </is>
      </c>
      <c r="C28" s="24" t="inlineStr">
        <is>
          <t>Multiplica el pago variable no ligado a un índice por los períodos del ejercicio (sin dato cuenta cero): es el gasto del año por pagos variables.</t>
        </is>
      </c>
      <c r="D28" s="24" t="inlineStr">
        <is>
          <t>Fila 1: N((vacío))*12,00 → 0,00</t>
        </is>
      </c>
      <c r="E28" s="24" t="inlineStr">
        <is>
          <t>«Pago variable no ligado a un índice (38 b)» (esta hoja), «Períodos del ejercicio» (esta hoja)</t>
        </is>
      </c>
      <c r="F28" s="24" t="inlineStr">
        <is>
          <t>—</t>
        </is>
      </c>
    </row>
  </sheetData>
  <mergeCells count="3">
    <mergeCell ref="A2:F2"/>
    <mergeCell ref="A1:F1"/>
    <mergeCell ref="A18:F18"/>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M29"/>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14" customWidth="1" min="3" max="3"/>
    <col width="20" customWidth="1" min="4" max="4"/>
    <col width="24" customWidth="1" min="5" max="5"/>
    <col width="20" customWidth="1" min="6" max="6"/>
    <col width="15" customWidth="1" min="7" max="7"/>
    <col width="25" customWidth="1" min="8" max="8"/>
    <col width="25" customWidth="1" min="9" max="9"/>
    <col width="25" customWidth="1" min="10" max="10"/>
    <col width="25" customWidth="1" min="11" max="11"/>
    <col width="38" customWidth="1" min="12" max="12"/>
    <col width="25" customWidth="1" min="13" max="13"/>
  </cols>
  <sheetData>
    <row r="1">
      <c r="A1" s="3" t="inlineStr">
        <is>
          <t>Remedición y modificaciones</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c r="G2" s="16" t="n"/>
      <c r="H2" s="16" t="n"/>
      <c r="I2" s="16" t="n"/>
      <c r="J2" s="16" t="n"/>
      <c r="K2" s="16" t="n"/>
      <c r="L2" s="16" t="n"/>
      <c r="M2" s="16" t="n"/>
    </row>
    <row r="4" ht="30" customHeight="1">
      <c r="A4" s="17" t="inlineStr">
        <is>
          <t>Contrato</t>
        </is>
      </c>
      <c r="B4" s="17" t="inlineStr">
        <is>
          <t>Fecha del evento</t>
        </is>
      </c>
      <c r="C4" s="17" t="inlineStr">
        <is>
          <t>Tipo / nota</t>
        </is>
      </c>
      <c r="D4" s="17" t="inlineStr">
        <is>
          <t>Períodos al evento</t>
        </is>
      </c>
      <c r="E4" s="17" t="inlineStr">
        <is>
          <t>Plazo revisado (meses)</t>
        </is>
      </c>
      <c r="F4" s="17" t="inlineStr">
        <is>
          <t>Períodos revisados</t>
        </is>
      </c>
      <c r="G4" s="17" t="inlineStr">
        <is>
          <t>Pago revisado</t>
        </is>
      </c>
      <c r="H4" s="17" t="inlineStr">
        <is>
          <t>Tasa anual revisada (%)</t>
        </is>
      </c>
      <c r="I4" s="17" t="inlineStr">
        <is>
          <t>Tasa periódica revisada</t>
        </is>
      </c>
      <c r="J4" s="17" t="inlineStr">
        <is>
          <t>Pasivo antes del evento</t>
        </is>
      </c>
      <c r="K4" s="17" t="inlineStr">
        <is>
          <t>Pasivo remedido (40–45)</t>
        </is>
      </c>
      <c r="L4" s="17" t="inlineStr">
        <is>
          <t>Ajuste al pasivo y al derecho de uso</t>
        </is>
      </c>
      <c r="M4" s="17" t="inlineStr">
        <is>
          <t>Remedido por el cliente</t>
        </is>
      </c>
    </row>
    <row r="5">
      <c r="A5" s="18" t="inlineStr">
        <is>
          <t>C-01</t>
        </is>
      </c>
      <c r="B5" s="30" t="n"/>
      <c r="C5" s="18" t="inlineStr">
        <is>
          <t>Sin evento</t>
        </is>
      </c>
      <c r="D5" s="33" t="n"/>
      <c r="E5" s="33" t="n"/>
      <c r="F5" s="33" t="n"/>
      <c r="G5" s="20" t="n"/>
      <c r="H5" s="18" t="n"/>
      <c r="I5" s="35" t="n"/>
      <c r="J5" s="20" t="n"/>
      <c r="K5" s="20" t="n"/>
      <c r="L5" s="20" t="n"/>
      <c r="M5" s="18" t="n"/>
    </row>
    <row r="6">
      <c r="A6" s="19" t="inlineStr">
        <is>
          <t>C-02</t>
        </is>
      </c>
      <c r="B6" s="32" t="n"/>
      <c r="C6" s="19" t="inlineStr">
        <is>
          <t>Sin evento</t>
        </is>
      </c>
      <c r="D6" s="34" t="n"/>
      <c r="E6" s="34" t="n"/>
      <c r="F6" s="34" t="n"/>
      <c r="G6" s="21" t="n"/>
      <c r="H6" s="19" t="n"/>
      <c r="I6" s="36" t="n"/>
      <c r="J6" s="21" t="n"/>
      <c r="K6" s="21" t="n"/>
      <c r="L6" s="21" t="n"/>
      <c r="M6" s="19" t="n"/>
    </row>
    <row r="7">
      <c r="A7" s="18" t="inlineStr">
        <is>
          <t>C-03</t>
        </is>
      </c>
      <c r="B7" s="30" t="n"/>
      <c r="C7" s="18" t="inlineStr">
        <is>
          <t>Sin evento</t>
        </is>
      </c>
      <c r="D7" s="33" t="n"/>
      <c r="E7" s="33" t="n"/>
      <c r="F7" s="33" t="n"/>
      <c r="G7" s="20" t="n"/>
      <c r="H7" s="18" t="n"/>
      <c r="I7" s="35" t="n"/>
      <c r="J7" s="20" t="n"/>
      <c r="K7" s="20" t="n"/>
      <c r="L7" s="20" t="n"/>
      <c r="M7" s="18" t="n"/>
    </row>
    <row r="8">
      <c r="A8" s="19" t="inlineStr">
        <is>
          <t>C-04</t>
        </is>
      </c>
      <c r="B8" s="32" t="n"/>
      <c r="C8" s="19" t="inlineStr">
        <is>
          <t>Sin evento</t>
        </is>
      </c>
      <c r="D8" s="34" t="n"/>
      <c r="E8" s="34" t="n"/>
      <c r="F8" s="34" t="n"/>
      <c r="G8" s="21" t="n"/>
      <c r="H8" s="19" t="n"/>
      <c r="I8" s="36" t="n"/>
      <c r="J8" s="21" t="n"/>
      <c r="K8" s="21" t="n"/>
      <c r="L8" s="21" t="n"/>
      <c r="M8" s="19" t="n"/>
    </row>
    <row r="9">
      <c r="A9" s="18" t="inlineStr">
        <is>
          <t>C-05</t>
        </is>
      </c>
      <c r="B9" s="30" t="n"/>
      <c r="C9" s="18" t="inlineStr">
        <is>
          <t>Sin evento</t>
        </is>
      </c>
      <c r="D9" s="33" t="n"/>
      <c r="E9" s="33" t="n"/>
      <c r="F9" s="33" t="n"/>
      <c r="G9" s="20" t="n"/>
      <c r="H9" s="18" t="n"/>
      <c r="I9" s="35" t="n"/>
      <c r="J9" s="20" t="n"/>
      <c r="K9" s="20" t="n"/>
      <c r="L9" s="20" t="n"/>
      <c r="M9" s="18" t="n"/>
    </row>
    <row r="10">
      <c r="A10" s="19" t="inlineStr">
        <is>
          <t>C-06</t>
        </is>
      </c>
      <c r="B10" s="32" t="n"/>
      <c r="C10" s="19" t="inlineStr">
        <is>
          <t>Sin evento</t>
        </is>
      </c>
      <c r="D10" s="34" t="n"/>
      <c r="E10" s="34" t="n"/>
      <c r="F10" s="34" t="n"/>
      <c r="G10" s="21" t="n"/>
      <c r="H10" s="19" t="n"/>
      <c r="I10" s="36" t="n"/>
      <c r="J10" s="21" t="n"/>
      <c r="K10" s="21" t="n"/>
      <c r="L10" s="21" t="n"/>
      <c r="M10" s="19" t="n"/>
    </row>
    <row r="11">
      <c r="A11" s="18" t="inlineStr">
        <is>
          <t>C-07</t>
        </is>
      </c>
      <c r="B11" s="29" t="n">
        <v>45658</v>
      </c>
      <c r="C11" s="18" t="inlineStr">
        <is>
          <t>Modificación</t>
        </is>
      </c>
      <c r="D11" s="33">
        <f>INT(DATEDIF('03_Contratos'!C11,B11,"m")/'05_Plazo'!G11)</f>
        <v/>
      </c>
      <c r="E11" s="33">
        <f>IF('03_Contratos'!AL11="",'05_Plazo'!E11,'03_Contratos'!AL11)</f>
        <v/>
      </c>
      <c r="F11" s="33">
        <f>E11/'05_Plazo'!G11</f>
        <v/>
      </c>
      <c r="G11" s="20">
        <f>IF('03_Contratos'!AJ11="",'07_Pagos_variables'!G11,'03_Contratos'!AJ11)</f>
        <v/>
      </c>
      <c r="H11" s="27">
        <f>IF('03_Contratos'!AK11="",'06_Medicion_inicial'!C11,'03_Contratos'!AK11)</f>
        <v/>
      </c>
      <c r="I11" s="35">
        <f>IF('02_Parametros'!$B$6="Nominal anual",H11/100*'05_Plazo'!G11/12,(1+H11/100)^('05_Plazo'!G11/12)-1)</f>
        <v/>
      </c>
      <c r="J11" s="20">
        <f>SUMIFS('09_Tabla_amortizacion'!$H$5:$H$264,'09_Tabla_amortizacion'!$A$5:$A$264,A11,'09_Tabla_amortizacion'!$B$5:$B$264,D11)</f>
        <v/>
      </c>
      <c r="K11" s="20">
        <f>PV(I11,F11-D11,-G11,-'06_Medicion_inicial'!F11,'06_Medicion_inicial'!E11)-'06_Medicion_inicial'!E11*G11</f>
        <v/>
      </c>
      <c r="L11" s="20">
        <f>K11-J11</f>
        <v/>
      </c>
      <c r="M11" s="18">
        <f>IF('03_Contratos'!AM11="","",'03_Contratos'!AM11)</f>
        <v/>
      </c>
    </row>
    <row r="12">
      <c r="A12" s="19" t="inlineStr">
        <is>
          <t>C-08</t>
        </is>
      </c>
      <c r="B12" s="32" t="n"/>
      <c r="C12" s="19" t="inlineStr">
        <is>
          <t>Sin evento</t>
        </is>
      </c>
      <c r="D12" s="34" t="n"/>
      <c r="E12" s="34" t="n"/>
      <c r="F12" s="34" t="n"/>
      <c r="G12" s="21" t="n"/>
      <c r="H12" s="19" t="n"/>
      <c r="I12" s="36" t="n"/>
      <c r="J12" s="21" t="n"/>
      <c r="K12" s="21" t="n"/>
      <c r="L12" s="21" t="n"/>
      <c r="M12" s="19" t="n"/>
    </row>
    <row r="13">
      <c r="A13" s="18" t="inlineStr">
        <is>
          <t>C-09</t>
        </is>
      </c>
      <c r="B13" s="30" t="n"/>
      <c r="C13" s="18" t="inlineStr">
        <is>
          <t>Sin evento</t>
        </is>
      </c>
      <c r="D13" s="33" t="n"/>
      <c r="E13" s="33" t="n"/>
      <c r="F13" s="33" t="n"/>
      <c r="G13" s="20" t="n"/>
      <c r="H13" s="18" t="n"/>
      <c r="I13" s="35" t="n"/>
      <c r="J13" s="20" t="n"/>
      <c r="K13" s="20" t="n"/>
      <c r="L13" s="20" t="n"/>
      <c r="M13" s="18" t="n"/>
    </row>
    <row r="14">
      <c r="A14" s="19" t="inlineStr">
        <is>
          <t>C-10</t>
        </is>
      </c>
      <c r="B14" s="32" t="n"/>
      <c r="C14" s="19" t="inlineStr">
        <is>
          <t>Sin evento</t>
        </is>
      </c>
      <c r="D14" s="34" t="n"/>
      <c r="E14" s="34" t="n"/>
      <c r="F14" s="34" t="n"/>
      <c r="G14" s="21" t="n"/>
      <c r="H14" s="19" t="n"/>
      <c r="I14" s="36" t="n"/>
      <c r="J14" s="21" t="n"/>
      <c r="K14" s="21" t="n"/>
      <c r="L14" s="21" t="n"/>
      <c r="M14" s="19" t="n"/>
    </row>
    <row r="15">
      <c r="A15" s="18" t="inlineStr">
        <is>
          <t>C-11</t>
        </is>
      </c>
      <c r="B15" s="30" t="n"/>
      <c r="C15" s="18" t="inlineStr">
        <is>
          <t>Sin evento</t>
        </is>
      </c>
      <c r="D15" s="33" t="n"/>
      <c r="E15" s="33" t="n"/>
      <c r="F15" s="33" t="n"/>
      <c r="G15" s="20" t="n"/>
      <c r="H15" s="18" t="n"/>
      <c r="I15" s="35" t="n"/>
      <c r="J15" s="20" t="n"/>
      <c r="K15" s="20" t="n"/>
      <c r="L15" s="20" t="n"/>
      <c r="M15" s="18" t="n"/>
    </row>
    <row r="16">
      <c r="A16" s="37" t="inlineStr">
        <is>
          <t>TOTAL</t>
        </is>
      </c>
      <c r="B16" s="41" t="n"/>
      <c r="C16" s="37" t="inlineStr"/>
      <c r="D16" s="39" t="n"/>
      <c r="E16" s="39" t="n"/>
      <c r="F16" s="39" t="n"/>
      <c r="G16" s="40" t="n"/>
      <c r="H16" s="37" t="n"/>
      <c r="I16" s="38" t="n"/>
      <c r="J16" s="40" t="n"/>
      <c r="K16" s="40" t="n"/>
      <c r="L16" s="40">
        <f>SUM(L5:L15)</f>
        <v/>
      </c>
      <c r="M16" s="37" t="inlineStr"/>
    </row>
    <row r="18">
      <c r="A18" s="22" t="inlineStr">
        <is>
          <t>ⓘ  Cómo se calcula esta hoja</t>
        </is>
      </c>
    </row>
    <row r="19">
      <c r="A19" s="23" t="inlineStr">
        <is>
          <t>Columna</t>
        </is>
      </c>
      <c r="B19" s="23" t="inlineStr">
        <is>
          <t>Fórmula (Excel)</t>
        </is>
      </c>
      <c r="C19" s="23" t="inlineStr">
        <is>
          <t>Cómo se calcula (sencillo)</t>
        </is>
      </c>
      <c r="D19" s="23" t="inlineStr">
        <is>
          <t>Ejemplo con números reales</t>
        </is>
      </c>
      <c r="E19" s="23" t="inlineStr">
        <is>
          <t>De dónde viene</t>
        </is>
      </c>
      <c r="F19" s="23" t="inlineStr">
        <is>
          <t>Norma</t>
        </is>
      </c>
    </row>
    <row r="20">
      <c r="A20" s="24" t="inlineStr">
        <is>
          <t>Períodos al evento</t>
        </is>
      </c>
      <c r="B20" s="25" t="inlineStr">
        <is>
          <t>'=INT(DATEDIF('03_Contratos'!C11,B11,"m")/'05_Plazo'!G11)</t>
        </is>
      </c>
      <c r="C20" s="24" t="inlineStr">
        <is>
          <t>Cuenta los meses completos desde el comienzo (hoja 03) hasta la fecha del evento y los divide entre los meses por período (hoja 05), sin decimales: son las cuotas ya transcurridas.</t>
        </is>
      </c>
      <c r="D20" s="24" t="inlineStr">
        <is>
          <t>Fila 7: INT(DATEDIF(«2023-01-01»; «2025-01-01»; "m")/12) → 2</t>
        </is>
      </c>
      <c r="E20" s="24" t="inlineStr">
        <is>
          <t>«Fecha del evento» (esta hoja), hoja «Universo de contratos», hoja «Plazo y opciones»</t>
        </is>
      </c>
      <c r="F20" s="24" t="inlineStr">
        <is>
          <t>—</t>
        </is>
      </c>
    </row>
    <row r="21">
      <c r="A21" s="24" t="inlineStr">
        <is>
          <t>Plazo revisado (meses)</t>
        </is>
      </c>
      <c r="B21" s="25" t="inlineStr">
        <is>
          <t>'=IF('03_Contratos'!AL11="",'05_Plazo'!E11,'03_Contratos'!AL11)</t>
        </is>
      </c>
      <c r="C21" s="24" t="inlineStr">
        <is>
          <t>Toma el nuevo plazo total informado en la hoja 03; si no hay, mantiene el plazo del arrendamiento de la hoja 05.</t>
        </is>
      </c>
      <c r="D21" s="24" t="inlineStr">
        <is>
          <t>Fila 7: IF((vacío)=""; 60; (vacío)) → 60</t>
        </is>
      </c>
      <c r="E21" s="24" t="inlineStr">
        <is>
          <t>hoja «Universo de contratos», hoja «Plazo y opciones»</t>
        </is>
      </c>
      <c r="F21" s="24" t="inlineStr">
        <is>
          <t>—</t>
        </is>
      </c>
    </row>
    <row r="22">
      <c r="A22" s="24" t="inlineStr">
        <is>
          <t>Períodos revisados</t>
        </is>
      </c>
      <c r="B22" s="25" t="inlineStr">
        <is>
          <t>'=E11/'05_Plazo'!G11</t>
        </is>
      </c>
      <c r="C22" s="24" t="inlineStr">
        <is>
          <t>Divide el plazo revisado entre los meses por período de la hoja 05: número total de cuotas después del evento.</t>
        </is>
      </c>
      <c r="D22" s="24" t="inlineStr">
        <is>
          <t>Fila 7: 60/12 → 5</t>
        </is>
      </c>
      <c r="E22" s="24" t="inlineStr">
        <is>
          <t>«Plazo revisado (meses)» (esta hoja), hoja «Plazo y opciones»</t>
        </is>
      </c>
      <c r="F22" s="24" t="inlineStr">
        <is>
          <t>—</t>
        </is>
      </c>
    </row>
    <row r="23">
      <c r="A23" s="24" t="inlineStr">
        <is>
          <t>Pago revisado</t>
        </is>
      </c>
      <c r="B23" s="25" t="inlineStr">
        <is>
          <t>'=IF('03_Contratos'!AJ11="",'07_Pagos_variables'!G11,'03_Contratos'!AJ11)</t>
        </is>
      </c>
      <c r="C23" s="24" t="inlineStr">
        <is>
          <t>Toma el nuevo pago periódico de la hoja 03; si no se informó, mantiene el pago usado en la medición de la hoja 07.</t>
        </is>
      </c>
      <c r="D23" s="24" t="inlineStr">
        <is>
          <t>Fila 7: IF(13.500,00=""; 12.000,00; 13.500,00) → 13.500,00</t>
        </is>
      </c>
      <c r="E23" s="24" t="inlineStr">
        <is>
          <t>hoja «Universo de contratos», hoja «Pago base, componente indexado y pagos variables»</t>
        </is>
      </c>
      <c r="F23" s="24" t="inlineStr">
        <is>
          <t>—</t>
        </is>
      </c>
    </row>
    <row r="24">
      <c r="A24" s="24" t="inlineStr">
        <is>
          <t>Tasa anual revisada (%)</t>
        </is>
      </c>
      <c r="B24" s="25" t="inlineStr">
        <is>
          <t>'=IF('03_Contratos'!AK11="",'06_Medicion_inicial'!C11,'03_Contratos'!AK11)</t>
        </is>
      </c>
      <c r="C24" s="24" t="inlineStr">
        <is>
          <t>Toma la tasa anual revisada de la hoja 03; si no se informó, mantiene la tasa anual original de la hoja 06.</t>
        </is>
      </c>
      <c r="D24" s="24" t="inlineStr">
        <is>
          <t>Fila 7: IF(9,00=""; 8,00; 9,00) → 9,00</t>
        </is>
      </c>
      <c r="E24" s="24" t="inlineStr">
        <is>
          <t>hoja «Universo de contratos», hoja «Medición inicial: pasivo y activo»</t>
        </is>
      </c>
      <c r="F24" s="24" t="inlineStr">
        <is>
          <t>—</t>
        </is>
      </c>
    </row>
    <row r="25">
      <c r="A25" s="24" t="inlineStr">
        <is>
          <t>Tasa periódica revisada</t>
        </is>
      </c>
      <c r="B25" s="25" t="inlineStr">
        <is>
          <t>'=IF('02_Parametros'!$B$6="Nominal anual",H11/100*'05_Plazo'!G11/12,(1+H11/100)^('05_Plazo'!G11/12)-1)</t>
        </is>
      </c>
      <c r="C25" s="24" t="inlineStr">
        <is>
          <t>Convierte la tasa anual revisada en tasa por período con la convención de la hoja 02 (nominal o efectiva) y los meses por período de la hoja 05.</t>
        </is>
      </c>
      <c r="D25" s="24" t="inlineStr">
        <is>
          <t>Fila 7: IF(«Efectiva anual»="Nominal anual"; 9,00/100*12/12; (1+9,00/100)^(12/12)-1) → 9,00 %</t>
        </is>
      </c>
      <c r="E25" s="24" t="inlineStr">
        <is>
          <t>«Tasa anual revisada (%)» (esta hoja), hoja «Parámetros», hoja «Plazo y opciones»</t>
        </is>
      </c>
      <c r="F25" s="24" t="inlineStr">
        <is>
          <t>—</t>
        </is>
      </c>
    </row>
    <row r="26">
      <c r="A26" s="24" t="inlineStr">
        <is>
          <t>Pasivo antes del evento</t>
        </is>
      </c>
      <c r="B26" s="25" t="inlineStr">
        <is>
          <t>'=SUMIFS('09_Tabla_amortizacion'!$H$5:$H$264,'09_Tabla_amortizacion'!$A$5:$A$264,A11,'09_Tabla_amortizacion'!$B$5:$B$264,D11)</t>
        </is>
      </c>
      <c r="C26" s="24" t="inlineStr">
        <is>
          <t>Busca en la hoja 09 (Tabla de amortización) el saldo final de este contrato en el período del evento, antes de remedir.</t>
        </is>
      </c>
      <c r="D26" s="24" t="inlineStr">
        <is>
          <t>Fila 7: SUMIFS([«Saldo final» de «Tabla de amortización», 260 filas]; [«Contrato» de «Tabla de amortización», 260 filas]; «C-07»; [«Período» de «Tabla de amortización», 260 filas]; 2) → 30.925,16</t>
        </is>
      </c>
      <c r="E26" s="24" t="inlineStr">
        <is>
          <t>«Contrato» (esta hoja), «Períodos al evento» (esta hoja), hoja «Tabla de amortización»</t>
        </is>
      </c>
      <c r="F26" s="24" t="inlineStr">
        <is>
          <t>—</t>
        </is>
      </c>
    </row>
    <row r="27">
      <c r="A27" s="24" t="inlineStr">
        <is>
          <t>Pasivo remedido (40–45)</t>
        </is>
      </c>
      <c r="B27" s="25" t="inlineStr">
        <is>
          <t>'=PV(I11,F11-D11,-G11,-'06_Medicion_inicial'!F11,'06_Medicion_inicial'!E11)-'06_Medicion_inicial'!E11*G11</t>
        </is>
      </c>
      <c r="C27" s="24" t="inlineStr">
        <is>
          <t>Descuenta con la tasa revisada las cuotas que faltan (períodos revisados − períodos al evento) con el pago revisado y la opción de compra de la hoja 06; si se paga al inicio, resta el pago que vence ese día.</t>
        </is>
      </c>
      <c r="D27" s="24" t="inlineStr">
        <is>
          <t>Fila 7: PV(9,00 %; 5-2; -13.500,00; -0,00; 0)-0*13.500,00 → 34.172,48</t>
        </is>
      </c>
      <c r="E27" s="24" t="inlineStr">
        <is>
          <t>«Tasa periódica revisada» (esta hoja), «Períodos revisados» (esta hoja), «Períodos al evento» (esta hoja), «Pago revisado» (esta hoja), hoja «Medición inicial: pasivo y activo»</t>
        </is>
      </c>
      <c r="F27" s="24" t="inlineStr">
        <is>
          <t>—</t>
        </is>
      </c>
    </row>
    <row r="28">
      <c r="A28" s="24" t="inlineStr">
        <is>
          <t>Ajuste al pasivo y al derecho de uso</t>
        </is>
      </c>
      <c r="B28" s="25" t="inlineStr">
        <is>
          <t>'=K11-J11</t>
        </is>
      </c>
      <c r="C28" s="24" t="inlineStr">
        <is>
          <t>Resta el pasivo antes del evento del pasivo remedido: es lo que sube o baja el pasivo, y se lleva contra el derecho de uso.</t>
        </is>
      </c>
      <c r="D28" s="24" t="inlineStr">
        <is>
          <t>Fila 7: 34.172,48-30.925,16 → 3.247,31</t>
        </is>
      </c>
      <c r="E28" s="24" t="inlineStr">
        <is>
          <t>«Pasivo remedido (40–45)» (esta hoja), «Pasivo antes del evento» (esta hoja)</t>
        </is>
      </c>
      <c r="F28" s="24" t="inlineStr">
        <is>
          <t>—</t>
        </is>
      </c>
    </row>
    <row r="29">
      <c r="A29" s="24" t="inlineStr">
        <is>
          <t>Remedido por el cliente</t>
        </is>
      </c>
      <c r="B29" s="25" t="inlineStr">
        <is>
          <t>'=IF('03_Contratos'!AM11="","",'03_Contratos'!AM11)</t>
        </is>
      </c>
      <c r="C29" s="24" t="inlineStr">
        <is>
          <t>Trae de la hoja 03 (Universo de contratos) si el cliente registró la remedición del pasivo; en blanco si no lo indicó.</t>
        </is>
      </c>
      <c r="D29" s="24" t="inlineStr">
        <is>
          <t>Fila 7: IF(«No»=""; ""; «No») → No</t>
        </is>
      </c>
      <c r="E29" s="24" t="inlineStr">
        <is>
          <t>hoja «Universo de contratos»</t>
        </is>
      </c>
      <c r="F29" s="24" t="inlineStr">
        <is>
          <t>—</t>
        </is>
      </c>
    </row>
  </sheetData>
  <mergeCells count="3">
    <mergeCell ref="A2:F2"/>
    <mergeCell ref="A1:F1"/>
    <mergeCell ref="A18:F18"/>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J275"/>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3" customWidth="1" min="3" max="3"/>
    <col width="22" customWidth="1" min="4" max="4"/>
    <col width="23" customWidth="1" min="5" max="5"/>
    <col width="23" customWidth="1" min="6" max="6"/>
    <col width="12" customWidth="1" min="7" max="7"/>
    <col width="25" customWidth="1" min="8" max="8"/>
    <col width="20" customWidth="1" min="9" max="9"/>
    <col width="25" customWidth="1" min="10" max="10"/>
  </cols>
  <sheetData>
    <row r="1">
      <c r="A1" s="3" t="inlineStr">
        <is>
          <t>Tabla de amortización</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c r="G2" s="16" t="n"/>
      <c r="H2" s="16" t="n"/>
      <c r="I2" s="16" t="n"/>
      <c r="J2" s="16" t="n"/>
    </row>
    <row r="4" ht="30" customHeight="1">
      <c r="A4" s="17" t="inlineStr">
        <is>
          <t>Contrato</t>
        </is>
      </c>
      <c r="B4" s="17" t="inlineStr">
        <is>
          <t>Período</t>
        </is>
      </c>
      <c r="C4" s="17" t="inlineStr">
        <is>
          <t>Vencimiento</t>
        </is>
      </c>
      <c r="D4" s="17" t="inlineStr">
        <is>
          <t>Tasa periódica</t>
        </is>
      </c>
      <c r="E4" s="17" t="inlineStr">
        <is>
          <t>Saldo inicial</t>
        </is>
      </c>
      <c r="F4" s="17" t="inlineStr">
        <is>
          <t>Interés (37)</t>
        </is>
      </c>
      <c r="G4" s="17" t="inlineStr">
        <is>
          <t>Pago</t>
        </is>
      </c>
      <c r="H4" s="17" t="inlineStr">
        <is>
          <t>Saldo final</t>
        </is>
      </c>
      <c r="I4" s="17" t="inlineStr">
        <is>
          <t>Remedición</t>
        </is>
      </c>
      <c r="J4" s="17" t="inlineStr">
        <is>
          <t>Saldo final ajustado</t>
        </is>
      </c>
    </row>
    <row r="5">
      <c r="A5" s="18" t="inlineStr">
        <is>
          <t>C-01</t>
        </is>
      </c>
      <c r="B5" s="33" t="n">
        <v>1</v>
      </c>
      <c r="C5" s="29" t="n">
        <v>45323</v>
      </c>
      <c r="D5" s="35">
        <f>'06_Medicion_inicial'!J5</f>
        <v/>
      </c>
      <c r="E5" s="20">
        <f>'06_Medicion_inicial'!L5</f>
        <v/>
      </c>
      <c r="F5" s="20">
        <f>E5*D5</f>
        <v/>
      </c>
      <c r="G5" s="20">
        <f>IF(B5&lt;'05_Plazo'!H5,'07_Pagos_variables'!G5,IF(B5='05_Plazo'!H5,'06_Medicion_inicial'!F5+(1-'06_Medicion_inicial'!E5)*'07_Pagos_variables'!G5,0))</f>
        <v/>
      </c>
      <c r="H5" s="20">
        <f>E5+F5-G5</f>
        <v/>
      </c>
      <c r="I5" s="20" t="n">
        <v>0</v>
      </c>
      <c r="J5" s="20">
        <f>H5+I5</f>
        <v/>
      </c>
    </row>
    <row r="6">
      <c r="A6" s="19" t="inlineStr">
        <is>
          <t>C-01</t>
        </is>
      </c>
      <c r="B6" s="34" t="n">
        <v>2</v>
      </c>
      <c r="C6" s="31" t="n">
        <v>45352</v>
      </c>
      <c r="D6" s="36">
        <f>'06_Medicion_inicial'!J5</f>
        <v/>
      </c>
      <c r="E6" s="21">
        <f>J5</f>
        <v/>
      </c>
      <c r="F6" s="21">
        <f>E6*D6</f>
        <v/>
      </c>
      <c r="G6" s="21">
        <f>IF(B6&lt;'05_Plazo'!H5,'07_Pagos_variables'!G5,IF(B6='05_Plazo'!H5,'06_Medicion_inicial'!F5+(1-'06_Medicion_inicial'!E5)*'07_Pagos_variables'!G5,0))</f>
        <v/>
      </c>
      <c r="H6" s="21">
        <f>E6+F6-G6</f>
        <v/>
      </c>
      <c r="I6" s="21" t="n">
        <v>0</v>
      </c>
      <c r="J6" s="21">
        <f>H6+I6</f>
        <v/>
      </c>
    </row>
    <row r="7">
      <c r="A7" s="18" t="inlineStr">
        <is>
          <t>C-01</t>
        </is>
      </c>
      <c r="B7" s="33" t="n">
        <v>3</v>
      </c>
      <c r="C7" s="29" t="n">
        <v>45383</v>
      </c>
      <c r="D7" s="35">
        <f>'06_Medicion_inicial'!J5</f>
        <v/>
      </c>
      <c r="E7" s="20">
        <f>J6</f>
        <v/>
      </c>
      <c r="F7" s="20">
        <f>E7*D7</f>
        <v/>
      </c>
      <c r="G7" s="20">
        <f>IF(B7&lt;'05_Plazo'!H5,'07_Pagos_variables'!G5,IF(B7='05_Plazo'!H5,'06_Medicion_inicial'!F5+(1-'06_Medicion_inicial'!E5)*'07_Pagos_variables'!G5,0))</f>
        <v/>
      </c>
      <c r="H7" s="20">
        <f>E7+F7-G7</f>
        <v/>
      </c>
      <c r="I7" s="20" t="n">
        <v>0</v>
      </c>
      <c r="J7" s="20">
        <f>H7+I7</f>
        <v/>
      </c>
    </row>
    <row r="8">
      <c r="A8" s="19" t="inlineStr">
        <is>
          <t>C-01</t>
        </is>
      </c>
      <c r="B8" s="34" t="n">
        <v>4</v>
      </c>
      <c r="C8" s="31" t="n">
        <v>45413</v>
      </c>
      <c r="D8" s="36">
        <f>'06_Medicion_inicial'!J5</f>
        <v/>
      </c>
      <c r="E8" s="21">
        <f>J7</f>
        <v/>
      </c>
      <c r="F8" s="21">
        <f>E8*D8</f>
        <v/>
      </c>
      <c r="G8" s="21">
        <f>IF(B8&lt;'05_Plazo'!H5,'07_Pagos_variables'!G5,IF(B8='05_Plazo'!H5,'06_Medicion_inicial'!F5+(1-'06_Medicion_inicial'!E5)*'07_Pagos_variables'!G5,0))</f>
        <v/>
      </c>
      <c r="H8" s="21">
        <f>E8+F8-G8</f>
        <v/>
      </c>
      <c r="I8" s="21" t="n">
        <v>0</v>
      </c>
      <c r="J8" s="21">
        <f>H8+I8</f>
        <v/>
      </c>
    </row>
    <row r="9">
      <c r="A9" s="18" t="inlineStr">
        <is>
          <t>C-01</t>
        </is>
      </c>
      <c r="B9" s="33" t="n">
        <v>5</v>
      </c>
      <c r="C9" s="29" t="n">
        <v>45444</v>
      </c>
      <c r="D9" s="35">
        <f>'06_Medicion_inicial'!J5</f>
        <v/>
      </c>
      <c r="E9" s="20">
        <f>J8</f>
        <v/>
      </c>
      <c r="F9" s="20">
        <f>E9*D9</f>
        <v/>
      </c>
      <c r="G9" s="20">
        <f>IF(B9&lt;'05_Plazo'!H5,'07_Pagos_variables'!G5,IF(B9='05_Plazo'!H5,'06_Medicion_inicial'!F5+(1-'06_Medicion_inicial'!E5)*'07_Pagos_variables'!G5,0))</f>
        <v/>
      </c>
      <c r="H9" s="20">
        <f>E9+F9-G9</f>
        <v/>
      </c>
      <c r="I9" s="20" t="n">
        <v>0</v>
      </c>
      <c r="J9" s="20">
        <f>H9+I9</f>
        <v/>
      </c>
    </row>
    <row r="10">
      <c r="A10" s="19" t="inlineStr">
        <is>
          <t>C-01</t>
        </is>
      </c>
      <c r="B10" s="34" t="n">
        <v>6</v>
      </c>
      <c r="C10" s="31" t="n">
        <v>45474</v>
      </c>
      <c r="D10" s="36">
        <f>'06_Medicion_inicial'!J5</f>
        <v/>
      </c>
      <c r="E10" s="21">
        <f>J9</f>
        <v/>
      </c>
      <c r="F10" s="21">
        <f>E10*D10</f>
        <v/>
      </c>
      <c r="G10" s="21">
        <f>IF(B10&lt;'05_Plazo'!H5,'07_Pagos_variables'!G5,IF(B10='05_Plazo'!H5,'06_Medicion_inicial'!F5+(1-'06_Medicion_inicial'!E5)*'07_Pagos_variables'!G5,0))</f>
        <v/>
      </c>
      <c r="H10" s="21">
        <f>E10+F10-G10</f>
        <v/>
      </c>
      <c r="I10" s="21" t="n">
        <v>0</v>
      </c>
      <c r="J10" s="21">
        <f>H10+I10</f>
        <v/>
      </c>
    </row>
    <row r="11">
      <c r="A11" s="18" t="inlineStr">
        <is>
          <t>C-01</t>
        </is>
      </c>
      <c r="B11" s="33" t="n">
        <v>7</v>
      </c>
      <c r="C11" s="29" t="n">
        <v>45505</v>
      </c>
      <c r="D11" s="35">
        <f>'06_Medicion_inicial'!J5</f>
        <v/>
      </c>
      <c r="E11" s="20">
        <f>J10</f>
        <v/>
      </c>
      <c r="F11" s="20">
        <f>E11*D11</f>
        <v/>
      </c>
      <c r="G11" s="20">
        <f>IF(B11&lt;'05_Plazo'!H5,'07_Pagos_variables'!G5,IF(B11='05_Plazo'!H5,'06_Medicion_inicial'!F5+(1-'06_Medicion_inicial'!E5)*'07_Pagos_variables'!G5,0))</f>
        <v/>
      </c>
      <c r="H11" s="20">
        <f>E11+F11-G11</f>
        <v/>
      </c>
      <c r="I11" s="20" t="n">
        <v>0</v>
      </c>
      <c r="J11" s="20">
        <f>H11+I11</f>
        <v/>
      </c>
    </row>
    <row r="12">
      <c r="A12" s="19" t="inlineStr">
        <is>
          <t>C-01</t>
        </is>
      </c>
      <c r="B12" s="34" t="n">
        <v>8</v>
      </c>
      <c r="C12" s="31" t="n">
        <v>45536</v>
      </c>
      <c r="D12" s="36">
        <f>'06_Medicion_inicial'!J5</f>
        <v/>
      </c>
      <c r="E12" s="21">
        <f>J11</f>
        <v/>
      </c>
      <c r="F12" s="21">
        <f>E12*D12</f>
        <v/>
      </c>
      <c r="G12" s="21">
        <f>IF(B12&lt;'05_Plazo'!H5,'07_Pagos_variables'!G5,IF(B12='05_Plazo'!H5,'06_Medicion_inicial'!F5+(1-'06_Medicion_inicial'!E5)*'07_Pagos_variables'!G5,0))</f>
        <v/>
      </c>
      <c r="H12" s="21">
        <f>E12+F12-G12</f>
        <v/>
      </c>
      <c r="I12" s="21" t="n">
        <v>0</v>
      </c>
      <c r="J12" s="21">
        <f>H12+I12</f>
        <v/>
      </c>
    </row>
    <row r="13">
      <c r="A13" s="18" t="inlineStr">
        <is>
          <t>C-01</t>
        </is>
      </c>
      <c r="B13" s="33" t="n">
        <v>9</v>
      </c>
      <c r="C13" s="29" t="n">
        <v>45566</v>
      </c>
      <c r="D13" s="35">
        <f>'06_Medicion_inicial'!J5</f>
        <v/>
      </c>
      <c r="E13" s="20">
        <f>J12</f>
        <v/>
      </c>
      <c r="F13" s="20">
        <f>E13*D13</f>
        <v/>
      </c>
      <c r="G13" s="20">
        <f>IF(B13&lt;'05_Plazo'!H5,'07_Pagos_variables'!G5,IF(B13='05_Plazo'!H5,'06_Medicion_inicial'!F5+(1-'06_Medicion_inicial'!E5)*'07_Pagos_variables'!G5,0))</f>
        <v/>
      </c>
      <c r="H13" s="20">
        <f>E13+F13-G13</f>
        <v/>
      </c>
      <c r="I13" s="20" t="n">
        <v>0</v>
      </c>
      <c r="J13" s="20">
        <f>H13+I13</f>
        <v/>
      </c>
    </row>
    <row r="14">
      <c r="A14" s="19" t="inlineStr">
        <is>
          <t>C-01</t>
        </is>
      </c>
      <c r="B14" s="34" t="n">
        <v>10</v>
      </c>
      <c r="C14" s="31" t="n">
        <v>45597</v>
      </c>
      <c r="D14" s="36">
        <f>'06_Medicion_inicial'!J5</f>
        <v/>
      </c>
      <c r="E14" s="21">
        <f>J13</f>
        <v/>
      </c>
      <c r="F14" s="21">
        <f>E14*D14</f>
        <v/>
      </c>
      <c r="G14" s="21">
        <f>IF(B14&lt;'05_Plazo'!H5,'07_Pagos_variables'!G5,IF(B14='05_Plazo'!H5,'06_Medicion_inicial'!F5+(1-'06_Medicion_inicial'!E5)*'07_Pagos_variables'!G5,0))</f>
        <v/>
      </c>
      <c r="H14" s="21">
        <f>E14+F14-G14</f>
        <v/>
      </c>
      <c r="I14" s="21" t="n">
        <v>0</v>
      </c>
      <c r="J14" s="21">
        <f>H14+I14</f>
        <v/>
      </c>
    </row>
    <row r="15">
      <c r="A15" s="18" t="inlineStr">
        <is>
          <t>C-01</t>
        </is>
      </c>
      <c r="B15" s="33" t="n">
        <v>11</v>
      </c>
      <c r="C15" s="29" t="n">
        <v>45627</v>
      </c>
      <c r="D15" s="35">
        <f>'06_Medicion_inicial'!J5</f>
        <v/>
      </c>
      <c r="E15" s="20">
        <f>J14</f>
        <v/>
      </c>
      <c r="F15" s="20">
        <f>E15*D15</f>
        <v/>
      </c>
      <c r="G15" s="20">
        <f>IF(B15&lt;'05_Plazo'!H5,'07_Pagos_variables'!G5,IF(B15='05_Plazo'!H5,'06_Medicion_inicial'!F5+(1-'06_Medicion_inicial'!E5)*'07_Pagos_variables'!G5,0))</f>
        <v/>
      </c>
      <c r="H15" s="20">
        <f>E15+F15-G15</f>
        <v/>
      </c>
      <c r="I15" s="20" t="n">
        <v>0</v>
      </c>
      <c r="J15" s="20">
        <f>H15+I15</f>
        <v/>
      </c>
    </row>
    <row r="16">
      <c r="A16" s="19" t="inlineStr">
        <is>
          <t>C-01</t>
        </is>
      </c>
      <c r="B16" s="34" t="n">
        <v>12</v>
      </c>
      <c r="C16" s="31" t="n">
        <v>45658</v>
      </c>
      <c r="D16" s="36">
        <f>'06_Medicion_inicial'!J5</f>
        <v/>
      </c>
      <c r="E16" s="21">
        <f>J15</f>
        <v/>
      </c>
      <c r="F16" s="21">
        <f>E16*D16</f>
        <v/>
      </c>
      <c r="G16" s="21">
        <f>IF(B16&lt;'05_Plazo'!H5,'07_Pagos_variables'!G5,IF(B16='05_Plazo'!H5,'06_Medicion_inicial'!F5+(1-'06_Medicion_inicial'!E5)*'07_Pagos_variables'!G5,0))</f>
        <v/>
      </c>
      <c r="H16" s="21">
        <f>E16+F16-G16</f>
        <v/>
      </c>
      <c r="I16" s="21" t="n">
        <v>0</v>
      </c>
      <c r="J16" s="21">
        <f>H16+I16</f>
        <v/>
      </c>
    </row>
    <row r="17">
      <c r="A17" s="18" t="inlineStr">
        <is>
          <t>C-01</t>
        </is>
      </c>
      <c r="B17" s="33" t="n">
        <v>13</v>
      </c>
      <c r="C17" s="29" t="n">
        <v>45689</v>
      </c>
      <c r="D17" s="35">
        <f>'06_Medicion_inicial'!J5</f>
        <v/>
      </c>
      <c r="E17" s="20">
        <f>J16</f>
        <v/>
      </c>
      <c r="F17" s="20">
        <f>E17*D17</f>
        <v/>
      </c>
      <c r="G17" s="20">
        <f>IF(B17&lt;'05_Plazo'!H5,'07_Pagos_variables'!G5,IF(B17='05_Plazo'!H5,'06_Medicion_inicial'!F5+(1-'06_Medicion_inicial'!E5)*'07_Pagos_variables'!G5,0))</f>
        <v/>
      </c>
      <c r="H17" s="20">
        <f>E17+F17-G17</f>
        <v/>
      </c>
      <c r="I17" s="20" t="n">
        <v>0</v>
      </c>
      <c r="J17" s="20">
        <f>H17+I17</f>
        <v/>
      </c>
    </row>
    <row r="18">
      <c r="A18" s="19" t="inlineStr">
        <is>
          <t>C-01</t>
        </is>
      </c>
      <c r="B18" s="34" t="n">
        <v>14</v>
      </c>
      <c r="C18" s="31" t="n">
        <v>45717</v>
      </c>
      <c r="D18" s="36">
        <f>'06_Medicion_inicial'!J5</f>
        <v/>
      </c>
      <c r="E18" s="21">
        <f>J17</f>
        <v/>
      </c>
      <c r="F18" s="21">
        <f>E18*D18</f>
        <v/>
      </c>
      <c r="G18" s="21">
        <f>IF(B18&lt;'05_Plazo'!H5,'07_Pagos_variables'!G5,IF(B18='05_Plazo'!H5,'06_Medicion_inicial'!F5+(1-'06_Medicion_inicial'!E5)*'07_Pagos_variables'!G5,0))</f>
        <v/>
      </c>
      <c r="H18" s="21">
        <f>E18+F18-G18</f>
        <v/>
      </c>
      <c r="I18" s="21" t="n">
        <v>0</v>
      </c>
      <c r="J18" s="21">
        <f>H18+I18</f>
        <v/>
      </c>
    </row>
    <row r="19">
      <c r="A19" s="18" t="inlineStr">
        <is>
          <t>C-01</t>
        </is>
      </c>
      <c r="B19" s="33" t="n">
        <v>15</v>
      </c>
      <c r="C19" s="29" t="n">
        <v>45748</v>
      </c>
      <c r="D19" s="35">
        <f>'06_Medicion_inicial'!J5</f>
        <v/>
      </c>
      <c r="E19" s="20">
        <f>J18</f>
        <v/>
      </c>
      <c r="F19" s="20">
        <f>E19*D19</f>
        <v/>
      </c>
      <c r="G19" s="20">
        <f>IF(B19&lt;'05_Plazo'!H5,'07_Pagos_variables'!G5,IF(B19='05_Plazo'!H5,'06_Medicion_inicial'!F5+(1-'06_Medicion_inicial'!E5)*'07_Pagos_variables'!G5,0))</f>
        <v/>
      </c>
      <c r="H19" s="20">
        <f>E19+F19-G19</f>
        <v/>
      </c>
      <c r="I19" s="20" t="n">
        <v>0</v>
      </c>
      <c r="J19" s="20">
        <f>H19+I19</f>
        <v/>
      </c>
    </row>
    <row r="20">
      <c r="A20" s="19" t="inlineStr">
        <is>
          <t>C-01</t>
        </is>
      </c>
      <c r="B20" s="34" t="n">
        <v>16</v>
      </c>
      <c r="C20" s="31" t="n">
        <v>45778</v>
      </c>
      <c r="D20" s="36">
        <f>'06_Medicion_inicial'!J5</f>
        <v/>
      </c>
      <c r="E20" s="21">
        <f>J19</f>
        <v/>
      </c>
      <c r="F20" s="21">
        <f>E20*D20</f>
        <v/>
      </c>
      <c r="G20" s="21">
        <f>IF(B20&lt;'05_Plazo'!H5,'07_Pagos_variables'!G5,IF(B20='05_Plazo'!H5,'06_Medicion_inicial'!F5+(1-'06_Medicion_inicial'!E5)*'07_Pagos_variables'!G5,0))</f>
        <v/>
      </c>
      <c r="H20" s="21">
        <f>E20+F20-G20</f>
        <v/>
      </c>
      <c r="I20" s="21" t="n">
        <v>0</v>
      </c>
      <c r="J20" s="21">
        <f>H20+I20</f>
        <v/>
      </c>
    </row>
    <row r="21">
      <c r="A21" s="18" t="inlineStr">
        <is>
          <t>C-01</t>
        </is>
      </c>
      <c r="B21" s="33" t="n">
        <v>17</v>
      </c>
      <c r="C21" s="29" t="n">
        <v>45809</v>
      </c>
      <c r="D21" s="35">
        <f>'06_Medicion_inicial'!J5</f>
        <v/>
      </c>
      <c r="E21" s="20">
        <f>J20</f>
        <v/>
      </c>
      <c r="F21" s="20">
        <f>E21*D21</f>
        <v/>
      </c>
      <c r="G21" s="20">
        <f>IF(B21&lt;'05_Plazo'!H5,'07_Pagos_variables'!G5,IF(B21='05_Plazo'!H5,'06_Medicion_inicial'!F5+(1-'06_Medicion_inicial'!E5)*'07_Pagos_variables'!G5,0))</f>
        <v/>
      </c>
      <c r="H21" s="20">
        <f>E21+F21-G21</f>
        <v/>
      </c>
      <c r="I21" s="20" t="n">
        <v>0</v>
      </c>
      <c r="J21" s="20">
        <f>H21+I21</f>
        <v/>
      </c>
    </row>
    <row r="22">
      <c r="A22" s="19" t="inlineStr">
        <is>
          <t>C-01</t>
        </is>
      </c>
      <c r="B22" s="34" t="n">
        <v>18</v>
      </c>
      <c r="C22" s="31" t="n">
        <v>45839</v>
      </c>
      <c r="D22" s="36">
        <f>'06_Medicion_inicial'!J5</f>
        <v/>
      </c>
      <c r="E22" s="21">
        <f>J21</f>
        <v/>
      </c>
      <c r="F22" s="21">
        <f>E22*D22</f>
        <v/>
      </c>
      <c r="G22" s="21">
        <f>IF(B22&lt;'05_Plazo'!H5,'07_Pagos_variables'!G5,IF(B22='05_Plazo'!H5,'06_Medicion_inicial'!F5+(1-'06_Medicion_inicial'!E5)*'07_Pagos_variables'!G5,0))</f>
        <v/>
      </c>
      <c r="H22" s="21">
        <f>E22+F22-G22</f>
        <v/>
      </c>
      <c r="I22" s="21" t="n">
        <v>0</v>
      </c>
      <c r="J22" s="21">
        <f>H22+I22</f>
        <v/>
      </c>
    </row>
    <row r="23">
      <c r="A23" s="18" t="inlineStr">
        <is>
          <t>C-01</t>
        </is>
      </c>
      <c r="B23" s="33" t="n">
        <v>19</v>
      </c>
      <c r="C23" s="29" t="n">
        <v>45870</v>
      </c>
      <c r="D23" s="35">
        <f>'06_Medicion_inicial'!J5</f>
        <v/>
      </c>
      <c r="E23" s="20">
        <f>J22</f>
        <v/>
      </c>
      <c r="F23" s="20">
        <f>E23*D23</f>
        <v/>
      </c>
      <c r="G23" s="20">
        <f>IF(B23&lt;'05_Plazo'!H5,'07_Pagos_variables'!G5,IF(B23='05_Plazo'!H5,'06_Medicion_inicial'!F5+(1-'06_Medicion_inicial'!E5)*'07_Pagos_variables'!G5,0))</f>
        <v/>
      </c>
      <c r="H23" s="20">
        <f>E23+F23-G23</f>
        <v/>
      </c>
      <c r="I23" s="20" t="n">
        <v>0</v>
      </c>
      <c r="J23" s="20">
        <f>H23+I23</f>
        <v/>
      </c>
    </row>
    <row r="24">
      <c r="A24" s="19" t="inlineStr">
        <is>
          <t>C-01</t>
        </is>
      </c>
      <c r="B24" s="34" t="n">
        <v>20</v>
      </c>
      <c r="C24" s="31" t="n">
        <v>45901</v>
      </c>
      <c r="D24" s="36">
        <f>'06_Medicion_inicial'!J5</f>
        <v/>
      </c>
      <c r="E24" s="21">
        <f>J23</f>
        <v/>
      </c>
      <c r="F24" s="21">
        <f>E24*D24</f>
        <v/>
      </c>
      <c r="G24" s="21">
        <f>IF(B24&lt;'05_Plazo'!H5,'07_Pagos_variables'!G5,IF(B24='05_Plazo'!H5,'06_Medicion_inicial'!F5+(1-'06_Medicion_inicial'!E5)*'07_Pagos_variables'!G5,0))</f>
        <v/>
      </c>
      <c r="H24" s="21">
        <f>E24+F24-G24</f>
        <v/>
      </c>
      <c r="I24" s="21" t="n">
        <v>0</v>
      </c>
      <c r="J24" s="21">
        <f>H24+I24</f>
        <v/>
      </c>
    </row>
    <row r="25">
      <c r="A25" s="18" t="inlineStr">
        <is>
          <t>C-01</t>
        </is>
      </c>
      <c r="B25" s="33" t="n">
        <v>21</v>
      </c>
      <c r="C25" s="29" t="n">
        <v>45931</v>
      </c>
      <c r="D25" s="35">
        <f>'06_Medicion_inicial'!J5</f>
        <v/>
      </c>
      <c r="E25" s="20">
        <f>J24</f>
        <v/>
      </c>
      <c r="F25" s="20">
        <f>E25*D25</f>
        <v/>
      </c>
      <c r="G25" s="20">
        <f>IF(B25&lt;'05_Plazo'!H5,'07_Pagos_variables'!G5,IF(B25='05_Plazo'!H5,'06_Medicion_inicial'!F5+(1-'06_Medicion_inicial'!E5)*'07_Pagos_variables'!G5,0))</f>
        <v/>
      </c>
      <c r="H25" s="20">
        <f>E25+F25-G25</f>
        <v/>
      </c>
      <c r="I25" s="20" t="n">
        <v>0</v>
      </c>
      <c r="J25" s="20">
        <f>H25+I25</f>
        <v/>
      </c>
    </row>
    <row r="26">
      <c r="A26" s="19" t="inlineStr">
        <is>
          <t>C-01</t>
        </is>
      </c>
      <c r="B26" s="34" t="n">
        <v>22</v>
      </c>
      <c r="C26" s="31" t="n">
        <v>45962</v>
      </c>
      <c r="D26" s="36">
        <f>'06_Medicion_inicial'!J5</f>
        <v/>
      </c>
      <c r="E26" s="21">
        <f>J25</f>
        <v/>
      </c>
      <c r="F26" s="21">
        <f>E26*D26</f>
        <v/>
      </c>
      <c r="G26" s="21">
        <f>IF(B26&lt;'05_Plazo'!H5,'07_Pagos_variables'!G5,IF(B26='05_Plazo'!H5,'06_Medicion_inicial'!F5+(1-'06_Medicion_inicial'!E5)*'07_Pagos_variables'!G5,0))</f>
        <v/>
      </c>
      <c r="H26" s="21">
        <f>E26+F26-G26</f>
        <v/>
      </c>
      <c r="I26" s="21" t="n">
        <v>0</v>
      </c>
      <c r="J26" s="21">
        <f>H26+I26</f>
        <v/>
      </c>
    </row>
    <row r="27">
      <c r="A27" s="18" t="inlineStr">
        <is>
          <t>C-01</t>
        </is>
      </c>
      <c r="B27" s="33" t="n">
        <v>23</v>
      </c>
      <c r="C27" s="29" t="n">
        <v>45992</v>
      </c>
      <c r="D27" s="35">
        <f>'06_Medicion_inicial'!J5</f>
        <v/>
      </c>
      <c r="E27" s="20">
        <f>J26</f>
        <v/>
      </c>
      <c r="F27" s="20">
        <f>E27*D27</f>
        <v/>
      </c>
      <c r="G27" s="20">
        <f>IF(B27&lt;'05_Plazo'!H5,'07_Pagos_variables'!G5,IF(B27='05_Plazo'!H5,'06_Medicion_inicial'!F5+(1-'06_Medicion_inicial'!E5)*'07_Pagos_variables'!G5,0))</f>
        <v/>
      </c>
      <c r="H27" s="20">
        <f>E27+F27-G27</f>
        <v/>
      </c>
      <c r="I27" s="20" t="n">
        <v>0</v>
      </c>
      <c r="J27" s="20">
        <f>H27+I27</f>
        <v/>
      </c>
    </row>
    <row r="28">
      <c r="A28" s="19" t="inlineStr">
        <is>
          <t>C-01</t>
        </is>
      </c>
      <c r="B28" s="34" t="n">
        <v>24</v>
      </c>
      <c r="C28" s="31" t="n">
        <v>46023</v>
      </c>
      <c r="D28" s="36">
        <f>'06_Medicion_inicial'!J5</f>
        <v/>
      </c>
      <c r="E28" s="21">
        <f>J27</f>
        <v/>
      </c>
      <c r="F28" s="21">
        <f>E28*D28</f>
        <v/>
      </c>
      <c r="G28" s="21">
        <f>IF(B28&lt;'05_Plazo'!H5,'07_Pagos_variables'!G5,IF(B28='05_Plazo'!H5,'06_Medicion_inicial'!F5+(1-'06_Medicion_inicial'!E5)*'07_Pagos_variables'!G5,0))</f>
        <v/>
      </c>
      <c r="H28" s="21">
        <f>E28+F28-G28</f>
        <v/>
      </c>
      <c r="I28" s="21" t="n">
        <v>0</v>
      </c>
      <c r="J28" s="21">
        <f>H28+I28</f>
        <v/>
      </c>
    </row>
    <row r="29">
      <c r="A29" s="18" t="inlineStr">
        <is>
          <t>C-01</t>
        </is>
      </c>
      <c r="B29" s="33" t="n">
        <v>25</v>
      </c>
      <c r="C29" s="29" t="n">
        <v>46054</v>
      </c>
      <c r="D29" s="35">
        <f>'06_Medicion_inicial'!J5</f>
        <v/>
      </c>
      <c r="E29" s="20">
        <f>J28</f>
        <v/>
      </c>
      <c r="F29" s="20">
        <f>E29*D29</f>
        <v/>
      </c>
      <c r="G29" s="20">
        <f>IF(B29&lt;'05_Plazo'!H5,'07_Pagos_variables'!G5,IF(B29='05_Plazo'!H5,'06_Medicion_inicial'!F5+(1-'06_Medicion_inicial'!E5)*'07_Pagos_variables'!G5,0))</f>
        <v/>
      </c>
      <c r="H29" s="20">
        <f>E29+F29-G29</f>
        <v/>
      </c>
      <c r="I29" s="20" t="n">
        <v>0</v>
      </c>
      <c r="J29" s="20">
        <f>H29+I29</f>
        <v/>
      </c>
    </row>
    <row r="30">
      <c r="A30" s="19" t="inlineStr">
        <is>
          <t>C-01</t>
        </is>
      </c>
      <c r="B30" s="34" t="n">
        <v>26</v>
      </c>
      <c r="C30" s="31" t="n">
        <v>46082</v>
      </c>
      <c r="D30" s="36">
        <f>'06_Medicion_inicial'!J5</f>
        <v/>
      </c>
      <c r="E30" s="21">
        <f>J29</f>
        <v/>
      </c>
      <c r="F30" s="21">
        <f>E30*D30</f>
        <v/>
      </c>
      <c r="G30" s="21">
        <f>IF(B30&lt;'05_Plazo'!H5,'07_Pagos_variables'!G5,IF(B30='05_Plazo'!H5,'06_Medicion_inicial'!F5+(1-'06_Medicion_inicial'!E5)*'07_Pagos_variables'!G5,0))</f>
        <v/>
      </c>
      <c r="H30" s="21">
        <f>E30+F30-G30</f>
        <v/>
      </c>
      <c r="I30" s="21" t="n">
        <v>0</v>
      </c>
      <c r="J30" s="21">
        <f>H30+I30</f>
        <v/>
      </c>
    </row>
    <row r="31">
      <c r="A31" s="18" t="inlineStr">
        <is>
          <t>C-01</t>
        </is>
      </c>
      <c r="B31" s="33" t="n">
        <v>27</v>
      </c>
      <c r="C31" s="29" t="n">
        <v>46113</v>
      </c>
      <c r="D31" s="35">
        <f>'06_Medicion_inicial'!J5</f>
        <v/>
      </c>
      <c r="E31" s="20">
        <f>J30</f>
        <v/>
      </c>
      <c r="F31" s="20">
        <f>E31*D31</f>
        <v/>
      </c>
      <c r="G31" s="20">
        <f>IF(B31&lt;'05_Plazo'!H5,'07_Pagos_variables'!G5,IF(B31='05_Plazo'!H5,'06_Medicion_inicial'!F5+(1-'06_Medicion_inicial'!E5)*'07_Pagos_variables'!G5,0))</f>
        <v/>
      </c>
      <c r="H31" s="20">
        <f>E31+F31-G31</f>
        <v/>
      </c>
      <c r="I31" s="20" t="n">
        <v>0</v>
      </c>
      <c r="J31" s="20">
        <f>H31+I31</f>
        <v/>
      </c>
    </row>
    <row r="32">
      <c r="A32" s="19" t="inlineStr">
        <is>
          <t>C-01</t>
        </is>
      </c>
      <c r="B32" s="34" t="n">
        <v>28</v>
      </c>
      <c r="C32" s="31" t="n">
        <v>46143</v>
      </c>
      <c r="D32" s="36">
        <f>'06_Medicion_inicial'!J5</f>
        <v/>
      </c>
      <c r="E32" s="21">
        <f>J31</f>
        <v/>
      </c>
      <c r="F32" s="21">
        <f>E32*D32</f>
        <v/>
      </c>
      <c r="G32" s="21">
        <f>IF(B32&lt;'05_Plazo'!H5,'07_Pagos_variables'!G5,IF(B32='05_Plazo'!H5,'06_Medicion_inicial'!F5+(1-'06_Medicion_inicial'!E5)*'07_Pagos_variables'!G5,0))</f>
        <v/>
      </c>
      <c r="H32" s="21">
        <f>E32+F32-G32</f>
        <v/>
      </c>
      <c r="I32" s="21" t="n">
        <v>0</v>
      </c>
      <c r="J32" s="21">
        <f>H32+I32</f>
        <v/>
      </c>
    </row>
    <row r="33">
      <c r="A33" s="18" t="inlineStr">
        <is>
          <t>C-01</t>
        </is>
      </c>
      <c r="B33" s="33" t="n">
        <v>29</v>
      </c>
      <c r="C33" s="29" t="n">
        <v>46174</v>
      </c>
      <c r="D33" s="35">
        <f>'06_Medicion_inicial'!J5</f>
        <v/>
      </c>
      <c r="E33" s="20">
        <f>J32</f>
        <v/>
      </c>
      <c r="F33" s="20">
        <f>E33*D33</f>
        <v/>
      </c>
      <c r="G33" s="20">
        <f>IF(B33&lt;'05_Plazo'!H5,'07_Pagos_variables'!G5,IF(B33='05_Plazo'!H5,'06_Medicion_inicial'!F5+(1-'06_Medicion_inicial'!E5)*'07_Pagos_variables'!G5,0))</f>
        <v/>
      </c>
      <c r="H33" s="20">
        <f>E33+F33-G33</f>
        <v/>
      </c>
      <c r="I33" s="20" t="n">
        <v>0</v>
      </c>
      <c r="J33" s="20">
        <f>H33+I33</f>
        <v/>
      </c>
    </row>
    <row r="34">
      <c r="A34" s="19" t="inlineStr">
        <is>
          <t>C-01</t>
        </is>
      </c>
      <c r="B34" s="34" t="n">
        <v>30</v>
      </c>
      <c r="C34" s="31" t="n">
        <v>46204</v>
      </c>
      <c r="D34" s="36">
        <f>'06_Medicion_inicial'!J5</f>
        <v/>
      </c>
      <c r="E34" s="21">
        <f>J33</f>
        <v/>
      </c>
      <c r="F34" s="21">
        <f>E34*D34</f>
        <v/>
      </c>
      <c r="G34" s="21">
        <f>IF(B34&lt;'05_Plazo'!H5,'07_Pagos_variables'!G5,IF(B34='05_Plazo'!H5,'06_Medicion_inicial'!F5+(1-'06_Medicion_inicial'!E5)*'07_Pagos_variables'!G5,0))</f>
        <v/>
      </c>
      <c r="H34" s="21">
        <f>E34+F34-G34</f>
        <v/>
      </c>
      <c r="I34" s="21" t="n">
        <v>0</v>
      </c>
      <c r="J34" s="21">
        <f>H34+I34</f>
        <v/>
      </c>
    </row>
    <row r="35">
      <c r="A35" s="18" t="inlineStr">
        <is>
          <t>C-01</t>
        </is>
      </c>
      <c r="B35" s="33" t="n">
        <v>31</v>
      </c>
      <c r="C35" s="29" t="n">
        <v>46235</v>
      </c>
      <c r="D35" s="35">
        <f>'06_Medicion_inicial'!J5</f>
        <v/>
      </c>
      <c r="E35" s="20">
        <f>J34</f>
        <v/>
      </c>
      <c r="F35" s="20">
        <f>E35*D35</f>
        <v/>
      </c>
      <c r="G35" s="20">
        <f>IF(B35&lt;'05_Plazo'!H5,'07_Pagos_variables'!G5,IF(B35='05_Plazo'!H5,'06_Medicion_inicial'!F5+(1-'06_Medicion_inicial'!E5)*'07_Pagos_variables'!G5,0))</f>
        <v/>
      </c>
      <c r="H35" s="20">
        <f>E35+F35-G35</f>
        <v/>
      </c>
      <c r="I35" s="20" t="n">
        <v>0</v>
      </c>
      <c r="J35" s="20">
        <f>H35+I35</f>
        <v/>
      </c>
    </row>
    <row r="36">
      <c r="A36" s="19" t="inlineStr">
        <is>
          <t>C-01</t>
        </is>
      </c>
      <c r="B36" s="34" t="n">
        <v>32</v>
      </c>
      <c r="C36" s="31" t="n">
        <v>46266</v>
      </c>
      <c r="D36" s="36">
        <f>'06_Medicion_inicial'!J5</f>
        <v/>
      </c>
      <c r="E36" s="21">
        <f>J35</f>
        <v/>
      </c>
      <c r="F36" s="21">
        <f>E36*D36</f>
        <v/>
      </c>
      <c r="G36" s="21">
        <f>IF(B36&lt;'05_Plazo'!H5,'07_Pagos_variables'!G5,IF(B36='05_Plazo'!H5,'06_Medicion_inicial'!F5+(1-'06_Medicion_inicial'!E5)*'07_Pagos_variables'!G5,0))</f>
        <v/>
      </c>
      <c r="H36" s="21">
        <f>E36+F36-G36</f>
        <v/>
      </c>
      <c r="I36" s="21" t="n">
        <v>0</v>
      </c>
      <c r="J36" s="21">
        <f>H36+I36</f>
        <v/>
      </c>
    </row>
    <row r="37">
      <c r="A37" s="18" t="inlineStr">
        <is>
          <t>C-01</t>
        </is>
      </c>
      <c r="B37" s="33" t="n">
        <v>33</v>
      </c>
      <c r="C37" s="29" t="n">
        <v>46296</v>
      </c>
      <c r="D37" s="35">
        <f>'06_Medicion_inicial'!J5</f>
        <v/>
      </c>
      <c r="E37" s="20">
        <f>J36</f>
        <v/>
      </c>
      <c r="F37" s="20">
        <f>E37*D37</f>
        <v/>
      </c>
      <c r="G37" s="20">
        <f>IF(B37&lt;'05_Plazo'!H5,'07_Pagos_variables'!G5,IF(B37='05_Plazo'!H5,'06_Medicion_inicial'!F5+(1-'06_Medicion_inicial'!E5)*'07_Pagos_variables'!G5,0))</f>
        <v/>
      </c>
      <c r="H37" s="20">
        <f>E37+F37-G37</f>
        <v/>
      </c>
      <c r="I37" s="20" t="n">
        <v>0</v>
      </c>
      <c r="J37" s="20">
        <f>H37+I37</f>
        <v/>
      </c>
    </row>
    <row r="38">
      <c r="A38" s="19" t="inlineStr">
        <is>
          <t>C-01</t>
        </is>
      </c>
      <c r="B38" s="34" t="n">
        <v>34</v>
      </c>
      <c r="C38" s="31" t="n">
        <v>46327</v>
      </c>
      <c r="D38" s="36">
        <f>'06_Medicion_inicial'!J5</f>
        <v/>
      </c>
      <c r="E38" s="21">
        <f>J37</f>
        <v/>
      </c>
      <c r="F38" s="21">
        <f>E38*D38</f>
        <v/>
      </c>
      <c r="G38" s="21">
        <f>IF(B38&lt;'05_Plazo'!H5,'07_Pagos_variables'!G5,IF(B38='05_Plazo'!H5,'06_Medicion_inicial'!F5+(1-'06_Medicion_inicial'!E5)*'07_Pagos_variables'!G5,0))</f>
        <v/>
      </c>
      <c r="H38" s="21">
        <f>E38+F38-G38</f>
        <v/>
      </c>
      <c r="I38" s="21" t="n">
        <v>0</v>
      </c>
      <c r="J38" s="21">
        <f>H38+I38</f>
        <v/>
      </c>
    </row>
    <row r="39">
      <c r="A39" s="18" t="inlineStr">
        <is>
          <t>C-01</t>
        </is>
      </c>
      <c r="B39" s="33" t="n">
        <v>35</v>
      </c>
      <c r="C39" s="29" t="n">
        <v>46357</v>
      </c>
      <c r="D39" s="35">
        <f>'06_Medicion_inicial'!J5</f>
        <v/>
      </c>
      <c r="E39" s="20">
        <f>J38</f>
        <v/>
      </c>
      <c r="F39" s="20">
        <f>E39*D39</f>
        <v/>
      </c>
      <c r="G39" s="20">
        <f>IF(B39&lt;'05_Plazo'!H5,'07_Pagos_variables'!G5,IF(B39='05_Plazo'!H5,'06_Medicion_inicial'!F5+(1-'06_Medicion_inicial'!E5)*'07_Pagos_variables'!G5,0))</f>
        <v/>
      </c>
      <c r="H39" s="20">
        <f>E39+F39-G39</f>
        <v/>
      </c>
      <c r="I39" s="20" t="n">
        <v>0</v>
      </c>
      <c r="J39" s="20">
        <f>H39+I39</f>
        <v/>
      </c>
    </row>
    <row r="40">
      <c r="A40" s="19" t="inlineStr">
        <is>
          <t>C-01</t>
        </is>
      </c>
      <c r="B40" s="34" t="n">
        <v>36</v>
      </c>
      <c r="C40" s="31" t="n">
        <v>46388</v>
      </c>
      <c r="D40" s="36">
        <f>'06_Medicion_inicial'!J5</f>
        <v/>
      </c>
      <c r="E40" s="21">
        <f>J39</f>
        <v/>
      </c>
      <c r="F40" s="21">
        <f>E40*D40</f>
        <v/>
      </c>
      <c r="G40" s="21">
        <f>IF(B40&lt;'05_Plazo'!H5,'07_Pagos_variables'!G5,IF(B40='05_Plazo'!H5,'06_Medicion_inicial'!F5+(1-'06_Medicion_inicial'!E5)*'07_Pagos_variables'!G5,0))</f>
        <v/>
      </c>
      <c r="H40" s="21">
        <f>E40+F40-G40</f>
        <v/>
      </c>
      <c r="I40" s="21" t="n">
        <v>0</v>
      </c>
      <c r="J40" s="21">
        <f>H40+I40</f>
        <v/>
      </c>
    </row>
    <row r="41">
      <c r="A41" s="18" t="inlineStr">
        <is>
          <t>C-01</t>
        </is>
      </c>
      <c r="B41" s="33" t="n">
        <v>37</v>
      </c>
      <c r="C41" s="29" t="n">
        <v>46419</v>
      </c>
      <c r="D41" s="35">
        <f>'06_Medicion_inicial'!J5</f>
        <v/>
      </c>
      <c r="E41" s="20">
        <f>J40</f>
        <v/>
      </c>
      <c r="F41" s="20">
        <f>E41*D41</f>
        <v/>
      </c>
      <c r="G41" s="20">
        <f>IF(B41&lt;'05_Plazo'!H5,'07_Pagos_variables'!G5,IF(B41='05_Plazo'!H5,'06_Medicion_inicial'!F5+(1-'06_Medicion_inicial'!E5)*'07_Pagos_variables'!G5,0))</f>
        <v/>
      </c>
      <c r="H41" s="20">
        <f>E41+F41-G41</f>
        <v/>
      </c>
      <c r="I41" s="20" t="n">
        <v>0</v>
      </c>
      <c r="J41" s="20">
        <f>H41+I41</f>
        <v/>
      </c>
    </row>
    <row r="42">
      <c r="A42" s="19" t="inlineStr">
        <is>
          <t>C-01</t>
        </is>
      </c>
      <c r="B42" s="34" t="n">
        <v>38</v>
      </c>
      <c r="C42" s="31" t="n">
        <v>46447</v>
      </c>
      <c r="D42" s="36">
        <f>'06_Medicion_inicial'!J5</f>
        <v/>
      </c>
      <c r="E42" s="21">
        <f>J41</f>
        <v/>
      </c>
      <c r="F42" s="21">
        <f>E42*D42</f>
        <v/>
      </c>
      <c r="G42" s="21">
        <f>IF(B42&lt;'05_Plazo'!H5,'07_Pagos_variables'!G5,IF(B42='05_Plazo'!H5,'06_Medicion_inicial'!F5+(1-'06_Medicion_inicial'!E5)*'07_Pagos_variables'!G5,0))</f>
        <v/>
      </c>
      <c r="H42" s="21">
        <f>E42+F42-G42</f>
        <v/>
      </c>
      <c r="I42" s="21" t="n">
        <v>0</v>
      </c>
      <c r="J42" s="21">
        <f>H42+I42</f>
        <v/>
      </c>
    </row>
    <row r="43">
      <c r="A43" s="18" t="inlineStr">
        <is>
          <t>C-01</t>
        </is>
      </c>
      <c r="B43" s="33" t="n">
        <v>39</v>
      </c>
      <c r="C43" s="29" t="n">
        <v>46478</v>
      </c>
      <c r="D43" s="35">
        <f>'06_Medicion_inicial'!J5</f>
        <v/>
      </c>
      <c r="E43" s="20">
        <f>J42</f>
        <v/>
      </c>
      <c r="F43" s="20">
        <f>E43*D43</f>
        <v/>
      </c>
      <c r="G43" s="20">
        <f>IF(B43&lt;'05_Plazo'!H5,'07_Pagos_variables'!G5,IF(B43='05_Plazo'!H5,'06_Medicion_inicial'!F5+(1-'06_Medicion_inicial'!E5)*'07_Pagos_variables'!G5,0))</f>
        <v/>
      </c>
      <c r="H43" s="20">
        <f>E43+F43-G43</f>
        <v/>
      </c>
      <c r="I43" s="20" t="n">
        <v>0</v>
      </c>
      <c r="J43" s="20">
        <f>H43+I43</f>
        <v/>
      </c>
    </row>
    <row r="44">
      <c r="A44" s="19" t="inlineStr">
        <is>
          <t>C-01</t>
        </is>
      </c>
      <c r="B44" s="34" t="n">
        <v>40</v>
      </c>
      <c r="C44" s="31" t="n">
        <v>46508</v>
      </c>
      <c r="D44" s="36">
        <f>'06_Medicion_inicial'!J5</f>
        <v/>
      </c>
      <c r="E44" s="21">
        <f>J43</f>
        <v/>
      </c>
      <c r="F44" s="21">
        <f>E44*D44</f>
        <v/>
      </c>
      <c r="G44" s="21">
        <f>IF(B44&lt;'05_Plazo'!H5,'07_Pagos_variables'!G5,IF(B44='05_Plazo'!H5,'06_Medicion_inicial'!F5+(1-'06_Medicion_inicial'!E5)*'07_Pagos_variables'!G5,0))</f>
        <v/>
      </c>
      <c r="H44" s="21">
        <f>E44+F44-G44</f>
        <v/>
      </c>
      <c r="I44" s="21" t="n">
        <v>0</v>
      </c>
      <c r="J44" s="21">
        <f>H44+I44</f>
        <v/>
      </c>
    </row>
    <row r="45">
      <c r="A45" s="18" t="inlineStr">
        <is>
          <t>C-01</t>
        </is>
      </c>
      <c r="B45" s="33" t="n">
        <v>41</v>
      </c>
      <c r="C45" s="29" t="n">
        <v>46539</v>
      </c>
      <c r="D45" s="35">
        <f>'06_Medicion_inicial'!J5</f>
        <v/>
      </c>
      <c r="E45" s="20">
        <f>J44</f>
        <v/>
      </c>
      <c r="F45" s="20">
        <f>E45*D45</f>
        <v/>
      </c>
      <c r="G45" s="20">
        <f>IF(B45&lt;'05_Plazo'!H5,'07_Pagos_variables'!G5,IF(B45='05_Plazo'!H5,'06_Medicion_inicial'!F5+(1-'06_Medicion_inicial'!E5)*'07_Pagos_variables'!G5,0))</f>
        <v/>
      </c>
      <c r="H45" s="20">
        <f>E45+F45-G45</f>
        <v/>
      </c>
      <c r="I45" s="20" t="n">
        <v>0</v>
      </c>
      <c r="J45" s="20">
        <f>H45+I45</f>
        <v/>
      </c>
    </row>
    <row r="46">
      <c r="A46" s="19" t="inlineStr">
        <is>
          <t>C-01</t>
        </is>
      </c>
      <c r="B46" s="34" t="n">
        <v>42</v>
      </c>
      <c r="C46" s="31" t="n">
        <v>46569</v>
      </c>
      <c r="D46" s="36">
        <f>'06_Medicion_inicial'!J5</f>
        <v/>
      </c>
      <c r="E46" s="21">
        <f>J45</f>
        <v/>
      </c>
      <c r="F46" s="21">
        <f>E46*D46</f>
        <v/>
      </c>
      <c r="G46" s="21">
        <f>IF(B46&lt;'05_Plazo'!H5,'07_Pagos_variables'!G5,IF(B46='05_Plazo'!H5,'06_Medicion_inicial'!F5+(1-'06_Medicion_inicial'!E5)*'07_Pagos_variables'!G5,0))</f>
        <v/>
      </c>
      <c r="H46" s="21">
        <f>E46+F46-G46</f>
        <v/>
      </c>
      <c r="I46" s="21" t="n">
        <v>0</v>
      </c>
      <c r="J46" s="21">
        <f>H46+I46</f>
        <v/>
      </c>
    </row>
    <row r="47">
      <c r="A47" s="18" t="inlineStr">
        <is>
          <t>C-01</t>
        </is>
      </c>
      <c r="B47" s="33" t="n">
        <v>43</v>
      </c>
      <c r="C47" s="29" t="n">
        <v>46600</v>
      </c>
      <c r="D47" s="35">
        <f>'06_Medicion_inicial'!J5</f>
        <v/>
      </c>
      <c r="E47" s="20">
        <f>J46</f>
        <v/>
      </c>
      <c r="F47" s="20">
        <f>E47*D47</f>
        <v/>
      </c>
      <c r="G47" s="20">
        <f>IF(B47&lt;'05_Plazo'!H5,'07_Pagos_variables'!G5,IF(B47='05_Plazo'!H5,'06_Medicion_inicial'!F5+(1-'06_Medicion_inicial'!E5)*'07_Pagos_variables'!G5,0))</f>
        <v/>
      </c>
      <c r="H47" s="20">
        <f>E47+F47-G47</f>
        <v/>
      </c>
      <c r="I47" s="20" t="n">
        <v>0</v>
      </c>
      <c r="J47" s="20">
        <f>H47+I47</f>
        <v/>
      </c>
    </row>
    <row r="48">
      <c r="A48" s="19" t="inlineStr">
        <is>
          <t>C-01</t>
        </is>
      </c>
      <c r="B48" s="34" t="n">
        <v>44</v>
      </c>
      <c r="C48" s="31" t="n">
        <v>46631</v>
      </c>
      <c r="D48" s="36">
        <f>'06_Medicion_inicial'!J5</f>
        <v/>
      </c>
      <c r="E48" s="21">
        <f>J47</f>
        <v/>
      </c>
      <c r="F48" s="21">
        <f>E48*D48</f>
        <v/>
      </c>
      <c r="G48" s="21">
        <f>IF(B48&lt;'05_Plazo'!H5,'07_Pagos_variables'!G5,IF(B48='05_Plazo'!H5,'06_Medicion_inicial'!F5+(1-'06_Medicion_inicial'!E5)*'07_Pagos_variables'!G5,0))</f>
        <v/>
      </c>
      <c r="H48" s="21">
        <f>E48+F48-G48</f>
        <v/>
      </c>
      <c r="I48" s="21" t="n">
        <v>0</v>
      </c>
      <c r="J48" s="21">
        <f>H48+I48</f>
        <v/>
      </c>
    </row>
    <row r="49">
      <c r="A49" s="18" t="inlineStr">
        <is>
          <t>C-01</t>
        </is>
      </c>
      <c r="B49" s="33" t="n">
        <v>45</v>
      </c>
      <c r="C49" s="29" t="n">
        <v>46661</v>
      </c>
      <c r="D49" s="35">
        <f>'06_Medicion_inicial'!J5</f>
        <v/>
      </c>
      <c r="E49" s="20">
        <f>J48</f>
        <v/>
      </c>
      <c r="F49" s="20">
        <f>E49*D49</f>
        <v/>
      </c>
      <c r="G49" s="20">
        <f>IF(B49&lt;'05_Plazo'!H5,'07_Pagos_variables'!G5,IF(B49='05_Plazo'!H5,'06_Medicion_inicial'!F5+(1-'06_Medicion_inicial'!E5)*'07_Pagos_variables'!G5,0))</f>
        <v/>
      </c>
      <c r="H49" s="20">
        <f>E49+F49-G49</f>
        <v/>
      </c>
      <c r="I49" s="20" t="n">
        <v>0</v>
      </c>
      <c r="J49" s="20">
        <f>H49+I49</f>
        <v/>
      </c>
    </row>
    <row r="50">
      <c r="A50" s="19" t="inlineStr">
        <is>
          <t>C-01</t>
        </is>
      </c>
      <c r="B50" s="34" t="n">
        <v>46</v>
      </c>
      <c r="C50" s="31" t="n">
        <v>46692</v>
      </c>
      <c r="D50" s="36">
        <f>'06_Medicion_inicial'!J5</f>
        <v/>
      </c>
      <c r="E50" s="21">
        <f>J49</f>
        <v/>
      </c>
      <c r="F50" s="21">
        <f>E50*D50</f>
        <v/>
      </c>
      <c r="G50" s="21">
        <f>IF(B50&lt;'05_Plazo'!H5,'07_Pagos_variables'!G5,IF(B50='05_Plazo'!H5,'06_Medicion_inicial'!F5+(1-'06_Medicion_inicial'!E5)*'07_Pagos_variables'!G5,0))</f>
        <v/>
      </c>
      <c r="H50" s="21">
        <f>E50+F50-G50</f>
        <v/>
      </c>
      <c r="I50" s="21" t="n">
        <v>0</v>
      </c>
      <c r="J50" s="21">
        <f>H50+I50</f>
        <v/>
      </c>
    </row>
    <row r="51">
      <c r="A51" s="18" t="inlineStr">
        <is>
          <t>C-01</t>
        </is>
      </c>
      <c r="B51" s="33" t="n">
        <v>47</v>
      </c>
      <c r="C51" s="29" t="n">
        <v>46722</v>
      </c>
      <c r="D51" s="35">
        <f>'06_Medicion_inicial'!J5</f>
        <v/>
      </c>
      <c r="E51" s="20">
        <f>J50</f>
        <v/>
      </c>
      <c r="F51" s="20">
        <f>E51*D51</f>
        <v/>
      </c>
      <c r="G51" s="20">
        <f>IF(B51&lt;'05_Plazo'!H5,'07_Pagos_variables'!G5,IF(B51='05_Plazo'!H5,'06_Medicion_inicial'!F5+(1-'06_Medicion_inicial'!E5)*'07_Pagos_variables'!G5,0))</f>
        <v/>
      </c>
      <c r="H51" s="20">
        <f>E51+F51-G51</f>
        <v/>
      </c>
      <c r="I51" s="20" t="n">
        <v>0</v>
      </c>
      <c r="J51" s="20">
        <f>H51+I51</f>
        <v/>
      </c>
    </row>
    <row r="52">
      <c r="A52" s="19" t="inlineStr">
        <is>
          <t>C-01</t>
        </is>
      </c>
      <c r="B52" s="34" t="n">
        <v>48</v>
      </c>
      <c r="C52" s="31" t="n">
        <v>46753</v>
      </c>
      <c r="D52" s="36">
        <f>'06_Medicion_inicial'!J5</f>
        <v/>
      </c>
      <c r="E52" s="21">
        <f>J51</f>
        <v/>
      </c>
      <c r="F52" s="21">
        <f>E52*D52</f>
        <v/>
      </c>
      <c r="G52" s="21">
        <f>IF(B52&lt;'05_Plazo'!H5,'07_Pagos_variables'!G5,IF(B52='05_Plazo'!H5,'06_Medicion_inicial'!F5+(1-'06_Medicion_inicial'!E5)*'07_Pagos_variables'!G5,0))</f>
        <v/>
      </c>
      <c r="H52" s="21">
        <f>E52+F52-G52</f>
        <v/>
      </c>
      <c r="I52" s="21" t="n">
        <v>0</v>
      </c>
      <c r="J52" s="21">
        <f>H52+I52</f>
        <v/>
      </c>
    </row>
    <row r="53">
      <c r="A53" s="18" t="inlineStr">
        <is>
          <t>C-01</t>
        </is>
      </c>
      <c r="B53" s="33" t="n">
        <v>49</v>
      </c>
      <c r="C53" s="29" t="n">
        <v>46784</v>
      </c>
      <c r="D53" s="35">
        <f>'06_Medicion_inicial'!J5</f>
        <v/>
      </c>
      <c r="E53" s="20">
        <f>J52</f>
        <v/>
      </c>
      <c r="F53" s="20">
        <f>E53*D53</f>
        <v/>
      </c>
      <c r="G53" s="20">
        <f>IF(B53&lt;'05_Plazo'!H5,'07_Pagos_variables'!G5,IF(B53='05_Plazo'!H5,'06_Medicion_inicial'!F5+(1-'06_Medicion_inicial'!E5)*'07_Pagos_variables'!G5,0))</f>
        <v/>
      </c>
      <c r="H53" s="20">
        <f>E53+F53-G53</f>
        <v/>
      </c>
      <c r="I53" s="20" t="n">
        <v>0</v>
      </c>
      <c r="J53" s="20">
        <f>H53+I53</f>
        <v/>
      </c>
    </row>
    <row r="54">
      <c r="A54" s="19" t="inlineStr">
        <is>
          <t>C-01</t>
        </is>
      </c>
      <c r="B54" s="34" t="n">
        <v>50</v>
      </c>
      <c r="C54" s="31" t="n">
        <v>46813</v>
      </c>
      <c r="D54" s="36">
        <f>'06_Medicion_inicial'!J5</f>
        <v/>
      </c>
      <c r="E54" s="21">
        <f>J53</f>
        <v/>
      </c>
      <c r="F54" s="21">
        <f>E54*D54</f>
        <v/>
      </c>
      <c r="G54" s="21">
        <f>IF(B54&lt;'05_Plazo'!H5,'07_Pagos_variables'!G5,IF(B54='05_Plazo'!H5,'06_Medicion_inicial'!F5+(1-'06_Medicion_inicial'!E5)*'07_Pagos_variables'!G5,0))</f>
        <v/>
      </c>
      <c r="H54" s="21">
        <f>E54+F54-G54</f>
        <v/>
      </c>
      <c r="I54" s="21" t="n">
        <v>0</v>
      </c>
      <c r="J54" s="21">
        <f>H54+I54</f>
        <v/>
      </c>
    </row>
    <row r="55">
      <c r="A55" s="18" t="inlineStr">
        <is>
          <t>C-01</t>
        </is>
      </c>
      <c r="B55" s="33" t="n">
        <v>51</v>
      </c>
      <c r="C55" s="29" t="n">
        <v>46844</v>
      </c>
      <c r="D55" s="35">
        <f>'06_Medicion_inicial'!J5</f>
        <v/>
      </c>
      <c r="E55" s="20">
        <f>J54</f>
        <v/>
      </c>
      <c r="F55" s="20">
        <f>E55*D55</f>
        <v/>
      </c>
      <c r="G55" s="20">
        <f>IF(B55&lt;'05_Plazo'!H5,'07_Pagos_variables'!G5,IF(B55='05_Plazo'!H5,'06_Medicion_inicial'!F5+(1-'06_Medicion_inicial'!E5)*'07_Pagos_variables'!G5,0))</f>
        <v/>
      </c>
      <c r="H55" s="20">
        <f>E55+F55-G55</f>
        <v/>
      </c>
      <c r="I55" s="20" t="n">
        <v>0</v>
      </c>
      <c r="J55" s="20">
        <f>H55+I55</f>
        <v/>
      </c>
    </row>
    <row r="56">
      <c r="A56" s="19" t="inlineStr">
        <is>
          <t>C-01</t>
        </is>
      </c>
      <c r="B56" s="34" t="n">
        <v>52</v>
      </c>
      <c r="C56" s="31" t="n">
        <v>46874</v>
      </c>
      <c r="D56" s="36">
        <f>'06_Medicion_inicial'!J5</f>
        <v/>
      </c>
      <c r="E56" s="21">
        <f>J55</f>
        <v/>
      </c>
      <c r="F56" s="21">
        <f>E56*D56</f>
        <v/>
      </c>
      <c r="G56" s="21">
        <f>IF(B56&lt;'05_Plazo'!H5,'07_Pagos_variables'!G5,IF(B56='05_Plazo'!H5,'06_Medicion_inicial'!F5+(1-'06_Medicion_inicial'!E5)*'07_Pagos_variables'!G5,0))</f>
        <v/>
      </c>
      <c r="H56" s="21">
        <f>E56+F56-G56</f>
        <v/>
      </c>
      <c r="I56" s="21" t="n">
        <v>0</v>
      </c>
      <c r="J56" s="21">
        <f>H56+I56</f>
        <v/>
      </c>
    </row>
    <row r="57">
      <c r="A57" s="18" t="inlineStr">
        <is>
          <t>C-01</t>
        </is>
      </c>
      <c r="B57" s="33" t="n">
        <v>53</v>
      </c>
      <c r="C57" s="29" t="n">
        <v>46905</v>
      </c>
      <c r="D57" s="35">
        <f>'06_Medicion_inicial'!J5</f>
        <v/>
      </c>
      <c r="E57" s="20">
        <f>J56</f>
        <v/>
      </c>
      <c r="F57" s="20">
        <f>E57*D57</f>
        <v/>
      </c>
      <c r="G57" s="20">
        <f>IF(B57&lt;'05_Plazo'!H5,'07_Pagos_variables'!G5,IF(B57='05_Plazo'!H5,'06_Medicion_inicial'!F5+(1-'06_Medicion_inicial'!E5)*'07_Pagos_variables'!G5,0))</f>
        <v/>
      </c>
      <c r="H57" s="20">
        <f>E57+F57-G57</f>
        <v/>
      </c>
      <c r="I57" s="20" t="n">
        <v>0</v>
      </c>
      <c r="J57" s="20">
        <f>H57+I57</f>
        <v/>
      </c>
    </row>
    <row r="58">
      <c r="A58" s="19" t="inlineStr">
        <is>
          <t>C-01</t>
        </is>
      </c>
      <c r="B58" s="34" t="n">
        <v>54</v>
      </c>
      <c r="C58" s="31" t="n">
        <v>46935</v>
      </c>
      <c r="D58" s="36">
        <f>'06_Medicion_inicial'!J5</f>
        <v/>
      </c>
      <c r="E58" s="21">
        <f>J57</f>
        <v/>
      </c>
      <c r="F58" s="21">
        <f>E58*D58</f>
        <v/>
      </c>
      <c r="G58" s="21">
        <f>IF(B58&lt;'05_Plazo'!H5,'07_Pagos_variables'!G5,IF(B58='05_Plazo'!H5,'06_Medicion_inicial'!F5+(1-'06_Medicion_inicial'!E5)*'07_Pagos_variables'!G5,0))</f>
        <v/>
      </c>
      <c r="H58" s="21">
        <f>E58+F58-G58</f>
        <v/>
      </c>
      <c r="I58" s="21" t="n">
        <v>0</v>
      </c>
      <c r="J58" s="21">
        <f>H58+I58</f>
        <v/>
      </c>
    </row>
    <row r="59">
      <c r="A59" s="18" t="inlineStr">
        <is>
          <t>C-01</t>
        </is>
      </c>
      <c r="B59" s="33" t="n">
        <v>55</v>
      </c>
      <c r="C59" s="29" t="n">
        <v>46966</v>
      </c>
      <c r="D59" s="35">
        <f>'06_Medicion_inicial'!J5</f>
        <v/>
      </c>
      <c r="E59" s="20">
        <f>J58</f>
        <v/>
      </c>
      <c r="F59" s="20">
        <f>E59*D59</f>
        <v/>
      </c>
      <c r="G59" s="20">
        <f>IF(B59&lt;'05_Plazo'!H5,'07_Pagos_variables'!G5,IF(B59='05_Plazo'!H5,'06_Medicion_inicial'!F5+(1-'06_Medicion_inicial'!E5)*'07_Pagos_variables'!G5,0))</f>
        <v/>
      </c>
      <c r="H59" s="20">
        <f>E59+F59-G59</f>
        <v/>
      </c>
      <c r="I59" s="20" t="n">
        <v>0</v>
      </c>
      <c r="J59" s="20">
        <f>H59+I59</f>
        <v/>
      </c>
    </row>
    <row r="60">
      <c r="A60" s="19" t="inlineStr">
        <is>
          <t>C-01</t>
        </is>
      </c>
      <c r="B60" s="34" t="n">
        <v>56</v>
      </c>
      <c r="C60" s="31" t="n">
        <v>46997</v>
      </c>
      <c r="D60" s="36">
        <f>'06_Medicion_inicial'!J5</f>
        <v/>
      </c>
      <c r="E60" s="21">
        <f>J59</f>
        <v/>
      </c>
      <c r="F60" s="21">
        <f>E60*D60</f>
        <v/>
      </c>
      <c r="G60" s="21">
        <f>IF(B60&lt;'05_Plazo'!H5,'07_Pagos_variables'!G5,IF(B60='05_Plazo'!H5,'06_Medicion_inicial'!F5+(1-'06_Medicion_inicial'!E5)*'07_Pagos_variables'!G5,0))</f>
        <v/>
      </c>
      <c r="H60" s="21">
        <f>E60+F60-G60</f>
        <v/>
      </c>
      <c r="I60" s="21" t="n">
        <v>0</v>
      </c>
      <c r="J60" s="21">
        <f>H60+I60</f>
        <v/>
      </c>
    </row>
    <row r="61">
      <c r="A61" s="18" t="inlineStr">
        <is>
          <t>C-01</t>
        </is>
      </c>
      <c r="B61" s="33" t="n">
        <v>57</v>
      </c>
      <c r="C61" s="29" t="n">
        <v>47027</v>
      </c>
      <c r="D61" s="35">
        <f>'06_Medicion_inicial'!J5</f>
        <v/>
      </c>
      <c r="E61" s="20">
        <f>J60</f>
        <v/>
      </c>
      <c r="F61" s="20">
        <f>E61*D61</f>
        <v/>
      </c>
      <c r="G61" s="20">
        <f>IF(B61&lt;'05_Plazo'!H5,'07_Pagos_variables'!G5,IF(B61='05_Plazo'!H5,'06_Medicion_inicial'!F5+(1-'06_Medicion_inicial'!E5)*'07_Pagos_variables'!G5,0))</f>
        <v/>
      </c>
      <c r="H61" s="20">
        <f>E61+F61-G61</f>
        <v/>
      </c>
      <c r="I61" s="20" t="n">
        <v>0</v>
      </c>
      <c r="J61" s="20">
        <f>H61+I61</f>
        <v/>
      </c>
    </row>
    <row r="62">
      <c r="A62" s="19" t="inlineStr">
        <is>
          <t>C-01</t>
        </is>
      </c>
      <c r="B62" s="34" t="n">
        <v>58</v>
      </c>
      <c r="C62" s="31" t="n">
        <v>47058</v>
      </c>
      <c r="D62" s="36">
        <f>'06_Medicion_inicial'!J5</f>
        <v/>
      </c>
      <c r="E62" s="21">
        <f>J61</f>
        <v/>
      </c>
      <c r="F62" s="21">
        <f>E62*D62</f>
        <v/>
      </c>
      <c r="G62" s="21">
        <f>IF(B62&lt;'05_Plazo'!H5,'07_Pagos_variables'!G5,IF(B62='05_Plazo'!H5,'06_Medicion_inicial'!F5+(1-'06_Medicion_inicial'!E5)*'07_Pagos_variables'!G5,0))</f>
        <v/>
      </c>
      <c r="H62" s="21">
        <f>E62+F62-G62</f>
        <v/>
      </c>
      <c r="I62" s="21" t="n">
        <v>0</v>
      </c>
      <c r="J62" s="21">
        <f>H62+I62</f>
        <v/>
      </c>
    </row>
    <row r="63">
      <c r="A63" s="18" t="inlineStr">
        <is>
          <t>C-01</t>
        </is>
      </c>
      <c r="B63" s="33" t="n">
        <v>59</v>
      </c>
      <c r="C63" s="29" t="n">
        <v>47088</v>
      </c>
      <c r="D63" s="35">
        <f>'06_Medicion_inicial'!J5</f>
        <v/>
      </c>
      <c r="E63" s="20">
        <f>J62</f>
        <v/>
      </c>
      <c r="F63" s="20">
        <f>E63*D63</f>
        <v/>
      </c>
      <c r="G63" s="20">
        <f>IF(B63&lt;'05_Plazo'!H5,'07_Pagos_variables'!G5,IF(B63='05_Plazo'!H5,'06_Medicion_inicial'!F5+(1-'06_Medicion_inicial'!E5)*'07_Pagos_variables'!G5,0))</f>
        <v/>
      </c>
      <c r="H63" s="20">
        <f>E63+F63-G63</f>
        <v/>
      </c>
      <c r="I63" s="20" t="n">
        <v>0</v>
      </c>
      <c r="J63" s="20">
        <f>H63+I63</f>
        <v/>
      </c>
    </row>
    <row r="64">
      <c r="A64" s="19" t="inlineStr">
        <is>
          <t>C-01</t>
        </is>
      </c>
      <c r="B64" s="34" t="n">
        <v>60</v>
      </c>
      <c r="C64" s="31" t="n">
        <v>47119</v>
      </c>
      <c r="D64" s="36">
        <f>'06_Medicion_inicial'!J5</f>
        <v/>
      </c>
      <c r="E64" s="21">
        <f>J63</f>
        <v/>
      </c>
      <c r="F64" s="21">
        <f>E64*D64</f>
        <v/>
      </c>
      <c r="G64" s="21">
        <f>IF(B64&lt;'05_Plazo'!H5,'07_Pagos_variables'!G5,IF(B64='05_Plazo'!H5,'06_Medicion_inicial'!F5+(1-'06_Medicion_inicial'!E5)*'07_Pagos_variables'!G5,0))</f>
        <v/>
      </c>
      <c r="H64" s="21">
        <f>E64+F64-G64</f>
        <v/>
      </c>
      <c r="I64" s="21" t="n">
        <v>0</v>
      </c>
      <c r="J64" s="21">
        <f>H64+I64</f>
        <v/>
      </c>
    </row>
    <row r="65">
      <c r="A65" s="18" t="inlineStr">
        <is>
          <t>C-02</t>
        </is>
      </c>
      <c r="B65" s="33" t="n">
        <v>1</v>
      </c>
      <c r="C65" s="29" t="n">
        <v>45292</v>
      </c>
      <c r="D65" s="35">
        <f>'06_Medicion_inicial'!J6</f>
        <v/>
      </c>
      <c r="E65" s="20">
        <f>'06_Medicion_inicial'!L6</f>
        <v/>
      </c>
      <c r="F65" s="20">
        <f>E65*D65</f>
        <v/>
      </c>
      <c r="G65" s="20">
        <f>IF(B65&lt;'05_Plazo'!H6,'07_Pagos_variables'!G6,IF(B65='05_Plazo'!H6,'06_Medicion_inicial'!F6+(1-'06_Medicion_inicial'!E6)*'07_Pagos_variables'!G6,0))</f>
        <v/>
      </c>
      <c r="H65" s="20">
        <f>E65+F65-G65</f>
        <v/>
      </c>
      <c r="I65" s="20" t="n">
        <v>0</v>
      </c>
      <c r="J65" s="20">
        <f>H65+I65</f>
        <v/>
      </c>
    </row>
    <row r="66">
      <c r="A66" s="19" t="inlineStr">
        <is>
          <t>C-02</t>
        </is>
      </c>
      <c r="B66" s="34" t="n">
        <v>2</v>
      </c>
      <c r="C66" s="31" t="n">
        <v>45658</v>
      </c>
      <c r="D66" s="36">
        <f>'06_Medicion_inicial'!J6</f>
        <v/>
      </c>
      <c r="E66" s="21">
        <f>J65</f>
        <v/>
      </c>
      <c r="F66" s="21">
        <f>E66*D66</f>
        <v/>
      </c>
      <c r="G66" s="21">
        <f>IF(B66&lt;'05_Plazo'!H6,'07_Pagos_variables'!G6,IF(B66='05_Plazo'!H6,'06_Medicion_inicial'!F6+(1-'06_Medicion_inicial'!E6)*'07_Pagos_variables'!G6,0))</f>
        <v/>
      </c>
      <c r="H66" s="21">
        <f>E66+F66-G66</f>
        <v/>
      </c>
      <c r="I66" s="21" t="n">
        <v>0</v>
      </c>
      <c r="J66" s="21">
        <f>H66+I66</f>
        <v/>
      </c>
    </row>
    <row r="67">
      <c r="A67" s="18" t="inlineStr">
        <is>
          <t>C-02</t>
        </is>
      </c>
      <c r="B67" s="33" t="n">
        <v>3</v>
      </c>
      <c r="C67" s="29" t="n">
        <v>46023</v>
      </c>
      <c r="D67" s="35">
        <f>'06_Medicion_inicial'!J6</f>
        <v/>
      </c>
      <c r="E67" s="20">
        <f>J66</f>
        <v/>
      </c>
      <c r="F67" s="20">
        <f>E67*D67</f>
        <v/>
      </c>
      <c r="G67" s="20">
        <f>IF(B67&lt;'05_Plazo'!H6,'07_Pagos_variables'!G6,IF(B67='05_Plazo'!H6,'06_Medicion_inicial'!F6+(1-'06_Medicion_inicial'!E6)*'07_Pagos_variables'!G6,0))</f>
        <v/>
      </c>
      <c r="H67" s="20">
        <f>E67+F67-G67</f>
        <v/>
      </c>
      <c r="I67" s="20" t="n">
        <v>0</v>
      </c>
      <c r="J67" s="20">
        <f>H67+I67</f>
        <v/>
      </c>
    </row>
    <row r="68">
      <c r="A68" s="19" t="inlineStr">
        <is>
          <t>C-02</t>
        </is>
      </c>
      <c r="B68" s="34" t="n">
        <v>4</v>
      </c>
      <c r="C68" s="31" t="n">
        <v>46388</v>
      </c>
      <c r="D68" s="36">
        <f>'06_Medicion_inicial'!J6</f>
        <v/>
      </c>
      <c r="E68" s="21">
        <f>J67</f>
        <v/>
      </c>
      <c r="F68" s="21">
        <f>E68*D68</f>
        <v/>
      </c>
      <c r="G68" s="21">
        <f>IF(B68&lt;'05_Plazo'!H6,'07_Pagos_variables'!G6,IF(B68='05_Plazo'!H6,'06_Medicion_inicial'!F6+(1-'06_Medicion_inicial'!E6)*'07_Pagos_variables'!G6,0))</f>
        <v/>
      </c>
      <c r="H68" s="21">
        <f>E68+F68-G68</f>
        <v/>
      </c>
      <c r="I68" s="21" t="n">
        <v>0</v>
      </c>
      <c r="J68" s="21">
        <f>H68+I68</f>
        <v/>
      </c>
    </row>
    <row r="69">
      <c r="A69" s="18" t="inlineStr">
        <is>
          <t>C-02</t>
        </is>
      </c>
      <c r="B69" s="33" t="n">
        <v>5</v>
      </c>
      <c r="C69" s="29" t="n">
        <v>46753</v>
      </c>
      <c r="D69" s="35">
        <f>'06_Medicion_inicial'!J6</f>
        <v/>
      </c>
      <c r="E69" s="20">
        <f>J68</f>
        <v/>
      </c>
      <c r="F69" s="20">
        <f>E69*D69</f>
        <v/>
      </c>
      <c r="G69" s="20">
        <f>IF(B69&lt;'05_Plazo'!H6,'07_Pagos_variables'!G6,IF(B69='05_Plazo'!H6,'06_Medicion_inicial'!F6+(1-'06_Medicion_inicial'!E6)*'07_Pagos_variables'!G6,0))</f>
        <v/>
      </c>
      <c r="H69" s="20">
        <f>E69+F69-G69</f>
        <v/>
      </c>
      <c r="I69" s="20" t="n">
        <v>0</v>
      </c>
      <c r="J69" s="20">
        <f>H69+I69</f>
        <v/>
      </c>
    </row>
    <row r="70">
      <c r="A70" s="19" t="inlineStr">
        <is>
          <t>C-03</t>
        </is>
      </c>
      <c r="B70" s="34" t="n">
        <v>1</v>
      </c>
      <c r="C70" s="31" t="n">
        <v>45778</v>
      </c>
      <c r="D70" s="36">
        <f>'06_Medicion_inicial'!J7</f>
        <v/>
      </c>
      <c r="E70" s="21">
        <f>'06_Medicion_inicial'!L7</f>
        <v/>
      </c>
      <c r="F70" s="21">
        <f>E70*D70</f>
        <v/>
      </c>
      <c r="G70" s="21">
        <f>IF(B70&lt;'05_Plazo'!H7,'07_Pagos_variables'!G7,IF(B70='05_Plazo'!H7,'06_Medicion_inicial'!F7+(1-'06_Medicion_inicial'!E7)*'07_Pagos_variables'!G7,0))</f>
        <v/>
      </c>
      <c r="H70" s="21">
        <f>E70+F70-G70</f>
        <v/>
      </c>
      <c r="I70" s="21" t="n">
        <v>0</v>
      </c>
      <c r="J70" s="21">
        <f>H70+I70</f>
        <v/>
      </c>
    </row>
    <row r="71">
      <c r="A71" s="18" t="inlineStr">
        <is>
          <t>C-03</t>
        </is>
      </c>
      <c r="B71" s="33" t="n">
        <v>2</v>
      </c>
      <c r="C71" s="29" t="n">
        <v>45809</v>
      </c>
      <c r="D71" s="35">
        <f>'06_Medicion_inicial'!J7</f>
        <v/>
      </c>
      <c r="E71" s="20">
        <f>J70</f>
        <v/>
      </c>
      <c r="F71" s="20">
        <f>E71*D71</f>
        <v/>
      </c>
      <c r="G71" s="20">
        <f>IF(B71&lt;'05_Plazo'!H7,'07_Pagos_variables'!G7,IF(B71='05_Plazo'!H7,'06_Medicion_inicial'!F7+(1-'06_Medicion_inicial'!E7)*'07_Pagos_variables'!G7,0))</f>
        <v/>
      </c>
      <c r="H71" s="20">
        <f>E71+F71-G71</f>
        <v/>
      </c>
      <c r="I71" s="20" t="n">
        <v>0</v>
      </c>
      <c r="J71" s="20">
        <f>H71+I71</f>
        <v/>
      </c>
    </row>
    <row r="72">
      <c r="A72" s="19" t="inlineStr">
        <is>
          <t>C-03</t>
        </is>
      </c>
      <c r="B72" s="34" t="n">
        <v>3</v>
      </c>
      <c r="C72" s="31" t="n">
        <v>45839</v>
      </c>
      <c r="D72" s="36">
        <f>'06_Medicion_inicial'!J7</f>
        <v/>
      </c>
      <c r="E72" s="21">
        <f>J71</f>
        <v/>
      </c>
      <c r="F72" s="21">
        <f>E72*D72</f>
        <v/>
      </c>
      <c r="G72" s="21">
        <f>IF(B72&lt;'05_Plazo'!H7,'07_Pagos_variables'!G7,IF(B72='05_Plazo'!H7,'06_Medicion_inicial'!F7+(1-'06_Medicion_inicial'!E7)*'07_Pagos_variables'!G7,0))</f>
        <v/>
      </c>
      <c r="H72" s="21">
        <f>E72+F72-G72</f>
        <v/>
      </c>
      <c r="I72" s="21" t="n">
        <v>0</v>
      </c>
      <c r="J72" s="21">
        <f>H72+I72</f>
        <v/>
      </c>
    </row>
    <row r="73">
      <c r="A73" s="18" t="inlineStr">
        <is>
          <t>C-03</t>
        </is>
      </c>
      <c r="B73" s="33" t="n">
        <v>4</v>
      </c>
      <c r="C73" s="29" t="n">
        <v>45870</v>
      </c>
      <c r="D73" s="35">
        <f>'06_Medicion_inicial'!J7</f>
        <v/>
      </c>
      <c r="E73" s="20">
        <f>J72</f>
        <v/>
      </c>
      <c r="F73" s="20">
        <f>E73*D73</f>
        <v/>
      </c>
      <c r="G73" s="20">
        <f>IF(B73&lt;'05_Plazo'!H7,'07_Pagos_variables'!G7,IF(B73='05_Plazo'!H7,'06_Medicion_inicial'!F7+(1-'06_Medicion_inicial'!E7)*'07_Pagos_variables'!G7,0))</f>
        <v/>
      </c>
      <c r="H73" s="20">
        <f>E73+F73-G73</f>
        <v/>
      </c>
      <c r="I73" s="20" t="n">
        <v>0</v>
      </c>
      <c r="J73" s="20">
        <f>H73+I73</f>
        <v/>
      </c>
    </row>
    <row r="74">
      <c r="A74" s="19" t="inlineStr">
        <is>
          <t>C-03</t>
        </is>
      </c>
      <c r="B74" s="34" t="n">
        <v>5</v>
      </c>
      <c r="C74" s="31" t="n">
        <v>45901</v>
      </c>
      <c r="D74" s="36">
        <f>'06_Medicion_inicial'!J7</f>
        <v/>
      </c>
      <c r="E74" s="21">
        <f>J73</f>
        <v/>
      </c>
      <c r="F74" s="21">
        <f>E74*D74</f>
        <v/>
      </c>
      <c r="G74" s="21">
        <f>IF(B74&lt;'05_Plazo'!H7,'07_Pagos_variables'!G7,IF(B74='05_Plazo'!H7,'06_Medicion_inicial'!F7+(1-'06_Medicion_inicial'!E7)*'07_Pagos_variables'!G7,0))</f>
        <v/>
      </c>
      <c r="H74" s="21">
        <f>E74+F74-G74</f>
        <v/>
      </c>
      <c r="I74" s="21" t="n">
        <v>0</v>
      </c>
      <c r="J74" s="21">
        <f>H74+I74</f>
        <v/>
      </c>
    </row>
    <row r="75">
      <c r="A75" s="18" t="inlineStr">
        <is>
          <t>C-03</t>
        </is>
      </c>
      <c r="B75" s="33" t="n">
        <v>6</v>
      </c>
      <c r="C75" s="29" t="n">
        <v>45931</v>
      </c>
      <c r="D75" s="35">
        <f>'06_Medicion_inicial'!J7</f>
        <v/>
      </c>
      <c r="E75" s="20">
        <f>J74</f>
        <v/>
      </c>
      <c r="F75" s="20">
        <f>E75*D75</f>
        <v/>
      </c>
      <c r="G75" s="20">
        <f>IF(B75&lt;'05_Plazo'!H7,'07_Pagos_variables'!G7,IF(B75='05_Plazo'!H7,'06_Medicion_inicial'!F7+(1-'06_Medicion_inicial'!E7)*'07_Pagos_variables'!G7,0))</f>
        <v/>
      </c>
      <c r="H75" s="20">
        <f>E75+F75-G75</f>
        <v/>
      </c>
      <c r="I75" s="20" t="n">
        <v>0</v>
      </c>
      <c r="J75" s="20">
        <f>H75+I75</f>
        <v/>
      </c>
    </row>
    <row r="76">
      <c r="A76" s="19" t="inlineStr">
        <is>
          <t>C-03</t>
        </is>
      </c>
      <c r="B76" s="34" t="n">
        <v>7</v>
      </c>
      <c r="C76" s="31" t="n">
        <v>45962</v>
      </c>
      <c r="D76" s="36">
        <f>'06_Medicion_inicial'!J7</f>
        <v/>
      </c>
      <c r="E76" s="21">
        <f>J75</f>
        <v/>
      </c>
      <c r="F76" s="21">
        <f>E76*D76</f>
        <v/>
      </c>
      <c r="G76" s="21">
        <f>IF(B76&lt;'05_Plazo'!H7,'07_Pagos_variables'!G7,IF(B76='05_Plazo'!H7,'06_Medicion_inicial'!F7+(1-'06_Medicion_inicial'!E7)*'07_Pagos_variables'!G7,0))</f>
        <v/>
      </c>
      <c r="H76" s="21">
        <f>E76+F76-G76</f>
        <v/>
      </c>
      <c r="I76" s="21" t="n">
        <v>0</v>
      </c>
      <c r="J76" s="21">
        <f>H76+I76</f>
        <v/>
      </c>
    </row>
    <row r="77">
      <c r="A77" s="18" t="inlineStr">
        <is>
          <t>C-03</t>
        </is>
      </c>
      <c r="B77" s="33" t="n">
        <v>8</v>
      </c>
      <c r="C77" s="29" t="n">
        <v>45992</v>
      </c>
      <c r="D77" s="35">
        <f>'06_Medicion_inicial'!J7</f>
        <v/>
      </c>
      <c r="E77" s="20">
        <f>J76</f>
        <v/>
      </c>
      <c r="F77" s="20">
        <f>E77*D77</f>
        <v/>
      </c>
      <c r="G77" s="20">
        <f>IF(B77&lt;'05_Plazo'!H7,'07_Pagos_variables'!G7,IF(B77='05_Plazo'!H7,'06_Medicion_inicial'!F7+(1-'06_Medicion_inicial'!E7)*'07_Pagos_variables'!G7,0))</f>
        <v/>
      </c>
      <c r="H77" s="20">
        <f>E77+F77-G77</f>
        <v/>
      </c>
      <c r="I77" s="20" t="n">
        <v>0</v>
      </c>
      <c r="J77" s="20">
        <f>H77+I77</f>
        <v/>
      </c>
    </row>
    <row r="78">
      <c r="A78" s="19" t="inlineStr">
        <is>
          <t>C-03</t>
        </is>
      </c>
      <c r="B78" s="34" t="n">
        <v>9</v>
      </c>
      <c r="C78" s="31" t="n">
        <v>46023</v>
      </c>
      <c r="D78" s="36">
        <f>'06_Medicion_inicial'!J7</f>
        <v/>
      </c>
      <c r="E78" s="21">
        <f>J77</f>
        <v/>
      </c>
      <c r="F78" s="21">
        <f>E78*D78</f>
        <v/>
      </c>
      <c r="G78" s="21">
        <f>IF(B78&lt;'05_Plazo'!H7,'07_Pagos_variables'!G7,IF(B78='05_Plazo'!H7,'06_Medicion_inicial'!F7+(1-'06_Medicion_inicial'!E7)*'07_Pagos_variables'!G7,0))</f>
        <v/>
      </c>
      <c r="H78" s="21">
        <f>E78+F78-G78</f>
        <v/>
      </c>
      <c r="I78" s="21" t="n">
        <v>0</v>
      </c>
      <c r="J78" s="21">
        <f>H78+I78</f>
        <v/>
      </c>
    </row>
    <row r="79">
      <c r="A79" s="18" t="inlineStr">
        <is>
          <t>C-03</t>
        </is>
      </c>
      <c r="B79" s="33" t="n">
        <v>10</v>
      </c>
      <c r="C79" s="29" t="n">
        <v>46054</v>
      </c>
      <c r="D79" s="35">
        <f>'06_Medicion_inicial'!J7</f>
        <v/>
      </c>
      <c r="E79" s="20">
        <f>J78</f>
        <v/>
      </c>
      <c r="F79" s="20">
        <f>E79*D79</f>
        <v/>
      </c>
      <c r="G79" s="20">
        <f>IF(B79&lt;'05_Plazo'!H7,'07_Pagos_variables'!G7,IF(B79='05_Plazo'!H7,'06_Medicion_inicial'!F7+(1-'06_Medicion_inicial'!E7)*'07_Pagos_variables'!G7,0))</f>
        <v/>
      </c>
      <c r="H79" s="20">
        <f>E79+F79-G79</f>
        <v/>
      </c>
      <c r="I79" s="20" t="n">
        <v>0</v>
      </c>
      <c r="J79" s="20">
        <f>H79+I79</f>
        <v/>
      </c>
    </row>
    <row r="80">
      <c r="A80" s="19" t="inlineStr">
        <is>
          <t>C-03</t>
        </is>
      </c>
      <c r="B80" s="34" t="n">
        <v>11</v>
      </c>
      <c r="C80" s="31" t="n">
        <v>46082</v>
      </c>
      <c r="D80" s="36">
        <f>'06_Medicion_inicial'!J7</f>
        <v/>
      </c>
      <c r="E80" s="21">
        <f>J79</f>
        <v/>
      </c>
      <c r="F80" s="21">
        <f>E80*D80</f>
        <v/>
      </c>
      <c r="G80" s="21">
        <f>IF(B80&lt;'05_Plazo'!H7,'07_Pagos_variables'!G7,IF(B80='05_Plazo'!H7,'06_Medicion_inicial'!F7+(1-'06_Medicion_inicial'!E7)*'07_Pagos_variables'!G7,0))</f>
        <v/>
      </c>
      <c r="H80" s="21">
        <f>E80+F80-G80</f>
        <v/>
      </c>
      <c r="I80" s="21" t="n">
        <v>0</v>
      </c>
      <c r="J80" s="21">
        <f>H80+I80</f>
        <v/>
      </c>
    </row>
    <row r="81">
      <c r="A81" s="18" t="inlineStr">
        <is>
          <t>C-03</t>
        </is>
      </c>
      <c r="B81" s="33" t="n">
        <v>12</v>
      </c>
      <c r="C81" s="29" t="n">
        <v>46113</v>
      </c>
      <c r="D81" s="35">
        <f>'06_Medicion_inicial'!J7</f>
        <v/>
      </c>
      <c r="E81" s="20">
        <f>J80</f>
        <v/>
      </c>
      <c r="F81" s="20">
        <f>E81*D81</f>
        <v/>
      </c>
      <c r="G81" s="20">
        <f>IF(B81&lt;'05_Plazo'!H7,'07_Pagos_variables'!G7,IF(B81='05_Plazo'!H7,'06_Medicion_inicial'!F7+(1-'06_Medicion_inicial'!E7)*'07_Pagos_variables'!G7,0))</f>
        <v/>
      </c>
      <c r="H81" s="20">
        <f>E81+F81-G81</f>
        <v/>
      </c>
      <c r="I81" s="20" t="n">
        <v>0</v>
      </c>
      <c r="J81" s="20">
        <f>H81+I81</f>
        <v/>
      </c>
    </row>
    <row r="82">
      <c r="A82" s="19" t="inlineStr">
        <is>
          <t>C-03</t>
        </is>
      </c>
      <c r="B82" s="34" t="n">
        <v>13</v>
      </c>
      <c r="C82" s="31" t="n">
        <v>46143</v>
      </c>
      <c r="D82" s="36">
        <f>'06_Medicion_inicial'!J7</f>
        <v/>
      </c>
      <c r="E82" s="21">
        <f>J81</f>
        <v/>
      </c>
      <c r="F82" s="21">
        <f>E82*D82</f>
        <v/>
      </c>
      <c r="G82" s="21">
        <f>IF(B82&lt;'05_Plazo'!H7,'07_Pagos_variables'!G7,IF(B82='05_Plazo'!H7,'06_Medicion_inicial'!F7+(1-'06_Medicion_inicial'!E7)*'07_Pagos_variables'!G7,0))</f>
        <v/>
      </c>
      <c r="H82" s="21">
        <f>E82+F82-G82</f>
        <v/>
      </c>
      <c r="I82" s="21" t="n">
        <v>0</v>
      </c>
      <c r="J82" s="21">
        <f>H82+I82</f>
        <v/>
      </c>
    </row>
    <row r="83">
      <c r="A83" s="18" t="inlineStr">
        <is>
          <t>C-03</t>
        </is>
      </c>
      <c r="B83" s="33" t="n">
        <v>14</v>
      </c>
      <c r="C83" s="29" t="n">
        <v>46174</v>
      </c>
      <c r="D83" s="35">
        <f>'06_Medicion_inicial'!J7</f>
        <v/>
      </c>
      <c r="E83" s="20">
        <f>J82</f>
        <v/>
      </c>
      <c r="F83" s="20">
        <f>E83*D83</f>
        <v/>
      </c>
      <c r="G83" s="20">
        <f>IF(B83&lt;'05_Plazo'!H7,'07_Pagos_variables'!G7,IF(B83='05_Plazo'!H7,'06_Medicion_inicial'!F7+(1-'06_Medicion_inicial'!E7)*'07_Pagos_variables'!G7,0))</f>
        <v/>
      </c>
      <c r="H83" s="20">
        <f>E83+F83-G83</f>
        <v/>
      </c>
      <c r="I83" s="20" t="n">
        <v>0</v>
      </c>
      <c r="J83" s="20">
        <f>H83+I83</f>
        <v/>
      </c>
    </row>
    <row r="84">
      <c r="A84" s="19" t="inlineStr">
        <is>
          <t>C-03</t>
        </is>
      </c>
      <c r="B84" s="34" t="n">
        <v>15</v>
      </c>
      <c r="C84" s="31" t="n">
        <v>46204</v>
      </c>
      <c r="D84" s="36">
        <f>'06_Medicion_inicial'!J7</f>
        <v/>
      </c>
      <c r="E84" s="21">
        <f>J83</f>
        <v/>
      </c>
      <c r="F84" s="21">
        <f>E84*D84</f>
        <v/>
      </c>
      <c r="G84" s="21">
        <f>IF(B84&lt;'05_Plazo'!H7,'07_Pagos_variables'!G7,IF(B84='05_Plazo'!H7,'06_Medicion_inicial'!F7+(1-'06_Medicion_inicial'!E7)*'07_Pagos_variables'!G7,0))</f>
        <v/>
      </c>
      <c r="H84" s="21">
        <f>E84+F84-G84</f>
        <v/>
      </c>
      <c r="I84" s="21" t="n">
        <v>0</v>
      </c>
      <c r="J84" s="21">
        <f>H84+I84</f>
        <v/>
      </c>
    </row>
    <row r="85">
      <c r="A85" s="18" t="inlineStr">
        <is>
          <t>C-03</t>
        </is>
      </c>
      <c r="B85" s="33" t="n">
        <v>16</v>
      </c>
      <c r="C85" s="29" t="n">
        <v>46235</v>
      </c>
      <c r="D85" s="35">
        <f>'06_Medicion_inicial'!J7</f>
        <v/>
      </c>
      <c r="E85" s="20">
        <f>J84</f>
        <v/>
      </c>
      <c r="F85" s="20">
        <f>E85*D85</f>
        <v/>
      </c>
      <c r="G85" s="20">
        <f>IF(B85&lt;'05_Plazo'!H7,'07_Pagos_variables'!G7,IF(B85='05_Plazo'!H7,'06_Medicion_inicial'!F7+(1-'06_Medicion_inicial'!E7)*'07_Pagos_variables'!G7,0))</f>
        <v/>
      </c>
      <c r="H85" s="20">
        <f>E85+F85-G85</f>
        <v/>
      </c>
      <c r="I85" s="20" t="n">
        <v>0</v>
      </c>
      <c r="J85" s="20">
        <f>H85+I85</f>
        <v/>
      </c>
    </row>
    <row r="86">
      <c r="A86" s="19" t="inlineStr">
        <is>
          <t>C-03</t>
        </is>
      </c>
      <c r="B86" s="34" t="n">
        <v>17</v>
      </c>
      <c r="C86" s="31" t="n">
        <v>46266</v>
      </c>
      <c r="D86" s="36">
        <f>'06_Medicion_inicial'!J7</f>
        <v/>
      </c>
      <c r="E86" s="21">
        <f>J85</f>
        <v/>
      </c>
      <c r="F86" s="21">
        <f>E86*D86</f>
        <v/>
      </c>
      <c r="G86" s="21">
        <f>IF(B86&lt;'05_Plazo'!H7,'07_Pagos_variables'!G7,IF(B86='05_Plazo'!H7,'06_Medicion_inicial'!F7+(1-'06_Medicion_inicial'!E7)*'07_Pagos_variables'!G7,0))</f>
        <v/>
      </c>
      <c r="H86" s="21">
        <f>E86+F86-G86</f>
        <v/>
      </c>
      <c r="I86" s="21" t="n">
        <v>0</v>
      </c>
      <c r="J86" s="21">
        <f>H86+I86</f>
        <v/>
      </c>
    </row>
    <row r="87">
      <c r="A87" s="18" t="inlineStr">
        <is>
          <t>C-03</t>
        </is>
      </c>
      <c r="B87" s="33" t="n">
        <v>18</v>
      </c>
      <c r="C87" s="29" t="n">
        <v>46296</v>
      </c>
      <c r="D87" s="35">
        <f>'06_Medicion_inicial'!J7</f>
        <v/>
      </c>
      <c r="E87" s="20">
        <f>J86</f>
        <v/>
      </c>
      <c r="F87" s="20">
        <f>E87*D87</f>
        <v/>
      </c>
      <c r="G87" s="20">
        <f>IF(B87&lt;'05_Plazo'!H7,'07_Pagos_variables'!G7,IF(B87='05_Plazo'!H7,'06_Medicion_inicial'!F7+(1-'06_Medicion_inicial'!E7)*'07_Pagos_variables'!G7,0))</f>
        <v/>
      </c>
      <c r="H87" s="20">
        <f>E87+F87-G87</f>
        <v/>
      </c>
      <c r="I87" s="20" t="n">
        <v>0</v>
      </c>
      <c r="J87" s="20">
        <f>H87+I87</f>
        <v/>
      </c>
    </row>
    <row r="88">
      <c r="A88" s="19" t="inlineStr">
        <is>
          <t>C-03</t>
        </is>
      </c>
      <c r="B88" s="34" t="n">
        <v>19</v>
      </c>
      <c r="C88" s="31" t="n">
        <v>46327</v>
      </c>
      <c r="D88" s="36">
        <f>'06_Medicion_inicial'!J7</f>
        <v/>
      </c>
      <c r="E88" s="21">
        <f>J87</f>
        <v/>
      </c>
      <c r="F88" s="21">
        <f>E88*D88</f>
        <v/>
      </c>
      <c r="G88" s="21">
        <f>IF(B88&lt;'05_Plazo'!H7,'07_Pagos_variables'!G7,IF(B88='05_Plazo'!H7,'06_Medicion_inicial'!F7+(1-'06_Medicion_inicial'!E7)*'07_Pagos_variables'!G7,0))</f>
        <v/>
      </c>
      <c r="H88" s="21">
        <f>E88+F88-G88</f>
        <v/>
      </c>
      <c r="I88" s="21" t="n">
        <v>0</v>
      </c>
      <c r="J88" s="21">
        <f>H88+I88</f>
        <v/>
      </c>
    </row>
    <row r="89">
      <c r="A89" s="18" t="inlineStr">
        <is>
          <t>C-03</t>
        </is>
      </c>
      <c r="B89" s="33" t="n">
        <v>20</v>
      </c>
      <c r="C89" s="29" t="n">
        <v>46357</v>
      </c>
      <c r="D89" s="35">
        <f>'06_Medicion_inicial'!J7</f>
        <v/>
      </c>
      <c r="E89" s="20">
        <f>J88</f>
        <v/>
      </c>
      <c r="F89" s="20">
        <f>E89*D89</f>
        <v/>
      </c>
      <c r="G89" s="20">
        <f>IF(B89&lt;'05_Plazo'!H7,'07_Pagos_variables'!G7,IF(B89='05_Plazo'!H7,'06_Medicion_inicial'!F7+(1-'06_Medicion_inicial'!E7)*'07_Pagos_variables'!G7,0))</f>
        <v/>
      </c>
      <c r="H89" s="20">
        <f>E89+F89-G89</f>
        <v/>
      </c>
      <c r="I89" s="20" t="n">
        <v>0</v>
      </c>
      <c r="J89" s="20">
        <f>H89+I89</f>
        <v/>
      </c>
    </row>
    <row r="90">
      <c r="A90" s="19" t="inlineStr">
        <is>
          <t>C-03</t>
        </is>
      </c>
      <c r="B90" s="34" t="n">
        <v>21</v>
      </c>
      <c r="C90" s="31" t="n">
        <v>46388</v>
      </c>
      <c r="D90" s="36">
        <f>'06_Medicion_inicial'!J7</f>
        <v/>
      </c>
      <c r="E90" s="21">
        <f>J89</f>
        <v/>
      </c>
      <c r="F90" s="21">
        <f>E90*D90</f>
        <v/>
      </c>
      <c r="G90" s="21">
        <f>IF(B90&lt;'05_Plazo'!H7,'07_Pagos_variables'!G7,IF(B90='05_Plazo'!H7,'06_Medicion_inicial'!F7+(1-'06_Medicion_inicial'!E7)*'07_Pagos_variables'!G7,0))</f>
        <v/>
      </c>
      <c r="H90" s="21">
        <f>E90+F90-G90</f>
        <v/>
      </c>
      <c r="I90" s="21" t="n">
        <v>0</v>
      </c>
      <c r="J90" s="21">
        <f>H90+I90</f>
        <v/>
      </c>
    </row>
    <row r="91">
      <c r="A91" s="18" t="inlineStr">
        <is>
          <t>C-03</t>
        </is>
      </c>
      <c r="B91" s="33" t="n">
        <v>22</v>
      </c>
      <c r="C91" s="29" t="n">
        <v>46419</v>
      </c>
      <c r="D91" s="35">
        <f>'06_Medicion_inicial'!J7</f>
        <v/>
      </c>
      <c r="E91" s="20">
        <f>J90</f>
        <v/>
      </c>
      <c r="F91" s="20">
        <f>E91*D91</f>
        <v/>
      </c>
      <c r="G91" s="20">
        <f>IF(B91&lt;'05_Plazo'!H7,'07_Pagos_variables'!G7,IF(B91='05_Plazo'!H7,'06_Medicion_inicial'!F7+(1-'06_Medicion_inicial'!E7)*'07_Pagos_variables'!G7,0))</f>
        <v/>
      </c>
      <c r="H91" s="20">
        <f>E91+F91-G91</f>
        <v/>
      </c>
      <c r="I91" s="20" t="n">
        <v>0</v>
      </c>
      <c r="J91" s="20">
        <f>H91+I91</f>
        <v/>
      </c>
    </row>
    <row r="92">
      <c r="A92" s="19" t="inlineStr">
        <is>
          <t>C-03</t>
        </is>
      </c>
      <c r="B92" s="34" t="n">
        <v>23</v>
      </c>
      <c r="C92" s="31" t="n">
        <v>46447</v>
      </c>
      <c r="D92" s="36">
        <f>'06_Medicion_inicial'!J7</f>
        <v/>
      </c>
      <c r="E92" s="21">
        <f>J91</f>
        <v/>
      </c>
      <c r="F92" s="21">
        <f>E92*D92</f>
        <v/>
      </c>
      <c r="G92" s="21">
        <f>IF(B92&lt;'05_Plazo'!H7,'07_Pagos_variables'!G7,IF(B92='05_Plazo'!H7,'06_Medicion_inicial'!F7+(1-'06_Medicion_inicial'!E7)*'07_Pagos_variables'!G7,0))</f>
        <v/>
      </c>
      <c r="H92" s="21">
        <f>E92+F92-G92</f>
        <v/>
      </c>
      <c r="I92" s="21" t="n">
        <v>0</v>
      </c>
      <c r="J92" s="21">
        <f>H92+I92</f>
        <v/>
      </c>
    </row>
    <row r="93">
      <c r="A93" s="18" t="inlineStr">
        <is>
          <t>C-03</t>
        </is>
      </c>
      <c r="B93" s="33" t="n">
        <v>24</v>
      </c>
      <c r="C93" s="29" t="n">
        <v>46478</v>
      </c>
      <c r="D93" s="35">
        <f>'06_Medicion_inicial'!J7</f>
        <v/>
      </c>
      <c r="E93" s="20">
        <f>J92</f>
        <v/>
      </c>
      <c r="F93" s="20">
        <f>E93*D93</f>
        <v/>
      </c>
      <c r="G93" s="20">
        <f>IF(B93&lt;'05_Plazo'!H7,'07_Pagos_variables'!G7,IF(B93='05_Plazo'!H7,'06_Medicion_inicial'!F7+(1-'06_Medicion_inicial'!E7)*'07_Pagos_variables'!G7,0))</f>
        <v/>
      </c>
      <c r="H93" s="20">
        <f>E93+F93-G93</f>
        <v/>
      </c>
      <c r="I93" s="20" t="n">
        <v>0</v>
      </c>
      <c r="J93" s="20">
        <f>H93+I93</f>
        <v/>
      </c>
    </row>
    <row r="94">
      <c r="A94" s="19" t="inlineStr">
        <is>
          <t>C-03</t>
        </is>
      </c>
      <c r="B94" s="34" t="n">
        <v>25</v>
      </c>
      <c r="C94" s="31" t="n">
        <v>46508</v>
      </c>
      <c r="D94" s="36">
        <f>'06_Medicion_inicial'!J7</f>
        <v/>
      </c>
      <c r="E94" s="21">
        <f>J93</f>
        <v/>
      </c>
      <c r="F94" s="21">
        <f>E94*D94</f>
        <v/>
      </c>
      <c r="G94" s="21">
        <f>IF(B94&lt;'05_Plazo'!H7,'07_Pagos_variables'!G7,IF(B94='05_Plazo'!H7,'06_Medicion_inicial'!F7+(1-'06_Medicion_inicial'!E7)*'07_Pagos_variables'!G7,0))</f>
        <v/>
      </c>
      <c r="H94" s="21">
        <f>E94+F94-G94</f>
        <v/>
      </c>
      <c r="I94" s="21" t="n">
        <v>0</v>
      </c>
      <c r="J94" s="21">
        <f>H94+I94</f>
        <v/>
      </c>
    </row>
    <row r="95">
      <c r="A95" s="18" t="inlineStr">
        <is>
          <t>C-03</t>
        </is>
      </c>
      <c r="B95" s="33" t="n">
        <v>26</v>
      </c>
      <c r="C95" s="29" t="n">
        <v>46539</v>
      </c>
      <c r="D95" s="35">
        <f>'06_Medicion_inicial'!J7</f>
        <v/>
      </c>
      <c r="E95" s="20">
        <f>J94</f>
        <v/>
      </c>
      <c r="F95" s="20">
        <f>E95*D95</f>
        <v/>
      </c>
      <c r="G95" s="20">
        <f>IF(B95&lt;'05_Plazo'!H7,'07_Pagos_variables'!G7,IF(B95='05_Plazo'!H7,'06_Medicion_inicial'!F7+(1-'06_Medicion_inicial'!E7)*'07_Pagos_variables'!G7,0))</f>
        <v/>
      </c>
      <c r="H95" s="20">
        <f>E95+F95-G95</f>
        <v/>
      </c>
      <c r="I95" s="20" t="n">
        <v>0</v>
      </c>
      <c r="J95" s="20">
        <f>H95+I95</f>
        <v/>
      </c>
    </row>
    <row r="96">
      <c r="A96" s="19" t="inlineStr">
        <is>
          <t>C-03</t>
        </is>
      </c>
      <c r="B96" s="34" t="n">
        <v>27</v>
      </c>
      <c r="C96" s="31" t="n">
        <v>46569</v>
      </c>
      <c r="D96" s="36">
        <f>'06_Medicion_inicial'!J7</f>
        <v/>
      </c>
      <c r="E96" s="21">
        <f>J95</f>
        <v/>
      </c>
      <c r="F96" s="21">
        <f>E96*D96</f>
        <v/>
      </c>
      <c r="G96" s="21">
        <f>IF(B96&lt;'05_Plazo'!H7,'07_Pagos_variables'!G7,IF(B96='05_Plazo'!H7,'06_Medicion_inicial'!F7+(1-'06_Medicion_inicial'!E7)*'07_Pagos_variables'!G7,0))</f>
        <v/>
      </c>
      <c r="H96" s="21">
        <f>E96+F96-G96</f>
        <v/>
      </c>
      <c r="I96" s="21" t="n">
        <v>0</v>
      </c>
      <c r="J96" s="21">
        <f>H96+I96</f>
        <v/>
      </c>
    </row>
    <row r="97">
      <c r="A97" s="18" t="inlineStr">
        <is>
          <t>C-03</t>
        </is>
      </c>
      <c r="B97" s="33" t="n">
        <v>28</v>
      </c>
      <c r="C97" s="29" t="n">
        <v>46600</v>
      </c>
      <c r="D97" s="35">
        <f>'06_Medicion_inicial'!J7</f>
        <v/>
      </c>
      <c r="E97" s="20">
        <f>J96</f>
        <v/>
      </c>
      <c r="F97" s="20">
        <f>E97*D97</f>
        <v/>
      </c>
      <c r="G97" s="20">
        <f>IF(B97&lt;'05_Plazo'!H7,'07_Pagos_variables'!G7,IF(B97='05_Plazo'!H7,'06_Medicion_inicial'!F7+(1-'06_Medicion_inicial'!E7)*'07_Pagos_variables'!G7,0))</f>
        <v/>
      </c>
      <c r="H97" s="20">
        <f>E97+F97-G97</f>
        <v/>
      </c>
      <c r="I97" s="20" t="n">
        <v>0</v>
      </c>
      <c r="J97" s="20">
        <f>H97+I97</f>
        <v/>
      </c>
    </row>
    <row r="98">
      <c r="A98" s="19" t="inlineStr">
        <is>
          <t>C-03</t>
        </is>
      </c>
      <c r="B98" s="34" t="n">
        <v>29</v>
      </c>
      <c r="C98" s="31" t="n">
        <v>46631</v>
      </c>
      <c r="D98" s="36">
        <f>'06_Medicion_inicial'!J7</f>
        <v/>
      </c>
      <c r="E98" s="21">
        <f>J97</f>
        <v/>
      </c>
      <c r="F98" s="21">
        <f>E98*D98</f>
        <v/>
      </c>
      <c r="G98" s="21">
        <f>IF(B98&lt;'05_Plazo'!H7,'07_Pagos_variables'!G7,IF(B98='05_Plazo'!H7,'06_Medicion_inicial'!F7+(1-'06_Medicion_inicial'!E7)*'07_Pagos_variables'!G7,0))</f>
        <v/>
      </c>
      <c r="H98" s="21">
        <f>E98+F98-G98</f>
        <v/>
      </c>
      <c r="I98" s="21" t="n">
        <v>0</v>
      </c>
      <c r="J98" s="21">
        <f>H98+I98</f>
        <v/>
      </c>
    </row>
    <row r="99">
      <c r="A99" s="18" t="inlineStr">
        <is>
          <t>C-03</t>
        </is>
      </c>
      <c r="B99" s="33" t="n">
        <v>30</v>
      </c>
      <c r="C99" s="29" t="n">
        <v>46661</v>
      </c>
      <c r="D99" s="35">
        <f>'06_Medicion_inicial'!J7</f>
        <v/>
      </c>
      <c r="E99" s="20">
        <f>J98</f>
        <v/>
      </c>
      <c r="F99" s="20">
        <f>E99*D99</f>
        <v/>
      </c>
      <c r="G99" s="20">
        <f>IF(B99&lt;'05_Plazo'!H7,'07_Pagos_variables'!G7,IF(B99='05_Plazo'!H7,'06_Medicion_inicial'!F7+(1-'06_Medicion_inicial'!E7)*'07_Pagos_variables'!G7,0))</f>
        <v/>
      </c>
      <c r="H99" s="20">
        <f>E99+F99-G99</f>
        <v/>
      </c>
      <c r="I99" s="20" t="n">
        <v>0</v>
      </c>
      <c r="J99" s="20">
        <f>H99+I99</f>
        <v/>
      </c>
    </row>
    <row r="100">
      <c r="A100" s="19" t="inlineStr">
        <is>
          <t>C-03</t>
        </is>
      </c>
      <c r="B100" s="34" t="n">
        <v>31</v>
      </c>
      <c r="C100" s="31" t="n">
        <v>46692</v>
      </c>
      <c r="D100" s="36">
        <f>'06_Medicion_inicial'!J7</f>
        <v/>
      </c>
      <c r="E100" s="21">
        <f>J99</f>
        <v/>
      </c>
      <c r="F100" s="21">
        <f>E100*D100</f>
        <v/>
      </c>
      <c r="G100" s="21">
        <f>IF(B100&lt;'05_Plazo'!H7,'07_Pagos_variables'!G7,IF(B100='05_Plazo'!H7,'06_Medicion_inicial'!F7+(1-'06_Medicion_inicial'!E7)*'07_Pagos_variables'!G7,0))</f>
        <v/>
      </c>
      <c r="H100" s="21">
        <f>E100+F100-G100</f>
        <v/>
      </c>
      <c r="I100" s="21" t="n">
        <v>0</v>
      </c>
      <c r="J100" s="21">
        <f>H100+I100</f>
        <v/>
      </c>
    </row>
    <row r="101">
      <c r="A101" s="18" t="inlineStr">
        <is>
          <t>C-03</t>
        </is>
      </c>
      <c r="B101" s="33" t="n">
        <v>32</v>
      </c>
      <c r="C101" s="29" t="n">
        <v>46722</v>
      </c>
      <c r="D101" s="35">
        <f>'06_Medicion_inicial'!J7</f>
        <v/>
      </c>
      <c r="E101" s="20">
        <f>J100</f>
        <v/>
      </c>
      <c r="F101" s="20">
        <f>E101*D101</f>
        <v/>
      </c>
      <c r="G101" s="20">
        <f>IF(B101&lt;'05_Plazo'!H7,'07_Pagos_variables'!G7,IF(B101='05_Plazo'!H7,'06_Medicion_inicial'!F7+(1-'06_Medicion_inicial'!E7)*'07_Pagos_variables'!G7,0))</f>
        <v/>
      </c>
      <c r="H101" s="20">
        <f>E101+F101-G101</f>
        <v/>
      </c>
      <c r="I101" s="20" t="n">
        <v>0</v>
      </c>
      <c r="J101" s="20">
        <f>H101+I101</f>
        <v/>
      </c>
    </row>
    <row r="102">
      <c r="A102" s="19" t="inlineStr">
        <is>
          <t>C-03</t>
        </is>
      </c>
      <c r="B102" s="34" t="n">
        <v>33</v>
      </c>
      <c r="C102" s="31" t="n">
        <v>46753</v>
      </c>
      <c r="D102" s="36">
        <f>'06_Medicion_inicial'!J7</f>
        <v/>
      </c>
      <c r="E102" s="21">
        <f>J101</f>
        <v/>
      </c>
      <c r="F102" s="21">
        <f>E102*D102</f>
        <v/>
      </c>
      <c r="G102" s="21">
        <f>IF(B102&lt;'05_Plazo'!H7,'07_Pagos_variables'!G7,IF(B102='05_Plazo'!H7,'06_Medicion_inicial'!F7+(1-'06_Medicion_inicial'!E7)*'07_Pagos_variables'!G7,0))</f>
        <v/>
      </c>
      <c r="H102" s="21">
        <f>E102+F102-G102</f>
        <v/>
      </c>
      <c r="I102" s="21" t="n">
        <v>0</v>
      </c>
      <c r="J102" s="21">
        <f>H102+I102</f>
        <v/>
      </c>
    </row>
    <row r="103">
      <c r="A103" s="18" t="inlineStr">
        <is>
          <t>C-03</t>
        </is>
      </c>
      <c r="B103" s="33" t="n">
        <v>34</v>
      </c>
      <c r="C103" s="29" t="n">
        <v>46784</v>
      </c>
      <c r="D103" s="35">
        <f>'06_Medicion_inicial'!J7</f>
        <v/>
      </c>
      <c r="E103" s="20">
        <f>J102</f>
        <v/>
      </c>
      <c r="F103" s="20">
        <f>E103*D103</f>
        <v/>
      </c>
      <c r="G103" s="20">
        <f>IF(B103&lt;'05_Plazo'!H7,'07_Pagos_variables'!G7,IF(B103='05_Plazo'!H7,'06_Medicion_inicial'!F7+(1-'06_Medicion_inicial'!E7)*'07_Pagos_variables'!G7,0))</f>
        <v/>
      </c>
      <c r="H103" s="20">
        <f>E103+F103-G103</f>
        <v/>
      </c>
      <c r="I103" s="20" t="n">
        <v>0</v>
      </c>
      <c r="J103" s="20">
        <f>H103+I103</f>
        <v/>
      </c>
    </row>
    <row r="104">
      <c r="A104" s="19" t="inlineStr">
        <is>
          <t>C-03</t>
        </is>
      </c>
      <c r="B104" s="34" t="n">
        <v>35</v>
      </c>
      <c r="C104" s="31" t="n">
        <v>46813</v>
      </c>
      <c r="D104" s="36">
        <f>'06_Medicion_inicial'!J7</f>
        <v/>
      </c>
      <c r="E104" s="21">
        <f>J103</f>
        <v/>
      </c>
      <c r="F104" s="21">
        <f>E104*D104</f>
        <v/>
      </c>
      <c r="G104" s="21">
        <f>IF(B104&lt;'05_Plazo'!H7,'07_Pagos_variables'!G7,IF(B104='05_Plazo'!H7,'06_Medicion_inicial'!F7+(1-'06_Medicion_inicial'!E7)*'07_Pagos_variables'!G7,0))</f>
        <v/>
      </c>
      <c r="H104" s="21">
        <f>E104+F104-G104</f>
        <v/>
      </c>
      <c r="I104" s="21" t="n">
        <v>0</v>
      </c>
      <c r="J104" s="21">
        <f>H104+I104</f>
        <v/>
      </c>
    </row>
    <row r="105">
      <c r="A105" s="18" t="inlineStr">
        <is>
          <t>C-03</t>
        </is>
      </c>
      <c r="B105" s="33" t="n">
        <v>36</v>
      </c>
      <c r="C105" s="29" t="n">
        <v>46844</v>
      </c>
      <c r="D105" s="35">
        <f>'06_Medicion_inicial'!J7</f>
        <v/>
      </c>
      <c r="E105" s="20">
        <f>J104</f>
        <v/>
      </c>
      <c r="F105" s="20">
        <f>E105*D105</f>
        <v/>
      </c>
      <c r="G105" s="20">
        <f>IF(B105&lt;'05_Plazo'!H7,'07_Pagos_variables'!G7,IF(B105='05_Plazo'!H7,'06_Medicion_inicial'!F7+(1-'06_Medicion_inicial'!E7)*'07_Pagos_variables'!G7,0))</f>
        <v/>
      </c>
      <c r="H105" s="20">
        <f>E105+F105-G105</f>
        <v/>
      </c>
      <c r="I105" s="20" t="n">
        <v>0</v>
      </c>
      <c r="J105" s="20">
        <f>H105+I105</f>
        <v/>
      </c>
    </row>
    <row r="106">
      <c r="A106" s="19" t="inlineStr">
        <is>
          <t>C-06</t>
        </is>
      </c>
      <c r="B106" s="34" t="n">
        <v>1</v>
      </c>
      <c r="C106" s="31" t="n">
        <v>45566</v>
      </c>
      <c r="D106" s="36">
        <f>'06_Medicion_inicial'!J10</f>
        <v/>
      </c>
      <c r="E106" s="21">
        <f>'06_Medicion_inicial'!L10</f>
        <v/>
      </c>
      <c r="F106" s="21">
        <f>E106*D106</f>
        <v/>
      </c>
      <c r="G106" s="21">
        <f>IF(B106&lt;'05_Plazo'!H10,'07_Pagos_variables'!G10,IF(B106='05_Plazo'!H10,'06_Medicion_inicial'!F10+(1-'06_Medicion_inicial'!E10)*'07_Pagos_variables'!G10,0))</f>
        <v/>
      </c>
      <c r="H106" s="21">
        <f>E106+F106-G106</f>
        <v/>
      </c>
      <c r="I106" s="21" t="n">
        <v>0</v>
      </c>
      <c r="J106" s="21">
        <f>H106+I106</f>
        <v/>
      </c>
    </row>
    <row r="107">
      <c r="A107" s="18" t="inlineStr">
        <is>
          <t>C-06</t>
        </is>
      </c>
      <c r="B107" s="33" t="n">
        <v>2</v>
      </c>
      <c r="C107" s="29" t="n">
        <v>45658</v>
      </c>
      <c r="D107" s="35">
        <f>'06_Medicion_inicial'!J10</f>
        <v/>
      </c>
      <c r="E107" s="20">
        <f>J106</f>
        <v/>
      </c>
      <c r="F107" s="20">
        <f>E107*D107</f>
        <v/>
      </c>
      <c r="G107" s="20">
        <f>IF(B107&lt;'05_Plazo'!H10,'07_Pagos_variables'!G10,IF(B107='05_Plazo'!H10,'06_Medicion_inicial'!F10+(1-'06_Medicion_inicial'!E10)*'07_Pagos_variables'!G10,0))</f>
        <v/>
      </c>
      <c r="H107" s="20">
        <f>E107+F107-G107</f>
        <v/>
      </c>
      <c r="I107" s="20" t="n">
        <v>0</v>
      </c>
      <c r="J107" s="20">
        <f>H107+I107</f>
        <v/>
      </c>
    </row>
    <row r="108">
      <c r="A108" s="19" t="inlineStr">
        <is>
          <t>C-06</t>
        </is>
      </c>
      <c r="B108" s="34" t="n">
        <v>3</v>
      </c>
      <c r="C108" s="31" t="n">
        <v>45748</v>
      </c>
      <c r="D108" s="36">
        <f>'06_Medicion_inicial'!J10</f>
        <v/>
      </c>
      <c r="E108" s="21">
        <f>J107</f>
        <v/>
      </c>
      <c r="F108" s="21">
        <f>E108*D108</f>
        <v/>
      </c>
      <c r="G108" s="21">
        <f>IF(B108&lt;'05_Plazo'!H10,'07_Pagos_variables'!G10,IF(B108='05_Plazo'!H10,'06_Medicion_inicial'!F10+(1-'06_Medicion_inicial'!E10)*'07_Pagos_variables'!G10,0))</f>
        <v/>
      </c>
      <c r="H108" s="21">
        <f>E108+F108-G108</f>
        <v/>
      </c>
      <c r="I108" s="21" t="n">
        <v>0</v>
      </c>
      <c r="J108" s="21">
        <f>H108+I108</f>
        <v/>
      </c>
    </row>
    <row r="109">
      <c r="A109" s="18" t="inlineStr">
        <is>
          <t>C-06</t>
        </is>
      </c>
      <c r="B109" s="33" t="n">
        <v>4</v>
      </c>
      <c r="C109" s="29" t="n">
        <v>45839</v>
      </c>
      <c r="D109" s="35">
        <f>'06_Medicion_inicial'!J10</f>
        <v/>
      </c>
      <c r="E109" s="20">
        <f>J108</f>
        <v/>
      </c>
      <c r="F109" s="20">
        <f>E109*D109</f>
        <v/>
      </c>
      <c r="G109" s="20">
        <f>IF(B109&lt;'05_Plazo'!H10,'07_Pagos_variables'!G10,IF(B109='05_Plazo'!H10,'06_Medicion_inicial'!F10+(1-'06_Medicion_inicial'!E10)*'07_Pagos_variables'!G10,0))</f>
        <v/>
      </c>
      <c r="H109" s="20">
        <f>E109+F109-G109</f>
        <v/>
      </c>
      <c r="I109" s="20" t="n">
        <v>0</v>
      </c>
      <c r="J109" s="20">
        <f>H109+I109</f>
        <v/>
      </c>
    </row>
    <row r="110">
      <c r="A110" s="19" t="inlineStr">
        <is>
          <t>C-06</t>
        </is>
      </c>
      <c r="B110" s="34" t="n">
        <v>5</v>
      </c>
      <c r="C110" s="31" t="n">
        <v>45931</v>
      </c>
      <c r="D110" s="36">
        <f>'06_Medicion_inicial'!J10</f>
        <v/>
      </c>
      <c r="E110" s="21">
        <f>J109</f>
        <v/>
      </c>
      <c r="F110" s="21">
        <f>E110*D110</f>
        <v/>
      </c>
      <c r="G110" s="21">
        <f>IF(B110&lt;'05_Plazo'!H10,'07_Pagos_variables'!G10,IF(B110='05_Plazo'!H10,'06_Medicion_inicial'!F10+(1-'06_Medicion_inicial'!E10)*'07_Pagos_variables'!G10,0))</f>
        <v/>
      </c>
      <c r="H110" s="21">
        <f>E110+F110-G110</f>
        <v/>
      </c>
      <c r="I110" s="21" t="n">
        <v>0</v>
      </c>
      <c r="J110" s="21">
        <f>H110+I110</f>
        <v/>
      </c>
    </row>
    <row r="111">
      <c r="A111" s="18" t="inlineStr">
        <is>
          <t>C-06</t>
        </is>
      </c>
      <c r="B111" s="33" t="n">
        <v>6</v>
      </c>
      <c r="C111" s="29" t="n">
        <v>46023</v>
      </c>
      <c r="D111" s="35">
        <f>'06_Medicion_inicial'!J10</f>
        <v/>
      </c>
      <c r="E111" s="20">
        <f>J110</f>
        <v/>
      </c>
      <c r="F111" s="20">
        <f>E111*D111</f>
        <v/>
      </c>
      <c r="G111" s="20">
        <f>IF(B111&lt;'05_Plazo'!H10,'07_Pagos_variables'!G10,IF(B111='05_Plazo'!H10,'06_Medicion_inicial'!F10+(1-'06_Medicion_inicial'!E10)*'07_Pagos_variables'!G10,0))</f>
        <v/>
      </c>
      <c r="H111" s="20">
        <f>E111+F111-G111</f>
        <v/>
      </c>
      <c r="I111" s="20" t="n">
        <v>0</v>
      </c>
      <c r="J111" s="20">
        <f>H111+I111</f>
        <v/>
      </c>
    </row>
    <row r="112">
      <c r="A112" s="19" t="inlineStr">
        <is>
          <t>C-06</t>
        </is>
      </c>
      <c r="B112" s="34" t="n">
        <v>7</v>
      </c>
      <c r="C112" s="31" t="n">
        <v>46113</v>
      </c>
      <c r="D112" s="36">
        <f>'06_Medicion_inicial'!J10</f>
        <v/>
      </c>
      <c r="E112" s="21">
        <f>J111</f>
        <v/>
      </c>
      <c r="F112" s="21">
        <f>E112*D112</f>
        <v/>
      </c>
      <c r="G112" s="21">
        <f>IF(B112&lt;'05_Plazo'!H10,'07_Pagos_variables'!G10,IF(B112='05_Plazo'!H10,'06_Medicion_inicial'!F10+(1-'06_Medicion_inicial'!E10)*'07_Pagos_variables'!G10,0))</f>
        <v/>
      </c>
      <c r="H112" s="21">
        <f>E112+F112-G112</f>
        <v/>
      </c>
      <c r="I112" s="21" t="n">
        <v>0</v>
      </c>
      <c r="J112" s="21">
        <f>H112+I112</f>
        <v/>
      </c>
    </row>
    <row r="113">
      <c r="A113" s="18" t="inlineStr">
        <is>
          <t>C-06</t>
        </is>
      </c>
      <c r="B113" s="33" t="n">
        <v>8</v>
      </c>
      <c r="C113" s="29" t="n">
        <v>46204</v>
      </c>
      <c r="D113" s="35">
        <f>'06_Medicion_inicial'!J10</f>
        <v/>
      </c>
      <c r="E113" s="20">
        <f>J112</f>
        <v/>
      </c>
      <c r="F113" s="20">
        <f>E113*D113</f>
        <v/>
      </c>
      <c r="G113" s="20">
        <f>IF(B113&lt;'05_Plazo'!H10,'07_Pagos_variables'!G10,IF(B113='05_Plazo'!H10,'06_Medicion_inicial'!F10+(1-'06_Medicion_inicial'!E10)*'07_Pagos_variables'!G10,0))</f>
        <v/>
      </c>
      <c r="H113" s="20">
        <f>E113+F113-G113</f>
        <v/>
      </c>
      <c r="I113" s="20" t="n">
        <v>0</v>
      </c>
      <c r="J113" s="20">
        <f>H113+I113</f>
        <v/>
      </c>
    </row>
    <row r="114">
      <c r="A114" s="19" t="inlineStr">
        <is>
          <t>C-06</t>
        </is>
      </c>
      <c r="B114" s="34" t="n">
        <v>9</v>
      </c>
      <c r="C114" s="31" t="n">
        <v>46296</v>
      </c>
      <c r="D114" s="36">
        <f>'06_Medicion_inicial'!J10</f>
        <v/>
      </c>
      <c r="E114" s="21">
        <f>J113</f>
        <v/>
      </c>
      <c r="F114" s="21">
        <f>E114*D114</f>
        <v/>
      </c>
      <c r="G114" s="21">
        <f>IF(B114&lt;'05_Plazo'!H10,'07_Pagos_variables'!G10,IF(B114='05_Plazo'!H10,'06_Medicion_inicial'!F10+(1-'06_Medicion_inicial'!E10)*'07_Pagos_variables'!G10,0))</f>
        <v/>
      </c>
      <c r="H114" s="21">
        <f>E114+F114-G114</f>
        <v/>
      </c>
      <c r="I114" s="21" t="n">
        <v>0</v>
      </c>
      <c r="J114" s="21">
        <f>H114+I114</f>
        <v/>
      </c>
    </row>
    <row r="115">
      <c r="A115" s="18" t="inlineStr">
        <is>
          <t>C-06</t>
        </is>
      </c>
      <c r="B115" s="33" t="n">
        <v>10</v>
      </c>
      <c r="C115" s="29" t="n">
        <v>46388</v>
      </c>
      <c r="D115" s="35">
        <f>'06_Medicion_inicial'!J10</f>
        <v/>
      </c>
      <c r="E115" s="20">
        <f>J114</f>
        <v/>
      </c>
      <c r="F115" s="20">
        <f>E115*D115</f>
        <v/>
      </c>
      <c r="G115" s="20">
        <f>IF(B115&lt;'05_Plazo'!H10,'07_Pagos_variables'!G10,IF(B115='05_Plazo'!H10,'06_Medicion_inicial'!F10+(1-'06_Medicion_inicial'!E10)*'07_Pagos_variables'!G10,0))</f>
        <v/>
      </c>
      <c r="H115" s="20">
        <f>E115+F115-G115</f>
        <v/>
      </c>
      <c r="I115" s="20" t="n">
        <v>0</v>
      </c>
      <c r="J115" s="20">
        <f>H115+I115</f>
        <v/>
      </c>
    </row>
    <row r="116">
      <c r="A116" s="19" t="inlineStr">
        <is>
          <t>C-06</t>
        </is>
      </c>
      <c r="B116" s="34" t="n">
        <v>11</v>
      </c>
      <c r="C116" s="31" t="n">
        <v>46478</v>
      </c>
      <c r="D116" s="36">
        <f>'06_Medicion_inicial'!J10</f>
        <v/>
      </c>
      <c r="E116" s="21">
        <f>J115</f>
        <v/>
      </c>
      <c r="F116" s="21">
        <f>E116*D116</f>
        <v/>
      </c>
      <c r="G116" s="21">
        <f>IF(B116&lt;'05_Plazo'!H10,'07_Pagos_variables'!G10,IF(B116='05_Plazo'!H10,'06_Medicion_inicial'!F10+(1-'06_Medicion_inicial'!E10)*'07_Pagos_variables'!G10,0))</f>
        <v/>
      </c>
      <c r="H116" s="21">
        <f>E116+F116-G116</f>
        <v/>
      </c>
      <c r="I116" s="21" t="n">
        <v>0</v>
      </c>
      <c r="J116" s="21">
        <f>H116+I116</f>
        <v/>
      </c>
    </row>
    <row r="117">
      <c r="A117" s="18" t="inlineStr">
        <is>
          <t>C-06</t>
        </is>
      </c>
      <c r="B117" s="33" t="n">
        <v>12</v>
      </c>
      <c r="C117" s="29" t="n">
        <v>46569</v>
      </c>
      <c r="D117" s="35">
        <f>'06_Medicion_inicial'!J10</f>
        <v/>
      </c>
      <c r="E117" s="20">
        <f>J116</f>
        <v/>
      </c>
      <c r="F117" s="20">
        <f>E117*D117</f>
        <v/>
      </c>
      <c r="G117" s="20">
        <f>IF(B117&lt;'05_Plazo'!H10,'07_Pagos_variables'!G10,IF(B117='05_Plazo'!H10,'06_Medicion_inicial'!F10+(1-'06_Medicion_inicial'!E10)*'07_Pagos_variables'!G10,0))</f>
        <v/>
      </c>
      <c r="H117" s="20">
        <f>E117+F117-G117</f>
        <v/>
      </c>
      <c r="I117" s="20" t="n">
        <v>0</v>
      </c>
      <c r="J117" s="20">
        <f>H117+I117</f>
        <v/>
      </c>
    </row>
    <row r="118">
      <c r="A118" s="19" t="inlineStr">
        <is>
          <t>C-06</t>
        </is>
      </c>
      <c r="B118" s="34" t="n">
        <v>13</v>
      </c>
      <c r="C118" s="31" t="n">
        <v>46661</v>
      </c>
      <c r="D118" s="36">
        <f>'06_Medicion_inicial'!J10</f>
        <v/>
      </c>
      <c r="E118" s="21">
        <f>J117</f>
        <v/>
      </c>
      <c r="F118" s="21">
        <f>E118*D118</f>
        <v/>
      </c>
      <c r="G118" s="21">
        <f>IF(B118&lt;'05_Plazo'!H10,'07_Pagos_variables'!G10,IF(B118='05_Plazo'!H10,'06_Medicion_inicial'!F10+(1-'06_Medicion_inicial'!E10)*'07_Pagos_variables'!G10,0))</f>
        <v/>
      </c>
      <c r="H118" s="21">
        <f>E118+F118-G118</f>
        <v/>
      </c>
      <c r="I118" s="21" t="n">
        <v>0</v>
      </c>
      <c r="J118" s="21">
        <f>H118+I118</f>
        <v/>
      </c>
    </row>
    <row r="119">
      <c r="A119" s="18" t="inlineStr">
        <is>
          <t>C-06</t>
        </is>
      </c>
      <c r="B119" s="33" t="n">
        <v>14</v>
      </c>
      <c r="C119" s="29" t="n">
        <v>46753</v>
      </c>
      <c r="D119" s="35">
        <f>'06_Medicion_inicial'!J10</f>
        <v/>
      </c>
      <c r="E119" s="20">
        <f>J118</f>
        <v/>
      </c>
      <c r="F119" s="20">
        <f>E119*D119</f>
        <v/>
      </c>
      <c r="G119" s="20">
        <f>IF(B119&lt;'05_Plazo'!H10,'07_Pagos_variables'!G10,IF(B119='05_Plazo'!H10,'06_Medicion_inicial'!F10+(1-'06_Medicion_inicial'!E10)*'07_Pagos_variables'!G10,0))</f>
        <v/>
      </c>
      <c r="H119" s="20">
        <f>E119+F119-G119</f>
        <v/>
      </c>
      <c r="I119" s="20" t="n">
        <v>0</v>
      </c>
      <c r="J119" s="20">
        <f>H119+I119</f>
        <v/>
      </c>
    </row>
    <row r="120">
      <c r="A120" s="19" t="inlineStr">
        <is>
          <t>C-06</t>
        </is>
      </c>
      <c r="B120" s="34" t="n">
        <v>15</v>
      </c>
      <c r="C120" s="31" t="n">
        <v>46844</v>
      </c>
      <c r="D120" s="36">
        <f>'06_Medicion_inicial'!J10</f>
        <v/>
      </c>
      <c r="E120" s="21">
        <f>J119</f>
        <v/>
      </c>
      <c r="F120" s="21">
        <f>E120*D120</f>
        <v/>
      </c>
      <c r="G120" s="21">
        <f>IF(B120&lt;'05_Plazo'!H10,'07_Pagos_variables'!G10,IF(B120='05_Plazo'!H10,'06_Medicion_inicial'!F10+(1-'06_Medicion_inicial'!E10)*'07_Pagos_variables'!G10,0))</f>
        <v/>
      </c>
      <c r="H120" s="21">
        <f>E120+F120-G120</f>
        <v/>
      </c>
      <c r="I120" s="21" t="n">
        <v>0</v>
      </c>
      <c r="J120" s="21">
        <f>H120+I120</f>
        <v/>
      </c>
    </row>
    <row r="121">
      <c r="A121" s="18" t="inlineStr">
        <is>
          <t>C-06</t>
        </is>
      </c>
      <c r="B121" s="33" t="n">
        <v>16</v>
      </c>
      <c r="C121" s="29" t="n">
        <v>46935</v>
      </c>
      <c r="D121" s="35">
        <f>'06_Medicion_inicial'!J10</f>
        <v/>
      </c>
      <c r="E121" s="20">
        <f>J120</f>
        <v/>
      </c>
      <c r="F121" s="20">
        <f>E121*D121</f>
        <v/>
      </c>
      <c r="G121" s="20">
        <f>IF(B121&lt;'05_Plazo'!H10,'07_Pagos_variables'!G10,IF(B121='05_Plazo'!H10,'06_Medicion_inicial'!F10+(1-'06_Medicion_inicial'!E10)*'07_Pagos_variables'!G10,0))</f>
        <v/>
      </c>
      <c r="H121" s="20">
        <f>E121+F121-G121</f>
        <v/>
      </c>
      <c r="I121" s="20" t="n">
        <v>0</v>
      </c>
      <c r="J121" s="20">
        <f>H121+I121</f>
        <v/>
      </c>
    </row>
    <row r="122">
      <c r="A122" s="19" t="inlineStr">
        <is>
          <t>C-07</t>
        </is>
      </c>
      <c r="B122" s="34" t="n">
        <v>1</v>
      </c>
      <c r="C122" s="31" t="n">
        <v>45292</v>
      </c>
      <c r="D122" s="36">
        <f>'06_Medicion_inicial'!J11</f>
        <v/>
      </c>
      <c r="E122" s="21">
        <f>'06_Medicion_inicial'!L11</f>
        <v/>
      </c>
      <c r="F122" s="21">
        <f>E122*D122</f>
        <v/>
      </c>
      <c r="G122" s="21">
        <f>IF(B122&lt;'05_Plazo'!H11,'07_Pagos_variables'!G11,IF(B122='05_Plazo'!H11,'06_Medicion_inicial'!F11+(1-'06_Medicion_inicial'!E11)*'07_Pagos_variables'!G11,0))</f>
        <v/>
      </c>
      <c r="H122" s="21">
        <f>E122+F122-G122</f>
        <v/>
      </c>
      <c r="I122" s="21" t="n">
        <v>0</v>
      </c>
      <c r="J122" s="21">
        <f>H122+I122</f>
        <v/>
      </c>
    </row>
    <row r="123">
      <c r="A123" s="18" t="inlineStr">
        <is>
          <t>C-07</t>
        </is>
      </c>
      <c r="B123" s="33" t="n">
        <v>2</v>
      </c>
      <c r="C123" s="29" t="n">
        <v>45658</v>
      </c>
      <c r="D123" s="35">
        <f>'06_Medicion_inicial'!J11</f>
        <v/>
      </c>
      <c r="E123" s="20">
        <f>J122</f>
        <v/>
      </c>
      <c r="F123" s="20">
        <f>E123*D123</f>
        <v/>
      </c>
      <c r="G123" s="20">
        <f>IF(B123&lt;'05_Plazo'!H11,'07_Pagos_variables'!G11,IF(B123='05_Plazo'!H11,'06_Medicion_inicial'!F11+(1-'06_Medicion_inicial'!E11)*'07_Pagos_variables'!G11,0))</f>
        <v/>
      </c>
      <c r="H123" s="20">
        <f>E123+F123-G123</f>
        <v/>
      </c>
      <c r="I123" s="20">
        <f>'08_Remedicion'!K11-H123</f>
        <v/>
      </c>
      <c r="J123" s="20">
        <f>H123+I123</f>
        <v/>
      </c>
    </row>
    <row r="124">
      <c r="A124" s="19" t="inlineStr">
        <is>
          <t>C-07</t>
        </is>
      </c>
      <c r="B124" s="34" t="n">
        <v>3</v>
      </c>
      <c r="C124" s="31" t="n">
        <v>46023</v>
      </c>
      <c r="D124" s="36">
        <f>'08_Remedicion'!I11</f>
        <v/>
      </c>
      <c r="E124" s="21">
        <f>J123</f>
        <v/>
      </c>
      <c r="F124" s="21">
        <f>E124*D124</f>
        <v/>
      </c>
      <c r="G124" s="21">
        <f>IF(B124&lt;'08_Remedicion'!F11,'08_Remedicion'!G11,IF(B124='08_Remedicion'!F11,'06_Medicion_inicial'!F11+(1-'06_Medicion_inicial'!E11)*'08_Remedicion'!G11,0))</f>
        <v/>
      </c>
      <c r="H124" s="21">
        <f>E124+F124-G124</f>
        <v/>
      </c>
      <c r="I124" s="21" t="n">
        <v>0</v>
      </c>
      <c r="J124" s="21">
        <f>H124+I124</f>
        <v/>
      </c>
    </row>
    <row r="125">
      <c r="A125" s="18" t="inlineStr">
        <is>
          <t>C-07</t>
        </is>
      </c>
      <c r="B125" s="33" t="n">
        <v>4</v>
      </c>
      <c r="C125" s="29" t="n">
        <v>46388</v>
      </c>
      <c r="D125" s="35">
        <f>'08_Remedicion'!I11</f>
        <v/>
      </c>
      <c r="E125" s="20">
        <f>J124</f>
        <v/>
      </c>
      <c r="F125" s="20">
        <f>E125*D125</f>
        <v/>
      </c>
      <c r="G125" s="20">
        <f>IF(B125&lt;'08_Remedicion'!F11,'08_Remedicion'!G11,IF(B125='08_Remedicion'!F11,'06_Medicion_inicial'!F11+(1-'06_Medicion_inicial'!E11)*'08_Remedicion'!G11,0))</f>
        <v/>
      </c>
      <c r="H125" s="20">
        <f>E125+F125-G125</f>
        <v/>
      </c>
      <c r="I125" s="20" t="n">
        <v>0</v>
      </c>
      <c r="J125" s="20">
        <f>H125+I125</f>
        <v/>
      </c>
    </row>
    <row r="126">
      <c r="A126" s="19" t="inlineStr">
        <is>
          <t>C-07</t>
        </is>
      </c>
      <c r="B126" s="34" t="n">
        <v>5</v>
      </c>
      <c r="C126" s="31" t="n">
        <v>46753</v>
      </c>
      <c r="D126" s="36">
        <f>'08_Remedicion'!I11</f>
        <v/>
      </c>
      <c r="E126" s="21">
        <f>J125</f>
        <v/>
      </c>
      <c r="F126" s="21">
        <f>E126*D126</f>
        <v/>
      </c>
      <c r="G126" s="21">
        <f>IF(B126&lt;'08_Remedicion'!F11,'08_Remedicion'!G11,IF(B126='08_Remedicion'!F11,'06_Medicion_inicial'!F11+(1-'06_Medicion_inicial'!E11)*'08_Remedicion'!G11,0))</f>
        <v/>
      </c>
      <c r="H126" s="21">
        <f>E126+F126-G126</f>
        <v/>
      </c>
      <c r="I126" s="21" t="n">
        <v>0</v>
      </c>
      <c r="J126" s="21">
        <f>H126+I126</f>
        <v/>
      </c>
    </row>
    <row r="127">
      <c r="A127" s="18" t="inlineStr">
        <is>
          <t>C-08</t>
        </is>
      </c>
      <c r="B127" s="33" t="n">
        <v>1</v>
      </c>
      <c r="C127" s="29" t="n">
        <v>46023</v>
      </c>
      <c r="D127" s="35">
        <f>'06_Medicion_inicial'!J12</f>
        <v/>
      </c>
      <c r="E127" s="20">
        <f>'06_Medicion_inicial'!L12</f>
        <v/>
      </c>
      <c r="F127" s="20">
        <f>E127*D127</f>
        <v/>
      </c>
      <c r="G127" s="20">
        <f>IF(B127&lt;'05_Plazo'!H12,'07_Pagos_variables'!G12,IF(B127='05_Plazo'!H12,'06_Medicion_inicial'!F12+(1-'06_Medicion_inicial'!E12)*'07_Pagos_variables'!G12,0))</f>
        <v/>
      </c>
      <c r="H127" s="20">
        <f>E127+F127-G127</f>
        <v/>
      </c>
      <c r="I127" s="20" t="n">
        <v>0</v>
      </c>
      <c r="J127" s="20">
        <f>H127+I127</f>
        <v/>
      </c>
    </row>
    <row r="128">
      <c r="A128" s="19" t="inlineStr">
        <is>
          <t>C-08</t>
        </is>
      </c>
      <c r="B128" s="34" t="n">
        <v>2</v>
      </c>
      <c r="C128" s="31" t="n">
        <v>46388</v>
      </c>
      <c r="D128" s="36">
        <f>'06_Medicion_inicial'!J12</f>
        <v/>
      </c>
      <c r="E128" s="21">
        <f>J127</f>
        <v/>
      </c>
      <c r="F128" s="21">
        <f>E128*D128</f>
        <v/>
      </c>
      <c r="G128" s="21">
        <f>IF(B128&lt;'05_Plazo'!H12,'07_Pagos_variables'!G12,IF(B128='05_Plazo'!H12,'06_Medicion_inicial'!F12+(1-'06_Medicion_inicial'!E12)*'07_Pagos_variables'!G12,0))</f>
        <v/>
      </c>
      <c r="H128" s="21">
        <f>E128+F128-G128</f>
        <v/>
      </c>
      <c r="I128" s="21" t="n">
        <v>0</v>
      </c>
      <c r="J128" s="21">
        <f>H128+I128</f>
        <v/>
      </c>
    </row>
    <row r="129">
      <c r="A129" s="18" t="inlineStr">
        <is>
          <t>C-08</t>
        </is>
      </c>
      <c r="B129" s="33" t="n">
        <v>3</v>
      </c>
      <c r="C129" s="29" t="n">
        <v>46753</v>
      </c>
      <c r="D129" s="35">
        <f>'06_Medicion_inicial'!J12</f>
        <v/>
      </c>
      <c r="E129" s="20">
        <f>J128</f>
        <v/>
      </c>
      <c r="F129" s="20">
        <f>E129*D129</f>
        <v/>
      </c>
      <c r="G129" s="20">
        <f>IF(B129&lt;'05_Plazo'!H12,'07_Pagos_variables'!G12,IF(B129='05_Plazo'!H12,'06_Medicion_inicial'!F12+(1-'06_Medicion_inicial'!E12)*'07_Pagos_variables'!G12,0))</f>
        <v/>
      </c>
      <c r="H129" s="20">
        <f>E129+F129-G129</f>
        <v/>
      </c>
      <c r="I129" s="20" t="n">
        <v>0</v>
      </c>
      <c r="J129" s="20">
        <f>H129+I129</f>
        <v/>
      </c>
    </row>
    <row r="130">
      <c r="A130" s="19" t="inlineStr">
        <is>
          <t>C-08</t>
        </is>
      </c>
      <c r="B130" s="34" t="n">
        <v>4</v>
      </c>
      <c r="C130" s="31" t="n">
        <v>47119</v>
      </c>
      <c r="D130" s="36">
        <f>'06_Medicion_inicial'!J12</f>
        <v/>
      </c>
      <c r="E130" s="21">
        <f>J129</f>
        <v/>
      </c>
      <c r="F130" s="21">
        <f>E130*D130</f>
        <v/>
      </c>
      <c r="G130" s="21">
        <f>IF(B130&lt;'05_Plazo'!H12,'07_Pagos_variables'!G12,IF(B130='05_Plazo'!H12,'06_Medicion_inicial'!F12+(1-'06_Medicion_inicial'!E12)*'07_Pagos_variables'!G12,0))</f>
        <v/>
      </c>
      <c r="H130" s="21">
        <f>E130+F130-G130</f>
        <v/>
      </c>
      <c r="I130" s="21" t="n">
        <v>0</v>
      </c>
      <c r="J130" s="21">
        <f>H130+I130</f>
        <v/>
      </c>
    </row>
    <row r="131">
      <c r="A131" s="18" t="inlineStr">
        <is>
          <t>C-08</t>
        </is>
      </c>
      <c r="B131" s="33" t="n">
        <v>5</v>
      </c>
      <c r="C131" s="29" t="n">
        <v>47484</v>
      </c>
      <c r="D131" s="35">
        <f>'06_Medicion_inicial'!J12</f>
        <v/>
      </c>
      <c r="E131" s="20">
        <f>J130</f>
        <v/>
      </c>
      <c r="F131" s="20">
        <f>E131*D131</f>
        <v/>
      </c>
      <c r="G131" s="20">
        <f>IF(B131&lt;'05_Plazo'!H12,'07_Pagos_variables'!G12,IF(B131='05_Plazo'!H12,'06_Medicion_inicial'!F12+(1-'06_Medicion_inicial'!E12)*'07_Pagos_variables'!G12,0))</f>
        <v/>
      </c>
      <c r="H131" s="20">
        <f>E131+F131-G131</f>
        <v/>
      </c>
      <c r="I131" s="20" t="n">
        <v>0</v>
      </c>
      <c r="J131" s="20">
        <f>H131+I131</f>
        <v/>
      </c>
    </row>
    <row r="132">
      <c r="A132" s="19" t="inlineStr">
        <is>
          <t>C-08</t>
        </is>
      </c>
      <c r="B132" s="34" t="n">
        <v>6</v>
      </c>
      <c r="C132" s="31" t="n">
        <v>47849</v>
      </c>
      <c r="D132" s="36">
        <f>'06_Medicion_inicial'!J12</f>
        <v/>
      </c>
      <c r="E132" s="21">
        <f>J131</f>
        <v/>
      </c>
      <c r="F132" s="21">
        <f>E132*D132</f>
        <v/>
      </c>
      <c r="G132" s="21">
        <f>IF(B132&lt;'05_Plazo'!H12,'07_Pagos_variables'!G12,IF(B132='05_Plazo'!H12,'06_Medicion_inicial'!F12+(1-'06_Medicion_inicial'!E12)*'07_Pagos_variables'!G12,0))</f>
        <v/>
      </c>
      <c r="H132" s="21">
        <f>E132+F132-G132</f>
        <v/>
      </c>
      <c r="I132" s="21" t="n">
        <v>0</v>
      </c>
      <c r="J132" s="21">
        <f>H132+I132</f>
        <v/>
      </c>
    </row>
    <row r="133">
      <c r="A133" s="18" t="inlineStr">
        <is>
          <t>C-08</t>
        </is>
      </c>
      <c r="B133" s="33" t="n">
        <v>7</v>
      </c>
      <c r="C133" s="29" t="n">
        <v>48214</v>
      </c>
      <c r="D133" s="35">
        <f>'06_Medicion_inicial'!J12</f>
        <v/>
      </c>
      <c r="E133" s="20">
        <f>J132</f>
        <v/>
      </c>
      <c r="F133" s="20">
        <f>E133*D133</f>
        <v/>
      </c>
      <c r="G133" s="20">
        <f>IF(B133&lt;'05_Plazo'!H12,'07_Pagos_variables'!G12,IF(B133='05_Plazo'!H12,'06_Medicion_inicial'!F12+(1-'06_Medicion_inicial'!E12)*'07_Pagos_variables'!G12,0))</f>
        <v/>
      </c>
      <c r="H133" s="20">
        <f>E133+F133-G133</f>
        <v/>
      </c>
      <c r="I133" s="20" t="n">
        <v>0</v>
      </c>
      <c r="J133" s="20">
        <f>H133+I133</f>
        <v/>
      </c>
    </row>
    <row r="134">
      <c r="A134" s="19" t="inlineStr">
        <is>
          <t>C-08</t>
        </is>
      </c>
      <c r="B134" s="34" t="n">
        <v>8</v>
      </c>
      <c r="C134" s="31" t="n">
        <v>48580</v>
      </c>
      <c r="D134" s="36">
        <f>'06_Medicion_inicial'!J12</f>
        <v/>
      </c>
      <c r="E134" s="21">
        <f>J133</f>
        <v/>
      </c>
      <c r="F134" s="21">
        <f>E134*D134</f>
        <v/>
      </c>
      <c r="G134" s="21">
        <f>IF(B134&lt;'05_Plazo'!H12,'07_Pagos_variables'!G12,IF(B134='05_Plazo'!H12,'06_Medicion_inicial'!F12+(1-'06_Medicion_inicial'!E12)*'07_Pagos_variables'!G12,0))</f>
        <v/>
      </c>
      <c r="H134" s="21">
        <f>E134+F134-G134</f>
        <v/>
      </c>
      <c r="I134" s="21" t="n">
        <v>0</v>
      </c>
      <c r="J134" s="21">
        <f>H134+I134</f>
        <v/>
      </c>
    </row>
    <row r="135">
      <c r="A135" s="18" t="inlineStr">
        <is>
          <t>C-08</t>
        </is>
      </c>
      <c r="B135" s="33" t="n">
        <v>9</v>
      </c>
      <c r="C135" s="29" t="n">
        <v>48945</v>
      </c>
      <c r="D135" s="35">
        <f>'06_Medicion_inicial'!J12</f>
        <v/>
      </c>
      <c r="E135" s="20">
        <f>J134</f>
        <v/>
      </c>
      <c r="F135" s="20">
        <f>E135*D135</f>
        <v/>
      </c>
      <c r="G135" s="20">
        <f>IF(B135&lt;'05_Plazo'!H12,'07_Pagos_variables'!G12,IF(B135='05_Plazo'!H12,'06_Medicion_inicial'!F12+(1-'06_Medicion_inicial'!E12)*'07_Pagos_variables'!G12,0))</f>
        <v/>
      </c>
      <c r="H135" s="20">
        <f>E135+F135-G135</f>
        <v/>
      </c>
      <c r="I135" s="20" t="n">
        <v>0</v>
      </c>
      <c r="J135" s="20">
        <f>H135+I135</f>
        <v/>
      </c>
    </row>
    <row r="136">
      <c r="A136" s="19" t="inlineStr">
        <is>
          <t>C-08</t>
        </is>
      </c>
      <c r="B136" s="34" t="n">
        <v>10</v>
      </c>
      <c r="C136" s="31" t="n">
        <v>49310</v>
      </c>
      <c r="D136" s="36">
        <f>'06_Medicion_inicial'!J12</f>
        <v/>
      </c>
      <c r="E136" s="21">
        <f>J135</f>
        <v/>
      </c>
      <c r="F136" s="21">
        <f>E136*D136</f>
        <v/>
      </c>
      <c r="G136" s="21">
        <f>IF(B136&lt;'05_Plazo'!H12,'07_Pagos_variables'!G12,IF(B136='05_Plazo'!H12,'06_Medicion_inicial'!F12+(1-'06_Medicion_inicial'!E12)*'07_Pagos_variables'!G12,0))</f>
        <v/>
      </c>
      <c r="H136" s="21">
        <f>E136+F136-G136</f>
        <v/>
      </c>
      <c r="I136" s="21" t="n">
        <v>0</v>
      </c>
      <c r="J136" s="21">
        <f>H136+I136</f>
        <v/>
      </c>
    </row>
    <row r="137">
      <c r="A137" s="18" t="inlineStr">
        <is>
          <t>C-08</t>
        </is>
      </c>
      <c r="B137" s="33" t="n">
        <v>11</v>
      </c>
      <c r="C137" s="29" t="n">
        <v>49675</v>
      </c>
      <c r="D137" s="35">
        <f>'06_Medicion_inicial'!J12</f>
        <v/>
      </c>
      <c r="E137" s="20">
        <f>J136</f>
        <v/>
      </c>
      <c r="F137" s="20">
        <f>E137*D137</f>
        <v/>
      </c>
      <c r="G137" s="20">
        <f>IF(B137&lt;'05_Plazo'!H12,'07_Pagos_variables'!G12,IF(B137='05_Plazo'!H12,'06_Medicion_inicial'!F12+(1-'06_Medicion_inicial'!E12)*'07_Pagos_variables'!G12,0))</f>
        <v/>
      </c>
      <c r="H137" s="20">
        <f>E137+F137-G137</f>
        <v/>
      </c>
      <c r="I137" s="20" t="n">
        <v>0</v>
      </c>
      <c r="J137" s="20">
        <f>H137+I137</f>
        <v/>
      </c>
    </row>
    <row r="138">
      <c r="A138" s="19" t="inlineStr">
        <is>
          <t>C-08</t>
        </is>
      </c>
      <c r="B138" s="34" t="n">
        <v>12</v>
      </c>
      <c r="C138" s="31" t="n">
        <v>50041</v>
      </c>
      <c r="D138" s="36">
        <f>'06_Medicion_inicial'!J12</f>
        <v/>
      </c>
      <c r="E138" s="21">
        <f>J137</f>
        <v/>
      </c>
      <c r="F138" s="21">
        <f>E138*D138</f>
        <v/>
      </c>
      <c r="G138" s="21">
        <f>IF(B138&lt;'05_Plazo'!H12,'07_Pagos_variables'!G12,IF(B138='05_Plazo'!H12,'06_Medicion_inicial'!F12+(1-'06_Medicion_inicial'!E12)*'07_Pagos_variables'!G12,0))</f>
        <v/>
      </c>
      <c r="H138" s="21">
        <f>E138+F138-G138</f>
        <v/>
      </c>
      <c r="I138" s="21" t="n">
        <v>0</v>
      </c>
      <c r="J138" s="21">
        <f>H138+I138</f>
        <v/>
      </c>
    </row>
    <row r="139">
      <c r="A139" s="18" t="inlineStr">
        <is>
          <t>C-08</t>
        </is>
      </c>
      <c r="B139" s="33" t="n">
        <v>13</v>
      </c>
      <c r="C139" s="29" t="n">
        <v>50406</v>
      </c>
      <c r="D139" s="35">
        <f>'06_Medicion_inicial'!J12</f>
        <v/>
      </c>
      <c r="E139" s="20">
        <f>J138</f>
        <v/>
      </c>
      <c r="F139" s="20">
        <f>E139*D139</f>
        <v/>
      </c>
      <c r="G139" s="20">
        <f>IF(B139&lt;'05_Plazo'!H12,'07_Pagos_variables'!G12,IF(B139='05_Plazo'!H12,'06_Medicion_inicial'!F12+(1-'06_Medicion_inicial'!E12)*'07_Pagos_variables'!G12,0))</f>
        <v/>
      </c>
      <c r="H139" s="20">
        <f>E139+F139-G139</f>
        <v/>
      </c>
      <c r="I139" s="20" t="n">
        <v>0</v>
      </c>
      <c r="J139" s="20">
        <f>H139+I139</f>
        <v/>
      </c>
    </row>
    <row r="140">
      <c r="A140" s="19" t="inlineStr">
        <is>
          <t>C-08</t>
        </is>
      </c>
      <c r="B140" s="34" t="n">
        <v>14</v>
      </c>
      <c r="C140" s="31" t="n">
        <v>50771</v>
      </c>
      <c r="D140" s="36">
        <f>'06_Medicion_inicial'!J12</f>
        <v/>
      </c>
      <c r="E140" s="21">
        <f>J139</f>
        <v/>
      </c>
      <c r="F140" s="21">
        <f>E140*D140</f>
        <v/>
      </c>
      <c r="G140" s="21">
        <f>IF(B140&lt;'05_Plazo'!H12,'07_Pagos_variables'!G12,IF(B140='05_Plazo'!H12,'06_Medicion_inicial'!F12+(1-'06_Medicion_inicial'!E12)*'07_Pagos_variables'!G12,0))</f>
        <v/>
      </c>
      <c r="H140" s="21">
        <f>E140+F140-G140</f>
        <v/>
      </c>
      <c r="I140" s="21" t="n">
        <v>0</v>
      </c>
      <c r="J140" s="21">
        <f>H140+I140</f>
        <v/>
      </c>
    </row>
    <row r="141">
      <c r="A141" s="18" t="inlineStr">
        <is>
          <t>C-08</t>
        </is>
      </c>
      <c r="B141" s="33" t="n">
        <v>15</v>
      </c>
      <c r="C141" s="29" t="n">
        <v>51136</v>
      </c>
      <c r="D141" s="35">
        <f>'06_Medicion_inicial'!J12</f>
        <v/>
      </c>
      <c r="E141" s="20">
        <f>J140</f>
        <v/>
      </c>
      <c r="F141" s="20">
        <f>E141*D141</f>
        <v/>
      </c>
      <c r="G141" s="20">
        <f>IF(B141&lt;'05_Plazo'!H12,'07_Pagos_variables'!G12,IF(B141='05_Plazo'!H12,'06_Medicion_inicial'!F12+(1-'06_Medicion_inicial'!E12)*'07_Pagos_variables'!G12,0))</f>
        <v/>
      </c>
      <c r="H141" s="20">
        <f>E141+F141-G141</f>
        <v/>
      </c>
      <c r="I141" s="20" t="n">
        <v>0</v>
      </c>
      <c r="J141" s="20">
        <f>H141+I141</f>
        <v/>
      </c>
    </row>
    <row r="142">
      <c r="A142" s="19" t="inlineStr">
        <is>
          <t>C-08</t>
        </is>
      </c>
      <c r="B142" s="34" t="n">
        <v>16</v>
      </c>
      <c r="C142" s="31" t="n">
        <v>51502</v>
      </c>
      <c r="D142" s="36">
        <f>'06_Medicion_inicial'!J12</f>
        <v/>
      </c>
      <c r="E142" s="21">
        <f>J141</f>
        <v/>
      </c>
      <c r="F142" s="21">
        <f>E142*D142</f>
        <v/>
      </c>
      <c r="G142" s="21">
        <f>IF(B142&lt;'05_Plazo'!H12,'07_Pagos_variables'!G12,IF(B142='05_Plazo'!H12,'06_Medicion_inicial'!F12+(1-'06_Medicion_inicial'!E12)*'07_Pagos_variables'!G12,0))</f>
        <v/>
      </c>
      <c r="H142" s="21">
        <f>E142+F142-G142</f>
        <v/>
      </c>
      <c r="I142" s="21" t="n">
        <v>0</v>
      </c>
      <c r="J142" s="21">
        <f>H142+I142</f>
        <v/>
      </c>
    </row>
    <row r="143">
      <c r="A143" s="18" t="inlineStr">
        <is>
          <t>C-08</t>
        </is>
      </c>
      <c r="B143" s="33" t="n">
        <v>17</v>
      </c>
      <c r="C143" s="29" t="n">
        <v>51867</v>
      </c>
      <c r="D143" s="35">
        <f>'06_Medicion_inicial'!J12</f>
        <v/>
      </c>
      <c r="E143" s="20">
        <f>J142</f>
        <v/>
      </c>
      <c r="F143" s="20">
        <f>E143*D143</f>
        <v/>
      </c>
      <c r="G143" s="20">
        <f>IF(B143&lt;'05_Plazo'!H12,'07_Pagos_variables'!G12,IF(B143='05_Plazo'!H12,'06_Medicion_inicial'!F12+(1-'06_Medicion_inicial'!E12)*'07_Pagos_variables'!G12,0))</f>
        <v/>
      </c>
      <c r="H143" s="20">
        <f>E143+F143-G143</f>
        <v/>
      </c>
      <c r="I143" s="20" t="n">
        <v>0</v>
      </c>
      <c r="J143" s="20">
        <f>H143+I143</f>
        <v/>
      </c>
    </row>
    <row r="144">
      <c r="A144" s="19" t="inlineStr">
        <is>
          <t>C-08</t>
        </is>
      </c>
      <c r="B144" s="34" t="n">
        <v>18</v>
      </c>
      <c r="C144" s="31" t="n">
        <v>52232</v>
      </c>
      <c r="D144" s="36">
        <f>'06_Medicion_inicial'!J12</f>
        <v/>
      </c>
      <c r="E144" s="21">
        <f>J143</f>
        <v/>
      </c>
      <c r="F144" s="21">
        <f>E144*D144</f>
        <v/>
      </c>
      <c r="G144" s="21">
        <f>IF(B144&lt;'05_Plazo'!H12,'07_Pagos_variables'!G12,IF(B144='05_Plazo'!H12,'06_Medicion_inicial'!F12+(1-'06_Medicion_inicial'!E12)*'07_Pagos_variables'!G12,0))</f>
        <v/>
      </c>
      <c r="H144" s="21">
        <f>E144+F144-G144</f>
        <v/>
      </c>
      <c r="I144" s="21" t="n">
        <v>0</v>
      </c>
      <c r="J144" s="21">
        <f>H144+I144</f>
        <v/>
      </c>
    </row>
    <row r="145">
      <c r="A145" s="18" t="inlineStr">
        <is>
          <t>C-09</t>
        </is>
      </c>
      <c r="B145" s="33" t="n">
        <v>1</v>
      </c>
      <c r="C145" s="29" t="n">
        <v>45323</v>
      </c>
      <c r="D145" s="35">
        <f>'06_Medicion_inicial'!J13</f>
        <v/>
      </c>
      <c r="E145" s="20">
        <f>'06_Medicion_inicial'!L13</f>
        <v/>
      </c>
      <c r="F145" s="20">
        <f>E145*D145</f>
        <v/>
      </c>
      <c r="G145" s="20">
        <f>IF(B145&lt;'05_Plazo'!H13,'07_Pagos_variables'!G13,IF(B145='05_Plazo'!H13,'06_Medicion_inicial'!F13+(1-'06_Medicion_inicial'!E13)*'07_Pagos_variables'!G13,0))</f>
        <v/>
      </c>
      <c r="H145" s="20">
        <f>E145+F145-G145</f>
        <v/>
      </c>
      <c r="I145" s="20" t="n">
        <v>0</v>
      </c>
      <c r="J145" s="20">
        <f>H145+I145</f>
        <v/>
      </c>
    </row>
    <row r="146">
      <c r="A146" s="19" t="inlineStr">
        <is>
          <t>C-09</t>
        </is>
      </c>
      <c r="B146" s="34" t="n">
        <v>2</v>
      </c>
      <c r="C146" s="31" t="n">
        <v>45352</v>
      </c>
      <c r="D146" s="36">
        <f>'06_Medicion_inicial'!J13</f>
        <v/>
      </c>
      <c r="E146" s="21">
        <f>J145</f>
        <v/>
      </c>
      <c r="F146" s="21">
        <f>E146*D146</f>
        <v/>
      </c>
      <c r="G146" s="21">
        <f>IF(B146&lt;'05_Plazo'!H13,'07_Pagos_variables'!G13,IF(B146='05_Plazo'!H13,'06_Medicion_inicial'!F13+(1-'06_Medicion_inicial'!E13)*'07_Pagos_variables'!G13,0))</f>
        <v/>
      </c>
      <c r="H146" s="21">
        <f>E146+F146-G146</f>
        <v/>
      </c>
      <c r="I146" s="21" t="n">
        <v>0</v>
      </c>
      <c r="J146" s="21">
        <f>H146+I146</f>
        <v/>
      </c>
    </row>
    <row r="147">
      <c r="A147" s="18" t="inlineStr">
        <is>
          <t>C-09</t>
        </is>
      </c>
      <c r="B147" s="33" t="n">
        <v>3</v>
      </c>
      <c r="C147" s="29" t="n">
        <v>45383</v>
      </c>
      <c r="D147" s="35">
        <f>'06_Medicion_inicial'!J13</f>
        <v/>
      </c>
      <c r="E147" s="20">
        <f>J146</f>
        <v/>
      </c>
      <c r="F147" s="20">
        <f>E147*D147</f>
        <v/>
      </c>
      <c r="G147" s="20">
        <f>IF(B147&lt;'05_Plazo'!H13,'07_Pagos_variables'!G13,IF(B147='05_Plazo'!H13,'06_Medicion_inicial'!F13+(1-'06_Medicion_inicial'!E13)*'07_Pagos_variables'!G13,0))</f>
        <v/>
      </c>
      <c r="H147" s="20">
        <f>E147+F147-G147</f>
        <v/>
      </c>
      <c r="I147" s="20" t="n">
        <v>0</v>
      </c>
      <c r="J147" s="20">
        <f>H147+I147</f>
        <v/>
      </c>
    </row>
    <row r="148">
      <c r="A148" s="19" t="inlineStr">
        <is>
          <t>C-09</t>
        </is>
      </c>
      <c r="B148" s="34" t="n">
        <v>4</v>
      </c>
      <c r="C148" s="31" t="n">
        <v>45413</v>
      </c>
      <c r="D148" s="36">
        <f>'06_Medicion_inicial'!J13</f>
        <v/>
      </c>
      <c r="E148" s="21">
        <f>J147</f>
        <v/>
      </c>
      <c r="F148" s="21">
        <f>E148*D148</f>
        <v/>
      </c>
      <c r="G148" s="21">
        <f>IF(B148&lt;'05_Plazo'!H13,'07_Pagos_variables'!G13,IF(B148='05_Plazo'!H13,'06_Medicion_inicial'!F13+(1-'06_Medicion_inicial'!E13)*'07_Pagos_variables'!G13,0))</f>
        <v/>
      </c>
      <c r="H148" s="21">
        <f>E148+F148-G148</f>
        <v/>
      </c>
      <c r="I148" s="21" t="n">
        <v>0</v>
      </c>
      <c r="J148" s="21">
        <f>H148+I148</f>
        <v/>
      </c>
    </row>
    <row r="149">
      <c r="A149" s="18" t="inlineStr">
        <is>
          <t>C-09</t>
        </is>
      </c>
      <c r="B149" s="33" t="n">
        <v>5</v>
      </c>
      <c r="C149" s="29" t="n">
        <v>45444</v>
      </c>
      <c r="D149" s="35">
        <f>'06_Medicion_inicial'!J13</f>
        <v/>
      </c>
      <c r="E149" s="20">
        <f>J148</f>
        <v/>
      </c>
      <c r="F149" s="20">
        <f>E149*D149</f>
        <v/>
      </c>
      <c r="G149" s="20">
        <f>IF(B149&lt;'05_Plazo'!H13,'07_Pagos_variables'!G13,IF(B149='05_Plazo'!H13,'06_Medicion_inicial'!F13+(1-'06_Medicion_inicial'!E13)*'07_Pagos_variables'!G13,0))</f>
        <v/>
      </c>
      <c r="H149" s="20">
        <f>E149+F149-G149</f>
        <v/>
      </c>
      <c r="I149" s="20" t="n">
        <v>0</v>
      </c>
      <c r="J149" s="20">
        <f>H149+I149</f>
        <v/>
      </c>
    </row>
    <row r="150">
      <c r="A150" s="19" t="inlineStr">
        <is>
          <t>C-09</t>
        </is>
      </c>
      <c r="B150" s="34" t="n">
        <v>6</v>
      </c>
      <c r="C150" s="31" t="n">
        <v>45474</v>
      </c>
      <c r="D150" s="36">
        <f>'06_Medicion_inicial'!J13</f>
        <v/>
      </c>
      <c r="E150" s="21">
        <f>J149</f>
        <v/>
      </c>
      <c r="F150" s="21">
        <f>E150*D150</f>
        <v/>
      </c>
      <c r="G150" s="21">
        <f>IF(B150&lt;'05_Plazo'!H13,'07_Pagos_variables'!G13,IF(B150='05_Plazo'!H13,'06_Medicion_inicial'!F13+(1-'06_Medicion_inicial'!E13)*'07_Pagos_variables'!G13,0))</f>
        <v/>
      </c>
      <c r="H150" s="21">
        <f>E150+F150-G150</f>
        <v/>
      </c>
      <c r="I150" s="21" t="n">
        <v>0</v>
      </c>
      <c r="J150" s="21">
        <f>H150+I150</f>
        <v/>
      </c>
    </row>
    <row r="151">
      <c r="A151" s="18" t="inlineStr">
        <is>
          <t>C-09</t>
        </is>
      </c>
      <c r="B151" s="33" t="n">
        <v>7</v>
      </c>
      <c r="C151" s="29" t="n">
        <v>45505</v>
      </c>
      <c r="D151" s="35">
        <f>'06_Medicion_inicial'!J13</f>
        <v/>
      </c>
      <c r="E151" s="20">
        <f>J150</f>
        <v/>
      </c>
      <c r="F151" s="20">
        <f>E151*D151</f>
        <v/>
      </c>
      <c r="G151" s="20">
        <f>IF(B151&lt;'05_Plazo'!H13,'07_Pagos_variables'!G13,IF(B151='05_Plazo'!H13,'06_Medicion_inicial'!F13+(1-'06_Medicion_inicial'!E13)*'07_Pagos_variables'!G13,0))</f>
        <v/>
      </c>
      <c r="H151" s="20">
        <f>E151+F151-G151</f>
        <v/>
      </c>
      <c r="I151" s="20" t="n">
        <v>0</v>
      </c>
      <c r="J151" s="20">
        <f>H151+I151</f>
        <v/>
      </c>
    </row>
    <row r="152">
      <c r="A152" s="19" t="inlineStr">
        <is>
          <t>C-09</t>
        </is>
      </c>
      <c r="B152" s="34" t="n">
        <v>8</v>
      </c>
      <c r="C152" s="31" t="n">
        <v>45536</v>
      </c>
      <c r="D152" s="36">
        <f>'06_Medicion_inicial'!J13</f>
        <v/>
      </c>
      <c r="E152" s="21">
        <f>J151</f>
        <v/>
      </c>
      <c r="F152" s="21">
        <f>E152*D152</f>
        <v/>
      </c>
      <c r="G152" s="21">
        <f>IF(B152&lt;'05_Plazo'!H13,'07_Pagos_variables'!G13,IF(B152='05_Plazo'!H13,'06_Medicion_inicial'!F13+(1-'06_Medicion_inicial'!E13)*'07_Pagos_variables'!G13,0))</f>
        <v/>
      </c>
      <c r="H152" s="21">
        <f>E152+F152-G152</f>
        <v/>
      </c>
      <c r="I152" s="21" t="n">
        <v>0</v>
      </c>
      <c r="J152" s="21">
        <f>H152+I152</f>
        <v/>
      </c>
    </row>
    <row r="153">
      <c r="A153" s="18" t="inlineStr">
        <is>
          <t>C-09</t>
        </is>
      </c>
      <c r="B153" s="33" t="n">
        <v>9</v>
      </c>
      <c r="C153" s="29" t="n">
        <v>45566</v>
      </c>
      <c r="D153" s="35">
        <f>'06_Medicion_inicial'!J13</f>
        <v/>
      </c>
      <c r="E153" s="20">
        <f>J152</f>
        <v/>
      </c>
      <c r="F153" s="20">
        <f>E153*D153</f>
        <v/>
      </c>
      <c r="G153" s="20">
        <f>IF(B153&lt;'05_Plazo'!H13,'07_Pagos_variables'!G13,IF(B153='05_Plazo'!H13,'06_Medicion_inicial'!F13+(1-'06_Medicion_inicial'!E13)*'07_Pagos_variables'!G13,0))</f>
        <v/>
      </c>
      <c r="H153" s="20">
        <f>E153+F153-G153</f>
        <v/>
      </c>
      <c r="I153" s="20" t="n">
        <v>0</v>
      </c>
      <c r="J153" s="20">
        <f>H153+I153</f>
        <v/>
      </c>
    </row>
    <row r="154">
      <c r="A154" s="19" t="inlineStr">
        <is>
          <t>C-09</t>
        </is>
      </c>
      <c r="B154" s="34" t="n">
        <v>10</v>
      </c>
      <c r="C154" s="31" t="n">
        <v>45597</v>
      </c>
      <c r="D154" s="36">
        <f>'06_Medicion_inicial'!J13</f>
        <v/>
      </c>
      <c r="E154" s="21">
        <f>J153</f>
        <v/>
      </c>
      <c r="F154" s="21">
        <f>E154*D154</f>
        <v/>
      </c>
      <c r="G154" s="21">
        <f>IF(B154&lt;'05_Plazo'!H13,'07_Pagos_variables'!G13,IF(B154='05_Plazo'!H13,'06_Medicion_inicial'!F13+(1-'06_Medicion_inicial'!E13)*'07_Pagos_variables'!G13,0))</f>
        <v/>
      </c>
      <c r="H154" s="21">
        <f>E154+F154-G154</f>
        <v/>
      </c>
      <c r="I154" s="21" t="n">
        <v>0</v>
      </c>
      <c r="J154" s="21">
        <f>H154+I154</f>
        <v/>
      </c>
    </row>
    <row r="155">
      <c r="A155" s="18" t="inlineStr">
        <is>
          <t>C-09</t>
        </is>
      </c>
      <c r="B155" s="33" t="n">
        <v>11</v>
      </c>
      <c r="C155" s="29" t="n">
        <v>45627</v>
      </c>
      <c r="D155" s="35">
        <f>'06_Medicion_inicial'!J13</f>
        <v/>
      </c>
      <c r="E155" s="20">
        <f>J154</f>
        <v/>
      </c>
      <c r="F155" s="20">
        <f>E155*D155</f>
        <v/>
      </c>
      <c r="G155" s="20">
        <f>IF(B155&lt;'05_Plazo'!H13,'07_Pagos_variables'!G13,IF(B155='05_Plazo'!H13,'06_Medicion_inicial'!F13+(1-'06_Medicion_inicial'!E13)*'07_Pagos_variables'!G13,0))</f>
        <v/>
      </c>
      <c r="H155" s="20">
        <f>E155+F155-G155</f>
        <v/>
      </c>
      <c r="I155" s="20" t="n">
        <v>0</v>
      </c>
      <c r="J155" s="20">
        <f>H155+I155</f>
        <v/>
      </c>
    </row>
    <row r="156">
      <c r="A156" s="19" t="inlineStr">
        <is>
          <t>C-09</t>
        </is>
      </c>
      <c r="B156" s="34" t="n">
        <v>12</v>
      </c>
      <c r="C156" s="31" t="n">
        <v>45658</v>
      </c>
      <c r="D156" s="36">
        <f>'06_Medicion_inicial'!J13</f>
        <v/>
      </c>
      <c r="E156" s="21">
        <f>J155</f>
        <v/>
      </c>
      <c r="F156" s="21">
        <f>E156*D156</f>
        <v/>
      </c>
      <c r="G156" s="21">
        <f>IF(B156&lt;'05_Plazo'!H13,'07_Pagos_variables'!G13,IF(B156='05_Plazo'!H13,'06_Medicion_inicial'!F13+(1-'06_Medicion_inicial'!E13)*'07_Pagos_variables'!G13,0))</f>
        <v/>
      </c>
      <c r="H156" s="21">
        <f>E156+F156-G156</f>
        <v/>
      </c>
      <c r="I156" s="21" t="n">
        <v>0</v>
      </c>
      <c r="J156" s="21">
        <f>H156+I156</f>
        <v/>
      </c>
    </row>
    <row r="157">
      <c r="A157" s="18" t="inlineStr">
        <is>
          <t>C-09</t>
        </is>
      </c>
      <c r="B157" s="33" t="n">
        <v>13</v>
      </c>
      <c r="C157" s="29" t="n">
        <v>45689</v>
      </c>
      <c r="D157" s="35">
        <f>'06_Medicion_inicial'!J13</f>
        <v/>
      </c>
      <c r="E157" s="20">
        <f>J156</f>
        <v/>
      </c>
      <c r="F157" s="20">
        <f>E157*D157</f>
        <v/>
      </c>
      <c r="G157" s="20">
        <f>IF(B157&lt;'05_Plazo'!H13,'07_Pagos_variables'!G13,IF(B157='05_Plazo'!H13,'06_Medicion_inicial'!F13+(1-'06_Medicion_inicial'!E13)*'07_Pagos_variables'!G13,0))</f>
        <v/>
      </c>
      <c r="H157" s="20">
        <f>E157+F157-G157</f>
        <v/>
      </c>
      <c r="I157" s="20" t="n">
        <v>0</v>
      </c>
      <c r="J157" s="20">
        <f>H157+I157</f>
        <v/>
      </c>
    </row>
    <row r="158">
      <c r="A158" s="19" t="inlineStr">
        <is>
          <t>C-09</t>
        </is>
      </c>
      <c r="B158" s="34" t="n">
        <v>14</v>
      </c>
      <c r="C158" s="31" t="n">
        <v>45717</v>
      </c>
      <c r="D158" s="36">
        <f>'06_Medicion_inicial'!J13</f>
        <v/>
      </c>
      <c r="E158" s="21">
        <f>J157</f>
        <v/>
      </c>
      <c r="F158" s="21">
        <f>E158*D158</f>
        <v/>
      </c>
      <c r="G158" s="21">
        <f>IF(B158&lt;'05_Plazo'!H13,'07_Pagos_variables'!G13,IF(B158='05_Plazo'!H13,'06_Medicion_inicial'!F13+(1-'06_Medicion_inicial'!E13)*'07_Pagos_variables'!G13,0))</f>
        <v/>
      </c>
      <c r="H158" s="21">
        <f>E158+F158-G158</f>
        <v/>
      </c>
      <c r="I158" s="21" t="n">
        <v>0</v>
      </c>
      <c r="J158" s="21">
        <f>H158+I158</f>
        <v/>
      </c>
    </row>
    <row r="159">
      <c r="A159" s="18" t="inlineStr">
        <is>
          <t>C-09</t>
        </is>
      </c>
      <c r="B159" s="33" t="n">
        <v>15</v>
      </c>
      <c r="C159" s="29" t="n">
        <v>45748</v>
      </c>
      <c r="D159" s="35">
        <f>'06_Medicion_inicial'!J13</f>
        <v/>
      </c>
      <c r="E159" s="20">
        <f>J158</f>
        <v/>
      </c>
      <c r="F159" s="20">
        <f>E159*D159</f>
        <v/>
      </c>
      <c r="G159" s="20">
        <f>IF(B159&lt;'05_Plazo'!H13,'07_Pagos_variables'!G13,IF(B159='05_Plazo'!H13,'06_Medicion_inicial'!F13+(1-'06_Medicion_inicial'!E13)*'07_Pagos_variables'!G13,0))</f>
        <v/>
      </c>
      <c r="H159" s="20">
        <f>E159+F159-G159</f>
        <v/>
      </c>
      <c r="I159" s="20" t="n">
        <v>0</v>
      </c>
      <c r="J159" s="20">
        <f>H159+I159</f>
        <v/>
      </c>
    </row>
    <row r="160">
      <c r="A160" s="19" t="inlineStr">
        <is>
          <t>C-09</t>
        </is>
      </c>
      <c r="B160" s="34" t="n">
        <v>16</v>
      </c>
      <c r="C160" s="31" t="n">
        <v>45778</v>
      </c>
      <c r="D160" s="36">
        <f>'06_Medicion_inicial'!J13</f>
        <v/>
      </c>
      <c r="E160" s="21">
        <f>J159</f>
        <v/>
      </c>
      <c r="F160" s="21">
        <f>E160*D160</f>
        <v/>
      </c>
      <c r="G160" s="21">
        <f>IF(B160&lt;'05_Plazo'!H13,'07_Pagos_variables'!G13,IF(B160='05_Plazo'!H13,'06_Medicion_inicial'!F13+(1-'06_Medicion_inicial'!E13)*'07_Pagos_variables'!G13,0))</f>
        <v/>
      </c>
      <c r="H160" s="21">
        <f>E160+F160-G160</f>
        <v/>
      </c>
      <c r="I160" s="21" t="n">
        <v>0</v>
      </c>
      <c r="J160" s="21">
        <f>H160+I160</f>
        <v/>
      </c>
    </row>
    <row r="161">
      <c r="A161" s="18" t="inlineStr">
        <is>
          <t>C-09</t>
        </is>
      </c>
      <c r="B161" s="33" t="n">
        <v>17</v>
      </c>
      <c r="C161" s="29" t="n">
        <v>45809</v>
      </c>
      <c r="D161" s="35">
        <f>'06_Medicion_inicial'!J13</f>
        <v/>
      </c>
      <c r="E161" s="20">
        <f>J160</f>
        <v/>
      </c>
      <c r="F161" s="20">
        <f>E161*D161</f>
        <v/>
      </c>
      <c r="G161" s="20">
        <f>IF(B161&lt;'05_Plazo'!H13,'07_Pagos_variables'!G13,IF(B161='05_Plazo'!H13,'06_Medicion_inicial'!F13+(1-'06_Medicion_inicial'!E13)*'07_Pagos_variables'!G13,0))</f>
        <v/>
      </c>
      <c r="H161" s="20">
        <f>E161+F161-G161</f>
        <v/>
      </c>
      <c r="I161" s="20" t="n">
        <v>0</v>
      </c>
      <c r="J161" s="20">
        <f>H161+I161</f>
        <v/>
      </c>
    </row>
    <row r="162">
      <c r="A162" s="19" t="inlineStr">
        <is>
          <t>C-09</t>
        </is>
      </c>
      <c r="B162" s="34" t="n">
        <v>18</v>
      </c>
      <c r="C162" s="31" t="n">
        <v>45839</v>
      </c>
      <c r="D162" s="36">
        <f>'06_Medicion_inicial'!J13</f>
        <v/>
      </c>
      <c r="E162" s="21">
        <f>J161</f>
        <v/>
      </c>
      <c r="F162" s="21">
        <f>E162*D162</f>
        <v/>
      </c>
      <c r="G162" s="21">
        <f>IF(B162&lt;'05_Plazo'!H13,'07_Pagos_variables'!G13,IF(B162='05_Plazo'!H13,'06_Medicion_inicial'!F13+(1-'06_Medicion_inicial'!E13)*'07_Pagos_variables'!G13,0))</f>
        <v/>
      </c>
      <c r="H162" s="21">
        <f>E162+F162-G162</f>
        <v/>
      </c>
      <c r="I162" s="21" t="n">
        <v>0</v>
      </c>
      <c r="J162" s="21">
        <f>H162+I162</f>
        <v/>
      </c>
    </row>
    <row r="163">
      <c r="A163" s="18" t="inlineStr">
        <is>
          <t>C-09</t>
        </is>
      </c>
      <c r="B163" s="33" t="n">
        <v>19</v>
      </c>
      <c r="C163" s="29" t="n">
        <v>45870</v>
      </c>
      <c r="D163" s="35">
        <f>'06_Medicion_inicial'!J13</f>
        <v/>
      </c>
      <c r="E163" s="20">
        <f>J162</f>
        <v/>
      </c>
      <c r="F163" s="20">
        <f>E163*D163</f>
        <v/>
      </c>
      <c r="G163" s="20">
        <f>IF(B163&lt;'05_Plazo'!H13,'07_Pagos_variables'!G13,IF(B163='05_Plazo'!H13,'06_Medicion_inicial'!F13+(1-'06_Medicion_inicial'!E13)*'07_Pagos_variables'!G13,0))</f>
        <v/>
      </c>
      <c r="H163" s="20">
        <f>E163+F163-G163</f>
        <v/>
      </c>
      <c r="I163" s="20" t="n">
        <v>0</v>
      </c>
      <c r="J163" s="20">
        <f>H163+I163</f>
        <v/>
      </c>
    </row>
    <row r="164">
      <c r="A164" s="19" t="inlineStr">
        <is>
          <t>C-09</t>
        </is>
      </c>
      <c r="B164" s="34" t="n">
        <v>20</v>
      </c>
      <c r="C164" s="31" t="n">
        <v>45901</v>
      </c>
      <c r="D164" s="36">
        <f>'06_Medicion_inicial'!J13</f>
        <v/>
      </c>
      <c r="E164" s="21">
        <f>J163</f>
        <v/>
      </c>
      <c r="F164" s="21">
        <f>E164*D164</f>
        <v/>
      </c>
      <c r="G164" s="21">
        <f>IF(B164&lt;'05_Plazo'!H13,'07_Pagos_variables'!G13,IF(B164='05_Plazo'!H13,'06_Medicion_inicial'!F13+(1-'06_Medicion_inicial'!E13)*'07_Pagos_variables'!G13,0))</f>
        <v/>
      </c>
      <c r="H164" s="21">
        <f>E164+F164-G164</f>
        <v/>
      </c>
      <c r="I164" s="21" t="n">
        <v>0</v>
      </c>
      <c r="J164" s="21">
        <f>H164+I164</f>
        <v/>
      </c>
    </row>
    <row r="165">
      <c r="A165" s="18" t="inlineStr">
        <is>
          <t>C-09</t>
        </is>
      </c>
      <c r="B165" s="33" t="n">
        <v>21</v>
      </c>
      <c r="C165" s="29" t="n">
        <v>45931</v>
      </c>
      <c r="D165" s="35">
        <f>'06_Medicion_inicial'!J13</f>
        <v/>
      </c>
      <c r="E165" s="20">
        <f>J164</f>
        <v/>
      </c>
      <c r="F165" s="20">
        <f>E165*D165</f>
        <v/>
      </c>
      <c r="G165" s="20">
        <f>IF(B165&lt;'05_Plazo'!H13,'07_Pagos_variables'!G13,IF(B165='05_Plazo'!H13,'06_Medicion_inicial'!F13+(1-'06_Medicion_inicial'!E13)*'07_Pagos_variables'!G13,0))</f>
        <v/>
      </c>
      <c r="H165" s="20">
        <f>E165+F165-G165</f>
        <v/>
      </c>
      <c r="I165" s="20" t="n">
        <v>0</v>
      </c>
      <c r="J165" s="20">
        <f>H165+I165</f>
        <v/>
      </c>
    </row>
    <row r="166">
      <c r="A166" s="19" t="inlineStr">
        <is>
          <t>C-09</t>
        </is>
      </c>
      <c r="B166" s="34" t="n">
        <v>22</v>
      </c>
      <c r="C166" s="31" t="n">
        <v>45962</v>
      </c>
      <c r="D166" s="36">
        <f>'06_Medicion_inicial'!J13</f>
        <v/>
      </c>
      <c r="E166" s="21">
        <f>J165</f>
        <v/>
      </c>
      <c r="F166" s="21">
        <f>E166*D166</f>
        <v/>
      </c>
      <c r="G166" s="21">
        <f>IF(B166&lt;'05_Plazo'!H13,'07_Pagos_variables'!G13,IF(B166='05_Plazo'!H13,'06_Medicion_inicial'!F13+(1-'06_Medicion_inicial'!E13)*'07_Pagos_variables'!G13,0))</f>
        <v/>
      </c>
      <c r="H166" s="21">
        <f>E166+F166-G166</f>
        <v/>
      </c>
      <c r="I166" s="21" t="n">
        <v>0</v>
      </c>
      <c r="J166" s="21">
        <f>H166+I166</f>
        <v/>
      </c>
    </row>
    <row r="167">
      <c r="A167" s="18" t="inlineStr">
        <is>
          <t>C-09</t>
        </is>
      </c>
      <c r="B167" s="33" t="n">
        <v>23</v>
      </c>
      <c r="C167" s="29" t="n">
        <v>45992</v>
      </c>
      <c r="D167" s="35">
        <f>'06_Medicion_inicial'!J13</f>
        <v/>
      </c>
      <c r="E167" s="20">
        <f>J166</f>
        <v/>
      </c>
      <c r="F167" s="20">
        <f>E167*D167</f>
        <v/>
      </c>
      <c r="G167" s="20">
        <f>IF(B167&lt;'05_Plazo'!H13,'07_Pagos_variables'!G13,IF(B167='05_Plazo'!H13,'06_Medicion_inicial'!F13+(1-'06_Medicion_inicial'!E13)*'07_Pagos_variables'!G13,0))</f>
        <v/>
      </c>
      <c r="H167" s="20">
        <f>E167+F167-G167</f>
        <v/>
      </c>
      <c r="I167" s="20" t="n">
        <v>0</v>
      </c>
      <c r="J167" s="20">
        <f>H167+I167</f>
        <v/>
      </c>
    </row>
    <row r="168">
      <c r="A168" s="19" t="inlineStr">
        <is>
          <t>C-09</t>
        </is>
      </c>
      <c r="B168" s="34" t="n">
        <v>24</v>
      </c>
      <c r="C168" s="31" t="n">
        <v>46023</v>
      </c>
      <c r="D168" s="36">
        <f>'06_Medicion_inicial'!J13</f>
        <v/>
      </c>
      <c r="E168" s="21">
        <f>J167</f>
        <v/>
      </c>
      <c r="F168" s="21">
        <f>E168*D168</f>
        <v/>
      </c>
      <c r="G168" s="21">
        <f>IF(B168&lt;'05_Plazo'!H13,'07_Pagos_variables'!G13,IF(B168='05_Plazo'!H13,'06_Medicion_inicial'!F13+(1-'06_Medicion_inicial'!E13)*'07_Pagos_variables'!G13,0))</f>
        <v/>
      </c>
      <c r="H168" s="21">
        <f>E168+F168-G168</f>
        <v/>
      </c>
      <c r="I168" s="21" t="n">
        <v>0</v>
      </c>
      <c r="J168" s="21">
        <f>H168+I168</f>
        <v/>
      </c>
    </row>
    <row r="169">
      <c r="A169" s="18" t="inlineStr">
        <is>
          <t>C-09</t>
        </is>
      </c>
      <c r="B169" s="33" t="n">
        <v>25</v>
      </c>
      <c r="C169" s="29" t="n">
        <v>46054</v>
      </c>
      <c r="D169" s="35">
        <f>'06_Medicion_inicial'!J13</f>
        <v/>
      </c>
      <c r="E169" s="20">
        <f>J168</f>
        <v/>
      </c>
      <c r="F169" s="20">
        <f>E169*D169</f>
        <v/>
      </c>
      <c r="G169" s="20">
        <f>IF(B169&lt;'05_Plazo'!H13,'07_Pagos_variables'!G13,IF(B169='05_Plazo'!H13,'06_Medicion_inicial'!F13+(1-'06_Medicion_inicial'!E13)*'07_Pagos_variables'!G13,0))</f>
        <v/>
      </c>
      <c r="H169" s="20">
        <f>E169+F169-G169</f>
        <v/>
      </c>
      <c r="I169" s="20" t="n">
        <v>0</v>
      </c>
      <c r="J169" s="20">
        <f>H169+I169</f>
        <v/>
      </c>
    </row>
    <row r="170">
      <c r="A170" s="19" t="inlineStr">
        <is>
          <t>C-09</t>
        </is>
      </c>
      <c r="B170" s="34" t="n">
        <v>26</v>
      </c>
      <c r="C170" s="31" t="n">
        <v>46082</v>
      </c>
      <c r="D170" s="36">
        <f>'06_Medicion_inicial'!J13</f>
        <v/>
      </c>
      <c r="E170" s="21">
        <f>J169</f>
        <v/>
      </c>
      <c r="F170" s="21">
        <f>E170*D170</f>
        <v/>
      </c>
      <c r="G170" s="21">
        <f>IF(B170&lt;'05_Plazo'!H13,'07_Pagos_variables'!G13,IF(B170='05_Plazo'!H13,'06_Medicion_inicial'!F13+(1-'06_Medicion_inicial'!E13)*'07_Pagos_variables'!G13,0))</f>
        <v/>
      </c>
      <c r="H170" s="21">
        <f>E170+F170-G170</f>
        <v/>
      </c>
      <c r="I170" s="21" t="n">
        <v>0</v>
      </c>
      <c r="J170" s="21">
        <f>H170+I170</f>
        <v/>
      </c>
    </row>
    <row r="171">
      <c r="A171" s="18" t="inlineStr">
        <is>
          <t>C-09</t>
        </is>
      </c>
      <c r="B171" s="33" t="n">
        <v>27</v>
      </c>
      <c r="C171" s="29" t="n">
        <v>46113</v>
      </c>
      <c r="D171" s="35">
        <f>'06_Medicion_inicial'!J13</f>
        <v/>
      </c>
      <c r="E171" s="20">
        <f>J170</f>
        <v/>
      </c>
      <c r="F171" s="20">
        <f>E171*D171</f>
        <v/>
      </c>
      <c r="G171" s="20">
        <f>IF(B171&lt;'05_Plazo'!H13,'07_Pagos_variables'!G13,IF(B171='05_Plazo'!H13,'06_Medicion_inicial'!F13+(1-'06_Medicion_inicial'!E13)*'07_Pagos_variables'!G13,0))</f>
        <v/>
      </c>
      <c r="H171" s="20">
        <f>E171+F171-G171</f>
        <v/>
      </c>
      <c r="I171" s="20" t="n">
        <v>0</v>
      </c>
      <c r="J171" s="20">
        <f>H171+I171</f>
        <v/>
      </c>
    </row>
    <row r="172">
      <c r="A172" s="19" t="inlineStr">
        <is>
          <t>C-09</t>
        </is>
      </c>
      <c r="B172" s="34" t="n">
        <v>28</v>
      </c>
      <c r="C172" s="31" t="n">
        <v>46143</v>
      </c>
      <c r="D172" s="36">
        <f>'06_Medicion_inicial'!J13</f>
        <v/>
      </c>
      <c r="E172" s="21">
        <f>J171</f>
        <v/>
      </c>
      <c r="F172" s="21">
        <f>E172*D172</f>
        <v/>
      </c>
      <c r="G172" s="21">
        <f>IF(B172&lt;'05_Plazo'!H13,'07_Pagos_variables'!G13,IF(B172='05_Plazo'!H13,'06_Medicion_inicial'!F13+(1-'06_Medicion_inicial'!E13)*'07_Pagos_variables'!G13,0))</f>
        <v/>
      </c>
      <c r="H172" s="21">
        <f>E172+F172-G172</f>
        <v/>
      </c>
      <c r="I172" s="21" t="n">
        <v>0</v>
      </c>
      <c r="J172" s="21">
        <f>H172+I172</f>
        <v/>
      </c>
    </row>
    <row r="173">
      <c r="A173" s="18" t="inlineStr">
        <is>
          <t>C-09</t>
        </is>
      </c>
      <c r="B173" s="33" t="n">
        <v>29</v>
      </c>
      <c r="C173" s="29" t="n">
        <v>46174</v>
      </c>
      <c r="D173" s="35">
        <f>'06_Medicion_inicial'!J13</f>
        <v/>
      </c>
      <c r="E173" s="20">
        <f>J172</f>
        <v/>
      </c>
      <c r="F173" s="20">
        <f>E173*D173</f>
        <v/>
      </c>
      <c r="G173" s="20">
        <f>IF(B173&lt;'05_Plazo'!H13,'07_Pagos_variables'!G13,IF(B173='05_Plazo'!H13,'06_Medicion_inicial'!F13+(1-'06_Medicion_inicial'!E13)*'07_Pagos_variables'!G13,0))</f>
        <v/>
      </c>
      <c r="H173" s="20">
        <f>E173+F173-G173</f>
        <v/>
      </c>
      <c r="I173" s="20" t="n">
        <v>0</v>
      </c>
      <c r="J173" s="20">
        <f>H173+I173</f>
        <v/>
      </c>
    </row>
    <row r="174">
      <c r="A174" s="19" t="inlineStr">
        <is>
          <t>C-09</t>
        </is>
      </c>
      <c r="B174" s="34" t="n">
        <v>30</v>
      </c>
      <c r="C174" s="31" t="n">
        <v>46204</v>
      </c>
      <c r="D174" s="36">
        <f>'06_Medicion_inicial'!J13</f>
        <v/>
      </c>
      <c r="E174" s="21">
        <f>J173</f>
        <v/>
      </c>
      <c r="F174" s="21">
        <f>E174*D174</f>
        <v/>
      </c>
      <c r="G174" s="21">
        <f>IF(B174&lt;'05_Plazo'!H13,'07_Pagos_variables'!G13,IF(B174='05_Plazo'!H13,'06_Medicion_inicial'!F13+(1-'06_Medicion_inicial'!E13)*'07_Pagos_variables'!G13,0))</f>
        <v/>
      </c>
      <c r="H174" s="21">
        <f>E174+F174-G174</f>
        <v/>
      </c>
      <c r="I174" s="21" t="n">
        <v>0</v>
      </c>
      <c r="J174" s="21">
        <f>H174+I174</f>
        <v/>
      </c>
    </row>
    <row r="175">
      <c r="A175" s="18" t="inlineStr">
        <is>
          <t>C-09</t>
        </is>
      </c>
      <c r="B175" s="33" t="n">
        <v>31</v>
      </c>
      <c r="C175" s="29" t="n">
        <v>46235</v>
      </c>
      <c r="D175" s="35">
        <f>'06_Medicion_inicial'!J13</f>
        <v/>
      </c>
      <c r="E175" s="20">
        <f>J174</f>
        <v/>
      </c>
      <c r="F175" s="20">
        <f>E175*D175</f>
        <v/>
      </c>
      <c r="G175" s="20">
        <f>IF(B175&lt;'05_Plazo'!H13,'07_Pagos_variables'!G13,IF(B175='05_Plazo'!H13,'06_Medicion_inicial'!F13+(1-'06_Medicion_inicial'!E13)*'07_Pagos_variables'!G13,0))</f>
        <v/>
      </c>
      <c r="H175" s="20">
        <f>E175+F175-G175</f>
        <v/>
      </c>
      <c r="I175" s="20" t="n">
        <v>0</v>
      </c>
      <c r="J175" s="20">
        <f>H175+I175</f>
        <v/>
      </c>
    </row>
    <row r="176">
      <c r="A176" s="19" t="inlineStr">
        <is>
          <t>C-09</t>
        </is>
      </c>
      <c r="B176" s="34" t="n">
        <v>32</v>
      </c>
      <c r="C176" s="31" t="n">
        <v>46266</v>
      </c>
      <c r="D176" s="36">
        <f>'06_Medicion_inicial'!J13</f>
        <v/>
      </c>
      <c r="E176" s="21">
        <f>J175</f>
        <v/>
      </c>
      <c r="F176" s="21">
        <f>E176*D176</f>
        <v/>
      </c>
      <c r="G176" s="21">
        <f>IF(B176&lt;'05_Plazo'!H13,'07_Pagos_variables'!G13,IF(B176='05_Plazo'!H13,'06_Medicion_inicial'!F13+(1-'06_Medicion_inicial'!E13)*'07_Pagos_variables'!G13,0))</f>
        <v/>
      </c>
      <c r="H176" s="21">
        <f>E176+F176-G176</f>
        <v/>
      </c>
      <c r="I176" s="21" t="n">
        <v>0</v>
      </c>
      <c r="J176" s="21">
        <f>H176+I176</f>
        <v/>
      </c>
    </row>
    <row r="177">
      <c r="A177" s="18" t="inlineStr">
        <is>
          <t>C-09</t>
        </is>
      </c>
      <c r="B177" s="33" t="n">
        <v>33</v>
      </c>
      <c r="C177" s="29" t="n">
        <v>46296</v>
      </c>
      <c r="D177" s="35">
        <f>'06_Medicion_inicial'!J13</f>
        <v/>
      </c>
      <c r="E177" s="20">
        <f>J176</f>
        <v/>
      </c>
      <c r="F177" s="20">
        <f>E177*D177</f>
        <v/>
      </c>
      <c r="G177" s="20">
        <f>IF(B177&lt;'05_Plazo'!H13,'07_Pagos_variables'!G13,IF(B177='05_Plazo'!H13,'06_Medicion_inicial'!F13+(1-'06_Medicion_inicial'!E13)*'07_Pagos_variables'!G13,0))</f>
        <v/>
      </c>
      <c r="H177" s="20">
        <f>E177+F177-G177</f>
        <v/>
      </c>
      <c r="I177" s="20" t="n">
        <v>0</v>
      </c>
      <c r="J177" s="20">
        <f>H177+I177</f>
        <v/>
      </c>
    </row>
    <row r="178">
      <c r="A178" s="19" t="inlineStr">
        <is>
          <t>C-09</t>
        </is>
      </c>
      <c r="B178" s="34" t="n">
        <v>34</v>
      </c>
      <c r="C178" s="31" t="n">
        <v>46327</v>
      </c>
      <c r="D178" s="36">
        <f>'06_Medicion_inicial'!J13</f>
        <v/>
      </c>
      <c r="E178" s="21">
        <f>J177</f>
        <v/>
      </c>
      <c r="F178" s="21">
        <f>E178*D178</f>
        <v/>
      </c>
      <c r="G178" s="21">
        <f>IF(B178&lt;'05_Plazo'!H13,'07_Pagos_variables'!G13,IF(B178='05_Plazo'!H13,'06_Medicion_inicial'!F13+(1-'06_Medicion_inicial'!E13)*'07_Pagos_variables'!G13,0))</f>
        <v/>
      </c>
      <c r="H178" s="21">
        <f>E178+F178-G178</f>
        <v/>
      </c>
      <c r="I178" s="21" t="n">
        <v>0</v>
      </c>
      <c r="J178" s="21">
        <f>H178+I178</f>
        <v/>
      </c>
    </row>
    <row r="179">
      <c r="A179" s="18" t="inlineStr">
        <is>
          <t>C-09</t>
        </is>
      </c>
      <c r="B179" s="33" t="n">
        <v>35</v>
      </c>
      <c r="C179" s="29" t="n">
        <v>46357</v>
      </c>
      <c r="D179" s="35">
        <f>'06_Medicion_inicial'!J13</f>
        <v/>
      </c>
      <c r="E179" s="20">
        <f>J178</f>
        <v/>
      </c>
      <c r="F179" s="20">
        <f>E179*D179</f>
        <v/>
      </c>
      <c r="G179" s="20">
        <f>IF(B179&lt;'05_Plazo'!H13,'07_Pagos_variables'!G13,IF(B179='05_Plazo'!H13,'06_Medicion_inicial'!F13+(1-'06_Medicion_inicial'!E13)*'07_Pagos_variables'!G13,0))</f>
        <v/>
      </c>
      <c r="H179" s="20">
        <f>E179+F179-G179</f>
        <v/>
      </c>
      <c r="I179" s="20" t="n">
        <v>0</v>
      </c>
      <c r="J179" s="20">
        <f>H179+I179</f>
        <v/>
      </c>
    </row>
    <row r="180">
      <c r="A180" s="19" t="inlineStr">
        <is>
          <t>C-09</t>
        </is>
      </c>
      <c r="B180" s="34" t="n">
        <v>36</v>
      </c>
      <c r="C180" s="31" t="n">
        <v>46388</v>
      </c>
      <c r="D180" s="36">
        <f>'06_Medicion_inicial'!J13</f>
        <v/>
      </c>
      <c r="E180" s="21">
        <f>J179</f>
        <v/>
      </c>
      <c r="F180" s="21">
        <f>E180*D180</f>
        <v/>
      </c>
      <c r="G180" s="21">
        <f>IF(B180&lt;'05_Plazo'!H13,'07_Pagos_variables'!G13,IF(B180='05_Plazo'!H13,'06_Medicion_inicial'!F13+(1-'06_Medicion_inicial'!E13)*'07_Pagos_variables'!G13,0))</f>
        <v/>
      </c>
      <c r="H180" s="21">
        <f>E180+F180-G180</f>
        <v/>
      </c>
      <c r="I180" s="21" t="n">
        <v>0</v>
      </c>
      <c r="J180" s="21">
        <f>H180+I180</f>
        <v/>
      </c>
    </row>
    <row r="181">
      <c r="A181" s="18" t="inlineStr">
        <is>
          <t>C-09</t>
        </is>
      </c>
      <c r="B181" s="33" t="n">
        <v>37</v>
      </c>
      <c r="C181" s="29" t="n">
        <v>46419</v>
      </c>
      <c r="D181" s="35">
        <f>'06_Medicion_inicial'!J13</f>
        <v/>
      </c>
      <c r="E181" s="20">
        <f>J180</f>
        <v/>
      </c>
      <c r="F181" s="20">
        <f>E181*D181</f>
        <v/>
      </c>
      <c r="G181" s="20">
        <f>IF(B181&lt;'05_Plazo'!H13,'07_Pagos_variables'!G13,IF(B181='05_Plazo'!H13,'06_Medicion_inicial'!F13+(1-'06_Medicion_inicial'!E13)*'07_Pagos_variables'!G13,0))</f>
        <v/>
      </c>
      <c r="H181" s="20">
        <f>E181+F181-G181</f>
        <v/>
      </c>
      <c r="I181" s="20" t="n">
        <v>0</v>
      </c>
      <c r="J181" s="20">
        <f>H181+I181</f>
        <v/>
      </c>
    </row>
    <row r="182">
      <c r="A182" s="19" t="inlineStr">
        <is>
          <t>C-09</t>
        </is>
      </c>
      <c r="B182" s="34" t="n">
        <v>38</v>
      </c>
      <c r="C182" s="31" t="n">
        <v>46447</v>
      </c>
      <c r="D182" s="36">
        <f>'06_Medicion_inicial'!J13</f>
        <v/>
      </c>
      <c r="E182" s="21">
        <f>J181</f>
        <v/>
      </c>
      <c r="F182" s="21">
        <f>E182*D182</f>
        <v/>
      </c>
      <c r="G182" s="21">
        <f>IF(B182&lt;'05_Plazo'!H13,'07_Pagos_variables'!G13,IF(B182='05_Plazo'!H13,'06_Medicion_inicial'!F13+(1-'06_Medicion_inicial'!E13)*'07_Pagos_variables'!G13,0))</f>
        <v/>
      </c>
      <c r="H182" s="21">
        <f>E182+F182-G182</f>
        <v/>
      </c>
      <c r="I182" s="21" t="n">
        <v>0</v>
      </c>
      <c r="J182" s="21">
        <f>H182+I182</f>
        <v/>
      </c>
    </row>
    <row r="183">
      <c r="A183" s="18" t="inlineStr">
        <is>
          <t>C-09</t>
        </is>
      </c>
      <c r="B183" s="33" t="n">
        <v>39</v>
      </c>
      <c r="C183" s="29" t="n">
        <v>46478</v>
      </c>
      <c r="D183" s="35">
        <f>'06_Medicion_inicial'!J13</f>
        <v/>
      </c>
      <c r="E183" s="20">
        <f>J182</f>
        <v/>
      </c>
      <c r="F183" s="20">
        <f>E183*D183</f>
        <v/>
      </c>
      <c r="G183" s="20">
        <f>IF(B183&lt;'05_Plazo'!H13,'07_Pagos_variables'!G13,IF(B183='05_Plazo'!H13,'06_Medicion_inicial'!F13+(1-'06_Medicion_inicial'!E13)*'07_Pagos_variables'!G13,0))</f>
        <v/>
      </c>
      <c r="H183" s="20">
        <f>E183+F183-G183</f>
        <v/>
      </c>
      <c r="I183" s="20" t="n">
        <v>0</v>
      </c>
      <c r="J183" s="20">
        <f>H183+I183</f>
        <v/>
      </c>
    </row>
    <row r="184">
      <c r="A184" s="19" t="inlineStr">
        <is>
          <t>C-09</t>
        </is>
      </c>
      <c r="B184" s="34" t="n">
        <v>40</v>
      </c>
      <c r="C184" s="31" t="n">
        <v>46508</v>
      </c>
      <c r="D184" s="36">
        <f>'06_Medicion_inicial'!J13</f>
        <v/>
      </c>
      <c r="E184" s="21">
        <f>J183</f>
        <v/>
      </c>
      <c r="F184" s="21">
        <f>E184*D184</f>
        <v/>
      </c>
      <c r="G184" s="21">
        <f>IF(B184&lt;'05_Plazo'!H13,'07_Pagos_variables'!G13,IF(B184='05_Plazo'!H13,'06_Medicion_inicial'!F13+(1-'06_Medicion_inicial'!E13)*'07_Pagos_variables'!G13,0))</f>
        <v/>
      </c>
      <c r="H184" s="21">
        <f>E184+F184-G184</f>
        <v/>
      </c>
      <c r="I184" s="21" t="n">
        <v>0</v>
      </c>
      <c r="J184" s="21">
        <f>H184+I184</f>
        <v/>
      </c>
    </row>
    <row r="185">
      <c r="A185" s="18" t="inlineStr">
        <is>
          <t>C-09</t>
        </is>
      </c>
      <c r="B185" s="33" t="n">
        <v>41</v>
      </c>
      <c r="C185" s="29" t="n">
        <v>46539</v>
      </c>
      <c r="D185" s="35">
        <f>'06_Medicion_inicial'!J13</f>
        <v/>
      </c>
      <c r="E185" s="20">
        <f>J184</f>
        <v/>
      </c>
      <c r="F185" s="20">
        <f>E185*D185</f>
        <v/>
      </c>
      <c r="G185" s="20">
        <f>IF(B185&lt;'05_Plazo'!H13,'07_Pagos_variables'!G13,IF(B185='05_Plazo'!H13,'06_Medicion_inicial'!F13+(1-'06_Medicion_inicial'!E13)*'07_Pagos_variables'!G13,0))</f>
        <v/>
      </c>
      <c r="H185" s="20">
        <f>E185+F185-G185</f>
        <v/>
      </c>
      <c r="I185" s="20" t="n">
        <v>0</v>
      </c>
      <c r="J185" s="20">
        <f>H185+I185</f>
        <v/>
      </c>
    </row>
    <row r="186">
      <c r="A186" s="19" t="inlineStr">
        <is>
          <t>C-09</t>
        </is>
      </c>
      <c r="B186" s="34" t="n">
        <v>42</v>
      </c>
      <c r="C186" s="31" t="n">
        <v>46569</v>
      </c>
      <c r="D186" s="36">
        <f>'06_Medicion_inicial'!J13</f>
        <v/>
      </c>
      <c r="E186" s="21">
        <f>J185</f>
        <v/>
      </c>
      <c r="F186" s="21">
        <f>E186*D186</f>
        <v/>
      </c>
      <c r="G186" s="21">
        <f>IF(B186&lt;'05_Plazo'!H13,'07_Pagos_variables'!G13,IF(B186='05_Plazo'!H13,'06_Medicion_inicial'!F13+(1-'06_Medicion_inicial'!E13)*'07_Pagos_variables'!G13,0))</f>
        <v/>
      </c>
      <c r="H186" s="21">
        <f>E186+F186-G186</f>
        <v/>
      </c>
      <c r="I186" s="21" t="n">
        <v>0</v>
      </c>
      <c r="J186" s="21">
        <f>H186+I186</f>
        <v/>
      </c>
    </row>
    <row r="187">
      <c r="A187" s="18" t="inlineStr">
        <is>
          <t>C-09</t>
        </is>
      </c>
      <c r="B187" s="33" t="n">
        <v>43</v>
      </c>
      <c r="C187" s="29" t="n">
        <v>46600</v>
      </c>
      <c r="D187" s="35">
        <f>'06_Medicion_inicial'!J13</f>
        <v/>
      </c>
      <c r="E187" s="20">
        <f>J186</f>
        <v/>
      </c>
      <c r="F187" s="20">
        <f>E187*D187</f>
        <v/>
      </c>
      <c r="G187" s="20">
        <f>IF(B187&lt;'05_Plazo'!H13,'07_Pagos_variables'!G13,IF(B187='05_Plazo'!H13,'06_Medicion_inicial'!F13+(1-'06_Medicion_inicial'!E13)*'07_Pagos_variables'!G13,0))</f>
        <v/>
      </c>
      <c r="H187" s="20">
        <f>E187+F187-G187</f>
        <v/>
      </c>
      <c r="I187" s="20" t="n">
        <v>0</v>
      </c>
      <c r="J187" s="20">
        <f>H187+I187</f>
        <v/>
      </c>
    </row>
    <row r="188">
      <c r="A188" s="19" t="inlineStr">
        <is>
          <t>C-09</t>
        </is>
      </c>
      <c r="B188" s="34" t="n">
        <v>44</v>
      </c>
      <c r="C188" s="31" t="n">
        <v>46631</v>
      </c>
      <c r="D188" s="36">
        <f>'06_Medicion_inicial'!J13</f>
        <v/>
      </c>
      <c r="E188" s="21">
        <f>J187</f>
        <v/>
      </c>
      <c r="F188" s="21">
        <f>E188*D188</f>
        <v/>
      </c>
      <c r="G188" s="21">
        <f>IF(B188&lt;'05_Plazo'!H13,'07_Pagos_variables'!G13,IF(B188='05_Plazo'!H13,'06_Medicion_inicial'!F13+(1-'06_Medicion_inicial'!E13)*'07_Pagos_variables'!G13,0))</f>
        <v/>
      </c>
      <c r="H188" s="21">
        <f>E188+F188-G188</f>
        <v/>
      </c>
      <c r="I188" s="21" t="n">
        <v>0</v>
      </c>
      <c r="J188" s="21">
        <f>H188+I188</f>
        <v/>
      </c>
    </row>
    <row r="189">
      <c r="A189" s="18" t="inlineStr">
        <is>
          <t>C-09</t>
        </is>
      </c>
      <c r="B189" s="33" t="n">
        <v>45</v>
      </c>
      <c r="C189" s="29" t="n">
        <v>46661</v>
      </c>
      <c r="D189" s="35">
        <f>'06_Medicion_inicial'!J13</f>
        <v/>
      </c>
      <c r="E189" s="20">
        <f>J188</f>
        <v/>
      </c>
      <c r="F189" s="20">
        <f>E189*D189</f>
        <v/>
      </c>
      <c r="G189" s="20">
        <f>IF(B189&lt;'05_Plazo'!H13,'07_Pagos_variables'!G13,IF(B189='05_Plazo'!H13,'06_Medicion_inicial'!F13+(1-'06_Medicion_inicial'!E13)*'07_Pagos_variables'!G13,0))</f>
        <v/>
      </c>
      <c r="H189" s="20">
        <f>E189+F189-G189</f>
        <v/>
      </c>
      <c r="I189" s="20" t="n">
        <v>0</v>
      </c>
      <c r="J189" s="20">
        <f>H189+I189</f>
        <v/>
      </c>
    </row>
    <row r="190">
      <c r="A190" s="19" t="inlineStr">
        <is>
          <t>C-09</t>
        </is>
      </c>
      <c r="B190" s="34" t="n">
        <v>46</v>
      </c>
      <c r="C190" s="31" t="n">
        <v>46692</v>
      </c>
      <c r="D190" s="36">
        <f>'06_Medicion_inicial'!J13</f>
        <v/>
      </c>
      <c r="E190" s="21">
        <f>J189</f>
        <v/>
      </c>
      <c r="F190" s="21">
        <f>E190*D190</f>
        <v/>
      </c>
      <c r="G190" s="21">
        <f>IF(B190&lt;'05_Plazo'!H13,'07_Pagos_variables'!G13,IF(B190='05_Plazo'!H13,'06_Medicion_inicial'!F13+(1-'06_Medicion_inicial'!E13)*'07_Pagos_variables'!G13,0))</f>
        <v/>
      </c>
      <c r="H190" s="21">
        <f>E190+F190-G190</f>
        <v/>
      </c>
      <c r="I190" s="21" t="n">
        <v>0</v>
      </c>
      <c r="J190" s="21">
        <f>H190+I190</f>
        <v/>
      </c>
    </row>
    <row r="191">
      <c r="A191" s="18" t="inlineStr">
        <is>
          <t>C-09</t>
        </is>
      </c>
      <c r="B191" s="33" t="n">
        <v>47</v>
      </c>
      <c r="C191" s="29" t="n">
        <v>46722</v>
      </c>
      <c r="D191" s="35">
        <f>'06_Medicion_inicial'!J13</f>
        <v/>
      </c>
      <c r="E191" s="20">
        <f>J190</f>
        <v/>
      </c>
      <c r="F191" s="20">
        <f>E191*D191</f>
        <v/>
      </c>
      <c r="G191" s="20">
        <f>IF(B191&lt;'05_Plazo'!H13,'07_Pagos_variables'!G13,IF(B191='05_Plazo'!H13,'06_Medicion_inicial'!F13+(1-'06_Medicion_inicial'!E13)*'07_Pagos_variables'!G13,0))</f>
        <v/>
      </c>
      <c r="H191" s="20">
        <f>E191+F191-G191</f>
        <v/>
      </c>
      <c r="I191" s="20" t="n">
        <v>0</v>
      </c>
      <c r="J191" s="20">
        <f>H191+I191</f>
        <v/>
      </c>
    </row>
    <row r="192">
      <c r="A192" s="19" t="inlineStr">
        <is>
          <t>C-09</t>
        </is>
      </c>
      <c r="B192" s="34" t="n">
        <v>48</v>
      </c>
      <c r="C192" s="31" t="n">
        <v>46753</v>
      </c>
      <c r="D192" s="36">
        <f>'06_Medicion_inicial'!J13</f>
        <v/>
      </c>
      <c r="E192" s="21">
        <f>J191</f>
        <v/>
      </c>
      <c r="F192" s="21">
        <f>E192*D192</f>
        <v/>
      </c>
      <c r="G192" s="21">
        <f>IF(B192&lt;'05_Plazo'!H13,'07_Pagos_variables'!G13,IF(B192='05_Plazo'!H13,'06_Medicion_inicial'!F13+(1-'06_Medicion_inicial'!E13)*'07_Pagos_variables'!G13,0))</f>
        <v/>
      </c>
      <c r="H192" s="21">
        <f>E192+F192-G192</f>
        <v/>
      </c>
      <c r="I192" s="21" t="n">
        <v>0</v>
      </c>
      <c r="J192" s="21">
        <f>H192+I192</f>
        <v/>
      </c>
    </row>
    <row r="193">
      <c r="A193" s="18" t="inlineStr">
        <is>
          <t>C-09</t>
        </is>
      </c>
      <c r="B193" s="33" t="n">
        <v>49</v>
      </c>
      <c r="C193" s="29" t="n">
        <v>46784</v>
      </c>
      <c r="D193" s="35">
        <f>'06_Medicion_inicial'!J13</f>
        <v/>
      </c>
      <c r="E193" s="20">
        <f>J192</f>
        <v/>
      </c>
      <c r="F193" s="20">
        <f>E193*D193</f>
        <v/>
      </c>
      <c r="G193" s="20">
        <f>IF(B193&lt;'05_Plazo'!H13,'07_Pagos_variables'!G13,IF(B193='05_Plazo'!H13,'06_Medicion_inicial'!F13+(1-'06_Medicion_inicial'!E13)*'07_Pagos_variables'!G13,0))</f>
        <v/>
      </c>
      <c r="H193" s="20">
        <f>E193+F193-G193</f>
        <v/>
      </c>
      <c r="I193" s="20" t="n">
        <v>0</v>
      </c>
      <c r="J193" s="20">
        <f>H193+I193</f>
        <v/>
      </c>
    </row>
    <row r="194">
      <c r="A194" s="19" t="inlineStr">
        <is>
          <t>C-09</t>
        </is>
      </c>
      <c r="B194" s="34" t="n">
        <v>50</v>
      </c>
      <c r="C194" s="31" t="n">
        <v>46813</v>
      </c>
      <c r="D194" s="36">
        <f>'06_Medicion_inicial'!J13</f>
        <v/>
      </c>
      <c r="E194" s="21">
        <f>J193</f>
        <v/>
      </c>
      <c r="F194" s="21">
        <f>E194*D194</f>
        <v/>
      </c>
      <c r="G194" s="21">
        <f>IF(B194&lt;'05_Plazo'!H13,'07_Pagos_variables'!G13,IF(B194='05_Plazo'!H13,'06_Medicion_inicial'!F13+(1-'06_Medicion_inicial'!E13)*'07_Pagos_variables'!G13,0))</f>
        <v/>
      </c>
      <c r="H194" s="21">
        <f>E194+F194-G194</f>
        <v/>
      </c>
      <c r="I194" s="21" t="n">
        <v>0</v>
      </c>
      <c r="J194" s="21">
        <f>H194+I194</f>
        <v/>
      </c>
    </row>
    <row r="195">
      <c r="A195" s="18" t="inlineStr">
        <is>
          <t>C-09</t>
        </is>
      </c>
      <c r="B195" s="33" t="n">
        <v>51</v>
      </c>
      <c r="C195" s="29" t="n">
        <v>46844</v>
      </c>
      <c r="D195" s="35">
        <f>'06_Medicion_inicial'!J13</f>
        <v/>
      </c>
      <c r="E195" s="20">
        <f>J194</f>
        <v/>
      </c>
      <c r="F195" s="20">
        <f>E195*D195</f>
        <v/>
      </c>
      <c r="G195" s="20">
        <f>IF(B195&lt;'05_Plazo'!H13,'07_Pagos_variables'!G13,IF(B195='05_Plazo'!H13,'06_Medicion_inicial'!F13+(1-'06_Medicion_inicial'!E13)*'07_Pagos_variables'!G13,0))</f>
        <v/>
      </c>
      <c r="H195" s="20">
        <f>E195+F195-G195</f>
        <v/>
      </c>
      <c r="I195" s="20" t="n">
        <v>0</v>
      </c>
      <c r="J195" s="20">
        <f>H195+I195</f>
        <v/>
      </c>
    </row>
    <row r="196">
      <c r="A196" s="19" t="inlineStr">
        <is>
          <t>C-09</t>
        </is>
      </c>
      <c r="B196" s="34" t="n">
        <v>52</v>
      </c>
      <c r="C196" s="31" t="n">
        <v>46874</v>
      </c>
      <c r="D196" s="36">
        <f>'06_Medicion_inicial'!J13</f>
        <v/>
      </c>
      <c r="E196" s="21">
        <f>J195</f>
        <v/>
      </c>
      <c r="F196" s="21">
        <f>E196*D196</f>
        <v/>
      </c>
      <c r="G196" s="21">
        <f>IF(B196&lt;'05_Plazo'!H13,'07_Pagos_variables'!G13,IF(B196='05_Plazo'!H13,'06_Medicion_inicial'!F13+(1-'06_Medicion_inicial'!E13)*'07_Pagos_variables'!G13,0))</f>
        <v/>
      </c>
      <c r="H196" s="21">
        <f>E196+F196-G196</f>
        <v/>
      </c>
      <c r="I196" s="21" t="n">
        <v>0</v>
      </c>
      <c r="J196" s="21">
        <f>H196+I196</f>
        <v/>
      </c>
    </row>
    <row r="197">
      <c r="A197" s="18" t="inlineStr">
        <is>
          <t>C-09</t>
        </is>
      </c>
      <c r="B197" s="33" t="n">
        <v>53</v>
      </c>
      <c r="C197" s="29" t="n">
        <v>46905</v>
      </c>
      <c r="D197" s="35">
        <f>'06_Medicion_inicial'!J13</f>
        <v/>
      </c>
      <c r="E197" s="20">
        <f>J196</f>
        <v/>
      </c>
      <c r="F197" s="20">
        <f>E197*D197</f>
        <v/>
      </c>
      <c r="G197" s="20">
        <f>IF(B197&lt;'05_Plazo'!H13,'07_Pagos_variables'!G13,IF(B197='05_Plazo'!H13,'06_Medicion_inicial'!F13+(1-'06_Medicion_inicial'!E13)*'07_Pagos_variables'!G13,0))</f>
        <v/>
      </c>
      <c r="H197" s="20">
        <f>E197+F197-G197</f>
        <v/>
      </c>
      <c r="I197" s="20" t="n">
        <v>0</v>
      </c>
      <c r="J197" s="20">
        <f>H197+I197</f>
        <v/>
      </c>
    </row>
    <row r="198">
      <c r="A198" s="19" t="inlineStr">
        <is>
          <t>C-09</t>
        </is>
      </c>
      <c r="B198" s="34" t="n">
        <v>54</v>
      </c>
      <c r="C198" s="31" t="n">
        <v>46935</v>
      </c>
      <c r="D198" s="36">
        <f>'06_Medicion_inicial'!J13</f>
        <v/>
      </c>
      <c r="E198" s="21">
        <f>J197</f>
        <v/>
      </c>
      <c r="F198" s="21">
        <f>E198*D198</f>
        <v/>
      </c>
      <c r="G198" s="21">
        <f>IF(B198&lt;'05_Plazo'!H13,'07_Pagos_variables'!G13,IF(B198='05_Plazo'!H13,'06_Medicion_inicial'!F13+(1-'06_Medicion_inicial'!E13)*'07_Pagos_variables'!G13,0))</f>
        <v/>
      </c>
      <c r="H198" s="21">
        <f>E198+F198-G198</f>
        <v/>
      </c>
      <c r="I198" s="21" t="n">
        <v>0</v>
      </c>
      <c r="J198" s="21">
        <f>H198+I198</f>
        <v/>
      </c>
    </row>
    <row r="199">
      <c r="A199" s="18" t="inlineStr">
        <is>
          <t>C-09</t>
        </is>
      </c>
      <c r="B199" s="33" t="n">
        <v>55</v>
      </c>
      <c r="C199" s="29" t="n">
        <v>46966</v>
      </c>
      <c r="D199" s="35">
        <f>'06_Medicion_inicial'!J13</f>
        <v/>
      </c>
      <c r="E199" s="20">
        <f>J198</f>
        <v/>
      </c>
      <c r="F199" s="20">
        <f>E199*D199</f>
        <v/>
      </c>
      <c r="G199" s="20">
        <f>IF(B199&lt;'05_Plazo'!H13,'07_Pagos_variables'!G13,IF(B199='05_Plazo'!H13,'06_Medicion_inicial'!F13+(1-'06_Medicion_inicial'!E13)*'07_Pagos_variables'!G13,0))</f>
        <v/>
      </c>
      <c r="H199" s="20">
        <f>E199+F199-G199</f>
        <v/>
      </c>
      <c r="I199" s="20" t="n">
        <v>0</v>
      </c>
      <c r="J199" s="20">
        <f>H199+I199</f>
        <v/>
      </c>
    </row>
    <row r="200">
      <c r="A200" s="19" t="inlineStr">
        <is>
          <t>C-09</t>
        </is>
      </c>
      <c r="B200" s="34" t="n">
        <v>56</v>
      </c>
      <c r="C200" s="31" t="n">
        <v>46997</v>
      </c>
      <c r="D200" s="36">
        <f>'06_Medicion_inicial'!J13</f>
        <v/>
      </c>
      <c r="E200" s="21">
        <f>J199</f>
        <v/>
      </c>
      <c r="F200" s="21">
        <f>E200*D200</f>
        <v/>
      </c>
      <c r="G200" s="21">
        <f>IF(B200&lt;'05_Plazo'!H13,'07_Pagos_variables'!G13,IF(B200='05_Plazo'!H13,'06_Medicion_inicial'!F13+(1-'06_Medicion_inicial'!E13)*'07_Pagos_variables'!G13,0))</f>
        <v/>
      </c>
      <c r="H200" s="21">
        <f>E200+F200-G200</f>
        <v/>
      </c>
      <c r="I200" s="21" t="n">
        <v>0</v>
      </c>
      <c r="J200" s="21">
        <f>H200+I200</f>
        <v/>
      </c>
    </row>
    <row r="201">
      <c r="A201" s="18" t="inlineStr">
        <is>
          <t>C-09</t>
        </is>
      </c>
      <c r="B201" s="33" t="n">
        <v>57</v>
      </c>
      <c r="C201" s="29" t="n">
        <v>47027</v>
      </c>
      <c r="D201" s="35">
        <f>'06_Medicion_inicial'!J13</f>
        <v/>
      </c>
      <c r="E201" s="20">
        <f>J200</f>
        <v/>
      </c>
      <c r="F201" s="20">
        <f>E201*D201</f>
        <v/>
      </c>
      <c r="G201" s="20">
        <f>IF(B201&lt;'05_Plazo'!H13,'07_Pagos_variables'!G13,IF(B201='05_Plazo'!H13,'06_Medicion_inicial'!F13+(1-'06_Medicion_inicial'!E13)*'07_Pagos_variables'!G13,0))</f>
        <v/>
      </c>
      <c r="H201" s="20">
        <f>E201+F201-G201</f>
        <v/>
      </c>
      <c r="I201" s="20" t="n">
        <v>0</v>
      </c>
      <c r="J201" s="20">
        <f>H201+I201</f>
        <v/>
      </c>
    </row>
    <row r="202">
      <c r="A202" s="19" t="inlineStr">
        <is>
          <t>C-09</t>
        </is>
      </c>
      <c r="B202" s="34" t="n">
        <v>58</v>
      </c>
      <c r="C202" s="31" t="n">
        <v>47058</v>
      </c>
      <c r="D202" s="36">
        <f>'06_Medicion_inicial'!J13</f>
        <v/>
      </c>
      <c r="E202" s="21">
        <f>J201</f>
        <v/>
      </c>
      <c r="F202" s="21">
        <f>E202*D202</f>
        <v/>
      </c>
      <c r="G202" s="21">
        <f>IF(B202&lt;'05_Plazo'!H13,'07_Pagos_variables'!G13,IF(B202='05_Plazo'!H13,'06_Medicion_inicial'!F13+(1-'06_Medicion_inicial'!E13)*'07_Pagos_variables'!G13,0))</f>
        <v/>
      </c>
      <c r="H202" s="21">
        <f>E202+F202-G202</f>
        <v/>
      </c>
      <c r="I202" s="21" t="n">
        <v>0</v>
      </c>
      <c r="J202" s="21">
        <f>H202+I202</f>
        <v/>
      </c>
    </row>
    <row r="203">
      <c r="A203" s="18" t="inlineStr">
        <is>
          <t>C-09</t>
        </is>
      </c>
      <c r="B203" s="33" t="n">
        <v>59</v>
      </c>
      <c r="C203" s="29" t="n">
        <v>47088</v>
      </c>
      <c r="D203" s="35">
        <f>'06_Medicion_inicial'!J13</f>
        <v/>
      </c>
      <c r="E203" s="20">
        <f>J202</f>
        <v/>
      </c>
      <c r="F203" s="20">
        <f>E203*D203</f>
        <v/>
      </c>
      <c r="G203" s="20">
        <f>IF(B203&lt;'05_Plazo'!H13,'07_Pagos_variables'!G13,IF(B203='05_Plazo'!H13,'06_Medicion_inicial'!F13+(1-'06_Medicion_inicial'!E13)*'07_Pagos_variables'!G13,0))</f>
        <v/>
      </c>
      <c r="H203" s="20">
        <f>E203+F203-G203</f>
        <v/>
      </c>
      <c r="I203" s="20" t="n">
        <v>0</v>
      </c>
      <c r="J203" s="20">
        <f>H203+I203</f>
        <v/>
      </c>
    </row>
    <row r="204">
      <c r="A204" s="19" t="inlineStr">
        <is>
          <t>C-09</t>
        </is>
      </c>
      <c r="B204" s="34" t="n">
        <v>60</v>
      </c>
      <c r="C204" s="31" t="n">
        <v>47119</v>
      </c>
      <c r="D204" s="36">
        <f>'06_Medicion_inicial'!J13</f>
        <v/>
      </c>
      <c r="E204" s="21">
        <f>J203</f>
        <v/>
      </c>
      <c r="F204" s="21">
        <f>E204*D204</f>
        <v/>
      </c>
      <c r="G204" s="21">
        <f>IF(B204&lt;'05_Plazo'!H13,'07_Pagos_variables'!G13,IF(B204='05_Plazo'!H13,'06_Medicion_inicial'!F13+(1-'06_Medicion_inicial'!E13)*'07_Pagos_variables'!G13,0))</f>
        <v/>
      </c>
      <c r="H204" s="21">
        <f>E204+F204-G204</f>
        <v/>
      </c>
      <c r="I204" s="21" t="n">
        <v>0</v>
      </c>
      <c r="J204" s="21">
        <f>H204+I204</f>
        <v/>
      </c>
    </row>
    <row r="205">
      <c r="A205" s="18" t="inlineStr">
        <is>
          <t>C-10</t>
        </is>
      </c>
      <c r="B205" s="33" t="n">
        <v>1</v>
      </c>
      <c r="C205" s="29" t="n">
        <v>45323</v>
      </c>
      <c r="D205" s="35">
        <f>'06_Medicion_inicial'!J14</f>
        <v/>
      </c>
      <c r="E205" s="20">
        <f>'06_Medicion_inicial'!L14</f>
        <v/>
      </c>
      <c r="F205" s="20">
        <f>E205*D205</f>
        <v/>
      </c>
      <c r="G205" s="20">
        <f>IF(B205&lt;'05_Plazo'!H14,'07_Pagos_variables'!G14,IF(B205='05_Plazo'!H14,'06_Medicion_inicial'!F14+(1-'06_Medicion_inicial'!E14)*'07_Pagos_variables'!G14,0))</f>
        <v/>
      </c>
      <c r="H205" s="20">
        <f>E205+F205-G205</f>
        <v/>
      </c>
      <c r="I205" s="20" t="n">
        <v>0</v>
      </c>
      <c r="J205" s="20">
        <f>H205+I205</f>
        <v/>
      </c>
    </row>
    <row r="206">
      <c r="A206" s="19" t="inlineStr">
        <is>
          <t>C-10</t>
        </is>
      </c>
      <c r="B206" s="34" t="n">
        <v>2</v>
      </c>
      <c r="C206" s="31" t="n">
        <v>45352</v>
      </c>
      <c r="D206" s="36">
        <f>'06_Medicion_inicial'!J14</f>
        <v/>
      </c>
      <c r="E206" s="21">
        <f>J205</f>
        <v/>
      </c>
      <c r="F206" s="21">
        <f>E206*D206</f>
        <v/>
      </c>
      <c r="G206" s="21">
        <f>IF(B206&lt;'05_Plazo'!H14,'07_Pagos_variables'!G14,IF(B206='05_Plazo'!H14,'06_Medicion_inicial'!F14+(1-'06_Medicion_inicial'!E14)*'07_Pagos_variables'!G14,0))</f>
        <v/>
      </c>
      <c r="H206" s="21">
        <f>E206+F206-G206</f>
        <v/>
      </c>
      <c r="I206" s="21" t="n">
        <v>0</v>
      </c>
      <c r="J206" s="21">
        <f>H206+I206</f>
        <v/>
      </c>
    </row>
    <row r="207">
      <c r="A207" s="18" t="inlineStr">
        <is>
          <t>C-10</t>
        </is>
      </c>
      <c r="B207" s="33" t="n">
        <v>3</v>
      </c>
      <c r="C207" s="29" t="n">
        <v>45383</v>
      </c>
      <c r="D207" s="35">
        <f>'06_Medicion_inicial'!J14</f>
        <v/>
      </c>
      <c r="E207" s="20">
        <f>J206</f>
        <v/>
      </c>
      <c r="F207" s="20">
        <f>E207*D207</f>
        <v/>
      </c>
      <c r="G207" s="20">
        <f>IF(B207&lt;'05_Plazo'!H14,'07_Pagos_variables'!G14,IF(B207='05_Plazo'!H14,'06_Medicion_inicial'!F14+(1-'06_Medicion_inicial'!E14)*'07_Pagos_variables'!G14,0))</f>
        <v/>
      </c>
      <c r="H207" s="20">
        <f>E207+F207-G207</f>
        <v/>
      </c>
      <c r="I207" s="20" t="n">
        <v>0</v>
      </c>
      <c r="J207" s="20">
        <f>H207+I207</f>
        <v/>
      </c>
    </row>
    <row r="208">
      <c r="A208" s="19" t="inlineStr">
        <is>
          <t>C-10</t>
        </is>
      </c>
      <c r="B208" s="34" t="n">
        <v>4</v>
      </c>
      <c r="C208" s="31" t="n">
        <v>45413</v>
      </c>
      <c r="D208" s="36">
        <f>'06_Medicion_inicial'!J14</f>
        <v/>
      </c>
      <c r="E208" s="21">
        <f>J207</f>
        <v/>
      </c>
      <c r="F208" s="21">
        <f>E208*D208</f>
        <v/>
      </c>
      <c r="G208" s="21">
        <f>IF(B208&lt;'05_Plazo'!H14,'07_Pagos_variables'!G14,IF(B208='05_Plazo'!H14,'06_Medicion_inicial'!F14+(1-'06_Medicion_inicial'!E14)*'07_Pagos_variables'!G14,0))</f>
        <v/>
      </c>
      <c r="H208" s="21">
        <f>E208+F208-G208</f>
        <v/>
      </c>
      <c r="I208" s="21" t="n">
        <v>0</v>
      </c>
      <c r="J208" s="21">
        <f>H208+I208</f>
        <v/>
      </c>
    </row>
    <row r="209">
      <c r="A209" s="18" t="inlineStr">
        <is>
          <t>C-10</t>
        </is>
      </c>
      <c r="B209" s="33" t="n">
        <v>5</v>
      </c>
      <c r="C209" s="29" t="n">
        <v>45444</v>
      </c>
      <c r="D209" s="35">
        <f>'06_Medicion_inicial'!J14</f>
        <v/>
      </c>
      <c r="E209" s="20">
        <f>J208</f>
        <v/>
      </c>
      <c r="F209" s="20">
        <f>E209*D209</f>
        <v/>
      </c>
      <c r="G209" s="20">
        <f>IF(B209&lt;'05_Plazo'!H14,'07_Pagos_variables'!G14,IF(B209='05_Plazo'!H14,'06_Medicion_inicial'!F14+(1-'06_Medicion_inicial'!E14)*'07_Pagos_variables'!G14,0))</f>
        <v/>
      </c>
      <c r="H209" s="20">
        <f>E209+F209-G209</f>
        <v/>
      </c>
      <c r="I209" s="20" t="n">
        <v>0</v>
      </c>
      <c r="J209" s="20">
        <f>H209+I209</f>
        <v/>
      </c>
    </row>
    <row r="210">
      <c r="A210" s="19" t="inlineStr">
        <is>
          <t>C-10</t>
        </is>
      </c>
      <c r="B210" s="34" t="n">
        <v>6</v>
      </c>
      <c r="C210" s="31" t="n">
        <v>45474</v>
      </c>
      <c r="D210" s="36">
        <f>'06_Medicion_inicial'!J14</f>
        <v/>
      </c>
      <c r="E210" s="21">
        <f>J209</f>
        <v/>
      </c>
      <c r="F210" s="21">
        <f>E210*D210</f>
        <v/>
      </c>
      <c r="G210" s="21">
        <f>IF(B210&lt;'05_Plazo'!H14,'07_Pagos_variables'!G14,IF(B210='05_Plazo'!H14,'06_Medicion_inicial'!F14+(1-'06_Medicion_inicial'!E14)*'07_Pagos_variables'!G14,0))</f>
        <v/>
      </c>
      <c r="H210" s="21">
        <f>E210+F210-G210</f>
        <v/>
      </c>
      <c r="I210" s="21" t="n">
        <v>0</v>
      </c>
      <c r="J210" s="21">
        <f>H210+I210</f>
        <v/>
      </c>
    </row>
    <row r="211">
      <c r="A211" s="18" t="inlineStr">
        <is>
          <t>C-10</t>
        </is>
      </c>
      <c r="B211" s="33" t="n">
        <v>7</v>
      </c>
      <c r="C211" s="29" t="n">
        <v>45505</v>
      </c>
      <c r="D211" s="35">
        <f>'06_Medicion_inicial'!J14</f>
        <v/>
      </c>
      <c r="E211" s="20">
        <f>J210</f>
        <v/>
      </c>
      <c r="F211" s="20">
        <f>E211*D211</f>
        <v/>
      </c>
      <c r="G211" s="20">
        <f>IF(B211&lt;'05_Plazo'!H14,'07_Pagos_variables'!G14,IF(B211='05_Plazo'!H14,'06_Medicion_inicial'!F14+(1-'06_Medicion_inicial'!E14)*'07_Pagos_variables'!G14,0))</f>
        <v/>
      </c>
      <c r="H211" s="20">
        <f>E211+F211-G211</f>
        <v/>
      </c>
      <c r="I211" s="20" t="n">
        <v>0</v>
      </c>
      <c r="J211" s="20">
        <f>H211+I211</f>
        <v/>
      </c>
    </row>
    <row r="212">
      <c r="A212" s="19" t="inlineStr">
        <is>
          <t>C-10</t>
        </is>
      </c>
      <c r="B212" s="34" t="n">
        <v>8</v>
      </c>
      <c r="C212" s="31" t="n">
        <v>45536</v>
      </c>
      <c r="D212" s="36">
        <f>'06_Medicion_inicial'!J14</f>
        <v/>
      </c>
      <c r="E212" s="21">
        <f>J211</f>
        <v/>
      </c>
      <c r="F212" s="21">
        <f>E212*D212</f>
        <v/>
      </c>
      <c r="G212" s="21">
        <f>IF(B212&lt;'05_Plazo'!H14,'07_Pagos_variables'!G14,IF(B212='05_Plazo'!H14,'06_Medicion_inicial'!F14+(1-'06_Medicion_inicial'!E14)*'07_Pagos_variables'!G14,0))</f>
        <v/>
      </c>
      <c r="H212" s="21">
        <f>E212+F212-G212</f>
        <v/>
      </c>
      <c r="I212" s="21" t="n">
        <v>0</v>
      </c>
      <c r="J212" s="21">
        <f>H212+I212</f>
        <v/>
      </c>
    </row>
    <row r="213">
      <c r="A213" s="18" t="inlineStr">
        <is>
          <t>C-10</t>
        </is>
      </c>
      <c r="B213" s="33" t="n">
        <v>9</v>
      </c>
      <c r="C213" s="29" t="n">
        <v>45566</v>
      </c>
      <c r="D213" s="35">
        <f>'06_Medicion_inicial'!J14</f>
        <v/>
      </c>
      <c r="E213" s="20">
        <f>J212</f>
        <v/>
      </c>
      <c r="F213" s="20">
        <f>E213*D213</f>
        <v/>
      </c>
      <c r="G213" s="20">
        <f>IF(B213&lt;'05_Plazo'!H14,'07_Pagos_variables'!G14,IF(B213='05_Plazo'!H14,'06_Medicion_inicial'!F14+(1-'06_Medicion_inicial'!E14)*'07_Pagos_variables'!G14,0))</f>
        <v/>
      </c>
      <c r="H213" s="20">
        <f>E213+F213-G213</f>
        <v/>
      </c>
      <c r="I213" s="20" t="n">
        <v>0</v>
      </c>
      <c r="J213" s="20">
        <f>H213+I213</f>
        <v/>
      </c>
    </row>
    <row r="214">
      <c r="A214" s="19" t="inlineStr">
        <is>
          <t>C-10</t>
        </is>
      </c>
      <c r="B214" s="34" t="n">
        <v>10</v>
      </c>
      <c r="C214" s="31" t="n">
        <v>45597</v>
      </c>
      <c r="D214" s="36">
        <f>'06_Medicion_inicial'!J14</f>
        <v/>
      </c>
      <c r="E214" s="21">
        <f>J213</f>
        <v/>
      </c>
      <c r="F214" s="21">
        <f>E214*D214</f>
        <v/>
      </c>
      <c r="G214" s="21">
        <f>IF(B214&lt;'05_Plazo'!H14,'07_Pagos_variables'!G14,IF(B214='05_Plazo'!H14,'06_Medicion_inicial'!F14+(1-'06_Medicion_inicial'!E14)*'07_Pagos_variables'!G14,0))</f>
        <v/>
      </c>
      <c r="H214" s="21">
        <f>E214+F214-G214</f>
        <v/>
      </c>
      <c r="I214" s="21" t="n">
        <v>0</v>
      </c>
      <c r="J214" s="21">
        <f>H214+I214</f>
        <v/>
      </c>
    </row>
    <row r="215">
      <c r="A215" s="18" t="inlineStr">
        <is>
          <t>C-10</t>
        </is>
      </c>
      <c r="B215" s="33" t="n">
        <v>11</v>
      </c>
      <c r="C215" s="29" t="n">
        <v>45627</v>
      </c>
      <c r="D215" s="35">
        <f>'06_Medicion_inicial'!J14</f>
        <v/>
      </c>
      <c r="E215" s="20">
        <f>J214</f>
        <v/>
      </c>
      <c r="F215" s="20">
        <f>E215*D215</f>
        <v/>
      </c>
      <c r="G215" s="20">
        <f>IF(B215&lt;'05_Plazo'!H14,'07_Pagos_variables'!G14,IF(B215='05_Plazo'!H14,'06_Medicion_inicial'!F14+(1-'06_Medicion_inicial'!E14)*'07_Pagos_variables'!G14,0))</f>
        <v/>
      </c>
      <c r="H215" s="20">
        <f>E215+F215-G215</f>
        <v/>
      </c>
      <c r="I215" s="20" t="n">
        <v>0</v>
      </c>
      <c r="J215" s="20">
        <f>H215+I215</f>
        <v/>
      </c>
    </row>
    <row r="216">
      <c r="A216" s="19" t="inlineStr">
        <is>
          <t>C-10</t>
        </is>
      </c>
      <c r="B216" s="34" t="n">
        <v>12</v>
      </c>
      <c r="C216" s="31" t="n">
        <v>45658</v>
      </c>
      <c r="D216" s="36">
        <f>'06_Medicion_inicial'!J14</f>
        <v/>
      </c>
      <c r="E216" s="21">
        <f>J215</f>
        <v/>
      </c>
      <c r="F216" s="21">
        <f>E216*D216</f>
        <v/>
      </c>
      <c r="G216" s="21">
        <f>IF(B216&lt;'05_Plazo'!H14,'07_Pagos_variables'!G14,IF(B216='05_Plazo'!H14,'06_Medicion_inicial'!F14+(1-'06_Medicion_inicial'!E14)*'07_Pagos_variables'!G14,0))</f>
        <v/>
      </c>
      <c r="H216" s="21">
        <f>E216+F216-G216</f>
        <v/>
      </c>
      <c r="I216" s="21" t="n">
        <v>0</v>
      </c>
      <c r="J216" s="21">
        <f>H216+I216</f>
        <v/>
      </c>
    </row>
    <row r="217">
      <c r="A217" s="18" t="inlineStr">
        <is>
          <t>C-10</t>
        </is>
      </c>
      <c r="B217" s="33" t="n">
        <v>13</v>
      </c>
      <c r="C217" s="29" t="n">
        <v>45689</v>
      </c>
      <c r="D217" s="35">
        <f>'06_Medicion_inicial'!J14</f>
        <v/>
      </c>
      <c r="E217" s="20">
        <f>J216</f>
        <v/>
      </c>
      <c r="F217" s="20">
        <f>E217*D217</f>
        <v/>
      </c>
      <c r="G217" s="20">
        <f>IF(B217&lt;'05_Plazo'!H14,'07_Pagos_variables'!G14,IF(B217='05_Plazo'!H14,'06_Medicion_inicial'!F14+(1-'06_Medicion_inicial'!E14)*'07_Pagos_variables'!G14,0))</f>
        <v/>
      </c>
      <c r="H217" s="20">
        <f>E217+F217-G217</f>
        <v/>
      </c>
      <c r="I217" s="20" t="n">
        <v>0</v>
      </c>
      <c r="J217" s="20">
        <f>H217+I217</f>
        <v/>
      </c>
    </row>
    <row r="218">
      <c r="A218" s="19" t="inlineStr">
        <is>
          <t>C-10</t>
        </is>
      </c>
      <c r="B218" s="34" t="n">
        <v>14</v>
      </c>
      <c r="C218" s="31" t="n">
        <v>45717</v>
      </c>
      <c r="D218" s="36">
        <f>'06_Medicion_inicial'!J14</f>
        <v/>
      </c>
      <c r="E218" s="21">
        <f>J217</f>
        <v/>
      </c>
      <c r="F218" s="21">
        <f>E218*D218</f>
        <v/>
      </c>
      <c r="G218" s="21">
        <f>IF(B218&lt;'05_Plazo'!H14,'07_Pagos_variables'!G14,IF(B218='05_Plazo'!H14,'06_Medicion_inicial'!F14+(1-'06_Medicion_inicial'!E14)*'07_Pagos_variables'!G14,0))</f>
        <v/>
      </c>
      <c r="H218" s="21">
        <f>E218+F218-G218</f>
        <v/>
      </c>
      <c r="I218" s="21" t="n">
        <v>0</v>
      </c>
      <c r="J218" s="21">
        <f>H218+I218</f>
        <v/>
      </c>
    </row>
    <row r="219">
      <c r="A219" s="18" t="inlineStr">
        <is>
          <t>C-10</t>
        </is>
      </c>
      <c r="B219" s="33" t="n">
        <v>15</v>
      </c>
      <c r="C219" s="29" t="n">
        <v>45748</v>
      </c>
      <c r="D219" s="35">
        <f>'06_Medicion_inicial'!J14</f>
        <v/>
      </c>
      <c r="E219" s="20">
        <f>J218</f>
        <v/>
      </c>
      <c r="F219" s="20">
        <f>E219*D219</f>
        <v/>
      </c>
      <c r="G219" s="20">
        <f>IF(B219&lt;'05_Plazo'!H14,'07_Pagos_variables'!G14,IF(B219='05_Plazo'!H14,'06_Medicion_inicial'!F14+(1-'06_Medicion_inicial'!E14)*'07_Pagos_variables'!G14,0))</f>
        <v/>
      </c>
      <c r="H219" s="20">
        <f>E219+F219-G219</f>
        <v/>
      </c>
      <c r="I219" s="20" t="n">
        <v>0</v>
      </c>
      <c r="J219" s="20">
        <f>H219+I219</f>
        <v/>
      </c>
    </row>
    <row r="220">
      <c r="A220" s="19" t="inlineStr">
        <is>
          <t>C-10</t>
        </is>
      </c>
      <c r="B220" s="34" t="n">
        <v>16</v>
      </c>
      <c r="C220" s="31" t="n">
        <v>45778</v>
      </c>
      <c r="D220" s="36">
        <f>'06_Medicion_inicial'!J14</f>
        <v/>
      </c>
      <c r="E220" s="21">
        <f>J219</f>
        <v/>
      </c>
      <c r="F220" s="21">
        <f>E220*D220</f>
        <v/>
      </c>
      <c r="G220" s="21">
        <f>IF(B220&lt;'05_Plazo'!H14,'07_Pagos_variables'!G14,IF(B220='05_Plazo'!H14,'06_Medicion_inicial'!F14+(1-'06_Medicion_inicial'!E14)*'07_Pagos_variables'!G14,0))</f>
        <v/>
      </c>
      <c r="H220" s="21">
        <f>E220+F220-G220</f>
        <v/>
      </c>
      <c r="I220" s="21" t="n">
        <v>0</v>
      </c>
      <c r="J220" s="21">
        <f>H220+I220</f>
        <v/>
      </c>
    </row>
    <row r="221">
      <c r="A221" s="18" t="inlineStr">
        <is>
          <t>C-10</t>
        </is>
      </c>
      <c r="B221" s="33" t="n">
        <v>17</v>
      </c>
      <c r="C221" s="29" t="n">
        <v>45809</v>
      </c>
      <c r="D221" s="35">
        <f>'06_Medicion_inicial'!J14</f>
        <v/>
      </c>
      <c r="E221" s="20">
        <f>J220</f>
        <v/>
      </c>
      <c r="F221" s="20">
        <f>E221*D221</f>
        <v/>
      </c>
      <c r="G221" s="20">
        <f>IF(B221&lt;'05_Plazo'!H14,'07_Pagos_variables'!G14,IF(B221='05_Plazo'!H14,'06_Medicion_inicial'!F14+(1-'06_Medicion_inicial'!E14)*'07_Pagos_variables'!G14,0))</f>
        <v/>
      </c>
      <c r="H221" s="20">
        <f>E221+F221-G221</f>
        <v/>
      </c>
      <c r="I221" s="20" t="n">
        <v>0</v>
      </c>
      <c r="J221" s="20">
        <f>H221+I221</f>
        <v/>
      </c>
    </row>
    <row r="222">
      <c r="A222" s="19" t="inlineStr">
        <is>
          <t>C-10</t>
        </is>
      </c>
      <c r="B222" s="34" t="n">
        <v>18</v>
      </c>
      <c r="C222" s="31" t="n">
        <v>45839</v>
      </c>
      <c r="D222" s="36">
        <f>'06_Medicion_inicial'!J14</f>
        <v/>
      </c>
      <c r="E222" s="21">
        <f>J221</f>
        <v/>
      </c>
      <c r="F222" s="21">
        <f>E222*D222</f>
        <v/>
      </c>
      <c r="G222" s="21">
        <f>IF(B222&lt;'05_Plazo'!H14,'07_Pagos_variables'!G14,IF(B222='05_Plazo'!H14,'06_Medicion_inicial'!F14+(1-'06_Medicion_inicial'!E14)*'07_Pagos_variables'!G14,0))</f>
        <v/>
      </c>
      <c r="H222" s="21">
        <f>E222+F222-G222</f>
        <v/>
      </c>
      <c r="I222" s="21" t="n">
        <v>0</v>
      </c>
      <c r="J222" s="21">
        <f>H222+I222</f>
        <v/>
      </c>
    </row>
    <row r="223">
      <c r="A223" s="18" t="inlineStr">
        <is>
          <t>C-10</t>
        </is>
      </c>
      <c r="B223" s="33" t="n">
        <v>19</v>
      </c>
      <c r="C223" s="29" t="n">
        <v>45870</v>
      </c>
      <c r="D223" s="35">
        <f>'06_Medicion_inicial'!J14</f>
        <v/>
      </c>
      <c r="E223" s="20">
        <f>J222</f>
        <v/>
      </c>
      <c r="F223" s="20">
        <f>E223*D223</f>
        <v/>
      </c>
      <c r="G223" s="20">
        <f>IF(B223&lt;'05_Plazo'!H14,'07_Pagos_variables'!G14,IF(B223='05_Plazo'!H14,'06_Medicion_inicial'!F14+(1-'06_Medicion_inicial'!E14)*'07_Pagos_variables'!G14,0))</f>
        <v/>
      </c>
      <c r="H223" s="20">
        <f>E223+F223-G223</f>
        <v/>
      </c>
      <c r="I223" s="20" t="n">
        <v>0</v>
      </c>
      <c r="J223" s="20">
        <f>H223+I223</f>
        <v/>
      </c>
    </row>
    <row r="224">
      <c r="A224" s="19" t="inlineStr">
        <is>
          <t>C-10</t>
        </is>
      </c>
      <c r="B224" s="34" t="n">
        <v>20</v>
      </c>
      <c r="C224" s="31" t="n">
        <v>45901</v>
      </c>
      <c r="D224" s="36">
        <f>'06_Medicion_inicial'!J14</f>
        <v/>
      </c>
      <c r="E224" s="21">
        <f>J223</f>
        <v/>
      </c>
      <c r="F224" s="21">
        <f>E224*D224</f>
        <v/>
      </c>
      <c r="G224" s="21">
        <f>IF(B224&lt;'05_Plazo'!H14,'07_Pagos_variables'!G14,IF(B224='05_Plazo'!H14,'06_Medicion_inicial'!F14+(1-'06_Medicion_inicial'!E14)*'07_Pagos_variables'!G14,0))</f>
        <v/>
      </c>
      <c r="H224" s="21">
        <f>E224+F224-G224</f>
        <v/>
      </c>
      <c r="I224" s="21" t="n">
        <v>0</v>
      </c>
      <c r="J224" s="21">
        <f>H224+I224</f>
        <v/>
      </c>
    </row>
    <row r="225">
      <c r="A225" s="18" t="inlineStr">
        <is>
          <t>C-10</t>
        </is>
      </c>
      <c r="B225" s="33" t="n">
        <v>21</v>
      </c>
      <c r="C225" s="29" t="n">
        <v>45931</v>
      </c>
      <c r="D225" s="35">
        <f>'06_Medicion_inicial'!J14</f>
        <v/>
      </c>
      <c r="E225" s="20">
        <f>J224</f>
        <v/>
      </c>
      <c r="F225" s="20">
        <f>E225*D225</f>
        <v/>
      </c>
      <c r="G225" s="20">
        <f>IF(B225&lt;'05_Plazo'!H14,'07_Pagos_variables'!G14,IF(B225='05_Plazo'!H14,'06_Medicion_inicial'!F14+(1-'06_Medicion_inicial'!E14)*'07_Pagos_variables'!G14,0))</f>
        <v/>
      </c>
      <c r="H225" s="20">
        <f>E225+F225-G225</f>
        <v/>
      </c>
      <c r="I225" s="20" t="n">
        <v>0</v>
      </c>
      <c r="J225" s="20">
        <f>H225+I225</f>
        <v/>
      </c>
    </row>
    <row r="226">
      <c r="A226" s="19" t="inlineStr">
        <is>
          <t>C-10</t>
        </is>
      </c>
      <c r="B226" s="34" t="n">
        <v>22</v>
      </c>
      <c r="C226" s="31" t="n">
        <v>45962</v>
      </c>
      <c r="D226" s="36">
        <f>'06_Medicion_inicial'!J14</f>
        <v/>
      </c>
      <c r="E226" s="21">
        <f>J225</f>
        <v/>
      </c>
      <c r="F226" s="21">
        <f>E226*D226</f>
        <v/>
      </c>
      <c r="G226" s="21">
        <f>IF(B226&lt;'05_Plazo'!H14,'07_Pagos_variables'!G14,IF(B226='05_Plazo'!H14,'06_Medicion_inicial'!F14+(1-'06_Medicion_inicial'!E14)*'07_Pagos_variables'!G14,0))</f>
        <v/>
      </c>
      <c r="H226" s="21">
        <f>E226+F226-G226</f>
        <v/>
      </c>
      <c r="I226" s="21" t="n">
        <v>0</v>
      </c>
      <c r="J226" s="21">
        <f>H226+I226</f>
        <v/>
      </c>
    </row>
    <row r="227">
      <c r="A227" s="18" t="inlineStr">
        <is>
          <t>C-10</t>
        </is>
      </c>
      <c r="B227" s="33" t="n">
        <v>23</v>
      </c>
      <c r="C227" s="29" t="n">
        <v>45992</v>
      </c>
      <c r="D227" s="35">
        <f>'06_Medicion_inicial'!J14</f>
        <v/>
      </c>
      <c r="E227" s="20">
        <f>J226</f>
        <v/>
      </c>
      <c r="F227" s="20">
        <f>E227*D227</f>
        <v/>
      </c>
      <c r="G227" s="20">
        <f>IF(B227&lt;'05_Plazo'!H14,'07_Pagos_variables'!G14,IF(B227='05_Plazo'!H14,'06_Medicion_inicial'!F14+(1-'06_Medicion_inicial'!E14)*'07_Pagos_variables'!G14,0))</f>
        <v/>
      </c>
      <c r="H227" s="20">
        <f>E227+F227-G227</f>
        <v/>
      </c>
      <c r="I227" s="20" t="n">
        <v>0</v>
      </c>
      <c r="J227" s="20">
        <f>H227+I227</f>
        <v/>
      </c>
    </row>
    <row r="228">
      <c r="A228" s="19" t="inlineStr">
        <is>
          <t>C-10</t>
        </is>
      </c>
      <c r="B228" s="34" t="n">
        <v>24</v>
      </c>
      <c r="C228" s="31" t="n">
        <v>46023</v>
      </c>
      <c r="D228" s="36">
        <f>'06_Medicion_inicial'!J14</f>
        <v/>
      </c>
      <c r="E228" s="21">
        <f>J227</f>
        <v/>
      </c>
      <c r="F228" s="21">
        <f>E228*D228</f>
        <v/>
      </c>
      <c r="G228" s="21">
        <f>IF(B228&lt;'05_Plazo'!H14,'07_Pagos_variables'!G14,IF(B228='05_Plazo'!H14,'06_Medicion_inicial'!F14+(1-'06_Medicion_inicial'!E14)*'07_Pagos_variables'!G14,0))</f>
        <v/>
      </c>
      <c r="H228" s="21">
        <f>E228+F228-G228</f>
        <v/>
      </c>
      <c r="I228" s="21" t="n">
        <v>0</v>
      </c>
      <c r="J228" s="21">
        <f>H228+I228</f>
        <v/>
      </c>
    </row>
    <row r="229">
      <c r="A229" s="18" t="inlineStr">
        <is>
          <t>C-10</t>
        </is>
      </c>
      <c r="B229" s="33" t="n">
        <v>25</v>
      </c>
      <c r="C229" s="29" t="n">
        <v>46054</v>
      </c>
      <c r="D229" s="35">
        <f>'06_Medicion_inicial'!J14</f>
        <v/>
      </c>
      <c r="E229" s="20">
        <f>J228</f>
        <v/>
      </c>
      <c r="F229" s="20">
        <f>E229*D229</f>
        <v/>
      </c>
      <c r="G229" s="20">
        <f>IF(B229&lt;'05_Plazo'!H14,'07_Pagos_variables'!G14,IF(B229='05_Plazo'!H14,'06_Medicion_inicial'!F14+(1-'06_Medicion_inicial'!E14)*'07_Pagos_variables'!G14,0))</f>
        <v/>
      </c>
      <c r="H229" s="20">
        <f>E229+F229-G229</f>
        <v/>
      </c>
      <c r="I229" s="20" t="n">
        <v>0</v>
      </c>
      <c r="J229" s="20">
        <f>H229+I229</f>
        <v/>
      </c>
    </row>
    <row r="230">
      <c r="A230" s="19" t="inlineStr">
        <is>
          <t>C-10</t>
        </is>
      </c>
      <c r="B230" s="34" t="n">
        <v>26</v>
      </c>
      <c r="C230" s="31" t="n">
        <v>46082</v>
      </c>
      <c r="D230" s="36">
        <f>'06_Medicion_inicial'!J14</f>
        <v/>
      </c>
      <c r="E230" s="21">
        <f>J229</f>
        <v/>
      </c>
      <c r="F230" s="21">
        <f>E230*D230</f>
        <v/>
      </c>
      <c r="G230" s="21">
        <f>IF(B230&lt;'05_Plazo'!H14,'07_Pagos_variables'!G14,IF(B230='05_Plazo'!H14,'06_Medicion_inicial'!F14+(1-'06_Medicion_inicial'!E14)*'07_Pagos_variables'!G14,0))</f>
        <v/>
      </c>
      <c r="H230" s="21">
        <f>E230+F230-G230</f>
        <v/>
      </c>
      <c r="I230" s="21" t="n">
        <v>0</v>
      </c>
      <c r="J230" s="21">
        <f>H230+I230</f>
        <v/>
      </c>
    </row>
    <row r="231">
      <c r="A231" s="18" t="inlineStr">
        <is>
          <t>C-10</t>
        </is>
      </c>
      <c r="B231" s="33" t="n">
        <v>27</v>
      </c>
      <c r="C231" s="29" t="n">
        <v>46113</v>
      </c>
      <c r="D231" s="35">
        <f>'06_Medicion_inicial'!J14</f>
        <v/>
      </c>
      <c r="E231" s="20">
        <f>J230</f>
        <v/>
      </c>
      <c r="F231" s="20">
        <f>E231*D231</f>
        <v/>
      </c>
      <c r="G231" s="20">
        <f>IF(B231&lt;'05_Plazo'!H14,'07_Pagos_variables'!G14,IF(B231='05_Plazo'!H14,'06_Medicion_inicial'!F14+(1-'06_Medicion_inicial'!E14)*'07_Pagos_variables'!G14,0))</f>
        <v/>
      </c>
      <c r="H231" s="20">
        <f>E231+F231-G231</f>
        <v/>
      </c>
      <c r="I231" s="20" t="n">
        <v>0</v>
      </c>
      <c r="J231" s="20">
        <f>H231+I231</f>
        <v/>
      </c>
    </row>
    <row r="232">
      <c r="A232" s="19" t="inlineStr">
        <is>
          <t>C-10</t>
        </is>
      </c>
      <c r="B232" s="34" t="n">
        <v>28</v>
      </c>
      <c r="C232" s="31" t="n">
        <v>46143</v>
      </c>
      <c r="D232" s="36">
        <f>'06_Medicion_inicial'!J14</f>
        <v/>
      </c>
      <c r="E232" s="21">
        <f>J231</f>
        <v/>
      </c>
      <c r="F232" s="21">
        <f>E232*D232</f>
        <v/>
      </c>
      <c r="G232" s="21">
        <f>IF(B232&lt;'05_Plazo'!H14,'07_Pagos_variables'!G14,IF(B232='05_Plazo'!H14,'06_Medicion_inicial'!F14+(1-'06_Medicion_inicial'!E14)*'07_Pagos_variables'!G14,0))</f>
        <v/>
      </c>
      <c r="H232" s="21">
        <f>E232+F232-G232</f>
        <v/>
      </c>
      <c r="I232" s="21" t="n">
        <v>0</v>
      </c>
      <c r="J232" s="21">
        <f>H232+I232</f>
        <v/>
      </c>
    </row>
    <row r="233">
      <c r="A233" s="18" t="inlineStr">
        <is>
          <t>C-10</t>
        </is>
      </c>
      <c r="B233" s="33" t="n">
        <v>29</v>
      </c>
      <c r="C233" s="29" t="n">
        <v>46174</v>
      </c>
      <c r="D233" s="35">
        <f>'06_Medicion_inicial'!J14</f>
        <v/>
      </c>
      <c r="E233" s="20">
        <f>J232</f>
        <v/>
      </c>
      <c r="F233" s="20">
        <f>E233*D233</f>
        <v/>
      </c>
      <c r="G233" s="20">
        <f>IF(B233&lt;'05_Plazo'!H14,'07_Pagos_variables'!G14,IF(B233='05_Plazo'!H14,'06_Medicion_inicial'!F14+(1-'06_Medicion_inicial'!E14)*'07_Pagos_variables'!G14,0))</f>
        <v/>
      </c>
      <c r="H233" s="20">
        <f>E233+F233-G233</f>
        <v/>
      </c>
      <c r="I233" s="20" t="n">
        <v>0</v>
      </c>
      <c r="J233" s="20">
        <f>H233+I233</f>
        <v/>
      </c>
    </row>
    <row r="234">
      <c r="A234" s="19" t="inlineStr">
        <is>
          <t>C-10</t>
        </is>
      </c>
      <c r="B234" s="34" t="n">
        <v>30</v>
      </c>
      <c r="C234" s="31" t="n">
        <v>46204</v>
      </c>
      <c r="D234" s="36">
        <f>'06_Medicion_inicial'!J14</f>
        <v/>
      </c>
      <c r="E234" s="21">
        <f>J233</f>
        <v/>
      </c>
      <c r="F234" s="21">
        <f>E234*D234</f>
        <v/>
      </c>
      <c r="G234" s="21">
        <f>IF(B234&lt;'05_Plazo'!H14,'07_Pagos_variables'!G14,IF(B234='05_Plazo'!H14,'06_Medicion_inicial'!F14+(1-'06_Medicion_inicial'!E14)*'07_Pagos_variables'!G14,0))</f>
        <v/>
      </c>
      <c r="H234" s="21">
        <f>E234+F234-G234</f>
        <v/>
      </c>
      <c r="I234" s="21" t="n">
        <v>0</v>
      </c>
      <c r="J234" s="21">
        <f>H234+I234</f>
        <v/>
      </c>
    </row>
    <row r="235">
      <c r="A235" s="18" t="inlineStr">
        <is>
          <t>C-10</t>
        </is>
      </c>
      <c r="B235" s="33" t="n">
        <v>31</v>
      </c>
      <c r="C235" s="29" t="n">
        <v>46235</v>
      </c>
      <c r="D235" s="35">
        <f>'06_Medicion_inicial'!J14</f>
        <v/>
      </c>
      <c r="E235" s="20">
        <f>J234</f>
        <v/>
      </c>
      <c r="F235" s="20">
        <f>E235*D235</f>
        <v/>
      </c>
      <c r="G235" s="20">
        <f>IF(B235&lt;'05_Plazo'!H14,'07_Pagos_variables'!G14,IF(B235='05_Plazo'!H14,'06_Medicion_inicial'!F14+(1-'06_Medicion_inicial'!E14)*'07_Pagos_variables'!G14,0))</f>
        <v/>
      </c>
      <c r="H235" s="20">
        <f>E235+F235-G235</f>
        <v/>
      </c>
      <c r="I235" s="20" t="n">
        <v>0</v>
      </c>
      <c r="J235" s="20">
        <f>H235+I235</f>
        <v/>
      </c>
    </row>
    <row r="236">
      <c r="A236" s="19" t="inlineStr">
        <is>
          <t>C-10</t>
        </is>
      </c>
      <c r="B236" s="34" t="n">
        <v>32</v>
      </c>
      <c r="C236" s="31" t="n">
        <v>46266</v>
      </c>
      <c r="D236" s="36">
        <f>'06_Medicion_inicial'!J14</f>
        <v/>
      </c>
      <c r="E236" s="21">
        <f>J235</f>
        <v/>
      </c>
      <c r="F236" s="21">
        <f>E236*D236</f>
        <v/>
      </c>
      <c r="G236" s="21">
        <f>IF(B236&lt;'05_Plazo'!H14,'07_Pagos_variables'!G14,IF(B236='05_Plazo'!H14,'06_Medicion_inicial'!F14+(1-'06_Medicion_inicial'!E14)*'07_Pagos_variables'!G14,0))</f>
        <v/>
      </c>
      <c r="H236" s="21">
        <f>E236+F236-G236</f>
        <v/>
      </c>
      <c r="I236" s="21" t="n">
        <v>0</v>
      </c>
      <c r="J236" s="21">
        <f>H236+I236</f>
        <v/>
      </c>
    </row>
    <row r="237">
      <c r="A237" s="18" t="inlineStr">
        <is>
          <t>C-10</t>
        </is>
      </c>
      <c r="B237" s="33" t="n">
        <v>33</v>
      </c>
      <c r="C237" s="29" t="n">
        <v>46296</v>
      </c>
      <c r="D237" s="35">
        <f>'06_Medicion_inicial'!J14</f>
        <v/>
      </c>
      <c r="E237" s="20">
        <f>J236</f>
        <v/>
      </c>
      <c r="F237" s="20">
        <f>E237*D237</f>
        <v/>
      </c>
      <c r="G237" s="20">
        <f>IF(B237&lt;'05_Plazo'!H14,'07_Pagos_variables'!G14,IF(B237='05_Plazo'!H14,'06_Medicion_inicial'!F14+(1-'06_Medicion_inicial'!E14)*'07_Pagos_variables'!G14,0))</f>
        <v/>
      </c>
      <c r="H237" s="20">
        <f>E237+F237-G237</f>
        <v/>
      </c>
      <c r="I237" s="20" t="n">
        <v>0</v>
      </c>
      <c r="J237" s="20">
        <f>H237+I237</f>
        <v/>
      </c>
    </row>
    <row r="238">
      <c r="A238" s="19" t="inlineStr">
        <is>
          <t>C-10</t>
        </is>
      </c>
      <c r="B238" s="34" t="n">
        <v>34</v>
      </c>
      <c r="C238" s="31" t="n">
        <v>46327</v>
      </c>
      <c r="D238" s="36">
        <f>'06_Medicion_inicial'!J14</f>
        <v/>
      </c>
      <c r="E238" s="21">
        <f>J237</f>
        <v/>
      </c>
      <c r="F238" s="21">
        <f>E238*D238</f>
        <v/>
      </c>
      <c r="G238" s="21">
        <f>IF(B238&lt;'05_Plazo'!H14,'07_Pagos_variables'!G14,IF(B238='05_Plazo'!H14,'06_Medicion_inicial'!F14+(1-'06_Medicion_inicial'!E14)*'07_Pagos_variables'!G14,0))</f>
        <v/>
      </c>
      <c r="H238" s="21">
        <f>E238+F238-G238</f>
        <v/>
      </c>
      <c r="I238" s="21" t="n">
        <v>0</v>
      </c>
      <c r="J238" s="21">
        <f>H238+I238</f>
        <v/>
      </c>
    </row>
    <row r="239">
      <c r="A239" s="18" t="inlineStr">
        <is>
          <t>C-10</t>
        </is>
      </c>
      <c r="B239" s="33" t="n">
        <v>35</v>
      </c>
      <c r="C239" s="29" t="n">
        <v>46357</v>
      </c>
      <c r="D239" s="35">
        <f>'06_Medicion_inicial'!J14</f>
        <v/>
      </c>
      <c r="E239" s="20">
        <f>J238</f>
        <v/>
      </c>
      <c r="F239" s="20">
        <f>E239*D239</f>
        <v/>
      </c>
      <c r="G239" s="20">
        <f>IF(B239&lt;'05_Plazo'!H14,'07_Pagos_variables'!G14,IF(B239='05_Plazo'!H14,'06_Medicion_inicial'!F14+(1-'06_Medicion_inicial'!E14)*'07_Pagos_variables'!G14,0))</f>
        <v/>
      </c>
      <c r="H239" s="20">
        <f>E239+F239-G239</f>
        <v/>
      </c>
      <c r="I239" s="20" t="n">
        <v>0</v>
      </c>
      <c r="J239" s="20">
        <f>H239+I239</f>
        <v/>
      </c>
    </row>
    <row r="240">
      <c r="A240" s="19" t="inlineStr">
        <is>
          <t>C-10</t>
        </is>
      </c>
      <c r="B240" s="34" t="n">
        <v>36</v>
      </c>
      <c r="C240" s="31" t="n">
        <v>46388</v>
      </c>
      <c r="D240" s="36">
        <f>'06_Medicion_inicial'!J14</f>
        <v/>
      </c>
      <c r="E240" s="21">
        <f>J239</f>
        <v/>
      </c>
      <c r="F240" s="21">
        <f>E240*D240</f>
        <v/>
      </c>
      <c r="G240" s="21">
        <f>IF(B240&lt;'05_Plazo'!H14,'07_Pagos_variables'!G14,IF(B240='05_Plazo'!H14,'06_Medicion_inicial'!F14+(1-'06_Medicion_inicial'!E14)*'07_Pagos_variables'!G14,0))</f>
        <v/>
      </c>
      <c r="H240" s="21">
        <f>E240+F240-G240</f>
        <v/>
      </c>
      <c r="I240" s="21" t="n">
        <v>0</v>
      </c>
      <c r="J240" s="21">
        <f>H240+I240</f>
        <v/>
      </c>
    </row>
    <row r="241">
      <c r="A241" s="18" t="inlineStr">
        <is>
          <t>C-11</t>
        </is>
      </c>
      <c r="B241" s="33" t="n">
        <v>1</v>
      </c>
      <c r="C241" s="29" t="n">
        <v>45689</v>
      </c>
      <c r="D241" s="35">
        <f>'06_Medicion_inicial'!J15</f>
        <v/>
      </c>
      <c r="E241" s="20">
        <f>'06_Medicion_inicial'!L15</f>
        <v/>
      </c>
      <c r="F241" s="20">
        <f>E241*D241</f>
        <v/>
      </c>
      <c r="G241" s="20">
        <f>IF(B241&lt;'05_Plazo'!H15,'07_Pagos_variables'!G15,IF(B241='05_Plazo'!H15,'06_Medicion_inicial'!F15+(1-'06_Medicion_inicial'!E15)*'07_Pagos_variables'!G15,0))</f>
        <v/>
      </c>
      <c r="H241" s="20">
        <f>E241+F241-G241</f>
        <v/>
      </c>
      <c r="I241" s="20" t="n">
        <v>0</v>
      </c>
      <c r="J241" s="20">
        <f>H241+I241</f>
        <v/>
      </c>
    </row>
    <row r="242">
      <c r="A242" s="19" t="inlineStr">
        <is>
          <t>C-11</t>
        </is>
      </c>
      <c r="B242" s="34" t="n">
        <v>2</v>
      </c>
      <c r="C242" s="31" t="n">
        <v>45717</v>
      </c>
      <c r="D242" s="36">
        <f>'06_Medicion_inicial'!J15</f>
        <v/>
      </c>
      <c r="E242" s="21">
        <f>J241</f>
        <v/>
      </c>
      <c r="F242" s="21">
        <f>E242*D242</f>
        <v/>
      </c>
      <c r="G242" s="21">
        <f>IF(B242&lt;'05_Plazo'!H15,'07_Pagos_variables'!G15,IF(B242='05_Plazo'!H15,'06_Medicion_inicial'!F15+(1-'06_Medicion_inicial'!E15)*'07_Pagos_variables'!G15,0))</f>
        <v/>
      </c>
      <c r="H242" s="21">
        <f>E242+F242-G242</f>
        <v/>
      </c>
      <c r="I242" s="21" t="n">
        <v>0</v>
      </c>
      <c r="J242" s="21">
        <f>H242+I242</f>
        <v/>
      </c>
    </row>
    <row r="243">
      <c r="A243" s="18" t="inlineStr">
        <is>
          <t>C-11</t>
        </is>
      </c>
      <c r="B243" s="33" t="n">
        <v>3</v>
      </c>
      <c r="C243" s="29" t="n">
        <v>45748</v>
      </c>
      <c r="D243" s="35">
        <f>'06_Medicion_inicial'!J15</f>
        <v/>
      </c>
      <c r="E243" s="20">
        <f>J242</f>
        <v/>
      </c>
      <c r="F243" s="20">
        <f>E243*D243</f>
        <v/>
      </c>
      <c r="G243" s="20">
        <f>IF(B243&lt;'05_Plazo'!H15,'07_Pagos_variables'!G15,IF(B243='05_Plazo'!H15,'06_Medicion_inicial'!F15+(1-'06_Medicion_inicial'!E15)*'07_Pagos_variables'!G15,0))</f>
        <v/>
      </c>
      <c r="H243" s="20">
        <f>E243+F243-G243</f>
        <v/>
      </c>
      <c r="I243" s="20" t="n">
        <v>0</v>
      </c>
      <c r="J243" s="20">
        <f>H243+I243</f>
        <v/>
      </c>
    </row>
    <row r="244">
      <c r="A244" s="19" t="inlineStr">
        <is>
          <t>C-11</t>
        </is>
      </c>
      <c r="B244" s="34" t="n">
        <v>4</v>
      </c>
      <c r="C244" s="31" t="n">
        <v>45778</v>
      </c>
      <c r="D244" s="36">
        <f>'06_Medicion_inicial'!J15</f>
        <v/>
      </c>
      <c r="E244" s="21">
        <f>J243</f>
        <v/>
      </c>
      <c r="F244" s="21">
        <f>E244*D244</f>
        <v/>
      </c>
      <c r="G244" s="21">
        <f>IF(B244&lt;'05_Plazo'!H15,'07_Pagos_variables'!G15,IF(B244='05_Plazo'!H15,'06_Medicion_inicial'!F15+(1-'06_Medicion_inicial'!E15)*'07_Pagos_variables'!G15,0))</f>
        <v/>
      </c>
      <c r="H244" s="21">
        <f>E244+F244-G244</f>
        <v/>
      </c>
      <c r="I244" s="21" t="n">
        <v>0</v>
      </c>
      <c r="J244" s="21">
        <f>H244+I244</f>
        <v/>
      </c>
    </row>
    <row r="245">
      <c r="A245" s="18" t="inlineStr">
        <is>
          <t>C-11</t>
        </is>
      </c>
      <c r="B245" s="33" t="n">
        <v>5</v>
      </c>
      <c r="C245" s="29" t="n">
        <v>45809</v>
      </c>
      <c r="D245" s="35">
        <f>'06_Medicion_inicial'!J15</f>
        <v/>
      </c>
      <c r="E245" s="20">
        <f>J244</f>
        <v/>
      </c>
      <c r="F245" s="20">
        <f>E245*D245</f>
        <v/>
      </c>
      <c r="G245" s="20">
        <f>IF(B245&lt;'05_Plazo'!H15,'07_Pagos_variables'!G15,IF(B245='05_Plazo'!H15,'06_Medicion_inicial'!F15+(1-'06_Medicion_inicial'!E15)*'07_Pagos_variables'!G15,0))</f>
        <v/>
      </c>
      <c r="H245" s="20">
        <f>E245+F245-G245</f>
        <v/>
      </c>
      <c r="I245" s="20" t="n">
        <v>0</v>
      </c>
      <c r="J245" s="20">
        <f>H245+I245</f>
        <v/>
      </c>
    </row>
    <row r="246">
      <c r="A246" s="19" t="inlineStr">
        <is>
          <t>C-11</t>
        </is>
      </c>
      <c r="B246" s="34" t="n">
        <v>6</v>
      </c>
      <c r="C246" s="31" t="n">
        <v>45839</v>
      </c>
      <c r="D246" s="36">
        <f>'06_Medicion_inicial'!J15</f>
        <v/>
      </c>
      <c r="E246" s="21">
        <f>J245</f>
        <v/>
      </c>
      <c r="F246" s="21">
        <f>E246*D246</f>
        <v/>
      </c>
      <c r="G246" s="21">
        <f>IF(B246&lt;'05_Plazo'!H15,'07_Pagos_variables'!G15,IF(B246='05_Plazo'!H15,'06_Medicion_inicial'!F15+(1-'06_Medicion_inicial'!E15)*'07_Pagos_variables'!G15,0))</f>
        <v/>
      </c>
      <c r="H246" s="21">
        <f>E246+F246-G246</f>
        <v/>
      </c>
      <c r="I246" s="21" t="n">
        <v>0</v>
      </c>
      <c r="J246" s="21">
        <f>H246+I246</f>
        <v/>
      </c>
    </row>
    <row r="247">
      <c r="A247" s="18" t="inlineStr">
        <is>
          <t>C-11</t>
        </is>
      </c>
      <c r="B247" s="33" t="n">
        <v>7</v>
      </c>
      <c r="C247" s="29" t="n">
        <v>45870</v>
      </c>
      <c r="D247" s="35">
        <f>'06_Medicion_inicial'!J15</f>
        <v/>
      </c>
      <c r="E247" s="20">
        <f>J246</f>
        <v/>
      </c>
      <c r="F247" s="20">
        <f>E247*D247</f>
        <v/>
      </c>
      <c r="G247" s="20">
        <f>IF(B247&lt;'05_Plazo'!H15,'07_Pagos_variables'!G15,IF(B247='05_Plazo'!H15,'06_Medicion_inicial'!F15+(1-'06_Medicion_inicial'!E15)*'07_Pagos_variables'!G15,0))</f>
        <v/>
      </c>
      <c r="H247" s="20">
        <f>E247+F247-G247</f>
        <v/>
      </c>
      <c r="I247" s="20" t="n">
        <v>0</v>
      </c>
      <c r="J247" s="20">
        <f>H247+I247</f>
        <v/>
      </c>
    </row>
    <row r="248">
      <c r="A248" s="19" t="inlineStr">
        <is>
          <t>C-11</t>
        </is>
      </c>
      <c r="B248" s="34" t="n">
        <v>8</v>
      </c>
      <c r="C248" s="31" t="n">
        <v>45901</v>
      </c>
      <c r="D248" s="36">
        <f>'06_Medicion_inicial'!J15</f>
        <v/>
      </c>
      <c r="E248" s="21">
        <f>J247</f>
        <v/>
      </c>
      <c r="F248" s="21">
        <f>E248*D248</f>
        <v/>
      </c>
      <c r="G248" s="21">
        <f>IF(B248&lt;'05_Plazo'!H15,'07_Pagos_variables'!G15,IF(B248='05_Plazo'!H15,'06_Medicion_inicial'!F15+(1-'06_Medicion_inicial'!E15)*'07_Pagos_variables'!G15,0))</f>
        <v/>
      </c>
      <c r="H248" s="21">
        <f>E248+F248-G248</f>
        <v/>
      </c>
      <c r="I248" s="21" t="n">
        <v>0</v>
      </c>
      <c r="J248" s="21">
        <f>H248+I248</f>
        <v/>
      </c>
    </row>
    <row r="249">
      <c r="A249" s="18" t="inlineStr">
        <is>
          <t>C-11</t>
        </is>
      </c>
      <c r="B249" s="33" t="n">
        <v>9</v>
      </c>
      <c r="C249" s="29" t="n">
        <v>45931</v>
      </c>
      <c r="D249" s="35">
        <f>'06_Medicion_inicial'!J15</f>
        <v/>
      </c>
      <c r="E249" s="20">
        <f>J248</f>
        <v/>
      </c>
      <c r="F249" s="20">
        <f>E249*D249</f>
        <v/>
      </c>
      <c r="G249" s="20">
        <f>IF(B249&lt;'05_Plazo'!H15,'07_Pagos_variables'!G15,IF(B249='05_Plazo'!H15,'06_Medicion_inicial'!F15+(1-'06_Medicion_inicial'!E15)*'07_Pagos_variables'!G15,0))</f>
        <v/>
      </c>
      <c r="H249" s="20">
        <f>E249+F249-G249</f>
        <v/>
      </c>
      <c r="I249" s="20" t="n">
        <v>0</v>
      </c>
      <c r="J249" s="20">
        <f>H249+I249</f>
        <v/>
      </c>
    </row>
    <row r="250">
      <c r="A250" s="19" t="inlineStr">
        <is>
          <t>C-11</t>
        </is>
      </c>
      <c r="B250" s="34" t="n">
        <v>10</v>
      </c>
      <c r="C250" s="31" t="n">
        <v>45962</v>
      </c>
      <c r="D250" s="36">
        <f>'06_Medicion_inicial'!J15</f>
        <v/>
      </c>
      <c r="E250" s="21">
        <f>J249</f>
        <v/>
      </c>
      <c r="F250" s="21">
        <f>E250*D250</f>
        <v/>
      </c>
      <c r="G250" s="21">
        <f>IF(B250&lt;'05_Plazo'!H15,'07_Pagos_variables'!G15,IF(B250='05_Plazo'!H15,'06_Medicion_inicial'!F15+(1-'06_Medicion_inicial'!E15)*'07_Pagos_variables'!G15,0))</f>
        <v/>
      </c>
      <c r="H250" s="21">
        <f>E250+F250-G250</f>
        <v/>
      </c>
      <c r="I250" s="21" t="n">
        <v>0</v>
      </c>
      <c r="J250" s="21">
        <f>H250+I250</f>
        <v/>
      </c>
    </row>
    <row r="251">
      <c r="A251" s="18" t="inlineStr">
        <is>
          <t>C-11</t>
        </is>
      </c>
      <c r="B251" s="33" t="n">
        <v>11</v>
      </c>
      <c r="C251" s="29" t="n">
        <v>45992</v>
      </c>
      <c r="D251" s="35">
        <f>'06_Medicion_inicial'!J15</f>
        <v/>
      </c>
      <c r="E251" s="20">
        <f>J250</f>
        <v/>
      </c>
      <c r="F251" s="20">
        <f>E251*D251</f>
        <v/>
      </c>
      <c r="G251" s="20">
        <f>IF(B251&lt;'05_Plazo'!H15,'07_Pagos_variables'!G15,IF(B251='05_Plazo'!H15,'06_Medicion_inicial'!F15+(1-'06_Medicion_inicial'!E15)*'07_Pagos_variables'!G15,0))</f>
        <v/>
      </c>
      <c r="H251" s="20">
        <f>E251+F251-G251</f>
        <v/>
      </c>
      <c r="I251" s="20" t="n">
        <v>0</v>
      </c>
      <c r="J251" s="20">
        <f>H251+I251</f>
        <v/>
      </c>
    </row>
    <row r="252">
      <c r="A252" s="19" t="inlineStr">
        <is>
          <t>C-11</t>
        </is>
      </c>
      <c r="B252" s="34" t="n">
        <v>12</v>
      </c>
      <c r="C252" s="31" t="n">
        <v>46023</v>
      </c>
      <c r="D252" s="36">
        <f>'06_Medicion_inicial'!J15</f>
        <v/>
      </c>
      <c r="E252" s="21">
        <f>J251</f>
        <v/>
      </c>
      <c r="F252" s="21">
        <f>E252*D252</f>
        <v/>
      </c>
      <c r="G252" s="21">
        <f>IF(B252&lt;'05_Plazo'!H15,'07_Pagos_variables'!G15,IF(B252='05_Plazo'!H15,'06_Medicion_inicial'!F15+(1-'06_Medicion_inicial'!E15)*'07_Pagos_variables'!G15,0))</f>
        <v/>
      </c>
      <c r="H252" s="21">
        <f>E252+F252-G252</f>
        <v/>
      </c>
      <c r="I252" s="21" t="n">
        <v>0</v>
      </c>
      <c r="J252" s="21">
        <f>H252+I252</f>
        <v/>
      </c>
    </row>
    <row r="253">
      <c r="A253" s="18" t="inlineStr">
        <is>
          <t>C-11</t>
        </is>
      </c>
      <c r="B253" s="33" t="n">
        <v>13</v>
      </c>
      <c r="C253" s="29" t="n">
        <v>46054</v>
      </c>
      <c r="D253" s="35">
        <f>'06_Medicion_inicial'!J15</f>
        <v/>
      </c>
      <c r="E253" s="20">
        <f>J252</f>
        <v/>
      </c>
      <c r="F253" s="20">
        <f>E253*D253</f>
        <v/>
      </c>
      <c r="G253" s="20">
        <f>IF(B253&lt;'05_Plazo'!H15,'07_Pagos_variables'!G15,IF(B253='05_Plazo'!H15,'06_Medicion_inicial'!F15+(1-'06_Medicion_inicial'!E15)*'07_Pagos_variables'!G15,0))</f>
        <v/>
      </c>
      <c r="H253" s="20">
        <f>E253+F253-G253</f>
        <v/>
      </c>
      <c r="I253" s="20" t="n">
        <v>0</v>
      </c>
      <c r="J253" s="20">
        <f>H253+I253</f>
        <v/>
      </c>
    </row>
    <row r="254">
      <c r="A254" s="19" t="inlineStr">
        <is>
          <t>C-11</t>
        </is>
      </c>
      <c r="B254" s="34" t="n">
        <v>14</v>
      </c>
      <c r="C254" s="31" t="n">
        <v>46082</v>
      </c>
      <c r="D254" s="36">
        <f>'06_Medicion_inicial'!J15</f>
        <v/>
      </c>
      <c r="E254" s="21">
        <f>J253</f>
        <v/>
      </c>
      <c r="F254" s="21">
        <f>E254*D254</f>
        <v/>
      </c>
      <c r="G254" s="21">
        <f>IF(B254&lt;'05_Plazo'!H15,'07_Pagos_variables'!G15,IF(B254='05_Plazo'!H15,'06_Medicion_inicial'!F15+(1-'06_Medicion_inicial'!E15)*'07_Pagos_variables'!G15,0))</f>
        <v/>
      </c>
      <c r="H254" s="21">
        <f>E254+F254-G254</f>
        <v/>
      </c>
      <c r="I254" s="21" t="n">
        <v>0</v>
      </c>
      <c r="J254" s="21">
        <f>H254+I254</f>
        <v/>
      </c>
    </row>
    <row r="255">
      <c r="A255" s="18" t="inlineStr">
        <is>
          <t>C-11</t>
        </is>
      </c>
      <c r="B255" s="33" t="n">
        <v>15</v>
      </c>
      <c r="C255" s="29" t="n">
        <v>46113</v>
      </c>
      <c r="D255" s="35">
        <f>'06_Medicion_inicial'!J15</f>
        <v/>
      </c>
      <c r="E255" s="20">
        <f>J254</f>
        <v/>
      </c>
      <c r="F255" s="20">
        <f>E255*D255</f>
        <v/>
      </c>
      <c r="G255" s="20">
        <f>IF(B255&lt;'05_Plazo'!H15,'07_Pagos_variables'!G15,IF(B255='05_Plazo'!H15,'06_Medicion_inicial'!F15+(1-'06_Medicion_inicial'!E15)*'07_Pagos_variables'!G15,0))</f>
        <v/>
      </c>
      <c r="H255" s="20">
        <f>E255+F255-G255</f>
        <v/>
      </c>
      <c r="I255" s="20" t="n">
        <v>0</v>
      </c>
      <c r="J255" s="20">
        <f>H255+I255</f>
        <v/>
      </c>
    </row>
    <row r="256">
      <c r="A256" s="19" t="inlineStr">
        <is>
          <t>C-11</t>
        </is>
      </c>
      <c r="B256" s="34" t="n">
        <v>16</v>
      </c>
      <c r="C256" s="31" t="n">
        <v>46143</v>
      </c>
      <c r="D256" s="36">
        <f>'06_Medicion_inicial'!J15</f>
        <v/>
      </c>
      <c r="E256" s="21">
        <f>J255</f>
        <v/>
      </c>
      <c r="F256" s="21">
        <f>E256*D256</f>
        <v/>
      </c>
      <c r="G256" s="21">
        <f>IF(B256&lt;'05_Plazo'!H15,'07_Pagos_variables'!G15,IF(B256='05_Plazo'!H15,'06_Medicion_inicial'!F15+(1-'06_Medicion_inicial'!E15)*'07_Pagos_variables'!G15,0))</f>
        <v/>
      </c>
      <c r="H256" s="21">
        <f>E256+F256-G256</f>
        <v/>
      </c>
      <c r="I256" s="21" t="n">
        <v>0</v>
      </c>
      <c r="J256" s="21">
        <f>H256+I256</f>
        <v/>
      </c>
    </row>
    <row r="257">
      <c r="A257" s="18" t="inlineStr">
        <is>
          <t>C-11</t>
        </is>
      </c>
      <c r="B257" s="33" t="n">
        <v>17</v>
      </c>
      <c r="C257" s="29" t="n">
        <v>46174</v>
      </c>
      <c r="D257" s="35">
        <f>'06_Medicion_inicial'!J15</f>
        <v/>
      </c>
      <c r="E257" s="20">
        <f>J256</f>
        <v/>
      </c>
      <c r="F257" s="20">
        <f>E257*D257</f>
        <v/>
      </c>
      <c r="G257" s="20">
        <f>IF(B257&lt;'05_Plazo'!H15,'07_Pagos_variables'!G15,IF(B257='05_Plazo'!H15,'06_Medicion_inicial'!F15+(1-'06_Medicion_inicial'!E15)*'07_Pagos_variables'!G15,0))</f>
        <v/>
      </c>
      <c r="H257" s="20">
        <f>E257+F257-G257</f>
        <v/>
      </c>
      <c r="I257" s="20" t="n">
        <v>0</v>
      </c>
      <c r="J257" s="20">
        <f>H257+I257</f>
        <v/>
      </c>
    </row>
    <row r="258">
      <c r="A258" s="19" t="inlineStr">
        <is>
          <t>C-11</t>
        </is>
      </c>
      <c r="B258" s="34" t="n">
        <v>18</v>
      </c>
      <c r="C258" s="31" t="n">
        <v>46204</v>
      </c>
      <c r="D258" s="36">
        <f>'06_Medicion_inicial'!J15</f>
        <v/>
      </c>
      <c r="E258" s="21">
        <f>J257</f>
        <v/>
      </c>
      <c r="F258" s="21">
        <f>E258*D258</f>
        <v/>
      </c>
      <c r="G258" s="21">
        <f>IF(B258&lt;'05_Plazo'!H15,'07_Pagos_variables'!G15,IF(B258='05_Plazo'!H15,'06_Medicion_inicial'!F15+(1-'06_Medicion_inicial'!E15)*'07_Pagos_variables'!G15,0))</f>
        <v/>
      </c>
      <c r="H258" s="21">
        <f>E258+F258-G258</f>
        <v/>
      </c>
      <c r="I258" s="21" t="n">
        <v>0</v>
      </c>
      <c r="J258" s="21">
        <f>H258+I258</f>
        <v/>
      </c>
    </row>
    <row r="259">
      <c r="A259" s="18" t="inlineStr">
        <is>
          <t>C-11</t>
        </is>
      </c>
      <c r="B259" s="33" t="n">
        <v>19</v>
      </c>
      <c r="C259" s="29" t="n">
        <v>46235</v>
      </c>
      <c r="D259" s="35">
        <f>'06_Medicion_inicial'!J15</f>
        <v/>
      </c>
      <c r="E259" s="20">
        <f>J258</f>
        <v/>
      </c>
      <c r="F259" s="20">
        <f>E259*D259</f>
        <v/>
      </c>
      <c r="G259" s="20">
        <f>IF(B259&lt;'05_Plazo'!H15,'07_Pagos_variables'!G15,IF(B259='05_Plazo'!H15,'06_Medicion_inicial'!F15+(1-'06_Medicion_inicial'!E15)*'07_Pagos_variables'!G15,0))</f>
        <v/>
      </c>
      <c r="H259" s="20">
        <f>E259+F259-G259</f>
        <v/>
      </c>
      <c r="I259" s="20" t="n">
        <v>0</v>
      </c>
      <c r="J259" s="20">
        <f>H259+I259</f>
        <v/>
      </c>
    </row>
    <row r="260">
      <c r="A260" s="19" t="inlineStr">
        <is>
          <t>C-11</t>
        </is>
      </c>
      <c r="B260" s="34" t="n">
        <v>20</v>
      </c>
      <c r="C260" s="31" t="n">
        <v>46266</v>
      </c>
      <c r="D260" s="36">
        <f>'06_Medicion_inicial'!J15</f>
        <v/>
      </c>
      <c r="E260" s="21">
        <f>J259</f>
        <v/>
      </c>
      <c r="F260" s="21">
        <f>E260*D260</f>
        <v/>
      </c>
      <c r="G260" s="21">
        <f>IF(B260&lt;'05_Plazo'!H15,'07_Pagos_variables'!G15,IF(B260='05_Plazo'!H15,'06_Medicion_inicial'!F15+(1-'06_Medicion_inicial'!E15)*'07_Pagos_variables'!G15,0))</f>
        <v/>
      </c>
      <c r="H260" s="21">
        <f>E260+F260-G260</f>
        <v/>
      </c>
      <c r="I260" s="21" t="n">
        <v>0</v>
      </c>
      <c r="J260" s="21">
        <f>H260+I260</f>
        <v/>
      </c>
    </row>
    <row r="261">
      <c r="A261" s="18" t="inlineStr">
        <is>
          <t>C-11</t>
        </is>
      </c>
      <c r="B261" s="33" t="n">
        <v>21</v>
      </c>
      <c r="C261" s="29" t="n">
        <v>46296</v>
      </c>
      <c r="D261" s="35">
        <f>'06_Medicion_inicial'!J15</f>
        <v/>
      </c>
      <c r="E261" s="20">
        <f>J260</f>
        <v/>
      </c>
      <c r="F261" s="20">
        <f>E261*D261</f>
        <v/>
      </c>
      <c r="G261" s="20">
        <f>IF(B261&lt;'05_Plazo'!H15,'07_Pagos_variables'!G15,IF(B261='05_Plazo'!H15,'06_Medicion_inicial'!F15+(1-'06_Medicion_inicial'!E15)*'07_Pagos_variables'!G15,0))</f>
        <v/>
      </c>
      <c r="H261" s="20">
        <f>E261+F261-G261</f>
        <v/>
      </c>
      <c r="I261" s="20" t="n">
        <v>0</v>
      </c>
      <c r="J261" s="20">
        <f>H261+I261</f>
        <v/>
      </c>
    </row>
    <row r="262">
      <c r="A262" s="19" t="inlineStr">
        <is>
          <t>C-11</t>
        </is>
      </c>
      <c r="B262" s="34" t="n">
        <v>22</v>
      </c>
      <c r="C262" s="31" t="n">
        <v>46327</v>
      </c>
      <c r="D262" s="36">
        <f>'06_Medicion_inicial'!J15</f>
        <v/>
      </c>
      <c r="E262" s="21">
        <f>J261</f>
        <v/>
      </c>
      <c r="F262" s="21">
        <f>E262*D262</f>
        <v/>
      </c>
      <c r="G262" s="21">
        <f>IF(B262&lt;'05_Plazo'!H15,'07_Pagos_variables'!G15,IF(B262='05_Plazo'!H15,'06_Medicion_inicial'!F15+(1-'06_Medicion_inicial'!E15)*'07_Pagos_variables'!G15,0))</f>
        <v/>
      </c>
      <c r="H262" s="21">
        <f>E262+F262-G262</f>
        <v/>
      </c>
      <c r="I262" s="21" t="n">
        <v>0</v>
      </c>
      <c r="J262" s="21">
        <f>H262+I262</f>
        <v/>
      </c>
    </row>
    <row r="263">
      <c r="A263" s="18" t="inlineStr">
        <is>
          <t>C-11</t>
        </is>
      </c>
      <c r="B263" s="33" t="n">
        <v>23</v>
      </c>
      <c r="C263" s="29" t="n">
        <v>46357</v>
      </c>
      <c r="D263" s="35">
        <f>'06_Medicion_inicial'!J15</f>
        <v/>
      </c>
      <c r="E263" s="20">
        <f>J262</f>
        <v/>
      </c>
      <c r="F263" s="20">
        <f>E263*D263</f>
        <v/>
      </c>
      <c r="G263" s="20">
        <f>IF(B263&lt;'05_Plazo'!H15,'07_Pagos_variables'!G15,IF(B263='05_Plazo'!H15,'06_Medicion_inicial'!F15+(1-'06_Medicion_inicial'!E15)*'07_Pagos_variables'!G15,0))</f>
        <v/>
      </c>
      <c r="H263" s="20">
        <f>E263+F263-G263</f>
        <v/>
      </c>
      <c r="I263" s="20" t="n">
        <v>0</v>
      </c>
      <c r="J263" s="20">
        <f>H263+I263</f>
        <v/>
      </c>
    </row>
    <row r="264">
      <c r="A264" s="19" t="inlineStr">
        <is>
          <t>C-11</t>
        </is>
      </c>
      <c r="B264" s="34" t="n">
        <v>24</v>
      </c>
      <c r="C264" s="31" t="n">
        <v>46388</v>
      </c>
      <c r="D264" s="36">
        <f>'06_Medicion_inicial'!J15</f>
        <v/>
      </c>
      <c r="E264" s="21">
        <f>J263</f>
        <v/>
      </c>
      <c r="F264" s="21">
        <f>E264*D264</f>
        <v/>
      </c>
      <c r="G264" s="21">
        <f>IF(B264&lt;'05_Plazo'!H15,'07_Pagos_variables'!G15,IF(B264='05_Plazo'!H15,'06_Medicion_inicial'!F15+(1-'06_Medicion_inicial'!E15)*'07_Pagos_variables'!G15,0))</f>
        <v/>
      </c>
      <c r="H264" s="21">
        <f>E264+F264-G264</f>
        <v/>
      </c>
      <c r="I264" s="21" t="n">
        <v>0</v>
      </c>
      <c r="J264" s="21">
        <f>H264+I264</f>
        <v/>
      </c>
    </row>
    <row r="265">
      <c r="A265" s="37" t="inlineStr">
        <is>
          <t>TOTAL</t>
        </is>
      </c>
      <c r="B265" s="39" t="n"/>
      <c r="C265" s="41" t="n"/>
      <c r="D265" s="38" t="n"/>
      <c r="E265" s="40" t="n"/>
      <c r="F265" s="40">
        <f>SUM(F5:F264)</f>
        <v/>
      </c>
      <c r="G265" s="40">
        <f>SUM(G5:G264)</f>
        <v/>
      </c>
      <c r="H265" s="40" t="n"/>
      <c r="I265" s="40">
        <f>SUM(I5:I264)</f>
        <v/>
      </c>
      <c r="J265" s="40" t="n"/>
    </row>
    <row r="267">
      <c r="A267" s="22" t="inlineStr">
        <is>
          <t>ⓘ  Cómo se calcula esta hoja</t>
        </is>
      </c>
    </row>
    <row r="268">
      <c r="A268" s="23" t="inlineStr">
        <is>
          <t>Columna</t>
        </is>
      </c>
      <c r="B268" s="23" t="inlineStr">
        <is>
          <t>Fórmula (Excel)</t>
        </is>
      </c>
      <c r="C268" s="23" t="inlineStr">
        <is>
          <t>Cómo se calcula (sencillo)</t>
        </is>
      </c>
      <c r="D268" s="23" t="inlineStr">
        <is>
          <t>Ejemplo con números reales</t>
        </is>
      </c>
      <c r="E268" s="23" t="inlineStr">
        <is>
          <t>De dónde viene</t>
        </is>
      </c>
      <c r="F268" s="23" t="inlineStr">
        <is>
          <t>Norma</t>
        </is>
      </c>
    </row>
    <row r="269">
      <c r="A269" s="24" t="inlineStr">
        <is>
          <t>Tasa periódica</t>
        </is>
      </c>
      <c r="B269" s="25" t="inlineStr">
        <is>
          <t>'='06_Medicion_inicial'!J5</t>
        </is>
      </c>
      <c r="C269" s="24" t="inlineStr">
        <is>
          <t>Trae la tasa por período del contrato: la tasa usada de la hoja 06 (Medición inicial) o, en los períodos posteriores a una remedición, la tasa revisada de la hoja 08.</t>
        </is>
      </c>
      <c r="D269" s="24" t="inlineStr">
        <is>
          <t>Fila 1: 0,95 % → 0,95 %</t>
        </is>
      </c>
      <c r="E269" s="24" t="inlineStr">
        <is>
          <t>hoja «Medición inicial: pasivo y activo»</t>
        </is>
      </c>
      <c r="F269" s="24" t="inlineStr">
        <is>
          <t>—</t>
        </is>
      </c>
    </row>
    <row r="270">
      <c r="A270" s="24" t="inlineStr">
        <is>
          <t>Saldo inicial</t>
        </is>
      </c>
      <c r="B270" s="25" t="inlineStr">
        <is>
          <t>'='06_Medicion_inicial'!L5</t>
        </is>
      </c>
      <c r="C270" s="24" t="inlineStr">
        <is>
          <t>En el primer período es el pasivo inicial de la hoja 06; en los siguientes, el saldo final ajustado de la fila anterior.</t>
        </is>
      </c>
      <c r="D270" s="24" t="inlineStr">
        <is>
          <t>Fila 1: 68.381,69 → 68.381,69</t>
        </is>
      </c>
      <c r="E270" s="24" t="inlineStr">
        <is>
          <t>hoja «Medición inicial: pasivo y activo»</t>
        </is>
      </c>
      <c r="F270" s="24" t="inlineStr">
        <is>
          <t>—</t>
        </is>
      </c>
    </row>
    <row r="271">
      <c r="A271" s="24" t="inlineStr">
        <is>
          <t>Interés (37)</t>
        </is>
      </c>
      <c r="B271" s="25" t="inlineStr">
        <is>
          <t>'=E5*D5</t>
        </is>
      </c>
      <c r="C271" s="24" t="inlineStr">
        <is>
          <t>Multiplica el saldo inicial del período por la tasa periódica: es el interés que devenga el pasivo en ese período.</t>
        </is>
      </c>
      <c r="D271" s="24" t="inlineStr">
        <is>
          <t>Fila 1: 68.381,69*0,95 % → 648,86</t>
        </is>
      </c>
      <c r="E271" s="24" t="inlineStr">
        <is>
          <t>«Saldo inicial» (esta hoja), «Tasa periódica» (esta hoja)</t>
        </is>
      </c>
      <c r="F271" s="24" t="inlineStr">
        <is>
          <t>—</t>
        </is>
      </c>
    </row>
    <row r="272">
      <c r="A272" s="24" t="inlineStr">
        <is>
          <t>Pago</t>
        </is>
      </c>
      <c r="B272" s="25" t="inlineStr">
        <is>
          <t>'=IF(B5&lt;'05_Plazo'!H5,'07_Pagos_variables'!G5,IF(B5='05_Plazo'!H5,'06_Medicion_inicial'!F5+(1-'06_Medicion_inicial'!E5)*'07_Pagos_variables'!G5,0))</t>
        </is>
      </c>
      <c r="C272" s="24" t="inlineStr">
        <is>
          <t>Antes de la última cuota es el pago del contrato (hoja 07, o el revisado de la hoja 08 tras una remedición); en la última suma la opción de compra y, si se paga al final, la cuota; después del plazo es 0.</t>
        </is>
      </c>
      <c r="D272" s="24" t="inlineStr">
        <is>
          <t>Fila 1: IF(1&lt;60; 1.500,00; IF(1=60; 0,00+(1-0)*1.500,00; 0)) → 1.500,00</t>
        </is>
      </c>
      <c r="E272" s="24" t="inlineStr">
        <is>
          <t>«Período» (esta hoja), hoja «Plazo y opciones», hoja «Pago base, componente indexado y pagos variables», hoja «Medición inicial: pasivo y activo»</t>
        </is>
      </c>
      <c r="F272" s="24" t="inlineStr">
        <is>
          <t>—</t>
        </is>
      </c>
    </row>
    <row r="273">
      <c r="A273" s="24" t="inlineStr">
        <is>
          <t>Saldo final</t>
        </is>
      </c>
      <c r="B273" s="25" t="inlineStr">
        <is>
          <t>'=E5+F5-G5</t>
        </is>
      </c>
      <c r="C273" s="24" t="inlineStr">
        <is>
          <t>Saldo inicial más el interés menos el pago del período.</t>
        </is>
      </c>
      <c r="D273" s="24" t="inlineStr">
        <is>
          <t>Fila 1: 68.381,69+648,86-1.500,00 → 67.530,55</t>
        </is>
      </c>
      <c r="E273" s="24" t="inlineStr">
        <is>
          <t>«Saldo inicial» (esta hoja), «Interés (37)» (esta hoja), «Pago» (esta hoja)</t>
        </is>
      </c>
      <c r="F273" s="24" t="inlineStr">
        <is>
          <t>—</t>
        </is>
      </c>
    </row>
    <row r="274">
      <c r="A274" s="24" t="inlineStr">
        <is>
          <t>Remedición</t>
        </is>
      </c>
      <c r="B274" s="25" t="inlineStr">
        <is>
          <t>'='08_Remedicion'!K11-H123</t>
        </is>
      </c>
      <c r="C274" s="24" t="inlineStr">
        <is>
          <t>Solo en el período del evento: diferencia entre el pasivo remedido (hoja 08) y el saldo final de ese período; en los demás períodos es 0.</t>
        </is>
      </c>
      <c r="D274" s="24" t="inlineStr">
        <is>
          <t>Fila 119: 34.172,48-30.925,16 → 3.247,31</t>
        </is>
      </c>
      <c r="E274" s="24" t="inlineStr">
        <is>
          <t>«Saldo final» (esta hoja), hoja «Remedición y modificaciones»</t>
        </is>
      </c>
      <c r="F274" s="24" t="inlineStr">
        <is>
          <t>—</t>
        </is>
      </c>
    </row>
    <row r="275">
      <c r="A275" s="24" t="inlineStr">
        <is>
          <t>Saldo final ajustado</t>
        </is>
      </c>
      <c r="B275" s="25" t="inlineStr">
        <is>
          <t>'=H5+I5</t>
        </is>
      </c>
      <c r="C275" s="24" t="inlineStr">
        <is>
          <t>Suma al saldo final la remedición del período: es el saldo con que empieza el período siguiente.</t>
        </is>
      </c>
      <c r="D275" s="24" t="inlineStr">
        <is>
          <t>Fila 1: 67.530,55+0,00 → 67.530,55</t>
        </is>
      </c>
      <c r="E275" s="24" t="inlineStr">
        <is>
          <t>«Saldo final» (esta hoja), «Remedición» (esta hoja)</t>
        </is>
      </c>
      <c r="F275" s="24" t="inlineStr">
        <is>
          <t>—</t>
        </is>
      </c>
    </row>
  </sheetData>
  <mergeCells count="3">
    <mergeCell ref="A2:F2"/>
    <mergeCell ref="A267:F267"/>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W41"/>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8" customWidth="1" min="3" max="3"/>
    <col width="21" customWidth="1" min="4" max="4"/>
    <col width="28" customWidth="1" min="5" max="5"/>
    <col width="37" customWidth="1" min="6" max="6"/>
    <col width="20" customWidth="1" min="7" max="7"/>
    <col width="26" customWidth="1" min="8" max="8"/>
    <col width="19" customWidth="1" min="9" max="9"/>
    <col width="23" customWidth="1" min="10" max="10"/>
    <col width="21" customWidth="1" min="11" max="11"/>
    <col width="26" customWidth="1" min="12" max="12"/>
    <col width="25" customWidth="1" min="13" max="13"/>
    <col width="27" customWidth="1" min="14" max="14"/>
    <col width="20" customWidth="1" min="15" max="15"/>
    <col width="25" customWidth="1" min="16" max="16"/>
    <col width="19" customWidth="1" min="17" max="17"/>
    <col width="23" customWidth="1" min="18" max="18"/>
    <col width="22" customWidth="1" min="19" max="19"/>
    <col width="23" customWidth="1" min="20" max="20"/>
    <col width="20" customWidth="1" min="21" max="21"/>
    <col width="24" customWidth="1" min="22" max="22"/>
    <col width="44" customWidth="1" min="23" max="23"/>
  </cols>
  <sheetData>
    <row r="1">
      <c r="A1" s="3" t="inlineStr">
        <is>
          <t>Pasivo al corte: corriente y no corriente</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c r="G2" s="16" t="n"/>
      <c r="H2" s="16" t="n"/>
      <c r="I2" s="16" t="n"/>
      <c r="J2" s="16" t="n"/>
      <c r="K2" s="16" t="n"/>
      <c r="L2" s="16" t="n"/>
      <c r="M2" s="16" t="n"/>
      <c r="N2" s="16" t="n"/>
      <c r="O2" s="16" t="n"/>
      <c r="P2" s="16" t="n"/>
      <c r="Q2" s="16" t="n"/>
      <c r="R2" s="16" t="n"/>
      <c r="S2" s="16" t="n"/>
      <c r="T2" s="16" t="n"/>
      <c r="U2" s="16" t="n"/>
      <c r="V2" s="16" t="n"/>
      <c r="W2" s="16" t="n"/>
    </row>
    <row r="4" ht="30" customHeight="1">
      <c r="A4" s="17" t="inlineStr">
        <is>
          <t>Contrato</t>
        </is>
      </c>
      <c r="B4" s="17" t="inlineStr">
        <is>
          <t>Reconoce</t>
        </is>
      </c>
      <c r="C4" s="17" t="inlineStr">
        <is>
          <t>Períodos finales</t>
        </is>
      </c>
      <c r="D4" s="17" t="inlineStr">
        <is>
          <t>Meses transcurridos</t>
        </is>
      </c>
      <c r="E4" s="17" t="inlineStr">
        <is>
          <t>Períodos vencidos al corte</t>
        </is>
      </c>
      <c r="F4" s="17" t="inlineStr">
        <is>
          <t>Períodos vencidos al inicio del año</t>
        </is>
      </c>
      <c r="G4" s="17" t="inlineStr">
        <is>
          <t>Pasivo al corte</t>
        </is>
      </c>
      <c r="H4" s="17" t="inlineStr">
        <is>
          <t>Pasivo al inicio del año</t>
        </is>
      </c>
      <c r="I4" s="17" t="inlineStr">
        <is>
          <t>Altas del año</t>
        </is>
      </c>
      <c r="J4" s="17" t="inlineStr">
        <is>
          <t>Interés del ejercicio</t>
        </is>
      </c>
      <c r="K4" s="17" t="inlineStr">
        <is>
          <t>Pagos del ejercicio</t>
        </is>
      </c>
      <c r="L4" s="17" t="inlineStr">
        <is>
          <t>Remedición del ejercicio</t>
        </is>
      </c>
      <c r="M4" s="17" t="inlineStr">
        <is>
          <t>Comprobación (0)</t>
        </is>
      </c>
      <c r="N4" s="17" t="inlineStr">
        <is>
          <t>Pasivo dentro de 12 meses</t>
        </is>
      </c>
      <c r="O4" s="17" t="inlineStr">
        <is>
          <t>Corriente</t>
        </is>
      </c>
      <c r="P4" s="17" t="inlineStr">
        <is>
          <t>No corriente</t>
        </is>
      </c>
      <c r="Q4" s="17" t="inlineStr">
        <is>
          <t>Pasivo registrado</t>
        </is>
      </c>
      <c r="R4" s="17" t="inlineStr">
        <is>
          <t>Diferencia</t>
        </is>
      </c>
      <c r="S4" s="17" t="inlineStr">
        <is>
          <t>Corriente registrado</t>
        </is>
      </c>
      <c r="T4" s="17" t="inlineStr">
        <is>
          <t>Diferencia corriente</t>
        </is>
      </c>
      <c r="U4" s="17" t="inlineStr">
        <is>
          <t>Interés registrado</t>
        </is>
      </c>
      <c r="V4" s="17" t="inlineStr">
        <is>
          <t>Diferencia interés</t>
        </is>
      </c>
      <c r="W4" s="17" t="inlineStr">
        <is>
          <t>Interés devengado no vencido (informativo)</t>
        </is>
      </c>
    </row>
    <row r="5">
      <c r="A5" s="18" t="inlineStr">
        <is>
          <t>C-01</t>
        </is>
      </c>
      <c r="B5" s="18">
        <f>'04_Identificacion'!M5</f>
        <v/>
      </c>
      <c r="C5" s="33">
        <f>'05_Plazo'!H5</f>
        <v/>
      </c>
      <c r="D5" s="33">
        <f>'05_Plazo'!I5</f>
        <v/>
      </c>
      <c r="E5" s="33">
        <f>MIN(C5,INT(MAX(D5,0)/'05_Plazo'!G5))</f>
        <v/>
      </c>
      <c r="F5" s="33">
        <f>MIN(C5,INT(MAX(D5-12,0)/'05_Plazo'!G5))</f>
        <v/>
      </c>
      <c r="G5" s="20">
        <f>IF(E5=0,'06_Medicion_inicial'!L5,SUMIFS('09_Tabla_amortizacion'!$J$5:$J$264,'09_Tabla_amortizacion'!$A$5:$A$264,A5,'09_Tabla_amortizacion'!$B$5:$B$264,E5))</f>
        <v/>
      </c>
      <c r="H5" s="20">
        <f>IF(D5&lt;12,0,IF(F5=0,'06_Medicion_inicial'!L5,SUMIFS('09_Tabla_amortizacion'!$J$5:$J$264,'09_Tabla_amortizacion'!$A$5:$A$264,A5,'09_Tabla_amortizacion'!$B$5:$B$264,F5)))</f>
        <v/>
      </c>
      <c r="I5" s="20">
        <f>IF(D5&lt;12,'06_Medicion_inicial'!L5,0)</f>
        <v/>
      </c>
      <c r="J5" s="20">
        <f>SUMIFS('09_Tabla_amortizacion'!$F$5:$F$264,'09_Tabla_amortizacion'!$A$5:$A$264,A5,'09_Tabla_amortizacion'!$B$5:$B$264,"&gt;"&amp;F5,'09_Tabla_amortizacion'!$B$5:$B$264,"&lt;="&amp;E5)</f>
        <v/>
      </c>
      <c r="K5" s="20">
        <f>SUMIFS('09_Tabla_amortizacion'!$G$5:$G$264,'09_Tabla_amortizacion'!$A$5:$A$264,A5,'09_Tabla_amortizacion'!$B$5:$B$264,"&gt;"&amp;F5,'09_Tabla_amortizacion'!$B$5:$B$264,"&lt;="&amp;E5)</f>
        <v/>
      </c>
      <c r="L5" s="20">
        <f>SUMIFS('09_Tabla_amortizacion'!$I$5:$I$264,'09_Tabla_amortizacion'!$A$5:$A$264,A5,'09_Tabla_amortizacion'!$B$5:$B$264,"&gt;"&amp;F5,'09_Tabla_amortizacion'!$B$5:$B$264,"&lt;="&amp;E5)</f>
        <v/>
      </c>
      <c r="M5" s="20">
        <f>H5+I5+J5-K5+L5-G5</f>
        <v/>
      </c>
      <c r="N5" s="20">
        <f>SUMIFS('09_Tabla_amortizacion'!$J$5:$J$264,'09_Tabla_amortizacion'!$A$5:$A$264,A5,'09_Tabla_amortizacion'!$B$5:$B$264,MIN(E5+12/'05_Plazo'!G5,C5))</f>
        <v/>
      </c>
      <c r="O5" s="20">
        <f>G5-N5</f>
        <v/>
      </c>
      <c r="P5" s="20">
        <f>N5</f>
        <v/>
      </c>
      <c r="Q5" s="20">
        <f>N('03_Contratos'!AC5)</f>
        <v/>
      </c>
      <c r="R5" s="20">
        <f>G5-Q5</f>
        <v/>
      </c>
      <c r="S5" s="20">
        <f>IF('03_Contratos'!AD5="","",'03_Contratos'!AD5)</f>
        <v/>
      </c>
      <c r="T5" s="20">
        <f>IF(S5="","",O5-S5)</f>
        <v/>
      </c>
      <c r="U5" s="20">
        <f>IF('03_Contratos'!AG5="","",'03_Contratos'!AG5)</f>
        <v/>
      </c>
      <c r="V5" s="20">
        <f>IF(U5="","",J5-U5)</f>
        <v/>
      </c>
      <c r="W5" s="20">
        <f>IF(E5&gt;=C5,0,G5*'06_Medicion_inicial'!J5*(D5-E5*'05_Plazo'!G5)/'05_Plazo'!G5)</f>
        <v/>
      </c>
    </row>
    <row r="6">
      <c r="A6" s="19" t="inlineStr">
        <is>
          <t>C-02</t>
        </is>
      </c>
      <c r="B6" s="19">
        <f>'04_Identificacion'!M6</f>
        <v/>
      </c>
      <c r="C6" s="34">
        <f>'05_Plazo'!H6</f>
        <v/>
      </c>
      <c r="D6" s="34">
        <f>'05_Plazo'!I6</f>
        <v/>
      </c>
      <c r="E6" s="34">
        <f>MIN(C6,INT(MAX(D6,0)/'05_Plazo'!G6))</f>
        <v/>
      </c>
      <c r="F6" s="34">
        <f>MIN(C6,INT(MAX(D6-12,0)/'05_Plazo'!G6))</f>
        <v/>
      </c>
      <c r="G6" s="21">
        <f>IF(E6=0,'06_Medicion_inicial'!L6,SUMIFS('09_Tabla_amortizacion'!$J$5:$J$264,'09_Tabla_amortizacion'!$A$5:$A$264,A6,'09_Tabla_amortizacion'!$B$5:$B$264,E6))</f>
        <v/>
      </c>
      <c r="H6" s="21">
        <f>IF(D6&lt;12,0,IF(F6=0,'06_Medicion_inicial'!L6,SUMIFS('09_Tabla_amortizacion'!$J$5:$J$264,'09_Tabla_amortizacion'!$A$5:$A$264,A6,'09_Tabla_amortizacion'!$B$5:$B$264,F6)))</f>
        <v/>
      </c>
      <c r="I6" s="21">
        <f>IF(D6&lt;12,'06_Medicion_inicial'!L6,0)</f>
        <v/>
      </c>
      <c r="J6" s="21">
        <f>SUMIFS('09_Tabla_amortizacion'!$F$5:$F$264,'09_Tabla_amortizacion'!$A$5:$A$264,A6,'09_Tabla_amortizacion'!$B$5:$B$264,"&gt;"&amp;F6,'09_Tabla_amortizacion'!$B$5:$B$264,"&lt;="&amp;E6)</f>
        <v/>
      </c>
      <c r="K6" s="21">
        <f>SUMIFS('09_Tabla_amortizacion'!$G$5:$G$264,'09_Tabla_amortizacion'!$A$5:$A$264,A6,'09_Tabla_amortizacion'!$B$5:$B$264,"&gt;"&amp;F6,'09_Tabla_amortizacion'!$B$5:$B$264,"&lt;="&amp;E6)</f>
        <v/>
      </c>
      <c r="L6" s="21">
        <f>SUMIFS('09_Tabla_amortizacion'!$I$5:$I$264,'09_Tabla_amortizacion'!$A$5:$A$264,A6,'09_Tabla_amortizacion'!$B$5:$B$264,"&gt;"&amp;F6,'09_Tabla_amortizacion'!$B$5:$B$264,"&lt;="&amp;E6)</f>
        <v/>
      </c>
      <c r="M6" s="21">
        <f>H6+I6+J6-K6+L6-G6</f>
        <v/>
      </c>
      <c r="N6" s="21">
        <f>SUMIFS('09_Tabla_amortizacion'!$J$5:$J$264,'09_Tabla_amortizacion'!$A$5:$A$264,A6,'09_Tabla_amortizacion'!$B$5:$B$264,MIN(E6+12/'05_Plazo'!G6,C6))</f>
        <v/>
      </c>
      <c r="O6" s="21">
        <f>G6-N6</f>
        <v/>
      </c>
      <c r="P6" s="21">
        <f>N6</f>
        <v/>
      </c>
      <c r="Q6" s="21">
        <f>N('03_Contratos'!AC6)</f>
        <v/>
      </c>
      <c r="R6" s="21">
        <f>G6-Q6</f>
        <v/>
      </c>
      <c r="S6" s="21">
        <f>IF('03_Contratos'!AD6="","",'03_Contratos'!AD6)</f>
        <v/>
      </c>
      <c r="T6" s="21">
        <f>IF(S6="","",O6-S6)</f>
        <v/>
      </c>
      <c r="U6" s="21">
        <f>IF('03_Contratos'!AG6="","",'03_Contratos'!AG6)</f>
        <v/>
      </c>
      <c r="V6" s="21">
        <f>IF(U6="","",J6-U6)</f>
        <v/>
      </c>
      <c r="W6" s="21">
        <f>IF(E6&gt;=C6,0,G6*'06_Medicion_inicial'!J6*(D6-E6*'05_Plazo'!G6)/'05_Plazo'!G6)</f>
        <v/>
      </c>
    </row>
    <row r="7">
      <c r="A7" s="18" t="inlineStr">
        <is>
          <t>C-03</t>
        </is>
      </c>
      <c r="B7" s="18">
        <f>'04_Identificacion'!M7</f>
        <v/>
      </c>
      <c r="C7" s="33">
        <f>'05_Plazo'!H7</f>
        <v/>
      </c>
      <c r="D7" s="33">
        <f>'05_Plazo'!I7</f>
        <v/>
      </c>
      <c r="E7" s="33">
        <f>MIN(C7,INT(MAX(D7,0)/'05_Plazo'!G7))</f>
        <v/>
      </c>
      <c r="F7" s="33">
        <f>MIN(C7,INT(MAX(D7-12,0)/'05_Plazo'!G7))</f>
        <v/>
      </c>
      <c r="G7" s="20">
        <f>IF(E7=0,'06_Medicion_inicial'!L7,SUMIFS('09_Tabla_amortizacion'!$J$5:$J$264,'09_Tabla_amortizacion'!$A$5:$A$264,A7,'09_Tabla_amortizacion'!$B$5:$B$264,E7))</f>
        <v/>
      </c>
      <c r="H7" s="20">
        <f>IF(D7&lt;12,0,IF(F7=0,'06_Medicion_inicial'!L7,SUMIFS('09_Tabla_amortizacion'!$J$5:$J$264,'09_Tabla_amortizacion'!$A$5:$A$264,A7,'09_Tabla_amortizacion'!$B$5:$B$264,F7)))</f>
        <v/>
      </c>
      <c r="I7" s="20">
        <f>IF(D7&lt;12,'06_Medicion_inicial'!L7,0)</f>
        <v/>
      </c>
      <c r="J7" s="20">
        <f>SUMIFS('09_Tabla_amortizacion'!$F$5:$F$264,'09_Tabla_amortizacion'!$A$5:$A$264,A7,'09_Tabla_amortizacion'!$B$5:$B$264,"&gt;"&amp;F7,'09_Tabla_amortizacion'!$B$5:$B$264,"&lt;="&amp;E7)</f>
        <v/>
      </c>
      <c r="K7" s="20">
        <f>SUMIFS('09_Tabla_amortizacion'!$G$5:$G$264,'09_Tabla_amortizacion'!$A$5:$A$264,A7,'09_Tabla_amortizacion'!$B$5:$B$264,"&gt;"&amp;F7,'09_Tabla_amortizacion'!$B$5:$B$264,"&lt;="&amp;E7)</f>
        <v/>
      </c>
      <c r="L7" s="20">
        <f>SUMIFS('09_Tabla_amortizacion'!$I$5:$I$264,'09_Tabla_amortizacion'!$A$5:$A$264,A7,'09_Tabla_amortizacion'!$B$5:$B$264,"&gt;"&amp;F7,'09_Tabla_amortizacion'!$B$5:$B$264,"&lt;="&amp;E7)</f>
        <v/>
      </c>
      <c r="M7" s="20">
        <f>H7+I7+J7-K7+L7-G7</f>
        <v/>
      </c>
      <c r="N7" s="20">
        <f>SUMIFS('09_Tabla_amortizacion'!$J$5:$J$264,'09_Tabla_amortizacion'!$A$5:$A$264,A7,'09_Tabla_amortizacion'!$B$5:$B$264,MIN(E7+12/'05_Plazo'!G7,C7))</f>
        <v/>
      </c>
      <c r="O7" s="20">
        <f>G7-N7</f>
        <v/>
      </c>
      <c r="P7" s="20">
        <f>N7</f>
        <v/>
      </c>
      <c r="Q7" s="20">
        <f>N('03_Contratos'!AC7)</f>
        <v/>
      </c>
      <c r="R7" s="20">
        <f>G7-Q7</f>
        <v/>
      </c>
      <c r="S7" s="20">
        <f>IF('03_Contratos'!AD7="","",'03_Contratos'!AD7)</f>
        <v/>
      </c>
      <c r="T7" s="20">
        <f>IF(S7="","",O7-S7)</f>
        <v/>
      </c>
      <c r="U7" s="20">
        <f>IF('03_Contratos'!AG7="","",'03_Contratos'!AG7)</f>
        <v/>
      </c>
      <c r="V7" s="20">
        <f>IF(U7="","",J7-U7)</f>
        <v/>
      </c>
      <c r="W7" s="20">
        <f>IF(E7&gt;=C7,0,G7*'06_Medicion_inicial'!J7*(D7-E7*'05_Plazo'!G7)/'05_Plazo'!G7)</f>
        <v/>
      </c>
    </row>
    <row r="8">
      <c r="A8" s="19" t="inlineStr">
        <is>
          <t>C-04</t>
        </is>
      </c>
      <c r="B8" s="19">
        <f>'04_Identificacion'!M8</f>
        <v/>
      </c>
      <c r="C8" s="34" t="n"/>
      <c r="D8" s="34">
        <f>'05_Plazo'!I8</f>
        <v/>
      </c>
      <c r="E8" s="34" t="n"/>
      <c r="F8" s="34" t="n"/>
      <c r="G8" s="21" t="n">
        <v>0</v>
      </c>
      <c r="H8" s="21" t="n"/>
      <c r="I8" s="21" t="n"/>
      <c r="J8" s="21" t="n"/>
      <c r="K8" s="21" t="n"/>
      <c r="L8" s="21" t="n"/>
      <c r="M8" s="21" t="n"/>
      <c r="N8" s="21" t="n"/>
      <c r="O8" s="21" t="n">
        <v>0</v>
      </c>
      <c r="P8" s="21" t="n">
        <v>0</v>
      </c>
      <c r="Q8" s="21">
        <f>N('03_Contratos'!AC8)</f>
        <v/>
      </c>
      <c r="R8" s="21">
        <f>G8-Q8</f>
        <v/>
      </c>
      <c r="S8" s="21">
        <f>IF('03_Contratos'!AD8="","",'03_Contratos'!AD8)</f>
        <v/>
      </c>
      <c r="T8" s="21" t="n"/>
      <c r="U8" s="21" t="n"/>
      <c r="V8" s="21" t="n"/>
      <c r="W8" s="21" t="n"/>
    </row>
    <row r="9">
      <c r="A9" s="18" t="inlineStr">
        <is>
          <t>C-05</t>
        </is>
      </c>
      <c r="B9" s="18">
        <f>'04_Identificacion'!M9</f>
        <v/>
      </c>
      <c r="C9" s="33" t="n"/>
      <c r="D9" s="33">
        <f>'05_Plazo'!I9</f>
        <v/>
      </c>
      <c r="E9" s="33" t="n"/>
      <c r="F9" s="33" t="n"/>
      <c r="G9" s="20" t="n">
        <v>0</v>
      </c>
      <c r="H9" s="20" t="n"/>
      <c r="I9" s="20" t="n"/>
      <c r="J9" s="20" t="n"/>
      <c r="K9" s="20" t="n"/>
      <c r="L9" s="20" t="n"/>
      <c r="M9" s="20" t="n"/>
      <c r="N9" s="20" t="n"/>
      <c r="O9" s="20" t="n">
        <v>0</v>
      </c>
      <c r="P9" s="20" t="n">
        <v>0</v>
      </c>
      <c r="Q9" s="20">
        <f>N('03_Contratos'!AC9)</f>
        <v/>
      </c>
      <c r="R9" s="20">
        <f>G9-Q9</f>
        <v/>
      </c>
      <c r="S9" s="20">
        <f>IF('03_Contratos'!AD9="","",'03_Contratos'!AD9)</f>
        <v/>
      </c>
      <c r="T9" s="20" t="n"/>
      <c r="U9" s="20" t="n"/>
      <c r="V9" s="20" t="n"/>
      <c r="W9" s="20" t="n"/>
    </row>
    <row r="10">
      <c r="A10" s="19" t="inlineStr">
        <is>
          <t>C-06</t>
        </is>
      </c>
      <c r="B10" s="19">
        <f>'04_Identificacion'!M10</f>
        <v/>
      </c>
      <c r="C10" s="34">
        <f>'05_Plazo'!H10</f>
        <v/>
      </c>
      <c r="D10" s="34">
        <f>'05_Plazo'!I10</f>
        <v/>
      </c>
      <c r="E10" s="34">
        <f>MIN(C10,INT(MAX(D10,0)/'05_Plazo'!G10))</f>
        <v/>
      </c>
      <c r="F10" s="34">
        <f>MIN(C10,INT(MAX(D10-12,0)/'05_Plazo'!G10))</f>
        <v/>
      </c>
      <c r="G10" s="21">
        <f>IF(E10=0,'06_Medicion_inicial'!L10,SUMIFS('09_Tabla_amortizacion'!$J$5:$J$264,'09_Tabla_amortizacion'!$A$5:$A$264,A10,'09_Tabla_amortizacion'!$B$5:$B$264,E10))</f>
        <v/>
      </c>
      <c r="H10" s="21">
        <f>IF(D10&lt;12,0,IF(F10=0,'06_Medicion_inicial'!L10,SUMIFS('09_Tabla_amortizacion'!$J$5:$J$264,'09_Tabla_amortizacion'!$A$5:$A$264,A10,'09_Tabla_amortizacion'!$B$5:$B$264,F10)))</f>
        <v/>
      </c>
      <c r="I10" s="21">
        <f>IF(D10&lt;12,'06_Medicion_inicial'!L10,0)</f>
        <v/>
      </c>
      <c r="J10" s="21">
        <f>SUMIFS('09_Tabla_amortizacion'!$F$5:$F$264,'09_Tabla_amortizacion'!$A$5:$A$264,A10,'09_Tabla_amortizacion'!$B$5:$B$264,"&gt;"&amp;F10,'09_Tabla_amortizacion'!$B$5:$B$264,"&lt;="&amp;E10)</f>
        <v/>
      </c>
      <c r="K10" s="21">
        <f>SUMIFS('09_Tabla_amortizacion'!$G$5:$G$264,'09_Tabla_amortizacion'!$A$5:$A$264,A10,'09_Tabla_amortizacion'!$B$5:$B$264,"&gt;"&amp;F10,'09_Tabla_amortizacion'!$B$5:$B$264,"&lt;="&amp;E10)</f>
        <v/>
      </c>
      <c r="L10" s="21">
        <f>SUMIFS('09_Tabla_amortizacion'!$I$5:$I$264,'09_Tabla_amortizacion'!$A$5:$A$264,A10,'09_Tabla_amortizacion'!$B$5:$B$264,"&gt;"&amp;F10,'09_Tabla_amortizacion'!$B$5:$B$264,"&lt;="&amp;E10)</f>
        <v/>
      </c>
      <c r="M10" s="21">
        <f>H10+I10+J10-K10+L10-G10</f>
        <v/>
      </c>
      <c r="N10" s="21">
        <f>SUMIFS('09_Tabla_amortizacion'!$J$5:$J$264,'09_Tabla_amortizacion'!$A$5:$A$264,A10,'09_Tabla_amortizacion'!$B$5:$B$264,MIN(E10+12/'05_Plazo'!G10,C10))</f>
        <v/>
      </c>
      <c r="O10" s="21">
        <f>G10-N10</f>
        <v/>
      </c>
      <c r="P10" s="21">
        <f>N10</f>
        <v/>
      </c>
      <c r="Q10" s="21">
        <f>N('03_Contratos'!AC10)</f>
        <v/>
      </c>
      <c r="R10" s="21">
        <f>G10-Q10</f>
        <v/>
      </c>
      <c r="S10" s="21">
        <f>IF('03_Contratos'!AD10="","",'03_Contratos'!AD10)</f>
        <v/>
      </c>
      <c r="T10" s="21">
        <f>IF(S10="","",O10-S10)</f>
        <v/>
      </c>
      <c r="U10" s="21">
        <f>IF('03_Contratos'!AG10="","",'03_Contratos'!AG10)</f>
        <v/>
      </c>
      <c r="V10" s="21">
        <f>IF(U10="","",J10-U10)</f>
        <v/>
      </c>
      <c r="W10" s="21">
        <f>IF(E10&gt;=C10,0,G10*'06_Medicion_inicial'!J10*(D10-E10*'05_Plazo'!G10)/'05_Plazo'!G10)</f>
        <v/>
      </c>
    </row>
    <row r="11">
      <c r="A11" s="18" t="inlineStr">
        <is>
          <t>C-07</t>
        </is>
      </c>
      <c r="B11" s="18">
        <f>'04_Identificacion'!M11</f>
        <v/>
      </c>
      <c r="C11" s="33">
        <f>'08_Remedicion'!F11</f>
        <v/>
      </c>
      <c r="D11" s="33">
        <f>'05_Plazo'!I11</f>
        <v/>
      </c>
      <c r="E11" s="33">
        <f>MIN(C11,INT(MAX(D11,0)/'05_Plazo'!G11))</f>
        <v/>
      </c>
      <c r="F11" s="33">
        <f>MIN(C11,INT(MAX(D11-12,0)/'05_Plazo'!G11))</f>
        <v/>
      </c>
      <c r="G11" s="20">
        <f>IF(E11=0,'06_Medicion_inicial'!L11,SUMIFS('09_Tabla_amortizacion'!$J$5:$J$264,'09_Tabla_amortizacion'!$A$5:$A$264,A11,'09_Tabla_amortizacion'!$B$5:$B$264,E11))</f>
        <v/>
      </c>
      <c r="H11" s="20">
        <f>IF(D11&lt;12,0,IF(F11=0,'06_Medicion_inicial'!L11,SUMIFS('09_Tabla_amortizacion'!$J$5:$J$264,'09_Tabla_amortizacion'!$A$5:$A$264,A11,'09_Tabla_amortizacion'!$B$5:$B$264,F11)))</f>
        <v/>
      </c>
      <c r="I11" s="20">
        <f>IF(D11&lt;12,'06_Medicion_inicial'!L11,0)</f>
        <v/>
      </c>
      <c r="J11" s="20">
        <f>SUMIFS('09_Tabla_amortizacion'!$F$5:$F$264,'09_Tabla_amortizacion'!$A$5:$A$264,A11,'09_Tabla_amortizacion'!$B$5:$B$264,"&gt;"&amp;F11,'09_Tabla_amortizacion'!$B$5:$B$264,"&lt;="&amp;E11)</f>
        <v/>
      </c>
      <c r="K11" s="20">
        <f>SUMIFS('09_Tabla_amortizacion'!$G$5:$G$264,'09_Tabla_amortizacion'!$A$5:$A$264,A11,'09_Tabla_amortizacion'!$B$5:$B$264,"&gt;"&amp;F11,'09_Tabla_amortizacion'!$B$5:$B$264,"&lt;="&amp;E11)</f>
        <v/>
      </c>
      <c r="L11" s="20">
        <f>SUMIFS('09_Tabla_amortizacion'!$I$5:$I$264,'09_Tabla_amortizacion'!$A$5:$A$264,A11,'09_Tabla_amortizacion'!$B$5:$B$264,"&gt;"&amp;F11,'09_Tabla_amortizacion'!$B$5:$B$264,"&lt;="&amp;E11)</f>
        <v/>
      </c>
      <c r="M11" s="20">
        <f>H11+I11+J11-K11+L11-G11</f>
        <v/>
      </c>
      <c r="N11" s="20">
        <f>SUMIFS('09_Tabla_amortizacion'!$J$5:$J$264,'09_Tabla_amortizacion'!$A$5:$A$264,A11,'09_Tabla_amortizacion'!$B$5:$B$264,MIN(E11+12/'05_Plazo'!G11,C11))</f>
        <v/>
      </c>
      <c r="O11" s="20">
        <f>G11-N11</f>
        <v/>
      </c>
      <c r="P11" s="20">
        <f>N11</f>
        <v/>
      </c>
      <c r="Q11" s="20">
        <f>N('03_Contratos'!AC11)</f>
        <v/>
      </c>
      <c r="R11" s="20">
        <f>G11-Q11</f>
        <v/>
      </c>
      <c r="S11" s="20">
        <f>IF('03_Contratos'!AD11="","",'03_Contratos'!AD11)</f>
        <v/>
      </c>
      <c r="T11" s="20">
        <f>IF(S11="","",O11-S11)</f>
        <v/>
      </c>
      <c r="U11" s="20">
        <f>IF('03_Contratos'!AG11="","",'03_Contratos'!AG11)</f>
        <v/>
      </c>
      <c r="V11" s="20">
        <f>IF(U11="","",J11-U11)</f>
        <v/>
      </c>
      <c r="W11" s="20">
        <f>IF(E11&gt;=C11,0,G11*'08_Remedicion'!I11*(D11-E11*'05_Plazo'!G11)/'05_Plazo'!G11)</f>
        <v/>
      </c>
    </row>
    <row r="12">
      <c r="A12" s="19" t="inlineStr">
        <is>
          <t>C-08</t>
        </is>
      </c>
      <c r="B12" s="19">
        <f>'04_Identificacion'!M12</f>
        <v/>
      </c>
      <c r="C12" s="34">
        <f>'05_Plazo'!H12</f>
        <v/>
      </c>
      <c r="D12" s="34">
        <f>'05_Plazo'!I12</f>
        <v/>
      </c>
      <c r="E12" s="34">
        <f>MIN(C12,INT(MAX(D12,0)/'05_Plazo'!G12))</f>
        <v/>
      </c>
      <c r="F12" s="34">
        <f>MIN(C12,INT(MAX(D12-12,0)/'05_Plazo'!G12))</f>
        <v/>
      </c>
      <c r="G12" s="21">
        <f>IF(E12=0,'06_Medicion_inicial'!L12,SUMIFS('09_Tabla_amortizacion'!$J$5:$J$264,'09_Tabla_amortizacion'!$A$5:$A$264,A12,'09_Tabla_amortizacion'!$B$5:$B$264,E12))</f>
        <v/>
      </c>
      <c r="H12" s="21">
        <f>IF(D12&lt;12,0,IF(F12=0,'06_Medicion_inicial'!L12,SUMIFS('09_Tabla_amortizacion'!$J$5:$J$264,'09_Tabla_amortizacion'!$A$5:$A$264,A12,'09_Tabla_amortizacion'!$B$5:$B$264,F12)))</f>
        <v/>
      </c>
      <c r="I12" s="21">
        <f>IF(D12&lt;12,'06_Medicion_inicial'!L12,0)</f>
        <v/>
      </c>
      <c r="J12" s="21">
        <f>SUMIFS('09_Tabla_amortizacion'!$F$5:$F$264,'09_Tabla_amortizacion'!$A$5:$A$264,A12,'09_Tabla_amortizacion'!$B$5:$B$264,"&gt;"&amp;F12,'09_Tabla_amortizacion'!$B$5:$B$264,"&lt;="&amp;E12)</f>
        <v/>
      </c>
      <c r="K12" s="21">
        <f>SUMIFS('09_Tabla_amortizacion'!$G$5:$G$264,'09_Tabla_amortizacion'!$A$5:$A$264,A12,'09_Tabla_amortizacion'!$B$5:$B$264,"&gt;"&amp;F12,'09_Tabla_amortizacion'!$B$5:$B$264,"&lt;="&amp;E12)</f>
        <v/>
      </c>
      <c r="L12" s="21">
        <f>SUMIFS('09_Tabla_amortizacion'!$I$5:$I$264,'09_Tabla_amortizacion'!$A$5:$A$264,A12,'09_Tabla_amortizacion'!$B$5:$B$264,"&gt;"&amp;F12,'09_Tabla_amortizacion'!$B$5:$B$264,"&lt;="&amp;E12)</f>
        <v/>
      </c>
      <c r="M12" s="21">
        <f>H12+I12+J12-K12+L12-G12</f>
        <v/>
      </c>
      <c r="N12" s="21">
        <f>SUMIFS('09_Tabla_amortizacion'!$J$5:$J$264,'09_Tabla_amortizacion'!$A$5:$A$264,A12,'09_Tabla_amortizacion'!$B$5:$B$264,MIN(E12+12/'05_Plazo'!G12,C12))</f>
        <v/>
      </c>
      <c r="O12" s="21">
        <f>G12-N12</f>
        <v/>
      </c>
      <c r="P12" s="21">
        <f>N12</f>
        <v/>
      </c>
      <c r="Q12" s="21">
        <f>N('03_Contratos'!AC12)</f>
        <v/>
      </c>
      <c r="R12" s="21">
        <f>G12-Q12</f>
        <v/>
      </c>
      <c r="S12" s="21">
        <f>IF('03_Contratos'!AD12="","",'03_Contratos'!AD12)</f>
        <v/>
      </c>
      <c r="T12" s="21">
        <f>IF(S12="","",O12-S12)</f>
        <v/>
      </c>
      <c r="U12" s="21">
        <f>IF('03_Contratos'!AG12="","",'03_Contratos'!AG12)</f>
        <v/>
      </c>
      <c r="V12" s="21">
        <f>IF(U12="","",J12-U12)</f>
        <v/>
      </c>
      <c r="W12" s="21">
        <f>IF(E12&gt;=C12,0,G12*'06_Medicion_inicial'!J12*(D12-E12*'05_Plazo'!G12)/'05_Plazo'!G12)</f>
        <v/>
      </c>
    </row>
    <row r="13">
      <c r="A13" s="18" t="inlineStr">
        <is>
          <t>C-09</t>
        </is>
      </c>
      <c r="B13" s="18">
        <f>'04_Identificacion'!M13</f>
        <v/>
      </c>
      <c r="C13" s="33">
        <f>'05_Plazo'!H13</f>
        <v/>
      </c>
      <c r="D13" s="33">
        <f>'05_Plazo'!I13</f>
        <v/>
      </c>
      <c r="E13" s="33">
        <f>MIN(C13,INT(MAX(D13,0)/'05_Plazo'!G13))</f>
        <v/>
      </c>
      <c r="F13" s="33">
        <f>MIN(C13,INT(MAX(D13-12,0)/'05_Plazo'!G13))</f>
        <v/>
      </c>
      <c r="G13" s="20">
        <f>IF(E13=0,'06_Medicion_inicial'!L13,SUMIFS('09_Tabla_amortizacion'!$J$5:$J$264,'09_Tabla_amortizacion'!$A$5:$A$264,A13,'09_Tabla_amortizacion'!$B$5:$B$264,E13))</f>
        <v/>
      </c>
      <c r="H13" s="20">
        <f>IF(D13&lt;12,0,IF(F13=0,'06_Medicion_inicial'!L13,SUMIFS('09_Tabla_amortizacion'!$J$5:$J$264,'09_Tabla_amortizacion'!$A$5:$A$264,A13,'09_Tabla_amortizacion'!$B$5:$B$264,F13)))</f>
        <v/>
      </c>
      <c r="I13" s="20">
        <f>IF(D13&lt;12,'06_Medicion_inicial'!L13,0)</f>
        <v/>
      </c>
      <c r="J13" s="20">
        <f>SUMIFS('09_Tabla_amortizacion'!$F$5:$F$264,'09_Tabla_amortizacion'!$A$5:$A$264,A13,'09_Tabla_amortizacion'!$B$5:$B$264,"&gt;"&amp;F13,'09_Tabla_amortizacion'!$B$5:$B$264,"&lt;="&amp;E13)</f>
        <v/>
      </c>
      <c r="K13" s="20">
        <f>SUMIFS('09_Tabla_amortizacion'!$G$5:$G$264,'09_Tabla_amortizacion'!$A$5:$A$264,A13,'09_Tabla_amortizacion'!$B$5:$B$264,"&gt;"&amp;F13,'09_Tabla_amortizacion'!$B$5:$B$264,"&lt;="&amp;E13)</f>
        <v/>
      </c>
      <c r="L13" s="20">
        <f>SUMIFS('09_Tabla_amortizacion'!$I$5:$I$264,'09_Tabla_amortizacion'!$A$5:$A$264,A13,'09_Tabla_amortizacion'!$B$5:$B$264,"&gt;"&amp;F13,'09_Tabla_amortizacion'!$B$5:$B$264,"&lt;="&amp;E13)</f>
        <v/>
      </c>
      <c r="M13" s="20">
        <f>H13+I13+J13-K13+L13-G13</f>
        <v/>
      </c>
      <c r="N13" s="20">
        <f>SUMIFS('09_Tabla_amortizacion'!$J$5:$J$264,'09_Tabla_amortizacion'!$A$5:$A$264,A13,'09_Tabla_amortizacion'!$B$5:$B$264,MIN(E13+12/'05_Plazo'!G13,C13))</f>
        <v/>
      </c>
      <c r="O13" s="20">
        <f>G13-N13</f>
        <v/>
      </c>
      <c r="P13" s="20">
        <f>N13</f>
        <v/>
      </c>
      <c r="Q13" s="20">
        <f>N('03_Contratos'!AC13)</f>
        <v/>
      </c>
      <c r="R13" s="20">
        <f>G13-Q13</f>
        <v/>
      </c>
      <c r="S13" s="20">
        <f>IF('03_Contratos'!AD13="","",'03_Contratos'!AD13)</f>
        <v/>
      </c>
      <c r="T13" s="20">
        <f>IF(S13="","",O13-S13)</f>
        <v/>
      </c>
      <c r="U13" s="20">
        <f>IF('03_Contratos'!AG13="","",'03_Contratos'!AG13)</f>
        <v/>
      </c>
      <c r="V13" s="20">
        <f>IF(U13="","",J13-U13)</f>
        <v/>
      </c>
      <c r="W13" s="20">
        <f>IF(E13&gt;=C13,0,G13*'06_Medicion_inicial'!J13*(D13-E13*'05_Plazo'!G13)/'05_Plazo'!G13)</f>
        <v/>
      </c>
    </row>
    <row r="14">
      <c r="A14" s="19" t="inlineStr">
        <is>
          <t>C-10</t>
        </is>
      </c>
      <c r="B14" s="19">
        <f>'04_Identificacion'!M14</f>
        <v/>
      </c>
      <c r="C14" s="34">
        <f>'05_Plazo'!H14</f>
        <v/>
      </c>
      <c r="D14" s="34">
        <f>'05_Plazo'!I14</f>
        <v/>
      </c>
      <c r="E14" s="34">
        <f>MIN(C14,INT(MAX(D14,0)/'05_Plazo'!G14))</f>
        <v/>
      </c>
      <c r="F14" s="34">
        <f>MIN(C14,INT(MAX(D14-12,0)/'05_Plazo'!G14))</f>
        <v/>
      </c>
      <c r="G14" s="21">
        <f>IF(E14=0,'06_Medicion_inicial'!L14,SUMIFS('09_Tabla_amortizacion'!$J$5:$J$264,'09_Tabla_amortizacion'!$A$5:$A$264,A14,'09_Tabla_amortizacion'!$B$5:$B$264,E14))</f>
        <v/>
      </c>
      <c r="H14" s="21">
        <f>IF(D14&lt;12,0,IF(F14=0,'06_Medicion_inicial'!L14,SUMIFS('09_Tabla_amortizacion'!$J$5:$J$264,'09_Tabla_amortizacion'!$A$5:$A$264,A14,'09_Tabla_amortizacion'!$B$5:$B$264,F14)))</f>
        <v/>
      </c>
      <c r="I14" s="21">
        <f>IF(D14&lt;12,'06_Medicion_inicial'!L14,0)</f>
        <v/>
      </c>
      <c r="J14" s="21">
        <f>SUMIFS('09_Tabla_amortizacion'!$F$5:$F$264,'09_Tabla_amortizacion'!$A$5:$A$264,A14,'09_Tabla_amortizacion'!$B$5:$B$264,"&gt;"&amp;F14,'09_Tabla_amortizacion'!$B$5:$B$264,"&lt;="&amp;E14)</f>
        <v/>
      </c>
      <c r="K14" s="21">
        <f>SUMIFS('09_Tabla_amortizacion'!$G$5:$G$264,'09_Tabla_amortizacion'!$A$5:$A$264,A14,'09_Tabla_amortizacion'!$B$5:$B$264,"&gt;"&amp;F14,'09_Tabla_amortizacion'!$B$5:$B$264,"&lt;="&amp;E14)</f>
        <v/>
      </c>
      <c r="L14" s="21">
        <f>SUMIFS('09_Tabla_amortizacion'!$I$5:$I$264,'09_Tabla_amortizacion'!$A$5:$A$264,A14,'09_Tabla_amortizacion'!$B$5:$B$264,"&gt;"&amp;F14,'09_Tabla_amortizacion'!$B$5:$B$264,"&lt;="&amp;E14)</f>
        <v/>
      </c>
      <c r="M14" s="21">
        <f>H14+I14+J14-K14+L14-G14</f>
        <v/>
      </c>
      <c r="N14" s="21">
        <f>SUMIFS('09_Tabla_amortizacion'!$J$5:$J$264,'09_Tabla_amortizacion'!$A$5:$A$264,A14,'09_Tabla_amortizacion'!$B$5:$B$264,MIN(E14+12/'05_Plazo'!G14,C14))</f>
        <v/>
      </c>
      <c r="O14" s="21">
        <f>G14-N14</f>
        <v/>
      </c>
      <c r="P14" s="21">
        <f>N14</f>
        <v/>
      </c>
      <c r="Q14" s="21">
        <f>N('03_Contratos'!AC14)</f>
        <v/>
      </c>
      <c r="R14" s="21">
        <f>G14-Q14</f>
        <v/>
      </c>
      <c r="S14" s="21">
        <f>IF('03_Contratos'!AD14="","",'03_Contratos'!AD14)</f>
        <v/>
      </c>
      <c r="T14" s="21">
        <f>IF(S14="","",O14-S14)</f>
        <v/>
      </c>
      <c r="U14" s="21">
        <f>IF('03_Contratos'!AG14="","",'03_Contratos'!AG14)</f>
        <v/>
      </c>
      <c r="V14" s="21">
        <f>IF(U14="","",J14-U14)</f>
        <v/>
      </c>
      <c r="W14" s="21">
        <f>IF(E14&gt;=C14,0,G14*'06_Medicion_inicial'!J14*(D14-E14*'05_Plazo'!G14)/'05_Plazo'!G14)</f>
        <v/>
      </c>
    </row>
    <row r="15">
      <c r="A15" s="18" t="inlineStr">
        <is>
          <t>C-11</t>
        </is>
      </c>
      <c r="B15" s="18">
        <f>'04_Identificacion'!M15</f>
        <v/>
      </c>
      <c r="C15" s="33">
        <f>'05_Plazo'!H15</f>
        <v/>
      </c>
      <c r="D15" s="33">
        <f>'05_Plazo'!I15</f>
        <v/>
      </c>
      <c r="E15" s="33">
        <f>MIN(C15,INT(MAX(D15,0)/'05_Plazo'!G15))</f>
        <v/>
      </c>
      <c r="F15" s="33">
        <f>MIN(C15,INT(MAX(D15-12,0)/'05_Plazo'!G15))</f>
        <v/>
      </c>
      <c r="G15" s="20">
        <f>IF(E15=0,'06_Medicion_inicial'!L15,SUMIFS('09_Tabla_amortizacion'!$J$5:$J$264,'09_Tabla_amortizacion'!$A$5:$A$264,A15,'09_Tabla_amortizacion'!$B$5:$B$264,E15))</f>
        <v/>
      </c>
      <c r="H15" s="20">
        <f>IF(D15&lt;12,0,IF(F15=0,'06_Medicion_inicial'!L15,SUMIFS('09_Tabla_amortizacion'!$J$5:$J$264,'09_Tabla_amortizacion'!$A$5:$A$264,A15,'09_Tabla_amortizacion'!$B$5:$B$264,F15)))</f>
        <v/>
      </c>
      <c r="I15" s="20">
        <f>IF(D15&lt;12,'06_Medicion_inicial'!L15,0)</f>
        <v/>
      </c>
      <c r="J15" s="20">
        <f>SUMIFS('09_Tabla_amortizacion'!$F$5:$F$264,'09_Tabla_amortizacion'!$A$5:$A$264,A15,'09_Tabla_amortizacion'!$B$5:$B$264,"&gt;"&amp;F15,'09_Tabla_amortizacion'!$B$5:$B$264,"&lt;="&amp;E15)</f>
        <v/>
      </c>
      <c r="K15" s="20">
        <f>SUMIFS('09_Tabla_amortizacion'!$G$5:$G$264,'09_Tabla_amortizacion'!$A$5:$A$264,A15,'09_Tabla_amortizacion'!$B$5:$B$264,"&gt;"&amp;F15,'09_Tabla_amortizacion'!$B$5:$B$264,"&lt;="&amp;E15)</f>
        <v/>
      </c>
      <c r="L15" s="20">
        <f>SUMIFS('09_Tabla_amortizacion'!$I$5:$I$264,'09_Tabla_amortizacion'!$A$5:$A$264,A15,'09_Tabla_amortizacion'!$B$5:$B$264,"&gt;"&amp;F15,'09_Tabla_amortizacion'!$B$5:$B$264,"&lt;="&amp;E15)</f>
        <v/>
      </c>
      <c r="M15" s="20">
        <f>H15+I15+J15-K15+L15-G15</f>
        <v/>
      </c>
      <c r="N15" s="20">
        <f>SUMIFS('09_Tabla_amortizacion'!$J$5:$J$264,'09_Tabla_amortizacion'!$A$5:$A$264,A15,'09_Tabla_amortizacion'!$B$5:$B$264,MIN(E15+12/'05_Plazo'!G15,C15))</f>
        <v/>
      </c>
      <c r="O15" s="20">
        <f>G15-N15</f>
        <v/>
      </c>
      <c r="P15" s="20">
        <f>N15</f>
        <v/>
      </c>
      <c r="Q15" s="20">
        <f>N('03_Contratos'!AC15)</f>
        <v/>
      </c>
      <c r="R15" s="20">
        <f>G15-Q15</f>
        <v/>
      </c>
      <c r="S15" s="20">
        <f>IF('03_Contratos'!AD15="","",'03_Contratos'!AD15)</f>
        <v/>
      </c>
      <c r="T15" s="20">
        <f>IF(S15="","",O15-S15)</f>
        <v/>
      </c>
      <c r="U15" s="20">
        <f>IF('03_Contratos'!AG15="","",'03_Contratos'!AG15)</f>
        <v/>
      </c>
      <c r="V15" s="20">
        <f>IF(U15="","",J15-U15)</f>
        <v/>
      </c>
      <c r="W15" s="20">
        <f>IF(E15&gt;=C15,0,G15*'06_Medicion_inicial'!J15*(D15-E15*'05_Plazo'!G15)/'05_Plazo'!G15)</f>
        <v/>
      </c>
    </row>
    <row r="16">
      <c r="A16" s="37" t="inlineStr">
        <is>
          <t>TOTAL</t>
        </is>
      </c>
      <c r="B16" s="37" t="inlineStr"/>
      <c r="C16" s="39" t="n"/>
      <c r="D16" s="39" t="n"/>
      <c r="E16" s="39" t="n"/>
      <c r="F16" s="39" t="n"/>
      <c r="G16" s="40">
        <f>SUM(G5:G15)</f>
        <v/>
      </c>
      <c r="H16" s="40">
        <f>SUM(H5:H15)</f>
        <v/>
      </c>
      <c r="I16" s="40">
        <f>SUM(I5:I15)</f>
        <v/>
      </c>
      <c r="J16" s="40">
        <f>SUM(J5:J15)</f>
        <v/>
      </c>
      <c r="K16" s="40">
        <f>SUM(K5:K15)</f>
        <v/>
      </c>
      <c r="L16" s="40">
        <f>SUM(L5:L15)</f>
        <v/>
      </c>
      <c r="M16" s="40" t="n"/>
      <c r="N16" s="40" t="n"/>
      <c r="O16" s="40">
        <f>SUM(O5:O15)</f>
        <v/>
      </c>
      <c r="P16" s="40">
        <f>SUM(P5:P15)</f>
        <v/>
      </c>
      <c r="Q16" s="40">
        <f>SUM(Q5:Q15)</f>
        <v/>
      </c>
      <c r="R16" s="40">
        <f>SUM(R5:R15)</f>
        <v/>
      </c>
      <c r="S16" s="40" t="n"/>
      <c r="T16" s="40" t="n"/>
      <c r="U16" s="40" t="n"/>
      <c r="V16" s="40" t="n"/>
      <c r="W16" s="40">
        <f>SUM(W5:W15)</f>
        <v/>
      </c>
    </row>
    <row r="18">
      <c r="A18" s="22" t="inlineStr">
        <is>
          <t>ⓘ  Cómo se calcula esta hoja</t>
        </is>
      </c>
    </row>
    <row r="19">
      <c r="A19" s="23" t="inlineStr">
        <is>
          <t>Columna</t>
        </is>
      </c>
      <c r="B19" s="23" t="inlineStr">
        <is>
          <t>Fórmula (Excel)</t>
        </is>
      </c>
      <c r="C19" s="23" t="inlineStr">
        <is>
          <t>Cómo se calcula (sencillo)</t>
        </is>
      </c>
      <c r="D19" s="23" t="inlineStr">
        <is>
          <t>Ejemplo con números reales</t>
        </is>
      </c>
      <c r="E19" s="23" t="inlineStr">
        <is>
          <t>De dónde viene</t>
        </is>
      </c>
      <c r="F19" s="23" t="inlineStr">
        <is>
          <t>Norma</t>
        </is>
      </c>
    </row>
    <row r="20">
      <c r="A20" s="24" t="inlineStr">
        <is>
          <t>Reconoce</t>
        </is>
      </c>
      <c r="B20" s="25" t="inlineStr">
        <is>
          <t>'='04_Identificacion'!M5</t>
        </is>
      </c>
      <c r="C20" s="24" t="inlineStr">
        <is>
          <t>Trae de la hoja 04 (Identificación) si el contrato se reconoce en balance; si no, el resto de la fila queda en cero o en blanco.</t>
        </is>
      </c>
      <c r="D20" s="24" t="inlineStr">
        <is>
          <t>Fila 1: «Sí» → Sí</t>
        </is>
      </c>
      <c r="E20" s="24" t="inlineStr">
        <is>
          <t>hoja «Identificación, clasificación y exenciones»</t>
        </is>
      </c>
      <c r="F20" s="24" t="inlineStr">
        <is>
          <t>—</t>
        </is>
      </c>
    </row>
    <row r="21">
      <c r="A21" s="24" t="inlineStr">
        <is>
          <t>Períodos finales</t>
        </is>
      </c>
      <c r="B21" s="25" t="inlineStr">
        <is>
          <t>'='05_Plazo'!H5</t>
        </is>
      </c>
      <c r="C21" s="24" t="inlineStr">
        <is>
          <t>Número total de cuotas del contrato: los períodos de la hoja 05 o, si hubo remedición, los períodos revisados de la hoja 08.</t>
        </is>
      </c>
      <c r="D21" s="24" t="inlineStr">
        <is>
          <t>Fila 1: 60 → 60</t>
        </is>
      </c>
      <c r="E21" s="24" t="inlineStr">
        <is>
          <t>hoja «Plazo y opciones»</t>
        </is>
      </c>
      <c r="F21" s="24" t="inlineStr">
        <is>
          <t>—</t>
        </is>
      </c>
    </row>
    <row r="22">
      <c r="A22" s="24" t="inlineStr">
        <is>
          <t>Meses transcurridos</t>
        </is>
      </c>
      <c r="B22" s="25" t="inlineStr">
        <is>
          <t>'='05_Plazo'!I5</t>
        </is>
      </c>
      <c r="C22" s="24" t="inlineStr">
        <is>
          <t>Trae los meses completos transcurridos desde el comienzo hasta el corte, calculados en la hoja 05 (Plazo y opciones).</t>
        </is>
      </c>
      <c r="D22" s="24" t="inlineStr">
        <is>
          <t>Fila 1: 24 → 24</t>
        </is>
      </c>
      <c r="E22" s="24" t="inlineStr">
        <is>
          <t>hoja «Plazo y opciones»</t>
        </is>
      </c>
      <c r="F22" s="24" t="inlineStr">
        <is>
          <t>—</t>
        </is>
      </c>
    </row>
    <row r="23">
      <c r="A23" s="24" t="inlineStr">
        <is>
          <t>Períodos vencidos al corte</t>
        </is>
      </c>
      <c r="B23" s="25" t="inlineStr">
        <is>
          <t>'=MIN(C5,INT(MAX(D5,0)/'05_Plazo'!G5))</t>
        </is>
      </c>
      <c r="C23" s="24" t="inlineStr">
        <is>
          <t>Divide los meses transcurridos entre los meses por período (hoja 05), sin decimales y sin pasar de los períodos finales: cuotas ya vencidas al corte.</t>
        </is>
      </c>
      <c r="D23" s="24" t="inlineStr">
        <is>
          <t>Fila 1: MIN(60; INT(MAX(24; 0)/1)) → 24</t>
        </is>
      </c>
      <c r="E23" s="24" t="inlineStr">
        <is>
          <t>«Períodos finales» (esta hoja), «Meses transcurridos» (esta hoja), hoja «Plazo y opciones»</t>
        </is>
      </c>
      <c r="F23" s="24" t="inlineStr">
        <is>
          <t>—</t>
        </is>
      </c>
    </row>
    <row r="24">
      <c r="A24" s="24" t="inlineStr">
        <is>
          <t>Períodos vencidos al inicio del año</t>
        </is>
      </c>
      <c r="B24" s="25" t="inlineStr">
        <is>
          <t>'=MIN(C5,INT(MAX(D5-12,0)/'05_Plazo'!G5))</t>
        </is>
      </c>
      <c r="C24" s="24" t="inlineStr">
        <is>
          <t>Igual que la columna anterior pero con 12 meses menos: las cuotas que ya habían vencido al empezar el ejercicio.</t>
        </is>
      </c>
      <c r="D24" s="24" t="inlineStr">
        <is>
          <t>Fila 1: MIN(60; INT(MAX(24-12; 0)/1)) → 12</t>
        </is>
      </c>
      <c r="E24" s="24" t="inlineStr">
        <is>
          <t>«Períodos finales» (esta hoja), «Meses transcurridos» (esta hoja), hoja «Plazo y opciones»</t>
        </is>
      </c>
      <c r="F24" s="24" t="inlineStr">
        <is>
          <t>—</t>
        </is>
      </c>
    </row>
    <row r="25">
      <c r="A25" s="24" t="inlineStr">
        <is>
          <t>Pasivo al corte</t>
        </is>
      </c>
      <c r="B25" s="25" t="inlineStr">
        <is>
          <t>'=IF(E5=0,'06_Medicion_inicial'!L5,SUMIFS('09_Tabla_amortizacion'!$J$5:$J$264,'09_Tabla_amortizacion'!$A$5:$A$264,A5,'09_Tabla_amortizacion'!$B$5:$B$264,E5))</t>
        </is>
      </c>
      <c r="C25" s="24" t="inlineStr">
        <is>
          <t>Si no ha vencido ninguna cuota, es el pasivo inicial de la hoja 06; si no, busca en la hoja 09 (Tabla de amortización) el saldo final ajustado del último período vencido al corte.</t>
        </is>
      </c>
      <c r="D25" s="24" t="inlineStr">
        <is>
          <t>Fila 1: IF(24=0; 68.381,69; SUMIFS([«Saldo final ajustado» de «Tabla de amortización», 260 filas]; [«Contrato» de «Tabla de amortización», 260 filas]; «C-01»; [«Período» de «Tabla de amortización», 260 filas]; 24)) → 45.562,13</t>
        </is>
      </c>
      <c r="E25" s="24" t="inlineStr">
        <is>
          <t>«Períodos vencidos al corte» (esta hoja), «Contrato» (esta hoja), hoja «Medición inicial: pasivo y activo», hoja «Tabla de amortización»</t>
        </is>
      </c>
      <c r="F25" s="24" t="inlineStr">
        <is>
          <t>—</t>
        </is>
      </c>
    </row>
    <row r="26">
      <c r="A26" s="24" t="inlineStr">
        <is>
          <t>Pasivo al inicio del año</t>
        </is>
      </c>
      <c r="B26" s="25" t="inlineStr">
        <is>
          <t>'=IF(D5&lt;12,0,IF(F5=0,'06_Medicion_inicial'!L5,SUMIFS('09_Tabla_amortizacion'!$J$5:$J$264,'09_Tabla_amortizacion'!$A$5:$A$264,A5,'09_Tabla_amortizacion'!$B$5:$B$264,F5)))</t>
        </is>
      </c>
      <c r="C26" s="24" t="inlineStr">
        <is>
          <t>Si el contrato empezó hace menos de 12 meses es 0; si no, el pasivo inicial (sin cuotas vencidas) o el saldo de la hoja 09 en el último período vencido al inicio del año.</t>
        </is>
      </c>
      <c r="D26" s="24" t="inlineStr">
        <is>
          <t>Fila 1: IF(24&lt;12; 0; IF(12=0; 68.381,69; SUMIFS([«Saldo final ajustado» de «Tabla de amortización», 260 filas]; [«Contrato» de «Tabla de amortización», 260 filas]; «C-01»; [«Período» de «Tabla de amortización», 260 filas]; 12))) → 57.617,75</t>
        </is>
      </c>
      <c r="E26" s="24" t="inlineStr">
        <is>
          <t>«Meses transcurridos» (esta hoja), «Períodos vencidos al inicio del año» (esta hoja), «Contrato» (esta hoja), hoja «Medición inicial: pasivo y activo», hoja «Tabla de amortización»</t>
        </is>
      </c>
      <c r="F26" s="24" t="inlineStr">
        <is>
          <t>—</t>
        </is>
      </c>
    </row>
    <row r="27">
      <c r="A27" s="24" t="inlineStr">
        <is>
          <t>Altas del año</t>
        </is>
      </c>
      <c r="B27" s="25" t="inlineStr">
        <is>
          <t>'=IF(D5&lt;12,'06_Medicion_inicial'!L5,0)</t>
        </is>
      </c>
      <c r="C27" s="24" t="inlineStr">
        <is>
          <t>Si el contrato comenzó dentro de los últimos 12 meses, su pasivo inicial (hoja 06) es un alta del año; si es anterior, 0.</t>
        </is>
      </c>
      <c r="D27" s="24" t="inlineStr">
        <is>
          <t>Fila 1: IF(24&lt;12; 68.381,69; 0) → 0,00</t>
        </is>
      </c>
      <c r="E27" s="24" t="inlineStr">
        <is>
          <t>«Meses transcurridos» (esta hoja), hoja «Medición inicial: pasivo y activo»</t>
        </is>
      </c>
      <c r="F27" s="24" t="inlineStr">
        <is>
          <t>—</t>
        </is>
      </c>
    </row>
    <row r="28">
      <c r="A28" s="24" t="inlineStr">
        <is>
          <t>Interés del ejercicio</t>
        </is>
      </c>
      <c r="B28" s="25" t="inlineStr">
        <is>
          <t>'=SUMIFS('09_Tabla_amortizacion'!$F$5:$F$264,'09_Tabla_amortizacion'!$A$5:$A$264,A5,'09_Tabla_amortizacion'!$B$5:$B$264,"&gt;"&amp;F5,'09_Tabla_amortizacion'!$B$5:$B$264,"&lt;="&amp;E5)</t>
        </is>
      </c>
      <c r="C28" s="24" t="inlineStr">
        <is>
          <t>Suma el interés de la hoja 09 (Tabla de amortización) de los períodos de este contrato que vencen en el ejercicio: después de los vencidos al inicio del año y hasta los vencidos al corte.</t>
        </is>
      </c>
      <c r="D28" s="24" t="inlineStr">
        <is>
          <t>Fila 1: SUMIFS([«Interés (37)» de «Tabla de amortización», 260 filas]; [«Contrato» de «Tabla de amortización», 260 filas]; «C-01»; [«Período» de «Tabla de amortización», 260 filas]; "&gt;"&amp;12; [«Período» de «Tabla de amortización», 260 filas]; "&lt;="&amp;24) → 5.944,38</t>
        </is>
      </c>
      <c r="E28" s="24" t="inlineStr">
        <is>
          <t>«Contrato» (esta hoja), «Períodos vencidos al inicio del año» (esta hoja), «Períodos vencidos al corte» (esta hoja), hoja «Tabla de amortización»</t>
        </is>
      </c>
      <c r="F28" s="24" t="inlineStr">
        <is>
          <t>—</t>
        </is>
      </c>
    </row>
    <row r="29">
      <c r="A29" s="24" t="inlineStr">
        <is>
          <t>Pagos del ejercicio</t>
        </is>
      </c>
      <c r="B29" s="25" t="inlineStr">
        <is>
          <t>'=SUMIFS('09_Tabla_amortizacion'!$G$5:$G$264,'09_Tabla_amortizacion'!$A$5:$A$264,A5,'09_Tabla_amortizacion'!$B$5:$B$264,"&gt;"&amp;F5,'09_Tabla_amortizacion'!$B$5:$B$264,"&lt;="&amp;E5)</t>
        </is>
      </c>
      <c r="C29" s="24" t="inlineStr">
        <is>
          <t>Suma los pagos de la hoja 09 (Tabla de amortización) de los períodos de este contrato que vencen dentro del ejercicio.</t>
        </is>
      </c>
      <c r="D29" s="24" t="inlineStr">
        <is>
          <t>Fila 1: SUMIFS([«Pago» de «Tabla de amortización», 260 filas]; [«Contrato» de «Tabla de amortización», 260 filas]; «C-01»; [«Período» de «Tabla de amortización», 260 filas]; "&gt;"&amp;12; [«Período» de «Tabla de amortización», 260 filas]; "&lt;="&amp;24) → 18.000,00</t>
        </is>
      </c>
      <c r="E29" s="24" t="inlineStr">
        <is>
          <t>«Contrato» (esta hoja), «Períodos vencidos al inicio del año» (esta hoja), «Períodos vencidos al corte» (esta hoja), hoja «Tabla de amortización»</t>
        </is>
      </c>
      <c r="F29" s="24" t="inlineStr">
        <is>
          <t>—</t>
        </is>
      </c>
    </row>
    <row r="30">
      <c r="A30" s="24" t="inlineStr">
        <is>
          <t>Remedición del ejercicio</t>
        </is>
      </c>
      <c r="B30" s="25" t="inlineStr">
        <is>
          <t>'=SUMIFS('09_Tabla_amortizacion'!$I$5:$I$264,'09_Tabla_amortizacion'!$A$5:$A$264,A5,'09_Tabla_amortizacion'!$B$5:$B$264,"&gt;"&amp;F5,'09_Tabla_amortizacion'!$B$5:$B$264,"&lt;="&amp;E5)</t>
        </is>
      </c>
      <c r="C30" s="24" t="inlineStr">
        <is>
          <t>Suma los ajustes por remedición de la hoja 09 de los períodos de este contrato que caen dentro del ejercicio.</t>
        </is>
      </c>
      <c r="D30" s="24" t="inlineStr">
        <is>
          <t>Fila 1: SUMIFS([«Remedición» de «Tabla de amortización», 260 filas]; [«Contrato» de «Tabla de amortización», 260 filas]; «C-01»; [«Período» de «Tabla de amortización», 260 filas]; "&gt;"&amp;12; [«Período» de «Tabla de amortización», 260 filas]; "&lt;="&amp;24) → 0,00</t>
        </is>
      </c>
      <c r="E30" s="24" t="inlineStr">
        <is>
          <t>«Contrato» (esta hoja), «Períodos vencidos al inicio del año» (esta hoja), «Períodos vencidos al corte» (esta hoja), hoja «Tabla de amortización»</t>
        </is>
      </c>
      <c r="F30" s="24" t="inlineStr">
        <is>
          <t>—</t>
        </is>
      </c>
    </row>
    <row r="31">
      <c r="A31" s="24" t="inlineStr">
        <is>
          <t>Comprobación (0)</t>
        </is>
      </c>
      <c r="B31" s="25" t="inlineStr">
        <is>
          <t>'=H5+I5+J5-K5+L5-G5</t>
        </is>
      </c>
      <c r="C31" s="24" t="inlineStr">
        <is>
          <t>Cuadra el movimiento del año: pasivo al inicio + altas + interés − pagos + remedición − pasivo al corte. Debe dar 0.</t>
        </is>
      </c>
      <c r="D31" s="24" t="inlineStr">
        <is>
          <t>Fila 1: 57.617,75+0,00+5.944,38-18.000,00+0,00-45.562,13 → -0,00</t>
        </is>
      </c>
      <c r="E31" s="24" t="inlineStr">
        <is>
          <t>«Pasivo al inicio del año» (esta hoja), «Altas del año» (esta hoja), «Interés del ejercicio» (esta hoja), «Pagos del ejercicio» (esta hoja), «Remedición del ejercicio» (esta hoja), «Pasivo al corte» (esta hoja)</t>
        </is>
      </c>
      <c r="F31" s="24" t="inlineStr">
        <is>
          <t>—</t>
        </is>
      </c>
    </row>
    <row r="32">
      <c r="A32" s="24" t="inlineStr">
        <is>
          <t>Pasivo dentro de 12 meses</t>
        </is>
      </c>
      <c r="B32" s="25" t="inlineStr">
        <is>
          <t>'=SUMIFS('09_Tabla_amortizacion'!$J$5:$J$264,'09_Tabla_amortizacion'!$A$5:$A$264,A5,'09_Tabla_amortizacion'!$B$5:$B$264,MIN(E5+12/'05_Plazo'!G5,C5))</t>
        </is>
      </c>
      <c r="C32" s="24" t="inlineStr">
        <is>
          <t>Busca en la hoja 09 el saldo que quedará después de 12 meses más de cuotas (o al final del plazo, si llega antes): es el capital que no se paga en los próximos 12 meses.</t>
        </is>
      </c>
      <c r="D32" s="24" t="inlineStr">
        <is>
          <t>Fila 1: SUMIFS([«Saldo final ajustado» de «Tabla de amortización», 260 filas]; [«Contrato» de «Tabla de amortización», 260 filas]; «C-01»; [«Período» de «Tabla de amortización», 260 filas]; MIN(24+12/1; 60)) → 32.059,84</t>
        </is>
      </c>
      <c r="E32" s="24" t="inlineStr">
        <is>
          <t>«Contrato» (esta hoja), «Períodos vencidos al corte» (esta hoja), «Períodos finales» (esta hoja), hoja «Tabla de amortización», hoja «Plazo y opciones»</t>
        </is>
      </c>
      <c r="F32" s="24" t="inlineStr">
        <is>
          <t>—</t>
        </is>
      </c>
    </row>
    <row r="33">
      <c r="A33" s="24" t="inlineStr">
        <is>
          <t>Corriente</t>
        </is>
      </c>
      <c r="B33" s="25" t="inlineStr">
        <is>
          <t>'=G5-N5</t>
        </is>
      </c>
      <c r="C33" s="24" t="inlineStr">
        <is>
          <t>Pasivo al corte menos el saldo que quedará dentro de 12 meses: es el capital que se paga en los próximos 12 meses.</t>
        </is>
      </c>
      <c r="D33" s="24" t="inlineStr">
        <is>
          <t>Fila 1: 45.562,13-32.059,84 → 13.502,29</t>
        </is>
      </c>
      <c r="E33" s="24" t="inlineStr">
        <is>
          <t>«Pasivo al corte» (esta hoja), «Pasivo dentro de 12 meses» (esta hoja)</t>
        </is>
      </c>
      <c r="F33" s="24" t="inlineStr">
        <is>
          <t>—</t>
        </is>
      </c>
    </row>
    <row r="34">
      <c r="A34" s="24" t="inlineStr">
        <is>
          <t>No corriente</t>
        </is>
      </c>
      <c r="B34" s="25" t="inlineStr">
        <is>
          <t>'=N5</t>
        </is>
      </c>
      <c r="C34" s="24" t="inlineStr">
        <is>
          <t>Es el saldo que quedará después de los próximos 12 meses (columna «Pasivo dentro de 12 meses»): la parte no corriente del pasivo.</t>
        </is>
      </c>
      <c r="D34" s="24" t="inlineStr">
        <is>
          <t>Fila 1: 32.059,84 → 32.059,84</t>
        </is>
      </c>
      <c r="E34" s="24" t="inlineStr">
        <is>
          <t>«Pasivo dentro de 12 meses» (esta hoja)</t>
        </is>
      </c>
      <c r="F34" s="24" t="inlineStr">
        <is>
          <t>—</t>
        </is>
      </c>
    </row>
    <row r="35">
      <c r="A35" s="24" t="inlineStr">
        <is>
          <t>Pasivo registrado</t>
        </is>
      </c>
      <c r="B35" s="25" t="inlineStr">
        <is>
          <t>'=N('03_Contratos'!AC5)</t>
        </is>
      </c>
      <c r="C35" s="24" t="inlineStr">
        <is>
          <t>Trae el pasivo por arrendamiento que el cliente registró al corte, de la hoja 03 (Universo de contratos); sin dato cuenta cero.</t>
        </is>
      </c>
      <c r="D35" s="24" t="inlineStr">
        <is>
          <t>Fila 1: N(17.000,00) → 17.000,00</t>
        </is>
      </c>
      <c r="E35" s="24" t="inlineStr">
        <is>
          <t>hoja «Universo de contratos»</t>
        </is>
      </c>
      <c r="F35" s="24" t="inlineStr">
        <is>
          <t>—</t>
        </is>
      </c>
    </row>
    <row r="36">
      <c r="A36" s="24" t="inlineStr">
        <is>
          <t>Diferencia</t>
        </is>
      </c>
      <c r="B36" s="25" t="inlineStr">
        <is>
          <t>'=G5-Q5</t>
        </is>
      </c>
      <c r="C36" s="24" t="inlineStr">
        <is>
          <t>Resta el pasivo registrado del pasivo al corte recalculado.</t>
        </is>
      </c>
      <c r="D36" s="24" t="inlineStr">
        <is>
          <t>Fila 1: 45.562,13-17.000,00 → 28.562,13</t>
        </is>
      </c>
      <c r="E36" s="24" t="inlineStr">
        <is>
          <t>«Pasivo al corte» (esta hoja), «Pasivo registrado» (esta hoja)</t>
        </is>
      </c>
      <c r="F36" s="24" t="inlineStr">
        <is>
          <t>—</t>
        </is>
      </c>
    </row>
    <row r="37">
      <c r="A37" s="24" t="inlineStr">
        <is>
          <t>Corriente registrado</t>
        </is>
      </c>
      <c r="B37" s="25" t="inlineStr">
        <is>
          <t>'=IF('03_Contratos'!AD5="","",'03_Contratos'!AD5)</t>
        </is>
      </c>
      <c r="C37" s="24" t="inlineStr">
        <is>
          <t>Trae el pasivo corriente registrado por el cliente, de la hoja 03 (Universo de contratos); en blanco si no lo informó.</t>
        </is>
      </c>
      <c r="D37" s="24" t="inlineStr">
        <is>
          <t>Fila 1: IF(17.000,00=""; ""; 17.000,00) → 17.000,00</t>
        </is>
      </c>
      <c r="E37" s="24" t="inlineStr">
        <is>
          <t>hoja «Universo de contratos»</t>
        </is>
      </c>
      <c r="F37" s="24" t="inlineStr">
        <is>
          <t>—</t>
        </is>
      </c>
    </row>
    <row r="38">
      <c r="A38" s="24" t="inlineStr">
        <is>
          <t>Diferencia corriente</t>
        </is>
      </c>
      <c r="B38" s="25" t="inlineStr">
        <is>
          <t>'=IF(S5="","",O5-S5)</t>
        </is>
      </c>
      <c r="C38" s="24" t="inlineStr">
        <is>
          <t>Resta el corriente registrado del corriente recalculado; en blanco si el cliente no informó su pasivo corriente.</t>
        </is>
      </c>
      <c r="D38" s="24" t="inlineStr">
        <is>
          <t>Fila 1: IF(17.000,00=""; ""; 13.502,29-17.000,00) → -3.497,71</t>
        </is>
      </c>
      <c r="E38" s="24" t="inlineStr">
        <is>
          <t>«Corriente registrado» (esta hoja), «Corriente» (esta hoja)</t>
        </is>
      </c>
      <c r="F38" s="24" t="inlineStr">
        <is>
          <t>—</t>
        </is>
      </c>
    </row>
    <row r="39">
      <c r="A39" s="24" t="inlineStr">
        <is>
          <t>Interés registrado</t>
        </is>
      </c>
      <c r="B39" s="25" t="inlineStr">
        <is>
          <t>'=IF('03_Contratos'!AG5="","",'03_Contratos'!AG5)</t>
        </is>
      </c>
      <c r="C39" s="24" t="inlineStr">
        <is>
          <t>Trae el gasto por interés del ejercicio registrado por el cliente, de la hoja 03 (Universo de contratos); en blanco si no se informó.</t>
        </is>
      </c>
      <c r="D39" s="24" t="inlineStr">
        <is>
          <t>Fila 1: IF(2.600,00=""; ""; 2.600,00) → 2.600,00</t>
        </is>
      </c>
      <c r="E39" s="24" t="inlineStr">
        <is>
          <t>hoja «Universo de contratos»</t>
        </is>
      </c>
      <c r="F39" s="24" t="inlineStr">
        <is>
          <t>—</t>
        </is>
      </c>
    </row>
    <row r="40">
      <c r="A40" s="24" t="inlineStr">
        <is>
          <t>Diferencia interés</t>
        </is>
      </c>
      <c r="B40" s="25" t="inlineStr">
        <is>
          <t>'=IF(U5="","",J5-U5)</t>
        </is>
      </c>
      <c r="C40" s="24" t="inlineStr">
        <is>
          <t>Resta el interés registrado del interés del ejercicio recalculado; en blanco si no hay interés registrado.</t>
        </is>
      </c>
      <c r="D40" s="24" t="inlineStr">
        <is>
          <t>Fila 1: IF(2.600,00=""; ""; 5.944,38-2.600,00) → 3.344,38</t>
        </is>
      </c>
      <c r="E40" s="24" t="inlineStr">
        <is>
          <t>«Interés registrado» (esta hoja), «Interés del ejercicio» (esta hoja)</t>
        </is>
      </c>
      <c r="F40" s="24" t="inlineStr">
        <is>
          <t>—</t>
        </is>
      </c>
    </row>
    <row r="41">
      <c r="A41" s="24" t="inlineStr">
        <is>
          <t>Interés devengado no vencido (informativo)</t>
        </is>
      </c>
      <c r="B41" s="25" t="inlineStr">
        <is>
          <t>'=IF(E5&gt;=C5,0,G5*'06_Medicion_inicial'!J5*(D5-E5*'05_Plazo'!G5)/'05_Plazo'!G5)</t>
        </is>
      </c>
      <c r="C41" s="24" t="inlineStr">
        <is>
          <t>Si quedan cuotas por vencer, estima el interés que corre desde el último vencimiento hasta el corte: pasivo al corte × tasa periódica × meses del período en curso ÷ meses por período. Es informativo y no entra en el recálculo.</t>
        </is>
      </c>
      <c r="D41" s="24" t="inlineStr">
        <is>
          <t>Fila 1: IF(24&gt;=60; 0; 45.562,13*0,95 %*(24-24*1)/1) → 0,00</t>
        </is>
      </c>
      <c r="E41" s="24" t="inlineStr">
        <is>
          <t>«Períodos vencidos al corte» (esta hoja), «Períodos finales» (esta hoja), «Pasivo al corte» (esta hoja), «Meses transcurridos» (esta hoja), hoja «Medición inicial: pasivo y activo», hoja «Plazo y opciones»</t>
        </is>
      </c>
      <c r="F41" s="24" t="inlineStr">
        <is>
          <t>—</t>
        </is>
      </c>
    </row>
  </sheetData>
  <mergeCells count="3">
    <mergeCell ref="A2:F2"/>
    <mergeCell ref="A1:F1"/>
    <mergeCell ref="A18:F18"/>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S37"/>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20" customWidth="1" min="3" max="3"/>
    <col width="23" customWidth="1" min="4" max="4"/>
    <col width="21" customWidth="1" min="5" max="5"/>
    <col width="17" customWidth="1" min="6" max="6"/>
    <col width="23" customWidth="1" min="7" max="7"/>
    <col width="33" customWidth="1" min="8" max="8"/>
    <col width="33" customWidth="1" min="9" max="9"/>
    <col width="42" customWidth="1" min="10" max="10"/>
    <col width="28" customWidth="1" min="11" max="11"/>
    <col width="25" customWidth="1" min="12" max="12"/>
    <col width="21" customWidth="1" min="13" max="13"/>
    <col width="27" customWidth="1" min="14" max="14"/>
    <col width="20" customWidth="1" min="15" max="15"/>
    <col width="17" customWidth="1" min="16" max="16"/>
    <col width="24" customWidth="1" min="17" max="17"/>
    <col width="25" customWidth="1" min="18" max="18"/>
    <col width="25" customWidth="1" min="19" max="19"/>
  </cols>
  <sheetData>
    <row r="1">
      <c r="A1" s="3" t="inlineStr">
        <is>
          <t>Depreciación y deterioro del activo</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c r="G2" s="16" t="n"/>
      <c r="H2" s="16" t="n"/>
      <c r="I2" s="16" t="n"/>
      <c r="J2" s="16" t="n"/>
      <c r="K2" s="16" t="n"/>
      <c r="L2" s="16" t="n"/>
      <c r="M2" s="16" t="n"/>
      <c r="N2" s="16" t="n"/>
      <c r="O2" s="16" t="n"/>
      <c r="P2" s="16" t="n"/>
      <c r="Q2" s="16" t="n"/>
      <c r="R2" s="16" t="n"/>
      <c r="S2" s="16" t="n"/>
    </row>
    <row r="4" ht="30" customHeight="1">
      <c r="A4" s="17" t="inlineStr">
        <is>
          <t>Contrato</t>
        </is>
      </c>
      <c r="B4" s="17" t="inlineStr">
        <is>
          <t>Reconoce</t>
        </is>
      </c>
      <c r="C4" s="17" t="inlineStr">
        <is>
          <t>Costo inicial</t>
        </is>
      </c>
      <c r="D4" s="17" t="inlineStr">
        <is>
          <t>Meses de depreciación</t>
        </is>
      </c>
      <c r="E4" s="17" t="inlineStr">
        <is>
          <t>Meses transcurridos</t>
        </is>
      </c>
      <c r="F4" s="17" t="inlineStr">
        <is>
          <t>Meses al evento</t>
        </is>
      </c>
      <c r="G4" s="17" t="inlineStr">
        <is>
          <t>Ajuste por remedición</t>
        </is>
      </c>
      <c r="H4" s="17" t="inlineStr">
        <is>
          <t>Meses de depreciación revisados</t>
        </is>
      </c>
      <c r="I4" s="17" t="inlineStr">
        <is>
          <t>Depreciación acumulada al corte</t>
        </is>
      </c>
      <c r="J4" s="17" t="inlineStr">
        <is>
          <t>Depreciación acumulada al inicio del año</t>
        </is>
      </c>
      <c r="K4" s="17" t="inlineStr">
        <is>
          <t>Depreciación del ejercicio</t>
        </is>
      </c>
      <c r="L4" s="17" t="inlineStr">
        <is>
          <t>Neto antes de deterioro</t>
        </is>
      </c>
      <c r="M4" s="17" t="inlineStr">
        <is>
          <t>Importe recuperable</t>
        </is>
      </c>
      <c r="N4" s="17" t="inlineStr">
        <is>
          <t>Deterioro (33 / Secc. 27)</t>
        </is>
      </c>
      <c r="O4" s="17" t="inlineStr">
        <is>
          <t>Neto recalculado</t>
        </is>
      </c>
      <c r="P4" s="17" t="inlineStr">
        <is>
          <t>Registrado neto</t>
        </is>
      </c>
      <c r="Q4" s="17" t="inlineStr">
        <is>
          <t>Diferencia</t>
        </is>
      </c>
      <c r="R4" s="17" t="inlineStr">
        <is>
          <t>Depreciación registrada</t>
        </is>
      </c>
      <c r="S4" s="17" t="inlineStr">
        <is>
          <t>Diferencia depreciación</t>
        </is>
      </c>
    </row>
    <row r="5">
      <c r="A5" s="18" t="inlineStr">
        <is>
          <t>C-01</t>
        </is>
      </c>
      <c r="B5" s="18">
        <f>'04_Identificacion'!M5</f>
        <v/>
      </c>
      <c r="C5" s="20">
        <f>'06_Medicion_inicial'!Q5</f>
        <v/>
      </c>
      <c r="D5" s="33">
        <f>'05_Plazo'!J5</f>
        <v/>
      </c>
      <c r="E5" s="33">
        <f>MAX('05_Plazo'!I5,0)</f>
        <v/>
      </c>
      <c r="F5" s="33" t="n"/>
      <c r="G5" s="20" t="n">
        <v>0</v>
      </c>
      <c r="H5" s="33" t="n"/>
      <c r="I5" s="20">
        <f>C5*MIN(E5,D5)/D5</f>
        <v/>
      </c>
      <c r="J5" s="20">
        <f>C5*MIN(MAX(E5-12,0),D5)/D5</f>
        <v/>
      </c>
      <c r="K5" s="20">
        <f>I5-J5</f>
        <v/>
      </c>
      <c r="L5" s="20">
        <f>C5+G5-I5</f>
        <v/>
      </c>
      <c r="M5" s="20">
        <f>IF('03_Contratos'!AN5="","",'03_Contratos'!AN5)</f>
        <v/>
      </c>
      <c r="N5" s="20">
        <f>IF(M5="",0,MAX(0,L5-M5))</f>
        <v/>
      </c>
      <c r="O5" s="20">
        <f>L5-N5</f>
        <v/>
      </c>
      <c r="P5" s="20">
        <f>N('03_Contratos'!AE5)</f>
        <v/>
      </c>
      <c r="Q5" s="20">
        <f>O5-P5</f>
        <v/>
      </c>
      <c r="R5" s="20">
        <f>IF('03_Contratos'!AF5="","",'03_Contratos'!AF5)</f>
        <v/>
      </c>
      <c r="S5" s="20">
        <f>IF(R5="","",K5-R5)</f>
        <v/>
      </c>
    </row>
    <row r="6">
      <c r="A6" s="19" t="inlineStr">
        <is>
          <t>C-02</t>
        </is>
      </c>
      <c r="B6" s="19">
        <f>'04_Identificacion'!M6</f>
        <v/>
      </c>
      <c r="C6" s="21">
        <f>'06_Medicion_inicial'!Q6</f>
        <v/>
      </c>
      <c r="D6" s="34">
        <f>'05_Plazo'!J6</f>
        <v/>
      </c>
      <c r="E6" s="34">
        <f>MAX('05_Plazo'!I6,0)</f>
        <v/>
      </c>
      <c r="F6" s="34" t="n"/>
      <c r="G6" s="21" t="n">
        <v>0</v>
      </c>
      <c r="H6" s="34" t="n"/>
      <c r="I6" s="21">
        <f>C6*MIN(E6,D6)/D6</f>
        <v/>
      </c>
      <c r="J6" s="21">
        <f>C6*MIN(MAX(E6-12,0),D6)/D6</f>
        <v/>
      </c>
      <c r="K6" s="21">
        <f>I6-J6</f>
        <v/>
      </c>
      <c r="L6" s="21">
        <f>C6+G6-I6</f>
        <v/>
      </c>
      <c r="M6" s="21">
        <f>IF('03_Contratos'!AN6="","",'03_Contratos'!AN6)</f>
        <v/>
      </c>
      <c r="N6" s="21">
        <f>IF(M6="",0,MAX(0,L6-M6))</f>
        <v/>
      </c>
      <c r="O6" s="21">
        <f>L6-N6</f>
        <v/>
      </c>
      <c r="P6" s="21">
        <f>N('03_Contratos'!AE6)</f>
        <v/>
      </c>
      <c r="Q6" s="21">
        <f>O6-P6</f>
        <v/>
      </c>
      <c r="R6" s="21">
        <f>IF('03_Contratos'!AF6="","",'03_Contratos'!AF6)</f>
        <v/>
      </c>
      <c r="S6" s="21">
        <f>IF(R6="","",K6-R6)</f>
        <v/>
      </c>
    </row>
    <row r="7">
      <c r="A7" s="18" t="inlineStr">
        <is>
          <t>C-03</t>
        </is>
      </c>
      <c r="B7" s="18">
        <f>'04_Identificacion'!M7</f>
        <v/>
      </c>
      <c r="C7" s="20">
        <f>'06_Medicion_inicial'!Q7</f>
        <v/>
      </c>
      <c r="D7" s="33">
        <f>'05_Plazo'!J7</f>
        <v/>
      </c>
      <c r="E7" s="33">
        <f>MAX('05_Plazo'!I7,0)</f>
        <v/>
      </c>
      <c r="F7" s="33" t="n"/>
      <c r="G7" s="20" t="n">
        <v>0</v>
      </c>
      <c r="H7" s="33" t="n"/>
      <c r="I7" s="20">
        <f>C7*MIN(E7,D7)/D7</f>
        <v/>
      </c>
      <c r="J7" s="20">
        <f>C7*MIN(MAX(E7-12,0),D7)/D7</f>
        <v/>
      </c>
      <c r="K7" s="20">
        <f>I7-J7</f>
        <v/>
      </c>
      <c r="L7" s="20">
        <f>C7+G7-I7</f>
        <v/>
      </c>
      <c r="M7" s="20">
        <f>IF('03_Contratos'!AN7="","",'03_Contratos'!AN7)</f>
        <v/>
      </c>
      <c r="N7" s="20">
        <f>IF(M7="",0,MAX(0,L7-M7))</f>
        <v/>
      </c>
      <c r="O7" s="20">
        <f>L7-N7</f>
        <v/>
      </c>
      <c r="P7" s="20">
        <f>N('03_Contratos'!AE7)</f>
        <v/>
      </c>
      <c r="Q7" s="20">
        <f>O7-P7</f>
        <v/>
      </c>
      <c r="R7" s="20">
        <f>IF('03_Contratos'!AF7="","",'03_Contratos'!AF7)</f>
        <v/>
      </c>
      <c r="S7" s="20">
        <f>IF(R7="","",K7-R7)</f>
        <v/>
      </c>
    </row>
    <row r="8">
      <c r="A8" s="19" t="inlineStr">
        <is>
          <t>C-04</t>
        </is>
      </c>
      <c r="B8" s="19">
        <f>'04_Identificacion'!M8</f>
        <v/>
      </c>
      <c r="C8" s="21" t="n"/>
      <c r="D8" s="34" t="n"/>
      <c r="E8" s="34" t="n"/>
      <c r="F8" s="34" t="n"/>
      <c r="G8" s="21" t="n"/>
      <c r="H8" s="34" t="n"/>
      <c r="I8" s="21" t="n"/>
      <c r="J8" s="21" t="n"/>
      <c r="K8" s="21" t="n">
        <v>0</v>
      </c>
      <c r="L8" s="21" t="n"/>
      <c r="M8" s="21" t="n"/>
      <c r="N8" s="21" t="n">
        <v>0</v>
      </c>
      <c r="O8" s="21" t="n">
        <v>0</v>
      </c>
      <c r="P8" s="21">
        <f>N('03_Contratos'!AE8)</f>
        <v/>
      </c>
      <c r="Q8" s="21">
        <f>O8-P8</f>
        <v/>
      </c>
      <c r="R8" s="21" t="n"/>
      <c r="S8" s="21" t="n"/>
    </row>
    <row r="9">
      <c r="A9" s="18" t="inlineStr">
        <is>
          <t>C-05</t>
        </is>
      </c>
      <c r="B9" s="18">
        <f>'04_Identificacion'!M9</f>
        <v/>
      </c>
      <c r="C9" s="20" t="n"/>
      <c r="D9" s="33" t="n"/>
      <c r="E9" s="33" t="n"/>
      <c r="F9" s="33" t="n"/>
      <c r="G9" s="20" t="n"/>
      <c r="H9" s="33" t="n"/>
      <c r="I9" s="20" t="n"/>
      <c r="J9" s="20" t="n"/>
      <c r="K9" s="20" t="n">
        <v>0</v>
      </c>
      <c r="L9" s="20" t="n"/>
      <c r="M9" s="20" t="n"/>
      <c r="N9" s="20" t="n">
        <v>0</v>
      </c>
      <c r="O9" s="20" t="n">
        <v>0</v>
      </c>
      <c r="P9" s="20">
        <f>N('03_Contratos'!AE9)</f>
        <v/>
      </c>
      <c r="Q9" s="20">
        <f>O9-P9</f>
        <v/>
      </c>
      <c r="R9" s="20" t="n"/>
      <c r="S9" s="20" t="n"/>
    </row>
    <row r="10">
      <c r="A10" s="19" t="inlineStr">
        <is>
          <t>C-06</t>
        </is>
      </c>
      <c r="B10" s="19">
        <f>'04_Identificacion'!M10</f>
        <v/>
      </c>
      <c r="C10" s="21">
        <f>'06_Medicion_inicial'!Q10</f>
        <v/>
      </c>
      <c r="D10" s="34">
        <f>'05_Plazo'!J10</f>
        <v/>
      </c>
      <c r="E10" s="34">
        <f>MAX('05_Plazo'!I10,0)</f>
        <v/>
      </c>
      <c r="F10" s="34" t="n"/>
      <c r="G10" s="21" t="n">
        <v>0</v>
      </c>
      <c r="H10" s="34" t="n"/>
      <c r="I10" s="21">
        <f>C10*MIN(E10,D10)/D10</f>
        <v/>
      </c>
      <c r="J10" s="21">
        <f>C10*MIN(MAX(E10-12,0),D10)/D10</f>
        <v/>
      </c>
      <c r="K10" s="21">
        <f>I10-J10</f>
        <v/>
      </c>
      <c r="L10" s="21">
        <f>C10+G10-I10</f>
        <v/>
      </c>
      <c r="M10" s="21">
        <f>IF('03_Contratos'!AN10="","",'03_Contratos'!AN10)</f>
        <v/>
      </c>
      <c r="N10" s="21">
        <f>IF(M10="",0,MAX(0,L10-M10))</f>
        <v/>
      </c>
      <c r="O10" s="21">
        <f>L10-N10</f>
        <v/>
      </c>
      <c r="P10" s="21">
        <f>N('03_Contratos'!AE10)</f>
        <v/>
      </c>
      <c r="Q10" s="21">
        <f>O10-P10</f>
        <v/>
      </c>
      <c r="R10" s="21">
        <f>IF('03_Contratos'!AF10="","",'03_Contratos'!AF10)</f>
        <v/>
      </c>
      <c r="S10" s="21">
        <f>IF(R10="","",K10-R10)</f>
        <v/>
      </c>
    </row>
    <row r="11">
      <c r="A11" s="18" t="inlineStr">
        <is>
          <t>C-07</t>
        </is>
      </c>
      <c r="B11" s="18">
        <f>'04_Identificacion'!M11</f>
        <v/>
      </c>
      <c r="C11" s="20">
        <f>'06_Medicion_inicial'!Q11</f>
        <v/>
      </c>
      <c r="D11" s="33">
        <f>'05_Plazo'!J11</f>
        <v/>
      </c>
      <c r="E11" s="33">
        <f>MAX('05_Plazo'!I11,0)</f>
        <v/>
      </c>
      <c r="F11" s="33">
        <f>'08_Remedicion'!D11*'05_Plazo'!G11</f>
        <v/>
      </c>
      <c r="G11" s="20">
        <f>'08_Remedicion'!L11</f>
        <v/>
      </c>
      <c r="H11" s="33">
        <f>IF('03_Contratos'!V11="Sí",D11,IF('03_Contratos'!W11="",'08_Remedicion'!E11,MIN('08_Remedicion'!E11,'03_Contratos'!W11)))</f>
        <v/>
      </c>
      <c r="I11" s="20">
        <f>IF(E11&lt;=F11,C11*MIN(E11,D11)/D11,C11*MIN(F11,D11)/D11+(C11*(1-MIN(F11,D11)/D11)+G11)*MIN(E11-F11,H11-F11)/(H11-F11))</f>
        <v/>
      </c>
      <c r="J11" s="20">
        <f>IF(MAX(E11-12,0)&lt;=F11,C11*MIN(MAX(E11-12,0),D11)/D11,C11*MIN(F11,D11)/D11+(C11*(1-MIN(F11,D11)/D11)+G11)*MIN(MAX(E11-12,0)-F11,H11-F11)/(H11-F11))</f>
        <v/>
      </c>
      <c r="K11" s="20">
        <f>I11-J11</f>
        <v/>
      </c>
      <c r="L11" s="20">
        <f>C11+G11-I11</f>
        <v/>
      </c>
      <c r="M11" s="20">
        <f>IF('03_Contratos'!AN11="","",'03_Contratos'!AN11)</f>
        <v/>
      </c>
      <c r="N11" s="20">
        <f>IF(M11="",0,MAX(0,L11-M11))</f>
        <v/>
      </c>
      <c r="O11" s="20">
        <f>L11-N11</f>
        <v/>
      </c>
      <c r="P11" s="20">
        <f>N('03_Contratos'!AE11)</f>
        <v/>
      </c>
      <c r="Q11" s="20">
        <f>O11-P11</f>
        <v/>
      </c>
      <c r="R11" s="20">
        <f>IF('03_Contratos'!AF11="","",'03_Contratos'!AF11)</f>
        <v/>
      </c>
      <c r="S11" s="20">
        <f>IF(R11="","",K11-R11)</f>
        <v/>
      </c>
    </row>
    <row r="12">
      <c r="A12" s="19" t="inlineStr">
        <is>
          <t>C-08</t>
        </is>
      </c>
      <c r="B12" s="19">
        <f>'04_Identificacion'!M12</f>
        <v/>
      </c>
      <c r="C12" s="21">
        <f>'06_Medicion_inicial'!Q12</f>
        <v/>
      </c>
      <c r="D12" s="34">
        <f>'05_Plazo'!J12</f>
        <v/>
      </c>
      <c r="E12" s="34">
        <f>MAX('05_Plazo'!I12,0)</f>
        <v/>
      </c>
      <c r="F12" s="34" t="n"/>
      <c r="G12" s="21" t="n">
        <v>0</v>
      </c>
      <c r="H12" s="34" t="n"/>
      <c r="I12" s="21">
        <f>C12*MIN(E12,D12)/D12</f>
        <v/>
      </c>
      <c r="J12" s="21">
        <f>C12*MIN(MAX(E12-12,0),D12)/D12</f>
        <v/>
      </c>
      <c r="K12" s="21">
        <f>I12-J12</f>
        <v/>
      </c>
      <c r="L12" s="21">
        <f>C12+G12-I12</f>
        <v/>
      </c>
      <c r="M12" s="21">
        <f>IF('03_Contratos'!AN12="","",'03_Contratos'!AN12)</f>
        <v/>
      </c>
      <c r="N12" s="21">
        <f>IF(M12="",0,MAX(0,L12-M12))</f>
        <v/>
      </c>
      <c r="O12" s="21">
        <f>L12-N12</f>
        <v/>
      </c>
      <c r="P12" s="21">
        <f>N('03_Contratos'!AE12)</f>
        <v/>
      </c>
      <c r="Q12" s="21">
        <f>O12-P12</f>
        <v/>
      </c>
      <c r="R12" s="21">
        <f>IF('03_Contratos'!AF12="","",'03_Contratos'!AF12)</f>
        <v/>
      </c>
      <c r="S12" s="21">
        <f>IF(R12="","",K12-R12)</f>
        <v/>
      </c>
    </row>
    <row r="13">
      <c r="A13" s="18" t="inlineStr">
        <is>
          <t>C-09</t>
        </is>
      </c>
      <c r="B13" s="18">
        <f>'04_Identificacion'!M13</f>
        <v/>
      </c>
      <c r="C13" s="20">
        <f>'06_Medicion_inicial'!Q13</f>
        <v/>
      </c>
      <c r="D13" s="33">
        <f>'05_Plazo'!J13</f>
        <v/>
      </c>
      <c r="E13" s="33">
        <f>MAX('05_Plazo'!I13,0)</f>
        <v/>
      </c>
      <c r="F13" s="33" t="n"/>
      <c r="G13" s="20" t="n">
        <v>0</v>
      </c>
      <c r="H13" s="33" t="n"/>
      <c r="I13" s="20">
        <f>C13*MIN(E13,D13)/D13</f>
        <v/>
      </c>
      <c r="J13" s="20">
        <f>C13*MIN(MAX(E13-12,0),D13)/D13</f>
        <v/>
      </c>
      <c r="K13" s="20">
        <f>I13-J13</f>
        <v/>
      </c>
      <c r="L13" s="20">
        <f>C13+G13-I13</f>
        <v/>
      </c>
      <c r="M13" s="20">
        <f>IF('03_Contratos'!AN13="","",'03_Contratos'!AN13)</f>
        <v/>
      </c>
      <c r="N13" s="20">
        <f>IF(M13="",0,MAX(0,L13-M13))</f>
        <v/>
      </c>
      <c r="O13" s="20">
        <f>L13-N13</f>
        <v/>
      </c>
      <c r="P13" s="20">
        <f>N('03_Contratos'!AE13)</f>
        <v/>
      </c>
      <c r="Q13" s="20">
        <f>O13-P13</f>
        <v/>
      </c>
      <c r="R13" s="20">
        <f>IF('03_Contratos'!AF13="","",'03_Contratos'!AF13)</f>
        <v/>
      </c>
      <c r="S13" s="20">
        <f>IF(R13="","",K13-R13)</f>
        <v/>
      </c>
    </row>
    <row r="14">
      <c r="A14" s="19" t="inlineStr">
        <is>
          <t>C-10</t>
        </is>
      </c>
      <c r="B14" s="19">
        <f>'04_Identificacion'!M14</f>
        <v/>
      </c>
      <c r="C14" s="21">
        <f>'06_Medicion_inicial'!Q14</f>
        <v/>
      </c>
      <c r="D14" s="34">
        <f>'05_Plazo'!J14</f>
        <v/>
      </c>
      <c r="E14" s="34">
        <f>MAX('05_Plazo'!I14,0)</f>
        <v/>
      </c>
      <c r="F14" s="34" t="n"/>
      <c r="G14" s="21" t="n">
        <v>0</v>
      </c>
      <c r="H14" s="34" t="n"/>
      <c r="I14" s="21">
        <f>C14*MIN(E14,D14)/D14</f>
        <v/>
      </c>
      <c r="J14" s="21">
        <f>C14*MIN(MAX(E14-12,0),D14)/D14</f>
        <v/>
      </c>
      <c r="K14" s="21">
        <f>I14-J14</f>
        <v/>
      </c>
      <c r="L14" s="21">
        <f>C14+G14-I14</f>
        <v/>
      </c>
      <c r="M14" s="21">
        <f>IF('03_Contratos'!AN14="","",'03_Contratos'!AN14)</f>
        <v/>
      </c>
      <c r="N14" s="21">
        <f>IF(M14="",0,MAX(0,L14-M14))</f>
        <v/>
      </c>
      <c r="O14" s="21">
        <f>L14-N14</f>
        <v/>
      </c>
      <c r="P14" s="21">
        <f>N('03_Contratos'!AE14)</f>
        <v/>
      </c>
      <c r="Q14" s="21">
        <f>O14-P14</f>
        <v/>
      </c>
      <c r="R14" s="21">
        <f>IF('03_Contratos'!AF14="","",'03_Contratos'!AF14)</f>
        <v/>
      </c>
      <c r="S14" s="21">
        <f>IF(R14="","",K14-R14)</f>
        <v/>
      </c>
    </row>
    <row r="15">
      <c r="A15" s="18" t="inlineStr">
        <is>
          <t>C-11</t>
        </is>
      </c>
      <c r="B15" s="18">
        <f>'04_Identificacion'!M15</f>
        <v/>
      </c>
      <c r="C15" s="20">
        <f>'06_Medicion_inicial'!Q15</f>
        <v/>
      </c>
      <c r="D15" s="33">
        <f>'05_Plazo'!J15</f>
        <v/>
      </c>
      <c r="E15" s="33">
        <f>MAX('05_Plazo'!I15,0)</f>
        <v/>
      </c>
      <c r="F15" s="33" t="n"/>
      <c r="G15" s="20" t="n">
        <v>0</v>
      </c>
      <c r="H15" s="33" t="n"/>
      <c r="I15" s="20">
        <f>C15*MIN(E15,D15)/D15</f>
        <v/>
      </c>
      <c r="J15" s="20">
        <f>C15*MIN(MAX(E15-12,0),D15)/D15</f>
        <v/>
      </c>
      <c r="K15" s="20">
        <f>I15-J15</f>
        <v/>
      </c>
      <c r="L15" s="20">
        <f>C15+G15-I15</f>
        <v/>
      </c>
      <c r="M15" s="20">
        <f>IF('03_Contratos'!AN15="","",'03_Contratos'!AN15)</f>
        <v/>
      </c>
      <c r="N15" s="20">
        <f>IF(M15="",0,MAX(0,L15-M15))</f>
        <v/>
      </c>
      <c r="O15" s="20">
        <f>L15-N15</f>
        <v/>
      </c>
      <c r="P15" s="20">
        <f>N('03_Contratos'!AE15)</f>
        <v/>
      </c>
      <c r="Q15" s="20">
        <f>O15-P15</f>
        <v/>
      </c>
      <c r="R15" s="20">
        <f>IF('03_Contratos'!AF15="","",'03_Contratos'!AF15)</f>
        <v/>
      </c>
      <c r="S15" s="20">
        <f>IF(R15="","",K15-R15)</f>
        <v/>
      </c>
    </row>
    <row r="16">
      <c r="A16" s="37" t="inlineStr">
        <is>
          <t>TOTAL</t>
        </is>
      </c>
      <c r="B16" s="37" t="inlineStr"/>
      <c r="C16" s="40" t="n"/>
      <c r="D16" s="39" t="n"/>
      <c r="E16" s="39" t="n"/>
      <c r="F16" s="39" t="n"/>
      <c r="G16" s="40" t="n"/>
      <c r="H16" s="39" t="n"/>
      <c r="I16" s="40" t="n"/>
      <c r="J16" s="40" t="n"/>
      <c r="K16" s="40">
        <f>SUM(K5:K15)</f>
        <v/>
      </c>
      <c r="L16" s="40" t="n"/>
      <c r="M16" s="40" t="n"/>
      <c r="N16" s="40">
        <f>SUM(N5:N15)</f>
        <v/>
      </c>
      <c r="O16" s="40">
        <f>SUM(O5:O15)</f>
        <v/>
      </c>
      <c r="P16" s="40">
        <f>SUM(P5:P15)</f>
        <v/>
      </c>
      <c r="Q16" s="40">
        <f>SUM(Q5:Q15)</f>
        <v/>
      </c>
      <c r="R16" s="40" t="n"/>
      <c r="S16" s="40" t="n"/>
    </row>
    <row r="18">
      <c r="A18" s="22" t="inlineStr">
        <is>
          <t>ⓘ  Cómo se calcula esta hoja</t>
        </is>
      </c>
    </row>
    <row r="19">
      <c r="A19" s="23" t="inlineStr">
        <is>
          <t>Columna</t>
        </is>
      </c>
      <c r="B19" s="23" t="inlineStr">
        <is>
          <t>Fórmula (Excel)</t>
        </is>
      </c>
      <c r="C19" s="23" t="inlineStr">
        <is>
          <t>Cómo se calcula (sencillo)</t>
        </is>
      </c>
      <c r="D19" s="23" t="inlineStr">
        <is>
          <t>Ejemplo con números reales</t>
        </is>
      </c>
      <c r="E19" s="23" t="inlineStr">
        <is>
          <t>De dónde viene</t>
        </is>
      </c>
      <c r="F19" s="23" t="inlineStr">
        <is>
          <t>Norma</t>
        </is>
      </c>
    </row>
    <row r="20">
      <c r="A20" s="24" t="inlineStr">
        <is>
          <t>Reconoce</t>
        </is>
      </c>
      <c r="B20" s="25" t="inlineStr">
        <is>
          <t>'='04_Identificacion'!M5</t>
        </is>
      </c>
      <c r="C20" s="24" t="inlineStr">
        <is>
          <t>Trae de la hoja 04 (Identificación) si el contrato se reconoce; solo los reconocidos tienen un activo que depreciar.</t>
        </is>
      </c>
      <c r="D20" s="24" t="inlineStr">
        <is>
          <t>Fila 1: «Sí» → Sí</t>
        </is>
      </c>
      <c r="E20" s="24" t="inlineStr">
        <is>
          <t>hoja «Identificación, clasificación y exenciones»</t>
        </is>
      </c>
      <c r="F20" s="24" t="inlineStr">
        <is>
          <t>—</t>
        </is>
      </c>
    </row>
    <row r="21">
      <c r="A21" s="24" t="inlineStr">
        <is>
          <t>Costo inicial</t>
        </is>
      </c>
      <c r="B21" s="25" t="inlineStr">
        <is>
          <t>'='06_Medicion_inicial'!Q5</t>
        </is>
      </c>
      <c r="C21" s="24" t="inlineStr">
        <is>
          <t>Trae el costo inicial del activo (derecho de uso o activo arrendado) calculado en la hoja 06 (Medición inicial).</t>
        </is>
      </c>
      <c r="D21" s="24" t="inlineStr">
        <is>
          <t>Fila 1: 68.381,69 → 68.381,69</t>
        </is>
      </c>
      <c r="E21" s="24" t="inlineStr">
        <is>
          <t>hoja «Medición inicial: pasivo y activo»</t>
        </is>
      </c>
      <c r="F21" s="24" t="inlineStr">
        <is>
          <t>—</t>
        </is>
      </c>
    </row>
    <row r="22">
      <c r="A22" s="24" t="inlineStr">
        <is>
          <t>Meses de depreciación</t>
        </is>
      </c>
      <c r="B22" s="25" t="inlineStr">
        <is>
          <t>'='05_Plazo'!J5</t>
        </is>
      </c>
      <c r="C22" s="24" t="inlineStr">
        <is>
          <t>Trae de la hoja 05 (Plazo y opciones) el número de meses en que se deprecia el activo.</t>
        </is>
      </c>
      <c r="D22" s="24" t="inlineStr">
        <is>
          <t>Fila 1: 60 → 60</t>
        </is>
      </c>
      <c r="E22" s="24" t="inlineStr">
        <is>
          <t>hoja «Plazo y opciones»</t>
        </is>
      </c>
      <c r="F22" s="24" t="inlineStr">
        <is>
          <t>—</t>
        </is>
      </c>
    </row>
    <row r="23">
      <c r="A23" s="24" t="inlineStr">
        <is>
          <t>Meses transcurridos</t>
        </is>
      </c>
      <c r="B23" s="25" t="inlineStr">
        <is>
          <t>'=MAX('05_Plazo'!I5,0)</t>
        </is>
      </c>
      <c r="C23" s="24" t="inlineStr">
        <is>
          <t>Trae de la hoja 05 los meses transcurridos desde el comienzo hasta el corte; si fueran negativos, pone 0.</t>
        </is>
      </c>
      <c r="D23" s="24" t="inlineStr">
        <is>
          <t>Fila 1: MAX(24; 0) → 24</t>
        </is>
      </c>
      <c r="E23" s="24" t="inlineStr">
        <is>
          <t>hoja «Plazo y opciones»</t>
        </is>
      </c>
      <c r="F23" s="24" t="inlineStr">
        <is>
          <t>—</t>
        </is>
      </c>
    </row>
    <row r="24">
      <c r="A24" s="24" t="inlineStr">
        <is>
          <t>Meses al evento</t>
        </is>
      </c>
      <c r="B24" s="25" t="inlineStr">
        <is>
          <t>'='08_Remedicion'!D11*'05_Plazo'!G11</t>
        </is>
      </c>
      <c r="C24" s="24" t="inlineStr">
        <is>
          <t>Si hubo remedición, multiplica los períodos al evento de la hoja 08 por los meses por período (hoja 05): meses desde el comienzo hasta la remedición.</t>
        </is>
      </c>
      <c r="D24" s="24" t="inlineStr">
        <is>
          <t>Fila 7: 2*12 → 24</t>
        </is>
      </c>
      <c r="E24" s="24" t="inlineStr">
        <is>
          <t>hoja «Remedición y modificaciones», hoja «Plazo y opciones»</t>
        </is>
      </c>
      <c r="F24" s="24" t="inlineStr">
        <is>
          <t>—</t>
        </is>
      </c>
    </row>
    <row r="25">
      <c r="A25" s="24" t="inlineStr">
        <is>
          <t>Ajuste por remedición</t>
        </is>
      </c>
      <c r="B25" s="25" t="inlineStr">
        <is>
          <t>'='08_Remedicion'!L11</t>
        </is>
      </c>
      <c r="C25" s="24" t="inlineStr">
        <is>
          <t>Trae de la hoja 08 (Remedición) el ajuste del pasivo, que se suma o resta al activo; sin evento es 0.</t>
        </is>
      </c>
      <c r="D25" s="24" t="inlineStr">
        <is>
          <t>Fila 7: 3.247,31 → 3.247,31</t>
        </is>
      </c>
      <c r="E25" s="24" t="inlineStr">
        <is>
          <t>hoja «Remedición y modificaciones»</t>
        </is>
      </c>
      <c r="F25" s="24" t="inlineStr">
        <is>
          <t>—</t>
        </is>
      </c>
    </row>
    <row r="26">
      <c r="A26" s="24" t="inlineStr">
        <is>
          <t>Meses de depreciación revisados</t>
        </is>
      </c>
      <c r="B26" s="25" t="inlineStr">
        <is>
          <t>'=IF('03_Contratos'!V11="Sí",D11,IF('03_Contratos'!W11="",'08_Remedicion'!E11,MIN('08_Remedicion'!E11,'03_Contratos'!W11)))</t>
        </is>
      </c>
      <c r="C26" s="24" t="inlineStr">
        <is>
          <t>Tras la remedición: si la compra es razonablemente cierta, mantiene los meses de depreciación; si no, el menor entre el plazo revisado (hoja 08) y la vida útil (hoja 03), o el plazo revisado si no hay vida útil.</t>
        </is>
      </c>
      <c r="D26" s="24" t="inlineStr">
        <is>
          <t>Fila 7: IF((vacío)="Sí"; 60; IF((vacío)=""; 60; MIN(60; (vacío)))) → 60</t>
        </is>
      </c>
      <c r="E26" s="24" t="inlineStr">
        <is>
          <t>«Meses de depreciación» (esta hoja), hoja «Universo de contratos», hoja «Remedición y modificaciones»</t>
        </is>
      </c>
      <c r="F26" s="24" t="inlineStr">
        <is>
          <t>—</t>
        </is>
      </c>
    </row>
    <row r="27">
      <c r="A27" s="24" t="inlineStr">
        <is>
          <t>Depreciación acumulada al corte</t>
        </is>
      </c>
      <c r="B27" s="25" t="inlineStr">
        <is>
          <t>'=C5*MIN(E5,D5)/D5</t>
        </is>
      </c>
      <c r="C27" s="24" t="inlineStr">
        <is>
          <t>Deprecia el costo inicial en línea recta por los meses transcurridos, sin pasar de los meses de depreciación. Si hubo remedición, desde el evento reparte lo que faltaba más el ajuste en los meses que quedan hasta los meses revisados.</t>
        </is>
      </c>
      <c r="D27" s="24" t="inlineStr">
        <is>
          <t>Fila 1: 68.381,69*MIN(24; 60)/60 → 27.352,68</t>
        </is>
      </c>
      <c r="E27" s="24" t="inlineStr">
        <is>
          <t>«Costo inicial» (esta hoja), «Meses transcurridos» (esta hoja), «Meses de depreciación» (esta hoja)</t>
        </is>
      </c>
      <c r="F27" s="24" t="inlineStr">
        <is>
          <t>—</t>
        </is>
      </c>
    </row>
    <row r="28">
      <c r="A28" s="24" t="inlineStr">
        <is>
          <t>Depreciación acumulada al inicio del año</t>
        </is>
      </c>
      <c r="B28" s="25" t="inlineStr">
        <is>
          <t>'=C5*MIN(MAX(E5-12,0),D5)/D5</t>
        </is>
      </c>
      <c r="C28" s="24" t="inlineStr">
        <is>
          <t>Misma cuenta que la depreciación acumulada al corte, pero con 12 meses menos (nunca menos de 0): lo depreciado hasta el inicio del ejercicio.</t>
        </is>
      </c>
      <c r="D28" s="24" t="inlineStr">
        <is>
          <t>Fila 1: 68.381,69*MIN(MAX(24-12; 0); 60)/60 → 13.676,34</t>
        </is>
      </c>
      <c r="E28" s="24" t="inlineStr">
        <is>
          <t>«Costo inicial» (esta hoja), «Meses transcurridos» (esta hoja), «Meses de depreciación» (esta hoja)</t>
        </is>
      </c>
      <c r="F28" s="24" t="inlineStr">
        <is>
          <t>—</t>
        </is>
      </c>
    </row>
    <row r="29">
      <c r="A29" s="24" t="inlineStr">
        <is>
          <t>Depreciación del ejercicio</t>
        </is>
      </c>
      <c r="B29" s="25" t="inlineStr">
        <is>
          <t>'=I5-J5</t>
        </is>
      </c>
      <c r="C29" s="24" t="inlineStr">
        <is>
          <t>Depreciación acumulada al corte menos la acumulada al inicio del año: el gasto de depreciación del ejercicio.</t>
        </is>
      </c>
      <c r="D29" s="24" t="inlineStr">
        <is>
          <t>Fila 1: 27.352,68-13.676,34 → 13.676,34</t>
        </is>
      </c>
      <c r="E29" s="24" t="inlineStr">
        <is>
          <t>«Depreciación acumulada al corte» (esta hoja), «Depreciación acumulada al inicio del año» (esta hoja)</t>
        </is>
      </c>
      <c r="F29" s="24" t="inlineStr">
        <is>
          <t>—</t>
        </is>
      </c>
    </row>
    <row r="30">
      <c r="A30" s="24" t="inlineStr">
        <is>
          <t>Neto antes de deterioro</t>
        </is>
      </c>
      <c r="B30" s="25" t="inlineStr">
        <is>
          <t>'=C5+G5-I5</t>
        </is>
      </c>
      <c r="C30" s="24" t="inlineStr">
        <is>
          <t>Costo inicial más el ajuste por remedición menos la depreciación acumulada al corte.</t>
        </is>
      </c>
      <c r="D30" s="24" t="inlineStr">
        <is>
          <t>Fila 1: 68.381,69+0,00-27.352,68 → 41.029,02</t>
        </is>
      </c>
      <c r="E30" s="24" t="inlineStr">
        <is>
          <t>«Costo inicial» (esta hoja), «Ajuste por remedición» (esta hoja), «Depreciación acumulada al corte» (esta hoja)</t>
        </is>
      </c>
      <c r="F30" s="24" t="inlineStr">
        <is>
          <t>—</t>
        </is>
      </c>
    </row>
    <row r="31">
      <c r="A31" s="24" t="inlineStr">
        <is>
          <t>Importe recuperable</t>
        </is>
      </c>
      <c r="B31" s="25" t="inlineStr">
        <is>
          <t>'=IF('03_Contratos'!AN5="","",'03_Contratos'!AN5)</t>
        </is>
      </c>
      <c r="C31" s="24" t="inlineStr">
        <is>
          <t>Trae el importe recuperable del activo informado en la hoja 03 (Universo de contratos); en blanco si no hay indicio de deterioro.</t>
        </is>
      </c>
      <c r="D31" s="24" t="inlineStr">
        <is>
          <t>Fila 1: IF((vacío)=""; ""; (vacío)) → (en blanco)</t>
        </is>
      </c>
      <c r="E31" s="24" t="inlineStr">
        <is>
          <t>hoja «Universo de contratos»</t>
        </is>
      </c>
      <c r="F31" s="24" t="inlineStr">
        <is>
          <t>—</t>
        </is>
      </c>
    </row>
    <row r="32">
      <c r="A32" s="24" t="inlineStr">
        <is>
          <t>Deterioro (33 / Secc. 27)</t>
        </is>
      </c>
      <c r="B32" s="25" t="inlineStr">
        <is>
          <t>'=IF(M5="",0,MAX(0,L5-M5))</t>
        </is>
      </c>
      <c r="C32" s="24" t="inlineStr">
        <is>
          <t>Si hay importe recuperable y es menor que el neto antes de deterioro, la diferencia es el deterioro; si no, 0.</t>
        </is>
      </c>
      <c r="D32" s="24" t="inlineStr">
        <is>
          <t>Fila 1: IF((vacío)=""; 0; MAX(0; 41.029,02-(vacío))) → 0,00</t>
        </is>
      </c>
      <c r="E32" s="24" t="inlineStr">
        <is>
          <t>«Importe recuperable» (esta hoja), «Neto antes de deterioro» (esta hoja)</t>
        </is>
      </c>
      <c r="F32" s="24" t="inlineStr">
        <is>
          <t>—</t>
        </is>
      </c>
    </row>
    <row r="33">
      <c r="A33" s="24" t="inlineStr">
        <is>
          <t>Neto recalculado</t>
        </is>
      </c>
      <c r="B33" s="25" t="inlineStr">
        <is>
          <t>'=L5-N5</t>
        </is>
      </c>
      <c r="C33" s="24" t="inlineStr">
        <is>
          <t>Neto antes de deterioro menos el deterioro: es el activo que debería quedar al corte.</t>
        </is>
      </c>
      <c r="D33" s="24" t="inlineStr">
        <is>
          <t>Fila 1: 41.029,02-0,00 → 41.029,02</t>
        </is>
      </c>
      <c r="E33" s="24" t="inlineStr">
        <is>
          <t>«Neto antes de deterioro» (esta hoja), «Deterioro (33 / Secc. 27)» (esta hoja)</t>
        </is>
      </c>
      <c r="F33" s="24" t="inlineStr">
        <is>
          <t>—</t>
        </is>
      </c>
    </row>
    <row r="34">
      <c r="A34" s="24" t="inlineStr">
        <is>
          <t>Registrado neto</t>
        </is>
      </c>
      <c r="B34" s="25" t="inlineStr">
        <is>
          <t>'=N('03_Contratos'!AE5)</t>
        </is>
      </c>
      <c r="C34" s="24" t="inlineStr">
        <is>
          <t>Trae el derecho de uso o activo registrado neto por el cliente, de la hoja 03 (Universo de contratos); sin dato cuenta cero.</t>
        </is>
      </c>
      <c r="D34" s="24" t="inlineStr">
        <is>
          <t>Fila 1: N(16.500,00) → 16.500,00</t>
        </is>
      </c>
      <c r="E34" s="24" t="inlineStr">
        <is>
          <t>hoja «Universo de contratos»</t>
        </is>
      </c>
      <c r="F34" s="24" t="inlineStr">
        <is>
          <t>—</t>
        </is>
      </c>
    </row>
    <row r="35">
      <c r="A35" s="24" t="inlineStr">
        <is>
          <t>Diferencia</t>
        </is>
      </c>
      <c r="B35" s="25" t="inlineStr">
        <is>
          <t>'=O5-P5</t>
        </is>
      </c>
      <c r="C35" s="24" t="inlineStr">
        <is>
          <t>Resta el registrado neto por el cliente del neto recalculado por el auditor.</t>
        </is>
      </c>
      <c r="D35" s="24" t="inlineStr">
        <is>
          <t>Fila 1: 41.029,02-16.500,00 → 24.529,02</t>
        </is>
      </c>
      <c r="E35" s="24" t="inlineStr">
        <is>
          <t>«Neto recalculado» (esta hoja), «Registrado neto» (esta hoja)</t>
        </is>
      </c>
      <c r="F35" s="24" t="inlineStr">
        <is>
          <t>—</t>
        </is>
      </c>
    </row>
    <row r="36">
      <c r="A36" s="24" t="inlineStr">
        <is>
          <t>Depreciación registrada</t>
        </is>
      </c>
      <c r="B36" s="25" t="inlineStr">
        <is>
          <t>'=IF('03_Contratos'!AF5="","",'03_Contratos'!AF5)</t>
        </is>
      </c>
      <c r="C36" s="24" t="inlineStr">
        <is>
          <t>Trae la depreciación del ejercicio que registró el cliente, de la hoja 03 (Universo de contratos); en blanco si no se informó.</t>
        </is>
      </c>
      <c r="D36" s="24" t="inlineStr">
        <is>
          <t>Fila 1: IF((vacío)=""; ""; (vacío)) → (en blanco)</t>
        </is>
      </c>
      <c r="E36" s="24" t="inlineStr">
        <is>
          <t>hoja «Universo de contratos»</t>
        </is>
      </c>
      <c r="F36" s="24" t="inlineStr">
        <is>
          <t>—</t>
        </is>
      </c>
    </row>
    <row r="37">
      <c r="A37" s="24" t="inlineStr">
        <is>
          <t>Diferencia depreciación</t>
        </is>
      </c>
      <c r="B37" s="25" t="inlineStr">
        <is>
          <t>'=IF(R5="","",K5-R5)</t>
        </is>
      </c>
      <c r="C37" s="24" t="inlineStr">
        <is>
          <t>Resta la depreciación registrada de la depreciación del ejercicio recalculada; en blanco si no hay depreciación registrada.</t>
        </is>
      </c>
      <c r="D37" s="24" t="inlineStr">
        <is>
          <t>Fila 1: IF((vacío)=""; ""; 13.676,34-(vacío)) → (en blanco)</t>
        </is>
      </c>
      <c r="E37" s="24" t="inlineStr">
        <is>
          <t>«Depreciación registrada» (esta hoja), «Depreciación del ejercicio» (esta hoja)</t>
        </is>
      </c>
      <c r="F37" s="24" t="inlineStr">
        <is>
          <t>—</t>
        </is>
      </c>
    </row>
  </sheetData>
  <mergeCells count="3">
    <mergeCell ref="A2:F2"/>
    <mergeCell ref="A1:F1"/>
    <mergeCell ref="A18:F18"/>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J23"/>
  <sheetViews>
    <sheetView showGridLines="0" workbookViewId="0">
      <pane ySplit="4" topLeftCell="A5" activePane="bottomLeft" state="frozen"/>
      <selection pane="bottomLeft" activeCell="A1" sqref="A1"/>
    </sheetView>
  </sheetViews>
  <sheetFormatPr baseColWidth="8" defaultRowHeight="15"/>
  <cols>
    <col width="12" customWidth="1" min="1" max="1"/>
    <col width="23" customWidth="1" min="2" max="2"/>
    <col width="25" customWidth="1" min="3" max="3"/>
    <col width="15" customWidth="1" min="4" max="4"/>
    <col width="30" customWidth="1" min="5" max="5"/>
    <col width="40" customWidth="1" min="6" max="6"/>
  </cols>
  <sheetData>
    <row r="1">
      <c r="A1" s="3" t="inlineStr">
        <is>
          <t>Gasto lineal: exentos y operativos</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row>
    <row r="4" ht="30" customHeight="1">
      <c r="A4" s="17" t="inlineStr">
        <is>
          <t>Contrato</t>
        </is>
      </c>
      <c r="B4" s="17" t="inlineStr">
        <is>
          <t>Tratamiento</t>
        </is>
      </c>
      <c r="C4" s="17" t="inlineStr">
        <is>
          <t>Pagos totales del plazo</t>
        </is>
      </c>
      <c r="D4" s="17" t="inlineStr">
        <is>
          <t>Plazo (meses)</t>
        </is>
      </c>
      <c r="E4" s="17" t="inlineStr">
        <is>
          <t>Meses del contrato en el año</t>
        </is>
      </c>
      <c r="F4" s="17" t="inlineStr">
        <is>
          <t>Gasto lineal del ejercicio (6 / 20.15)</t>
        </is>
      </c>
    </row>
    <row r="5">
      <c r="A5" s="18" t="inlineStr">
        <is>
          <t>C-01</t>
        </is>
      </c>
      <c r="B5" s="18" t="inlineStr">
        <is>
          <t>Reconocido en balance</t>
        </is>
      </c>
      <c r="C5" s="20" t="n"/>
      <c r="D5" s="33" t="n"/>
      <c r="E5" s="33" t="n"/>
      <c r="F5" s="20" t="n"/>
    </row>
    <row r="6">
      <c r="A6" s="19" t="inlineStr">
        <is>
          <t>C-02</t>
        </is>
      </c>
      <c r="B6" s="19" t="inlineStr">
        <is>
          <t>Reconocido en balance</t>
        </is>
      </c>
      <c r="C6" s="21" t="n"/>
      <c r="D6" s="34" t="n"/>
      <c r="E6" s="34" t="n"/>
      <c r="F6" s="21" t="n"/>
    </row>
    <row r="7">
      <c r="A7" s="18" t="inlineStr">
        <is>
          <t>C-03</t>
        </is>
      </c>
      <c r="B7" s="18" t="inlineStr">
        <is>
          <t>Reconocido en balance</t>
        </is>
      </c>
      <c r="C7" s="20" t="n"/>
      <c r="D7" s="33" t="n"/>
      <c r="E7" s="33" t="n"/>
      <c r="F7" s="20" t="n"/>
    </row>
    <row r="8">
      <c r="A8" s="19" t="inlineStr">
        <is>
          <t>C-04</t>
        </is>
      </c>
      <c r="B8" s="19" t="inlineStr">
        <is>
          <t>Exento: bajo valor</t>
        </is>
      </c>
      <c r="C8" s="21">
        <f>'07_Pagos_variables'!G8*'05_Plazo'!H8</f>
        <v/>
      </c>
      <c r="D8" s="34">
        <f>'05_Plazo'!E8</f>
        <v/>
      </c>
      <c r="E8" s="34">
        <f>MIN(MAX('05_Plazo'!I8,0),D8)-MIN(MAX('05_Plazo'!I8-12,0),D8)</f>
        <v/>
      </c>
      <c r="F8" s="21">
        <f>C8/D8*E8</f>
        <v/>
      </c>
    </row>
    <row r="9">
      <c r="A9" s="18" t="inlineStr">
        <is>
          <t>C-05</t>
        </is>
      </c>
      <c r="B9" s="18" t="inlineStr">
        <is>
          <t>Exento: corto plazo</t>
        </is>
      </c>
      <c r="C9" s="20">
        <f>'07_Pagos_variables'!G9*'05_Plazo'!H9</f>
        <v/>
      </c>
      <c r="D9" s="33">
        <f>'05_Plazo'!E9</f>
        <v/>
      </c>
      <c r="E9" s="33">
        <f>MIN(MAX('05_Plazo'!I9,0),D9)-MIN(MAX('05_Plazo'!I9-12,0),D9)</f>
        <v/>
      </c>
      <c r="F9" s="20">
        <f>C9/D9*E9</f>
        <v/>
      </c>
    </row>
    <row r="10">
      <c r="A10" s="19" t="inlineStr">
        <is>
          <t>C-06</t>
        </is>
      </c>
      <c r="B10" s="19" t="inlineStr">
        <is>
          <t>Reconocido en balance</t>
        </is>
      </c>
      <c r="C10" s="21" t="n"/>
      <c r="D10" s="34" t="n"/>
      <c r="E10" s="34" t="n"/>
      <c r="F10" s="21" t="n"/>
    </row>
    <row r="11">
      <c r="A11" s="18" t="inlineStr">
        <is>
          <t>C-07</t>
        </is>
      </c>
      <c r="B11" s="18" t="inlineStr">
        <is>
          <t>Reconocido en balance</t>
        </is>
      </c>
      <c r="C11" s="20" t="n"/>
      <c r="D11" s="33" t="n"/>
      <c r="E11" s="33" t="n"/>
      <c r="F11" s="20" t="n"/>
    </row>
    <row r="12">
      <c r="A12" s="19" t="inlineStr">
        <is>
          <t>C-08</t>
        </is>
      </c>
      <c r="B12" s="19" t="inlineStr">
        <is>
          <t>Reconocido en balance</t>
        </is>
      </c>
      <c r="C12" s="21" t="n"/>
      <c r="D12" s="34" t="n"/>
      <c r="E12" s="34" t="n"/>
      <c r="F12" s="21" t="n"/>
    </row>
    <row r="13">
      <c r="A13" s="18" t="inlineStr">
        <is>
          <t>C-09</t>
        </is>
      </c>
      <c r="B13" s="18" t="inlineStr">
        <is>
          <t>Reconocido en balance</t>
        </is>
      </c>
      <c r="C13" s="20" t="n"/>
      <c r="D13" s="33" t="n"/>
      <c r="E13" s="33" t="n"/>
      <c r="F13" s="20" t="n"/>
    </row>
    <row r="14">
      <c r="A14" s="19" t="inlineStr">
        <is>
          <t>C-10</t>
        </is>
      </c>
      <c r="B14" s="19" t="inlineStr">
        <is>
          <t>Reconocido en balance</t>
        </is>
      </c>
      <c r="C14" s="21" t="n"/>
      <c r="D14" s="34" t="n"/>
      <c r="E14" s="34" t="n"/>
      <c r="F14" s="21" t="n"/>
    </row>
    <row r="15">
      <c r="A15" s="18" t="inlineStr">
        <is>
          <t>C-11</t>
        </is>
      </c>
      <c r="B15" s="18" t="inlineStr">
        <is>
          <t>Reconocido en balance</t>
        </is>
      </c>
      <c r="C15" s="20" t="n"/>
      <c r="D15" s="33" t="n"/>
      <c r="E15" s="33" t="n"/>
      <c r="F15" s="20" t="n"/>
    </row>
    <row r="16">
      <c r="A16" s="37" t="inlineStr">
        <is>
          <t>TOTAL</t>
        </is>
      </c>
      <c r="B16" s="37" t="inlineStr"/>
      <c r="C16" s="40" t="n"/>
      <c r="D16" s="39" t="n"/>
      <c r="E16" s="39" t="n"/>
      <c r="F16" s="40">
        <f>SUM(F5:F15)</f>
        <v/>
      </c>
    </row>
    <row r="18">
      <c r="A18" s="22" t="inlineStr">
        <is>
          <t>ⓘ  Cómo se calcula esta hoja</t>
        </is>
      </c>
    </row>
    <row r="19">
      <c r="A19" s="23" t="inlineStr">
        <is>
          <t>Columna</t>
        </is>
      </c>
      <c r="B19" s="23" t="inlineStr">
        <is>
          <t>Fórmula (Excel)</t>
        </is>
      </c>
      <c r="C19" s="23" t="inlineStr">
        <is>
          <t>Cómo se calcula (sencillo)</t>
        </is>
      </c>
      <c r="D19" s="23" t="inlineStr">
        <is>
          <t>Ejemplo con números reales</t>
        </is>
      </c>
      <c r="E19" s="23" t="inlineStr">
        <is>
          <t>De dónde viene</t>
        </is>
      </c>
      <c r="F19" s="23" t="inlineStr">
        <is>
          <t>Norma</t>
        </is>
      </c>
    </row>
    <row r="20">
      <c r="A20" s="24" t="inlineStr">
        <is>
          <t>Pagos totales del plazo</t>
        </is>
      </c>
      <c r="B20" s="25" t="inlineStr">
        <is>
          <t>'='07_Pagos_variables'!G8*'05_Plazo'!H8</t>
        </is>
      </c>
      <c r="C20" s="24" t="inlineStr">
        <is>
          <t>Multiplica el pago usado en la medición (hoja 07) por el número de períodos del contrato (hoja 05): total a pagar en todo el plazo.</t>
        </is>
      </c>
      <c r="D20" s="24" t="inlineStr">
        <is>
          <t>Fila 4: 80,00*24 → 1.920,00</t>
        </is>
      </c>
      <c r="E20" s="24" t="inlineStr">
        <is>
          <t>hoja «Pago base, componente indexado y pagos variables», hoja «Plazo y opciones»</t>
        </is>
      </c>
      <c r="F20" s="24" t="inlineStr">
        <is>
          <t>—</t>
        </is>
      </c>
    </row>
    <row r="21">
      <c r="A21" s="24" t="inlineStr">
        <is>
          <t>Plazo (meses)</t>
        </is>
      </c>
      <c r="B21" s="25" t="inlineStr">
        <is>
          <t>'='05_Plazo'!E8</t>
        </is>
      </c>
      <c r="C21" s="24" t="inlineStr">
        <is>
          <t>Trae el plazo del arrendamiento en meses de la hoja 05 (Plazo y opciones).</t>
        </is>
      </c>
      <c r="D21" s="24" t="inlineStr">
        <is>
          <t>Fila 4: 24 → 24</t>
        </is>
      </c>
      <c r="E21" s="24" t="inlineStr">
        <is>
          <t>hoja «Plazo y opciones»</t>
        </is>
      </c>
      <c r="F21" s="24" t="inlineStr">
        <is>
          <t>—</t>
        </is>
      </c>
    </row>
    <row r="22">
      <c r="A22" s="24" t="inlineStr">
        <is>
          <t>Meses del contrato en el año</t>
        </is>
      </c>
      <c r="B22" s="25" t="inlineStr">
        <is>
          <t>'=MIN(MAX('05_Plazo'!I8,0),D8)-MIN(MAX('05_Plazo'!I8-12,0),D8)</t>
        </is>
      </c>
      <c r="C22" s="24" t="inlineStr">
        <is>
          <t>Meses transcurridos al corte (hoja 05) menos los transcurridos al inicio del año, ambos sin pasar del plazo: los meses del contrato que caen dentro del ejercicio.</t>
        </is>
      </c>
      <c r="D22" s="24" t="inlineStr">
        <is>
          <t>Fila 4: MIN(MAX(12; 0); 24)-MIN(MAX(12-12; 0); 24) → 12</t>
        </is>
      </c>
      <c r="E22" s="24" t="inlineStr">
        <is>
          <t>«Plazo (meses)» (esta hoja), hoja «Plazo y opciones»</t>
        </is>
      </c>
      <c r="F22" s="24" t="inlineStr">
        <is>
          <t>—</t>
        </is>
      </c>
    </row>
    <row r="23">
      <c r="A23" s="24" t="inlineStr">
        <is>
          <t>Gasto lineal del ejercicio (6 / 20.15)</t>
        </is>
      </c>
      <c r="B23" s="25" t="inlineStr">
        <is>
          <t>'=C8/D8*E8</t>
        </is>
      </c>
      <c r="C23" s="24" t="inlineStr">
        <is>
          <t>Reparte los pagos totales en partes iguales por mes (pagos ÷ plazo) y multiplica por los meses del contrato en el año.</t>
        </is>
      </c>
      <c r="D23" s="24" t="inlineStr">
        <is>
          <t>Fila 4: 1.920,00/24*12 → 960,00</t>
        </is>
      </c>
      <c r="E23" s="24" t="inlineStr">
        <is>
          <t>«Pagos totales del plazo» (esta hoja), «Plazo (meses)» (esta hoja), «Meses del contrato en el año» (esta hoja)</t>
        </is>
      </c>
      <c r="F23" s="24" t="inlineStr">
        <is>
          <t>—</t>
        </is>
      </c>
    </row>
  </sheetData>
  <mergeCells count="3">
    <mergeCell ref="A2:F2"/>
    <mergeCell ref="A1:F1"/>
    <mergeCell ref="A18:F18"/>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M30"/>
  <sheetViews>
    <sheetView showGridLines="0" workbookViewId="0">
      <pane ySplit="4" topLeftCell="A5" activePane="bottomLeft" state="frozen"/>
      <selection pane="bottomLeft" activeCell="A1" sqref="A1"/>
    </sheetView>
  </sheetViews>
  <sheetFormatPr baseColWidth="8" defaultRowHeight="15"/>
  <cols>
    <col width="12" customWidth="1" min="1" max="1"/>
    <col width="17" customWidth="1" min="2" max="2"/>
    <col width="17" customWidth="1" min="3" max="3"/>
    <col width="26" customWidth="1" min="4" max="4"/>
    <col width="32" customWidth="1" min="5" max="5"/>
    <col width="25" customWidth="1" min="6" max="6"/>
    <col width="20" customWidth="1" min="7" max="7"/>
    <col width="25" customWidth="1" min="8" max="8"/>
    <col width="35" customWidth="1" min="9" max="9"/>
    <col width="16" customWidth="1" min="10" max="10"/>
    <col width="45" customWidth="1" min="11" max="11"/>
    <col width="21" customWidth="1" min="12" max="12"/>
    <col width="20" customWidth="1" min="13" max="13"/>
  </cols>
  <sheetData>
    <row r="1">
      <c r="A1" s="3" t="inlineStr">
        <is>
          <t>Venta con arrendamiento posterior: medición inicial</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c r="G2" s="16" t="n"/>
      <c r="H2" s="16" t="n"/>
      <c r="I2" s="16" t="n"/>
      <c r="J2" s="16" t="n"/>
      <c r="K2" s="16" t="n"/>
      <c r="L2" s="16" t="n"/>
      <c r="M2" s="16" t="n"/>
    </row>
    <row r="4" ht="30" customHeight="1">
      <c r="A4" s="17" t="inlineStr">
        <is>
          <t>Contrato</t>
        </is>
      </c>
      <c r="B4" s="17" t="inlineStr">
        <is>
          <t>Precio de venta</t>
        </is>
      </c>
      <c r="C4" s="17" t="inlineStr">
        <is>
          <t>Valor razonable</t>
        </is>
      </c>
      <c r="D4" s="17" t="inlineStr">
        <is>
          <t>Importe en libros previo</t>
        </is>
      </c>
      <c r="E4" s="17" t="inlineStr">
        <is>
          <t>Financiación adicional (101 b)</t>
        </is>
      </c>
      <c r="F4" s="17" t="inlineStr">
        <is>
          <t>Pago anticipado (101 a)</t>
        </is>
      </c>
      <c r="G4" s="17" t="inlineStr">
        <is>
          <t>Pasivo inicial</t>
        </is>
      </c>
      <c r="H4" s="17" t="inlineStr">
        <is>
          <t>Parte del arrendamiento</t>
        </is>
      </c>
      <c r="I4" s="17" t="inlineStr">
        <is>
          <t>Derecho de uso conservado (100 a)</t>
        </is>
      </c>
      <c r="J4" s="17" t="inlineStr">
        <is>
          <t>Ganancia total</t>
        </is>
      </c>
      <c r="K4" s="17" t="inlineStr">
        <is>
          <t>Ganancia reconocida (derechos transferidos)</t>
        </is>
      </c>
      <c r="L4" s="17" t="inlineStr">
        <is>
          <t>Ganancia registrada</t>
        </is>
      </c>
      <c r="M4" s="17" t="inlineStr">
        <is>
          <t>Diferencia</t>
        </is>
      </c>
    </row>
    <row r="5">
      <c r="A5" s="18" t="inlineStr">
        <is>
          <t>C-01</t>
        </is>
      </c>
      <c r="B5" s="20" t="inlineStr">
        <is>
          <t>No aplica</t>
        </is>
      </c>
      <c r="C5" s="20" t="n"/>
      <c r="D5" s="20" t="n"/>
      <c r="E5" s="20" t="n"/>
      <c r="F5" s="20" t="n"/>
      <c r="G5" s="20" t="n"/>
      <c r="H5" s="20" t="n"/>
      <c r="I5" s="20" t="n"/>
      <c r="J5" s="20" t="n"/>
      <c r="K5" s="20" t="n"/>
      <c r="L5" s="20" t="n"/>
      <c r="M5" s="20" t="n"/>
    </row>
    <row r="6">
      <c r="A6" s="19" t="inlineStr">
        <is>
          <t>C-02</t>
        </is>
      </c>
      <c r="B6" s="21" t="inlineStr">
        <is>
          <t>No aplica</t>
        </is>
      </c>
      <c r="C6" s="21" t="n"/>
      <c r="D6" s="21" t="n"/>
      <c r="E6" s="21" t="n"/>
      <c r="F6" s="21" t="n"/>
      <c r="G6" s="21" t="n"/>
      <c r="H6" s="21" t="n"/>
      <c r="I6" s="21" t="n"/>
      <c r="J6" s="21" t="n"/>
      <c r="K6" s="21" t="n"/>
      <c r="L6" s="21" t="n"/>
      <c r="M6" s="21" t="n"/>
    </row>
    <row r="7">
      <c r="A7" s="18" t="inlineStr">
        <is>
          <t>C-03</t>
        </is>
      </c>
      <c r="B7" s="20" t="inlineStr">
        <is>
          <t>No aplica</t>
        </is>
      </c>
      <c r="C7" s="20" t="n"/>
      <c r="D7" s="20" t="n"/>
      <c r="E7" s="20" t="n"/>
      <c r="F7" s="20" t="n"/>
      <c r="G7" s="20" t="n"/>
      <c r="H7" s="20" t="n"/>
      <c r="I7" s="20" t="n"/>
      <c r="J7" s="20" t="n"/>
      <c r="K7" s="20" t="n"/>
      <c r="L7" s="20" t="n"/>
      <c r="M7" s="20" t="n"/>
    </row>
    <row r="8">
      <c r="A8" s="19" t="inlineStr">
        <is>
          <t>C-04</t>
        </is>
      </c>
      <c r="B8" s="21" t="inlineStr">
        <is>
          <t>No aplica</t>
        </is>
      </c>
      <c r="C8" s="21" t="n"/>
      <c r="D8" s="21" t="n"/>
      <c r="E8" s="21" t="n"/>
      <c r="F8" s="21" t="n"/>
      <c r="G8" s="21" t="n"/>
      <c r="H8" s="21" t="n"/>
      <c r="I8" s="21" t="n"/>
      <c r="J8" s="21" t="n"/>
      <c r="K8" s="21" t="n"/>
      <c r="L8" s="21" t="n"/>
      <c r="M8" s="21" t="n"/>
    </row>
    <row r="9">
      <c r="A9" s="18" t="inlineStr">
        <is>
          <t>C-05</t>
        </is>
      </c>
      <c r="B9" s="20" t="inlineStr">
        <is>
          <t>No aplica</t>
        </is>
      </c>
      <c r="C9" s="20" t="n"/>
      <c r="D9" s="20" t="n"/>
      <c r="E9" s="20" t="n"/>
      <c r="F9" s="20" t="n"/>
      <c r="G9" s="20" t="n"/>
      <c r="H9" s="20" t="n"/>
      <c r="I9" s="20" t="n"/>
      <c r="J9" s="20" t="n"/>
      <c r="K9" s="20" t="n"/>
      <c r="L9" s="20" t="n"/>
      <c r="M9" s="20" t="n"/>
    </row>
    <row r="10">
      <c r="A10" s="19" t="inlineStr">
        <is>
          <t>C-06</t>
        </is>
      </c>
      <c r="B10" s="21" t="inlineStr">
        <is>
          <t>No aplica</t>
        </is>
      </c>
      <c r="C10" s="21" t="n"/>
      <c r="D10" s="21" t="n"/>
      <c r="E10" s="21" t="n"/>
      <c r="F10" s="21" t="n"/>
      <c r="G10" s="21" t="n"/>
      <c r="H10" s="21" t="n"/>
      <c r="I10" s="21" t="n"/>
      <c r="J10" s="21" t="n"/>
      <c r="K10" s="21" t="n"/>
      <c r="L10" s="21" t="n"/>
      <c r="M10" s="21" t="n"/>
    </row>
    <row r="11">
      <c r="A11" s="18" t="inlineStr">
        <is>
          <t>C-07</t>
        </is>
      </c>
      <c r="B11" s="20" t="inlineStr">
        <is>
          <t>No aplica</t>
        </is>
      </c>
      <c r="C11" s="20" t="n"/>
      <c r="D11" s="20" t="n"/>
      <c r="E11" s="20" t="n"/>
      <c r="F11" s="20" t="n"/>
      <c r="G11" s="20" t="n"/>
      <c r="H11" s="20" t="n"/>
      <c r="I11" s="20" t="n"/>
      <c r="J11" s="20" t="n"/>
      <c r="K11" s="20" t="n"/>
      <c r="L11" s="20" t="n"/>
      <c r="M11" s="20" t="n"/>
    </row>
    <row r="12">
      <c r="A12" s="19" t="inlineStr">
        <is>
          <t>C-08</t>
        </is>
      </c>
      <c r="B12" s="21">
        <f>'03_Contratos'!AP12</f>
        <v/>
      </c>
      <c r="C12" s="21">
        <f>'03_Contratos'!X12</f>
        <v/>
      </c>
      <c r="D12" s="21">
        <f>'03_Contratos'!AQ12</f>
        <v/>
      </c>
      <c r="E12" s="21">
        <f>MAX(B12-C12,0)</f>
        <v/>
      </c>
      <c r="F12" s="21">
        <f>MAX(C12-B12,0)</f>
        <v/>
      </c>
      <c r="G12" s="21">
        <f>'06_Medicion_inicial'!L12</f>
        <v/>
      </c>
      <c r="H12" s="21">
        <f>G12-E12+F12</f>
        <v/>
      </c>
      <c r="I12" s="21">
        <f>D12*H12/C12</f>
        <v/>
      </c>
      <c r="J12" s="21">
        <f>C12-D12</f>
        <v/>
      </c>
      <c r="K12" s="21">
        <f>J12*(C12-H12)/C12</f>
        <v/>
      </c>
      <c r="L12" s="21">
        <f>IF('03_Contratos'!AR12="","",'03_Contratos'!AR12)</f>
        <v/>
      </c>
      <c r="M12" s="21">
        <f>IF(L12="","",K12-L12)</f>
        <v/>
      </c>
    </row>
    <row r="13">
      <c r="A13" s="18" t="inlineStr">
        <is>
          <t>C-09</t>
        </is>
      </c>
      <c r="B13" s="20" t="inlineStr">
        <is>
          <t>No aplica</t>
        </is>
      </c>
      <c r="C13" s="20" t="n"/>
      <c r="D13" s="20" t="n"/>
      <c r="E13" s="20" t="n"/>
      <c r="F13" s="20" t="n"/>
      <c r="G13" s="20" t="n"/>
      <c r="H13" s="20" t="n"/>
      <c r="I13" s="20" t="n"/>
      <c r="J13" s="20" t="n"/>
      <c r="K13" s="20" t="n"/>
      <c r="L13" s="20" t="n"/>
      <c r="M13" s="20" t="n"/>
    </row>
    <row r="14">
      <c r="A14" s="19" t="inlineStr">
        <is>
          <t>C-10</t>
        </is>
      </c>
      <c r="B14" s="21" t="inlineStr">
        <is>
          <t>No aplica</t>
        </is>
      </c>
      <c r="C14" s="21" t="n"/>
      <c r="D14" s="21" t="n"/>
      <c r="E14" s="21" t="n"/>
      <c r="F14" s="21" t="n"/>
      <c r="G14" s="21" t="n"/>
      <c r="H14" s="21" t="n"/>
      <c r="I14" s="21" t="n"/>
      <c r="J14" s="21" t="n"/>
      <c r="K14" s="21" t="n"/>
      <c r="L14" s="21" t="n"/>
      <c r="M14" s="21" t="n"/>
    </row>
    <row r="15">
      <c r="A15" s="18" t="inlineStr">
        <is>
          <t>C-11</t>
        </is>
      </c>
      <c r="B15" s="20" t="inlineStr">
        <is>
          <t>No aplica</t>
        </is>
      </c>
      <c r="C15" s="20" t="n"/>
      <c r="D15" s="20" t="n"/>
      <c r="E15" s="20" t="n"/>
      <c r="F15" s="20" t="n"/>
      <c r="G15" s="20" t="n"/>
      <c r="H15" s="20" t="n"/>
      <c r="I15" s="20" t="n"/>
      <c r="J15" s="20" t="n"/>
      <c r="K15" s="20" t="n"/>
      <c r="L15" s="20" t="n"/>
      <c r="M15" s="20" t="n"/>
    </row>
    <row r="17">
      <c r="A17" s="22" t="inlineStr">
        <is>
          <t>ⓘ  Cómo se calcula esta hoja</t>
        </is>
      </c>
    </row>
    <row r="18">
      <c r="A18" s="23" t="inlineStr">
        <is>
          <t>Columna</t>
        </is>
      </c>
      <c r="B18" s="23" t="inlineStr">
        <is>
          <t>Fórmula (Excel)</t>
        </is>
      </c>
      <c r="C18" s="23" t="inlineStr">
        <is>
          <t>Cómo se calcula (sencillo)</t>
        </is>
      </c>
      <c r="D18" s="23" t="inlineStr">
        <is>
          <t>Ejemplo con números reales</t>
        </is>
      </c>
      <c r="E18" s="23" t="inlineStr">
        <is>
          <t>De dónde viene</t>
        </is>
      </c>
      <c r="F18" s="23" t="inlineStr">
        <is>
          <t>Norma</t>
        </is>
      </c>
    </row>
    <row r="19">
      <c r="A19" s="24" t="inlineStr">
        <is>
          <t>Precio de venta</t>
        </is>
      </c>
      <c r="B19" s="25" t="inlineStr">
        <is>
          <t>'='03_Contratos'!AP12</t>
        </is>
      </c>
      <c r="C19" s="24" t="inlineStr">
        <is>
          <t>Trae el precio de venta del activo, de la hoja 03 (Universo de contratos).</t>
        </is>
      </c>
      <c r="D19" s="24" t="inlineStr">
        <is>
          <t>Fila 8: 2.000.000,00 → 2.000.000,00</t>
        </is>
      </c>
      <c r="E19" s="24" t="inlineStr">
        <is>
          <t>hoja «Universo de contratos»</t>
        </is>
      </c>
      <c r="F19" s="24" t="inlineStr">
        <is>
          <t>—</t>
        </is>
      </c>
    </row>
    <row r="20">
      <c r="A20" s="24" t="inlineStr">
        <is>
          <t>Valor razonable</t>
        </is>
      </c>
      <c r="B20" s="25" t="inlineStr">
        <is>
          <t>'='03_Contratos'!X12</t>
        </is>
      </c>
      <c r="C20" s="24" t="inlineStr">
        <is>
          <t>Trae el valor razonable del activo vendido, de la hoja 03 (Universo de contratos).</t>
        </is>
      </c>
      <c r="D20" s="24" t="inlineStr">
        <is>
          <t>Fila 8: 1.800.000,00 → 1.800.000,00</t>
        </is>
      </c>
      <c r="E20" s="24" t="inlineStr">
        <is>
          <t>hoja «Universo de contratos»</t>
        </is>
      </c>
      <c r="F20" s="24" t="inlineStr">
        <is>
          <t>—</t>
        </is>
      </c>
    </row>
    <row r="21">
      <c r="A21" s="24" t="inlineStr">
        <is>
          <t>Importe en libros previo</t>
        </is>
      </c>
      <c r="B21" s="25" t="inlineStr">
        <is>
          <t>'='03_Contratos'!AQ12</t>
        </is>
      </c>
      <c r="C21" s="24" t="inlineStr">
        <is>
          <t>Trae el importe en libros del activo antes de la venta, de la hoja 03 (Universo de contratos).</t>
        </is>
      </c>
      <c r="D21" s="24" t="inlineStr">
        <is>
          <t>Fila 8: 1.000.000,00 → 1.000.000,00</t>
        </is>
      </c>
      <c r="E21" s="24" t="inlineStr">
        <is>
          <t>hoja «Universo de contratos»</t>
        </is>
      </c>
      <c r="F21" s="24" t="inlineStr">
        <is>
          <t>—</t>
        </is>
      </c>
    </row>
    <row r="22">
      <c r="A22" s="24" t="inlineStr">
        <is>
          <t>Financiación adicional (101 b)</t>
        </is>
      </c>
      <c r="B22" s="25" t="inlineStr">
        <is>
          <t>'=MAX(B12-C12,0)</t>
        </is>
      </c>
      <c r="C22" s="24" t="inlineStr">
        <is>
          <t>Si el precio de venta supera el valor razonable, el exceso es financiación adicional recibida del comprador; si no, 0.</t>
        </is>
      </c>
      <c r="D22" s="24" t="inlineStr">
        <is>
          <t>Fila 8: MAX(2.000.000,00-1.800.000,00; 0) → 200.000,00</t>
        </is>
      </c>
      <c r="E22" s="24" t="inlineStr">
        <is>
          <t>«Precio de venta» (esta hoja), «Valor razonable» (esta hoja)</t>
        </is>
      </c>
      <c r="F22" s="24" t="inlineStr">
        <is>
          <t>—</t>
        </is>
      </c>
    </row>
    <row r="23">
      <c r="A23" s="24" t="inlineStr">
        <is>
          <t>Pago anticipado (101 a)</t>
        </is>
      </c>
      <c r="B23" s="25" t="inlineStr">
        <is>
          <t>'=MAX(C12-B12,0)</t>
        </is>
      </c>
      <c r="C23" s="24" t="inlineStr">
        <is>
          <t>Si el precio de venta es menor que el valor razonable, la diferencia es un pago anticipado del arrendamiento; si no, 0.</t>
        </is>
      </c>
      <c r="D23" s="24" t="inlineStr">
        <is>
          <t>Fila 8: MAX(1.800.000,00-2.000.000,00; 0) → 0,00</t>
        </is>
      </c>
      <c r="E23" s="24" t="inlineStr">
        <is>
          <t>«Valor razonable» (esta hoja), «Precio de venta» (esta hoja)</t>
        </is>
      </c>
      <c r="F23" s="24" t="inlineStr">
        <is>
          <t>—</t>
        </is>
      </c>
    </row>
    <row r="24">
      <c r="A24" s="24" t="inlineStr">
        <is>
          <t>Pasivo inicial</t>
        </is>
      </c>
      <c r="B24" s="25" t="inlineStr">
        <is>
          <t>'='06_Medicion_inicial'!L12</t>
        </is>
      </c>
      <c r="C24" s="24" t="inlineStr">
        <is>
          <t>Trae el pasivo inicial del arrendamiento posterior calculado en la hoja 06 (Medición inicial).</t>
        </is>
      </c>
      <c r="D24" s="24" t="inlineStr">
        <is>
          <t>Fila 8: 1.459.199,02 → 1.459.199,02</t>
        </is>
      </c>
      <c r="E24" s="24" t="inlineStr">
        <is>
          <t>hoja «Medición inicial: pasivo y activo»</t>
        </is>
      </c>
      <c r="F24" s="24" t="inlineStr">
        <is>
          <t>—</t>
        </is>
      </c>
    </row>
    <row r="25">
      <c r="A25" s="24" t="inlineStr">
        <is>
          <t>Parte del arrendamiento</t>
        </is>
      </c>
      <c r="B25" s="25" t="inlineStr">
        <is>
          <t>'=G12-E12+F12</t>
        </is>
      </c>
      <c r="C25" s="24" t="inlineStr">
        <is>
          <t>Pasivo inicial menos la financiación adicional más el pago anticipado: el valor de los pagos que corresponde al arrendamiento.</t>
        </is>
      </c>
      <c r="D25" s="24" t="inlineStr">
        <is>
          <t>Fila 8: 1.459.199,02-200.000,00+0,00 → 1.259.199,02</t>
        </is>
      </c>
      <c r="E25" s="24" t="inlineStr">
        <is>
          <t>«Pasivo inicial» (esta hoja), «Financiación adicional (101 b)» (esta hoja), «Pago anticipado (101 a)» (esta hoja)</t>
        </is>
      </c>
      <c r="F25" s="24" t="inlineStr">
        <is>
          <t>—</t>
        </is>
      </c>
    </row>
    <row r="26">
      <c r="A26" s="24" t="inlineStr">
        <is>
          <t>Derecho de uso conservado (100 a)</t>
        </is>
      </c>
      <c r="B26" s="25" t="inlineStr">
        <is>
          <t>'=D12*H12/C12</t>
        </is>
      </c>
      <c r="C26" s="24" t="inlineStr">
        <is>
          <t>Importe en libros previo × parte del arrendamiento ÷ valor razonable: la porción del importe en libros que se conserva como derecho de uso.</t>
        </is>
      </c>
      <c r="D26" s="24" t="inlineStr">
        <is>
          <t>Fila 8: 1.000.000,00*1.259.199,02/1.800.000,00 → 699.555,01</t>
        </is>
      </c>
      <c r="E26" s="24" t="inlineStr">
        <is>
          <t>«Importe en libros previo» (esta hoja), «Parte del arrendamiento» (esta hoja), «Valor razonable» (esta hoja)</t>
        </is>
      </c>
      <c r="F26" s="24" t="inlineStr">
        <is>
          <t>—</t>
        </is>
      </c>
    </row>
    <row r="27">
      <c r="A27" s="24" t="inlineStr">
        <is>
          <t>Ganancia total</t>
        </is>
      </c>
      <c r="B27" s="25" t="inlineStr">
        <is>
          <t>'=C12-D12</t>
        </is>
      </c>
      <c r="C27" s="24" t="inlineStr">
        <is>
          <t>Valor razonable menos importe en libros previo: la ganancia total que tendría la venta.</t>
        </is>
      </c>
      <c r="D27" s="24" t="inlineStr">
        <is>
          <t>Fila 8: 1.800.000,00-1.000.000,00 → 800.000,00</t>
        </is>
      </c>
      <c r="E27" s="24" t="inlineStr">
        <is>
          <t>«Valor razonable» (esta hoja), «Importe en libros previo» (esta hoja)</t>
        </is>
      </c>
      <c r="F27" s="24" t="inlineStr">
        <is>
          <t>—</t>
        </is>
      </c>
    </row>
    <row r="28">
      <c r="A28" s="24" t="inlineStr">
        <is>
          <t>Ganancia reconocida (derechos transferidos)</t>
        </is>
      </c>
      <c r="B28" s="25" t="inlineStr">
        <is>
          <t>'=J12*(C12-H12)/C12</t>
        </is>
      </c>
      <c r="C28" s="24" t="inlineStr">
        <is>
          <t>Ganancia total × (valor razonable − parte del arrendamiento) ÷ valor razonable: solo la ganancia de los derechos transferidos al comprador.</t>
        </is>
      </c>
      <c r="D28" s="24" t="inlineStr">
        <is>
          <t>Fila 8: 800.000,00*(1.800.000,00-1.259.199,02)/1.800.000,00 → 240.355,99</t>
        </is>
      </c>
      <c r="E28" s="24" t="inlineStr">
        <is>
          <t>«Ganancia total» (esta hoja), «Valor razonable» (esta hoja), «Parte del arrendamiento» (esta hoja)</t>
        </is>
      </c>
      <c r="F28" s="24" t="inlineStr">
        <is>
          <t>—</t>
        </is>
      </c>
    </row>
    <row r="29">
      <c r="A29" s="24" t="inlineStr">
        <is>
          <t>Ganancia registrada</t>
        </is>
      </c>
      <c r="B29" s="25" t="inlineStr">
        <is>
          <t>'=IF('03_Contratos'!AR12="","",'03_Contratos'!AR12)</t>
        </is>
      </c>
      <c r="C29" s="24" t="inlineStr">
        <is>
          <t>Trae la ganancia en la venta que registró el cliente, de la hoja 03 (Universo de contratos); en blanco si no se informó.</t>
        </is>
      </c>
      <c r="D29" s="24" t="inlineStr">
        <is>
          <t>Fila 8: IF(800.000,00=""; ""; 800.000,00) → 800.000,00</t>
        </is>
      </c>
      <c r="E29" s="24" t="inlineStr">
        <is>
          <t>hoja «Universo de contratos»</t>
        </is>
      </c>
      <c r="F29" s="24" t="inlineStr">
        <is>
          <t>—</t>
        </is>
      </c>
    </row>
    <row r="30">
      <c r="A30" s="24" t="inlineStr">
        <is>
          <t>Diferencia</t>
        </is>
      </c>
      <c r="B30" s="25" t="inlineStr">
        <is>
          <t>'=IF(L12="","",K12-L12)</t>
        </is>
      </c>
      <c r="C30" s="24" t="inlineStr">
        <is>
          <t>Resta la ganancia registrada de la ganancia reconocida recalculada; en blanco si no hay ganancia registrada.</t>
        </is>
      </c>
      <c r="D30" s="24" t="inlineStr">
        <is>
          <t>Fila 8: IF(800.000,00=""; ""; 240.355,99-800.000,00) → -559.644,01</t>
        </is>
      </c>
      <c r="E30" s="24" t="inlineStr">
        <is>
          <t>«Ganancia registrada» (esta hoja), «Ganancia reconocida (derechos transferidos)» (esta hoja)</t>
        </is>
      </c>
      <c r="F30" s="24" t="inlineStr">
        <is>
          <t>—</t>
        </is>
      </c>
    </row>
  </sheetData>
  <mergeCells count="3">
    <mergeCell ref="A2:F2"/>
    <mergeCell ref="A1:F1"/>
    <mergeCell ref="A17:F17"/>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P33"/>
  <sheetViews>
    <sheetView showGridLines="0" workbookViewId="0">
      <pane ySplit="4" topLeftCell="A5" activePane="bottomLeft" state="frozen"/>
      <selection pane="bottomLeft" activeCell="A1" sqref="A1"/>
    </sheetView>
  </sheetViews>
  <sheetFormatPr baseColWidth="8" defaultRowHeight="15"/>
  <cols>
    <col width="12" customWidth="1" min="1" max="1"/>
    <col width="60" customWidth="1" min="2" max="2"/>
    <col width="32" customWidth="1" min="3" max="3"/>
    <col width="21" customWidth="1" min="4" max="4"/>
    <col width="31" customWidth="1" min="5" max="5"/>
    <col width="27" customWidth="1" min="6" max="6"/>
    <col width="38" customWidth="1" min="7" max="7"/>
    <col width="34" customWidth="1" min="8" max="8"/>
    <col width="20" customWidth="1" min="9" max="9"/>
    <col width="29" customWidth="1" min="10" max="10"/>
    <col width="43" customWidth="1" min="11" max="11"/>
    <col width="36" customWidth="1" min="12" max="12"/>
    <col width="30" customWidth="1" min="13" max="13"/>
    <col width="33" customWidth="1" min="14" max="14"/>
    <col width="31" customWidth="1" min="15" max="15"/>
    <col width="60" customWidth="1" min="16" max="16"/>
  </cols>
  <sheetData>
    <row r="1">
      <c r="A1" s="3" t="inlineStr">
        <is>
          <t>Venta con arrendamiento posterior: medición posterior</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c r="G2" s="16" t="n"/>
      <c r="H2" s="16" t="n"/>
      <c r="I2" s="16" t="n"/>
      <c r="J2" s="16" t="n"/>
      <c r="K2" s="16" t="n"/>
      <c r="L2" s="16" t="n"/>
      <c r="M2" s="16" t="n"/>
      <c r="N2" s="16" t="n"/>
      <c r="O2" s="16" t="n"/>
      <c r="P2" s="16" t="n"/>
    </row>
    <row r="4" ht="30" customHeight="1">
      <c r="A4" s="17" t="inlineStr">
        <is>
          <t>Contrato</t>
        </is>
      </c>
      <c r="B4" s="17" t="inlineStr">
        <is>
          <t>Tratamiento y marco</t>
        </is>
      </c>
      <c r="C4" s="17" t="inlineStr">
        <is>
          <t>Pasivo al inicio del ejercicio</t>
        </is>
      </c>
      <c r="D4" s="17" t="inlineStr">
        <is>
          <t>Altas del ejercicio</t>
        </is>
      </c>
      <c r="E4" s="17" t="inlineStr">
        <is>
          <t>Interés del ejercicio (36–37)</t>
        </is>
      </c>
      <c r="F4" s="17" t="inlineStr">
        <is>
          <t>Pagos fijos del ejercicio</t>
        </is>
      </c>
      <c r="G4" s="17" t="inlineStr">
        <is>
          <t>Pagos variables del ejercicio (38 b)</t>
        </is>
      </c>
      <c r="H4" s="17" t="inlineStr">
        <is>
          <t>Remedición del ejercicio (40–43)</t>
        </is>
      </c>
      <c r="I4" s="17" t="inlineStr">
        <is>
          <t>Pasivo al corte</t>
        </is>
      </c>
      <c r="J4" s="17" t="inlineStr">
        <is>
          <t>Comprobación del pasivo (0)</t>
        </is>
      </c>
      <c r="K4" s="17" t="inlineStr">
        <is>
          <t>Derecho de uso conservado inicial (100 a)</t>
        </is>
      </c>
      <c r="L4" s="17" t="inlineStr">
        <is>
          <t>Depreciación del ejercicio (29–35)</t>
        </is>
      </c>
      <c r="M4" s="17" t="inlineStr">
        <is>
          <t>Derecho de uso neto al corte</t>
        </is>
      </c>
      <c r="N4" s="17" t="inlineStr">
        <is>
          <t>Ganancia reconocida en la venta</t>
        </is>
      </c>
      <c r="O4" s="17" t="inlineStr">
        <is>
          <t>Ganancia posterior registrada</t>
        </is>
      </c>
      <c r="P4" s="17" t="inlineStr">
        <is>
          <t>Control 102A: ganancia sobre el derecho de uso conservado (0)</t>
        </is>
      </c>
    </row>
    <row r="5">
      <c r="A5" s="18" t="inlineStr">
        <is>
          <t>C-01</t>
        </is>
      </c>
      <c r="B5" s="18" t="inlineStr">
        <is>
          <t>No aplica</t>
        </is>
      </c>
      <c r="C5" s="20" t="n"/>
      <c r="D5" s="20" t="n"/>
      <c r="E5" s="20" t="n"/>
      <c r="F5" s="20" t="n"/>
      <c r="G5" s="20" t="n"/>
      <c r="H5" s="20" t="n"/>
      <c r="I5" s="20" t="n"/>
      <c r="J5" s="20" t="n"/>
      <c r="K5" s="20" t="n"/>
      <c r="L5" s="20" t="n"/>
      <c r="M5" s="20" t="n"/>
      <c r="N5" s="20" t="n"/>
      <c r="O5" s="20" t="n"/>
      <c r="P5" s="20" t="n"/>
    </row>
    <row r="6">
      <c r="A6" s="19" t="inlineStr">
        <is>
          <t>C-02</t>
        </is>
      </c>
      <c r="B6" s="19" t="inlineStr">
        <is>
          <t>No aplica</t>
        </is>
      </c>
      <c r="C6" s="21" t="n"/>
      <c r="D6" s="21" t="n"/>
      <c r="E6" s="21" t="n"/>
      <c r="F6" s="21" t="n"/>
      <c r="G6" s="21" t="n"/>
      <c r="H6" s="21" t="n"/>
      <c r="I6" s="21" t="n"/>
      <c r="J6" s="21" t="n"/>
      <c r="K6" s="21" t="n"/>
      <c r="L6" s="21" t="n"/>
      <c r="M6" s="21" t="n"/>
      <c r="N6" s="21" t="n"/>
      <c r="O6" s="21" t="n"/>
      <c r="P6" s="21" t="n"/>
    </row>
    <row r="7">
      <c r="A7" s="18" t="inlineStr">
        <is>
          <t>C-03</t>
        </is>
      </c>
      <c r="B7" s="18" t="inlineStr">
        <is>
          <t>No aplica</t>
        </is>
      </c>
      <c r="C7" s="20" t="n"/>
      <c r="D7" s="20" t="n"/>
      <c r="E7" s="20" t="n"/>
      <c r="F7" s="20" t="n"/>
      <c r="G7" s="20" t="n"/>
      <c r="H7" s="20" t="n"/>
      <c r="I7" s="20" t="n"/>
      <c r="J7" s="20" t="n"/>
      <c r="K7" s="20" t="n"/>
      <c r="L7" s="20" t="n"/>
      <c r="M7" s="20" t="n"/>
      <c r="N7" s="20" t="n"/>
      <c r="O7" s="20" t="n"/>
      <c r="P7" s="20" t="n"/>
    </row>
    <row r="8">
      <c r="A8" s="19" t="inlineStr">
        <is>
          <t>C-04</t>
        </is>
      </c>
      <c r="B8" s="19" t="inlineStr">
        <is>
          <t>No aplica</t>
        </is>
      </c>
      <c r="C8" s="21" t="n"/>
      <c r="D8" s="21" t="n"/>
      <c r="E8" s="21" t="n"/>
      <c r="F8" s="21" t="n"/>
      <c r="G8" s="21" t="n"/>
      <c r="H8" s="21" t="n"/>
      <c r="I8" s="21" t="n"/>
      <c r="J8" s="21" t="n"/>
      <c r="K8" s="21" t="n"/>
      <c r="L8" s="21" t="n"/>
      <c r="M8" s="21" t="n"/>
      <c r="N8" s="21" t="n"/>
      <c r="O8" s="21" t="n"/>
      <c r="P8" s="21" t="n"/>
    </row>
    <row r="9">
      <c r="A9" s="18" t="inlineStr">
        <is>
          <t>C-05</t>
        </is>
      </c>
      <c r="B9" s="18" t="inlineStr">
        <is>
          <t>No aplica</t>
        </is>
      </c>
      <c r="C9" s="20" t="n"/>
      <c r="D9" s="20" t="n"/>
      <c r="E9" s="20" t="n"/>
      <c r="F9" s="20" t="n"/>
      <c r="G9" s="20" t="n"/>
      <c r="H9" s="20" t="n"/>
      <c r="I9" s="20" t="n"/>
      <c r="J9" s="20" t="n"/>
      <c r="K9" s="20" t="n"/>
      <c r="L9" s="20" t="n"/>
      <c r="M9" s="20" t="n"/>
      <c r="N9" s="20" t="n"/>
      <c r="O9" s="20" t="n"/>
      <c r="P9" s="20" t="n"/>
    </row>
    <row r="10">
      <c r="A10" s="19" t="inlineStr">
        <is>
          <t>C-06</t>
        </is>
      </c>
      <c r="B10" s="19" t="inlineStr">
        <is>
          <t>No aplica</t>
        </is>
      </c>
      <c r="C10" s="21" t="n"/>
      <c r="D10" s="21" t="n"/>
      <c r="E10" s="21" t="n"/>
      <c r="F10" s="21" t="n"/>
      <c r="G10" s="21" t="n"/>
      <c r="H10" s="21" t="n"/>
      <c r="I10" s="21" t="n"/>
      <c r="J10" s="21" t="n"/>
      <c r="K10" s="21" t="n"/>
      <c r="L10" s="21" t="n"/>
      <c r="M10" s="21" t="n"/>
      <c r="N10" s="21" t="n"/>
      <c r="O10" s="21" t="n"/>
      <c r="P10" s="21" t="n"/>
    </row>
    <row r="11">
      <c r="A11" s="18" t="inlineStr">
        <is>
          <t>C-07</t>
        </is>
      </c>
      <c r="B11" s="18" t="inlineStr">
        <is>
          <t>No aplica</t>
        </is>
      </c>
      <c r="C11" s="20" t="n"/>
      <c r="D11" s="20" t="n"/>
      <c r="E11" s="20" t="n"/>
      <c r="F11" s="20" t="n"/>
      <c r="G11" s="20" t="n"/>
      <c r="H11" s="20" t="n"/>
      <c r="I11" s="20" t="n"/>
      <c r="J11" s="20" t="n"/>
      <c r="K11" s="20" t="n"/>
      <c r="L11" s="20" t="n"/>
      <c r="M11" s="20" t="n"/>
      <c r="N11" s="20" t="n"/>
      <c r="O11" s="20" t="n"/>
      <c r="P11" s="20" t="n"/>
    </row>
    <row r="12">
      <c r="A12" s="19" t="inlineStr">
        <is>
          <t>C-08</t>
        </is>
      </c>
      <c r="B12" s="19" t="inlineStr">
        <is>
          <t>NIIF 16 párr. 102A: párr. 29–35 al derecho de uso conservado y 36–46 al pasivo</t>
        </is>
      </c>
      <c r="C12" s="21">
        <f>'10_Pasivo_corte'!H12</f>
        <v/>
      </c>
      <c r="D12" s="21">
        <f>'10_Pasivo_corte'!I12</f>
        <v/>
      </c>
      <c r="E12" s="21">
        <f>'10_Pasivo_corte'!J12</f>
        <v/>
      </c>
      <c r="F12" s="21">
        <f>'10_Pasivo_corte'!K12</f>
        <v/>
      </c>
      <c r="G12" s="21">
        <f>IF('07_Pagos_variables'!L12="","",'07_Pagos_variables'!L12)</f>
        <v/>
      </c>
      <c r="H12" s="21">
        <f>'10_Pasivo_corte'!L12</f>
        <v/>
      </c>
      <c r="I12" s="21">
        <f>'10_Pasivo_corte'!G12</f>
        <v/>
      </c>
      <c r="J12" s="21">
        <f>'10_Pasivo_corte'!M12</f>
        <v/>
      </c>
      <c r="K12" s="21">
        <f>'11_Derecho_uso'!C12</f>
        <v/>
      </c>
      <c r="L12" s="21">
        <f>'11_Derecho_uso'!K12</f>
        <v/>
      </c>
      <c r="M12" s="21">
        <f>'11_Derecho_uso'!O12</f>
        <v/>
      </c>
      <c r="N12" s="21">
        <f>'13_Venta_arr_posterior'!K12</f>
        <v/>
      </c>
      <c r="O12" s="21">
        <f>IF('03_Contratos'!AS12="","",'03_Contratos'!AS12)</f>
        <v/>
      </c>
      <c r="P12" s="21">
        <f>IF(O12&lt;&gt;"",O12,"")</f>
        <v/>
      </c>
    </row>
    <row r="13">
      <c r="A13" s="18" t="inlineStr">
        <is>
          <t>C-09</t>
        </is>
      </c>
      <c r="B13" s="18" t="inlineStr">
        <is>
          <t>No aplica</t>
        </is>
      </c>
      <c r="C13" s="20" t="n"/>
      <c r="D13" s="20" t="n"/>
      <c r="E13" s="20" t="n"/>
      <c r="F13" s="20" t="n"/>
      <c r="G13" s="20" t="n"/>
      <c r="H13" s="20" t="n"/>
      <c r="I13" s="20" t="n"/>
      <c r="J13" s="20" t="n"/>
      <c r="K13" s="20" t="n"/>
      <c r="L13" s="20" t="n"/>
      <c r="M13" s="20" t="n"/>
      <c r="N13" s="20" t="n"/>
      <c r="O13" s="20" t="n"/>
      <c r="P13" s="20" t="n"/>
    </row>
    <row r="14">
      <c r="A14" s="19" t="inlineStr">
        <is>
          <t>C-10</t>
        </is>
      </c>
      <c r="B14" s="19" t="inlineStr">
        <is>
          <t>No aplica</t>
        </is>
      </c>
      <c r="C14" s="21" t="n"/>
      <c r="D14" s="21" t="n"/>
      <c r="E14" s="21" t="n"/>
      <c r="F14" s="21" t="n"/>
      <c r="G14" s="21" t="n"/>
      <c r="H14" s="21" t="n"/>
      <c r="I14" s="21" t="n"/>
      <c r="J14" s="21" t="n"/>
      <c r="K14" s="21" t="n"/>
      <c r="L14" s="21" t="n"/>
      <c r="M14" s="21" t="n"/>
      <c r="N14" s="21" t="n"/>
      <c r="O14" s="21" t="n"/>
      <c r="P14" s="21" t="n"/>
    </row>
    <row r="15">
      <c r="A15" s="18" t="inlineStr">
        <is>
          <t>C-11</t>
        </is>
      </c>
      <c r="B15" s="18" t="inlineStr">
        <is>
          <t>No aplica</t>
        </is>
      </c>
      <c r="C15" s="20" t="n"/>
      <c r="D15" s="20" t="n"/>
      <c r="E15" s="20" t="n"/>
      <c r="F15" s="20" t="n"/>
      <c r="G15" s="20" t="n"/>
      <c r="H15" s="20" t="n"/>
      <c r="I15" s="20" t="n"/>
      <c r="J15" s="20" t="n"/>
      <c r="K15" s="20" t="n"/>
      <c r="L15" s="20" t="n"/>
      <c r="M15" s="20" t="n"/>
      <c r="N15" s="20" t="n"/>
      <c r="O15" s="20" t="n"/>
      <c r="P15" s="20" t="n"/>
    </row>
    <row r="16">
      <c r="A16" s="37" t="inlineStr">
        <is>
          <t>TOTAL</t>
        </is>
      </c>
      <c r="B16" s="37" t="inlineStr"/>
      <c r="C16" s="40" t="n"/>
      <c r="D16" s="40" t="n"/>
      <c r="E16" s="40" t="n"/>
      <c r="F16" s="40" t="n"/>
      <c r="G16" s="40" t="n"/>
      <c r="H16" s="40" t="n"/>
      <c r="I16" s="40">
        <f>SUM(I5:I15)</f>
        <v/>
      </c>
      <c r="J16" s="40" t="n"/>
      <c r="K16" s="40" t="n"/>
      <c r="L16" s="40" t="n"/>
      <c r="M16" s="40">
        <f>SUM(M5:M15)</f>
        <v/>
      </c>
      <c r="N16" s="40" t="n"/>
      <c r="O16" s="40" t="n"/>
      <c r="P16" s="40">
        <f>SUM(P5:P15)</f>
        <v/>
      </c>
    </row>
    <row r="18">
      <c r="A18" s="22" t="inlineStr">
        <is>
          <t>ⓘ  Cómo se calcula esta hoja</t>
        </is>
      </c>
    </row>
    <row r="19">
      <c r="A19" s="23" t="inlineStr">
        <is>
          <t>Columna</t>
        </is>
      </c>
      <c r="B19" s="23" t="inlineStr">
        <is>
          <t>Fórmula (Excel)</t>
        </is>
      </c>
      <c r="C19" s="23" t="inlineStr">
        <is>
          <t>Cómo se calcula (sencillo)</t>
        </is>
      </c>
      <c r="D19" s="23" t="inlineStr">
        <is>
          <t>Ejemplo con números reales</t>
        </is>
      </c>
      <c r="E19" s="23" t="inlineStr">
        <is>
          <t>De dónde viene</t>
        </is>
      </c>
      <c r="F19" s="23" t="inlineStr">
        <is>
          <t>Norma</t>
        </is>
      </c>
    </row>
    <row r="20">
      <c r="A20" s="24" t="inlineStr">
        <is>
          <t>Pasivo al inicio del ejercicio</t>
        </is>
      </c>
      <c r="B20" s="25" t="inlineStr">
        <is>
          <t>'='10_Pasivo_corte'!H12</t>
        </is>
      </c>
      <c r="C20" s="24" t="inlineStr">
        <is>
          <t>Trae el pasivo al inicio del año de este contrato, de la hoja 10 (Pasivo al corte).</t>
        </is>
      </c>
      <c r="D20" s="24" t="inlineStr">
        <is>
          <t>Fila 8: 1.459.199,02 → 1.459.199,02</t>
        </is>
      </c>
      <c r="E20" s="24" t="inlineStr">
        <is>
          <t>hoja «Pasivo al corte: corriente y no corriente»</t>
        </is>
      </c>
      <c r="F20" s="24" t="inlineStr">
        <is>
          <t>—</t>
        </is>
      </c>
    </row>
    <row r="21">
      <c r="A21" s="24" t="inlineStr">
        <is>
          <t>Altas del ejercicio</t>
        </is>
      </c>
      <c r="B21" s="25" t="inlineStr">
        <is>
          <t>'='10_Pasivo_corte'!I12</t>
        </is>
      </c>
      <c r="C21" s="24" t="inlineStr">
        <is>
          <t>Trae las altas del año de este contrato, de la hoja 10 (Pasivo al corte).</t>
        </is>
      </c>
      <c r="D21" s="24" t="inlineStr">
        <is>
          <t>Fila 8: 0,00 → 0,00</t>
        </is>
      </c>
      <c r="E21" s="24" t="inlineStr">
        <is>
          <t>hoja «Pasivo al corte: corriente y no corriente»</t>
        </is>
      </c>
      <c r="F21" s="24" t="inlineStr">
        <is>
          <t>—</t>
        </is>
      </c>
    </row>
    <row r="22">
      <c r="A22" s="24" t="inlineStr">
        <is>
          <t>Interés del ejercicio (36–37)</t>
        </is>
      </c>
      <c r="B22" s="25" t="inlineStr">
        <is>
          <t>'='10_Pasivo_corte'!J12</t>
        </is>
      </c>
      <c r="C22" s="24" t="inlineStr">
        <is>
          <t>Trae el interés del ejercicio recalculado en la hoja 10 (Pasivo al corte).</t>
        </is>
      </c>
      <c r="D22" s="24" t="inlineStr">
        <is>
          <t>Fila 8: 65.663,96 → 65.663,96</t>
        </is>
      </c>
      <c r="E22" s="24" t="inlineStr">
        <is>
          <t>hoja «Pasivo al corte: corriente y no corriente»</t>
        </is>
      </c>
      <c r="F22" s="24" t="inlineStr">
        <is>
          <t>—</t>
        </is>
      </c>
    </row>
    <row r="23">
      <c r="A23" s="24" t="inlineStr">
        <is>
          <t>Pagos fijos del ejercicio</t>
        </is>
      </c>
      <c r="B23" s="25" t="inlineStr">
        <is>
          <t>'='10_Pasivo_corte'!K12</t>
        </is>
      </c>
      <c r="C23" s="24" t="inlineStr">
        <is>
          <t>Trae los pagos del ejercicio de la hoja 10 (Pasivo al corte), según la tabla de amortización.</t>
        </is>
      </c>
      <c r="D23" s="24" t="inlineStr">
        <is>
          <t>Fila 8: 120.000,00 → 120.000,00</t>
        </is>
      </c>
      <c r="E23" s="24" t="inlineStr">
        <is>
          <t>hoja «Pasivo al corte: corriente y no corriente»</t>
        </is>
      </c>
      <c r="F23" s="24" t="inlineStr">
        <is>
          <t>—</t>
        </is>
      </c>
    </row>
    <row r="24">
      <c r="A24" s="24" t="inlineStr">
        <is>
          <t>Pagos variables del ejercicio (38 b)</t>
        </is>
      </c>
      <c r="B24" s="25" t="inlineStr">
        <is>
          <t>'=IF('07_Pagos_variables'!L12="","",'07_Pagos_variables'!L12)</t>
        </is>
      </c>
      <c r="C24" s="24" t="inlineStr">
        <is>
          <t>Trae el gasto del ejercicio por pagos variables de la hoja 07; en blanco si allí quedó en blanco.</t>
        </is>
      </c>
      <c r="D24" s="24" t="inlineStr">
        <is>
          <t>Fila 8: IF(0,00=""; ""; 0,00) → 0,00</t>
        </is>
      </c>
      <c r="E24" s="24" t="inlineStr">
        <is>
          <t>hoja «Pago base, componente indexado y pagos variables»</t>
        </is>
      </c>
      <c r="F24" s="24" t="inlineStr">
        <is>
          <t>—</t>
        </is>
      </c>
    </row>
    <row r="25">
      <c r="A25" s="24" t="inlineStr">
        <is>
          <t>Remedición del ejercicio (40–43)</t>
        </is>
      </c>
      <c r="B25" s="25" t="inlineStr">
        <is>
          <t>'='10_Pasivo_corte'!L12</t>
        </is>
      </c>
      <c r="C25" s="24" t="inlineStr">
        <is>
          <t>Trae la remedición del ejercicio de la hoja 10 (Pasivo al corte) para este contrato.</t>
        </is>
      </c>
      <c r="D25" s="24" t="inlineStr">
        <is>
          <t>Fila 8: 0,00 → 0,00</t>
        </is>
      </c>
      <c r="E25" s="24" t="inlineStr">
        <is>
          <t>hoja «Pasivo al corte: corriente y no corriente»</t>
        </is>
      </c>
      <c r="F25" s="24" t="inlineStr">
        <is>
          <t>—</t>
        </is>
      </c>
    </row>
    <row r="26">
      <c r="A26" s="24" t="inlineStr">
        <is>
          <t>Pasivo al corte</t>
        </is>
      </c>
      <c r="B26" s="25" t="inlineStr">
        <is>
          <t>'='10_Pasivo_corte'!G12</t>
        </is>
      </c>
      <c r="C26" s="24" t="inlineStr">
        <is>
          <t>Trae el pasivo al corte recalculado de la hoja 10 (Pasivo al corte).</t>
        </is>
      </c>
      <c r="D26" s="24" t="inlineStr">
        <is>
          <t>Fila 8: 1.404.862,97 → 1.404.862,97</t>
        </is>
      </c>
      <c r="E26" s="24" t="inlineStr">
        <is>
          <t>hoja «Pasivo al corte: corriente y no corriente»</t>
        </is>
      </c>
      <c r="F26" s="24" t="inlineStr">
        <is>
          <t>—</t>
        </is>
      </c>
    </row>
    <row r="27">
      <c r="A27" s="24" t="inlineStr">
        <is>
          <t>Comprobación del pasivo (0)</t>
        </is>
      </c>
      <c r="B27" s="25" t="inlineStr">
        <is>
          <t>'='10_Pasivo_corte'!M12</t>
        </is>
      </c>
      <c r="C27" s="24" t="inlineStr">
        <is>
          <t>Trae de la hoja 10 la comprobación del movimiento del pasivo del año; debe dar 0.</t>
        </is>
      </c>
      <c r="D27" s="24" t="inlineStr">
        <is>
          <t>Fila 8: 0,00 → 0,00</t>
        </is>
      </c>
      <c r="E27" s="24" t="inlineStr">
        <is>
          <t>hoja «Pasivo al corte: corriente y no corriente»</t>
        </is>
      </c>
      <c r="F27" s="24" t="inlineStr">
        <is>
          <t>—</t>
        </is>
      </c>
    </row>
    <row r="28">
      <c r="A28" s="24" t="inlineStr">
        <is>
          <t>Derecho de uso conservado inicial (100 a)</t>
        </is>
      </c>
      <c r="B28" s="25" t="inlineStr">
        <is>
          <t>'='11_Derecho_uso'!C12</t>
        </is>
      </c>
      <c r="C28" s="24" t="inlineStr">
        <is>
          <t>Trae de la hoja 11 (Depreciación y deterioro del activo) el costo inicial del activo, que en esta operación es el derecho de uso conservado.</t>
        </is>
      </c>
      <c r="D28" s="24" t="inlineStr">
        <is>
          <t>Fila 8: 699.555,01 → 699.555,01</t>
        </is>
      </c>
      <c r="E28" s="24" t="inlineStr">
        <is>
          <t>hoja «Depreciación y deterioro del activo»</t>
        </is>
      </c>
      <c r="F28" s="24" t="inlineStr">
        <is>
          <t>—</t>
        </is>
      </c>
    </row>
    <row r="29">
      <c r="A29" s="24" t="inlineStr">
        <is>
          <t>Depreciación del ejercicio (29–35)</t>
        </is>
      </c>
      <c r="B29" s="25" t="inlineStr">
        <is>
          <t>'='11_Derecho_uso'!K12</t>
        </is>
      </c>
      <c r="C29" s="24" t="inlineStr">
        <is>
          <t>Trae la depreciación del ejercicio del activo, de la hoja 11 (Depreciación y deterioro del activo).</t>
        </is>
      </c>
      <c r="D29" s="24" t="inlineStr">
        <is>
          <t>Fila 8: 38.864,17 → 38.864,17</t>
        </is>
      </c>
      <c r="E29" s="24" t="inlineStr">
        <is>
          <t>hoja «Depreciación y deterioro del activo»</t>
        </is>
      </c>
      <c r="F29" s="24" t="inlineStr">
        <is>
          <t>—</t>
        </is>
      </c>
    </row>
    <row r="30">
      <c r="A30" s="24" t="inlineStr">
        <is>
          <t>Derecho de uso neto al corte</t>
        </is>
      </c>
      <c r="B30" s="25" t="inlineStr">
        <is>
          <t>'='11_Derecho_uso'!O12</t>
        </is>
      </c>
      <c r="C30" s="24" t="inlineStr">
        <is>
          <t>Trae el neto recalculado del activo al corte, de la hoja 11 (Depreciación y deterioro del activo).</t>
        </is>
      </c>
      <c r="D30" s="24" t="inlineStr">
        <is>
          <t>Fila 8: 660.690,84 → 660.690,84</t>
        </is>
      </c>
      <c r="E30" s="24" t="inlineStr">
        <is>
          <t>hoja «Depreciación y deterioro del activo»</t>
        </is>
      </c>
      <c r="F30" s="24" t="inlineStr">
        <is>
          <t>—</t>
        </is>
      </c>
    </row>
    <row r="31">
      <c r="A31" s="24" t="inlineStr">
        <is>
          <t>Ganancia reconocida en la venta</t>
        </is>
      </c>
      <c r="B31" s="25" t="inlineStr">
        <is>
          <t>'='13_Venta_arr_posterior'!K12</t>
        </is>
      </c>
      <c r="C31" s="24" t="inlineStr">
        <is>
          <t>Trae de la hoja 13 la ganancia que se reconoce en la venta (la inmediata en PYMES; la de los derechos transferidos en NIIF completas).</t>
        </is>
      </c>
      <c r="D31" s="24" t="inlineStr">
        <is>
          <t>Fila 8: 240.355,99 → 240.355,99</t>
        </is>
      </c>
      <c r="E31" s="24" t="inlineStr">
        <is>
          <t>hoja «Venta con arrendamiento posterior: medición inicial»</t>
        </is>
      </c>
      <c r="F31" s="24" t="inlineStr">
        <is>
          <t>—</t>
        </is>
      </c>
    </row>
    <row r="32">
      <c r="A32" s="24" t="inlineStr">
        <is>
          <t>Ganancia posterior registrada</t>
        </is>
      </c>
      <c r="B32" s="25" t="inlineStr">
        <is>
          <t>'=IF('03_Contratos'!AS12="","",'03_Contratos'!AS12)</t>
        </is>
      </c>
      <c r="C32" s="24" t="inlineStr">
        <is>
          <t>Trae de la hoja 03 la ganancia o pérdida que el cliente reconoció después de la venta por la medición posterior; en blanco si no se informó.</t>
        </is>
      </c>
      <c r="D32" s="24" t="inlineStr">
        <is>
          <t>Fila 8: IF(18.500,00=""; ""; 18.500,00) → 18.500,00</t>
        </is>
      </c>
      <c r="E32" s="24" t="inlineStr">
        <is>
          <t>hoja «Universo de contratos»</t>
        </is>
      </c>
      <c r="F32" s="24" t="inlineStr">
        <is>
          <t>—</t>
        </is>
      </c>
    </row>
    <row r="33">
      <c r="A33" s="24" t="inlineStr">
        <is>
          <t>Control 102A: ganancia sobre el derecho de uso conservado (0)</t>
        </is>
      </c>
      <c r="B33" s="25" t="inlineStr">
        <is>
          <t>'=IF(O12&lt;&gt;"",O12,"")</t>
        </is>
      </c>
      <c r="C33" s="24" t="inlineStr">
        <is>
          <t>Repite la ganancia posterior registrada cuando existe (en blanco si no): cualquier importe distinto de 0 es una ganancia sobre el derecho de uso conservado que no debió reconocerse.</t>
        </is>
      </c>
      <c r="D33" s="24" t="inlineStr">
        <is>
          <t>Fila 8: IF(18.500,00&lt;&gt;""; 18.500,00; "") → 18.500,00</t>
        </is>
      </c>
      <c r="E33" s="24" t="inlineStr">
        <is>
          <t>«Ganancia posterior registrada» (esta hoja)</t>
        </is>
      </c>
      <c r="F33" s="24" t="inlineStr">
        <is>
          <t>—</t>
        </is>
      </c>
    </row>
  </sheetData>
  <mergeCells count="3">
    <mergeCell ref="A2:F2"/>
    <mergeCell ref="A1:F1"/>
    <mergeCell ref="A18:F18"/>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J28"/>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9" customWidth="1" min="3" max="3"/>
    <col width="23" customWidth="1" min="4" max="4"/>
    <col width="20" customWidth="1" min="5" max="5"/>
    <col width="19" customWidth="1" min="6" max="6"/>
    <col width="24" customWidth="1" min="7" max="7"/>
    <col width="28" customWidth="1" min="8" max="8"/>
    <col width="23" customWidth="1" min="9" max="9"/>
    <col width="20" customWidth="1" min="10" max="10"/>
  </cols>
  <sheetData>
    <row r="1">
      <c r="A1" s="3" t="inlineStr">
        <is>
          <t>Conciliación y ajuste</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c r="G2" s="16" t="n"/>
      <c r="H2" s="16" t="n"/>
      <c r="I2" s="16" t="n"/>
      <c r="J2" s="16" t="n"/>
    </row>
    <row r="4" ht="30" customHeight="1">
      <c r="A4" s="17" t="inlineStr">
        <is>
          <t>Contrato</t>
        </is>
      </c>
      <c r="B4" s="17" t="inlineStr">
        <is>
          <t>Pasivo recalculado</t>
        </is>
      </c>
      <c r="C4" s="17" t="inlineStr">
        <is>
          <t>Pasivo registrado</t>
        </is>
      </c>
      <c r="D4" s="17" t="inlineStr">
        <is>
          <t>Ajuste pasivo</t>
        </is>
      </c>
      <c r="E4" s="17" t="inlineStr">
        <is>
          <t>Activo recalculado</t>
        </is>
      </c>
      <c r="F4" s="17" t="inlineStr">
        <is>
          <t>Activo registrado</t>
        </is>
      </c>
      <c r="G4" s="17" t="inlineStr">
        <is>
          <t>Ajuste activo</t>
        </is>
      </c>
      <c r="H4" s="17" t="inlineStr">
        <is>
          <t>Depreciación del ejercicio</t>
        </is>
      </c>
      <c r="I4" s="17" t="inlineStr">
        <is>
          <t>Interés del ejercicio</t>
        </is>
      </c>
      <c r="J4" s="17" t="inlineStr">
        <is>
          <t>Pasivo corriente</t>
        </is>
      </c>
    </row>
    <row r="5">
      <c r="A5" s="18" t="inlineStr">
        <is>
          <t>C-01</t>
        </is>
      </c>
      <c r="B5" s="20">
        <f>'10_Pasivo_corte'!G5</f>
        <v/>
      </c>
      <c r="C5" s="20">
        <f>'10_Pasivo_corte'!Q5</f>
        <v/>
      </c>
      <c r="D5" s="20">
        <f>B5-C5</f>
        <v/>
      </c>
      <c r="E5" s="20">
        <f>'11_Derecho_uso'!O5</f>
        <v/>
      </c>
      <c r="F5" s="20">
        <f>'11_Derecho_uso'!P5</f>
        <v/>
      </c>
      <c r="G5" s="20">
        <f>E5-F5</f>
        <v/>
      </c>
      <c r="H5" s="20">
        <f>'11_Derecho_uso'!K5</f>
        <v/>
      </c>
      <c r="I5" s="20">
        <f>'10_Pasivo_corte'!J5</f>
        <v/>
      </c>
      <c r="J5" s="20">
        <f>'10_Pasivo_corte'!O5</f>
        <v/>
      </c>
    </row>
    <row r="6">
      <c r="A6" s="19" t="inlineStr">
        <is>
          <t>C-02</t>
        </is>
      </c>
      <c r="B6" s="21">
        <f>'10_Pasivo_corte'!G6</f>
        <v/>
      </c>
      <c r="C6" s="21">
        <f>'10_Pasivo_corte'!Q6</f>
        <v/>
      </c>
      <c r="D6" s="21">
        <f>B6-C6</f>
        <v/>
      </c>
      <c r="E6" s="21">
        <f>'11_Derecho_uso'!O6</f>
        <v/>
      </c>
      <c r="F6" s="21">
        <f>'11_Derecho_uso'!P6</f>
        <v/>
      </c>
      <c r="G6" s="21">
        <f>E6-F6</f>
        <v/>
      </c>
      <c r="H6" s="21">
        <f>'11_Derecho_uso'!K6</f>
        <v/>
      </c>
      <c r="I6" s="21">
        <f>'10_Pasivo_corte'!J6</f>
        <v/>
      </c>
      <c r="J6" s="21">
        <f>'10_Pasivo_corte'!O6</f>
        <v/>
      </c>
    </row>
    <row r="7">
      <c r="A7" s="18" t="inlineStr">
        <is>
          <t>C-03</t>
        </is>
      </c>
      <c r="B7" s="20">
        <f>'10_Pasivo_corte'!G7</f>
        <v/>
      </c>
      <c r="C7" s="20">
        <f>'10_Pasivo_corte'!Q7</f>
        <v/>
      </c>
      <c r="D7" s="20">
        <f>B7-C7</f>
        <v/>
      </c>
      <c r="E7" s="20">
        <f>'11_Derecho_uso'!O7</f>
        <v/>
      </c>
      <c r="F7" s="20">
        <f>'11_Derecho_uso'!P7</f>
        <v/>
      </c>
      <c r="G7" s="20">
        <f>E7-F7</f>
        <v/>
      </c>
      <c r="H7" s="20">
        <f>'11_Derecho_uso'!K7</f>
        <v/>
      </c>
      <c r="I7" s="20">
        <f>'10_Pasivo_corte'!J7</f>
        <v/>
      </c>
      <c r="J7" s="20">
        <f>'10_Pasivo_corte'!O7</f>
        <v/>
      </c>
    </row>
    <row r="8">
      <c r="A8" s="19" t="inlineStr">
        <is>
          <t>C-04</t>
        </is>
      </c>
      <c r="B8" s="21">
        <f>'10_Pasivo_corte'!G8</f>
        <v/>
      </c>
      <c r="C8" s="21">
        <f>'10_Pasivo_corte'!Q8</f>
        <v/>
      </c>
      <c r="D8" s="21">
        <f>B8-C8</f>
        <v/>
      </c>
      <c r="E8" s="21">
        <f>'11_Derecho_uso'!O8</f>
        <v/>
      </c>
      <c r="F8" s="21">
        <f>'11_Derecho_uso'!P8</f>
        <v/>
      </c>
      <c r="G8" s="21">
        <f>E8-F8</f>
        <v/>
      </c>
      <c r="H8" s="21">
        <f>0</f>
        <v/>
      </c>
      <c r="I8" s="21">
        <f>0</f>
        <v/>
      </c>
      <c r="J8" s="21">
        <f>0</f>
        <v/>
      </c>
    </row>
    <row r="9">
      <c r="A9" s="18" t="inlineStr">
        <is>
          <t>C-05</t>
        </is>
      </c>
      <c r="B9" s="20">
        <f>'10_Pasivo_corte'!G9</f>
        <v/>
      </c>
      <c r="C9" s="20">
        <f>'10_Pasivo_corte'!Q9</f>
        <v/>
      </c>
      <c r="D9" s="20">
        <f>B9-C9</f>
        <v/>
      </c>
      <c r="E9" s="20">
        <f>'11_Derecho_uso'!O9</f>
        <v/>
      </c>
      <c r="F9" s="20">
        <f>'11_Derecho_uso'!P9</f>
        <v/>
      </c>
      <c r="G9" s="20">
        <f>E9-F9</f>
        <v/>
      </c>
      <c r="H9" s="20">
        <f>0</f>
        <v/>
      </c>
      <c r="I9" s="20">
        <f>0</f>
        <v/>
      </c>
      <c r="J9" s="20">
        <f>0</f>
        <v/>
      </c>
    </row>
    <row r="10">
      <c r="A10" s="19" t="inlineStr">
        <is>
          <t>C-06</t>
        </is>
      </c>
      <c r="B10" s="21">
        <f>'10_Pasivo_corte'!G10</f>
        <v/>
      </c>
      <c r="C10" s="21">
        <f>'10_Pasivo_corte'!Q10</f>
        <v/>
      </c>
      <c r="D10" s="21">
        <f>B10-C10</f>
        <v/>
      </c>
      <c r="E10" s="21">
        <f>'11_Derecho_uso'!O10</f>
        <v/>
      </c>
      <c r="F10" s="21">
        <f>'11_Derecho_uso'!P10</f>
        <v/>
      </c>
      <c r="G10" s="21">
        <f>E10-F10</f>
        <v/>
      </c>
      <c r="H10" s="21">
        <f>'11_Derecho_uso'!K10</f>
        <v/>
      </c>
      <c r="I10" s="21">
        <f>'10_Pasivo_corte'!J10</f>
        <v/>
      </c>
      <c r="J10" s="21">
        <f>'10_Pasivo_corte'!O10</f>
        <v/>
      </c>
    </row>
    <row r="11">
      <c r="A11" s="18" t="inlineStr">
        <is>
          <t>C-07</t>
        </is>
      </c>
      <c r="B11" s="20">
        <f>'10_Pasivo_corte'!G11</f>
        <v/>
      </c>
      <c r="C11" s="20">
        <f>'10_Pasivo_corte'!Q11</f>
        <v/>
      </c>
      <c r="D11" s="20">
        <f>B11-C11</f>
        <v/>
      </c>
      <c r="E11" s="20">
        <f>'11_Derecho_uso'!O11</f>
        <v/>
      </c>
      <c r="F11" s="20">
        <f>'11_Derecho_uso'!P11</f>
        <v/>
      </c>
      <c r="G11" s="20">
        <f>E11-F11</f>
        <v/>
      </c>
      <c r="H11" s="20">
        <f>'11_Derecho_uso'!K11</f>
        <v/>
      </c>
      <c r="I11" s="20">
        <f>'10_Pasivo_corte'!J11</f>
        <v/>
      </c>
      <c r="J11" s="20">
        <f>'10_Pasivo_corte'!O11</f>
        <v/>
      </c>
    </row>
    <row r="12">
      <c r="A12" s="19" t="inlineStr">
        <is>
          <t>C-08</t>
        </is>
      </c>
      <c r="B12" s="21">
        <f>'10_Pasivo_corte'!G12</f>
        <v/>
      </c>
      <c r="C12" s="21">
        <f>'10_Pasivo_corte'!Q12</f>
        <v/>
      </c>
      <c r="D12" s="21">
        <f>B12-C12</f>
        <v/>
      </c>
      <c r="E12" s="21">
        <f>'11_Derecho_uso'!O12</f>
        <v/>
      </c>
      <c r="F12" s="21">
        <f>'11_Derecho_uso'!P12</f>
        <v/>
      </c>
      <c r="G12" s="21">
        <f>E12-F12</f>
        <v/>
      </c>
      <c r="H12" s="21">
        <f>'11_Derecho_uso'!K12</f>
        <v/>
      </c>
      <c r="I12" s="21">
        <f>'10_Pasivo_corte'!J12</f>
        <v/>
      </c>
      <c r="J12" s="21">
        <f>'10_Pasivo_corte'!O12</f>
        <v/>
      </c>
    </row>
    <row r="13">
      <c r="A13" s="18" t="inlineStr">
        <is>
          <t>C-09</t>
        </is>
      </c>
      <c r="B13" s="20">
        <f>'10_Pasivo_corte'!G13</f>
        <v/>
      </c>
      <c r="C13" s="20">
        <f>'10_Pasivo_corte'!Q13</f>
        <v/>
      </c>
      <c r="D13" s="20">
        <f>B13-C13</f>
        <v/>
      </c>
      <c r="E13" s="20">
        <f>'11_Derecho_uso'!O13</f>
        <v/>
      </c>
      <c r="F13" s="20">
        <f>'11_Derecho_uso'!P13</f>
        <v/>
      </c>
      <c r="G13" s="20">
        <f>E13-F13</f>
        <v/>
      </c>
      <c r="H13" s="20">
        <f>'11_Derecho_uso'!K13</f>
        <v/>
      </c>
      <c r="I13" s="20">
        <f>'10_Pasivo_corte'!J13</f>
        <v/>
      </c>
      <c r="J13" s="20">
        <f>'10_Pasivo_corte'!O13</f>
        <v/>
      </c>
    </row>
    <row r="14">
      <c r="A14" s="19" t="inlineStr">
        <is>
          <t>C-10</t>
        </is>
      </c>
      <c r="B14" s="21">
        <f>'10_Pasivo_corte'!G14</f>
        <v/>
      </c>
      <c r="C14" s="21">
        <f>'10_Pasivo_corte'!Q14</f>
        <v/>
      </c>
      <c r="D14" s="21">
        <f>B14-C14</f>
        <v/>
      </c>
      <c r="E14" s="21">
        <f>'11_Derecho_uso'!O14</f>
        <v/>
      </c>
      <c r="F14" s="21">
        <f>'11_Derecho_uso'!P14</f>
        <v/>
      </c>
      <c r="G14" s="21">
        <f>E14-F14</f>
        <v/>
      </c>
      <c r="H14" s="21">
        <f>'11_Derecho_uso'!K14</f>
        <v/>
      </c>
      <c r="I14" s="21">
        <f>'10_Pasivo_corte'!J14</f>
        <v/>
      </c>
      <c r="J14" s="21">
        <f>'10_Pasivo_corte'!O14</f>
        <v/>
      </c>
    </row>
    <row r="15">
      <c r="A15" s="18" t="inlineStr">
        <is>
          <t>C-11</t>
        </is>
      </c>
      <c r="B15" s="20">
        <f>'10_Pasivo_corte'!G15</f>
        <v/>
      </c>
      <c r="C15" s="20">
        <f>'10_Pasivo_corte'!Q15</f>
        <v/>
      </c>
      <c r="D15" s="20">
        <f>B15-C15</f>
        <v/>
      </c>
      <c r="E15" s="20">
        <f>'11_Derecho_uso'!O15</f>
        <v/>
      </c>
      <c r="F15" s="20">
        <f>'11_Derecho_uso'!P15</f>
        <v/>
      </c>
      <c r="G15" s="20">
        <f>E15-F15</f>
        <v/>
      </c>
      <c r="H15" s="20">
        <f>'11_Derecho_uso'!K15</f>
        <v/>
      </c>
      <c r="I15" s="20">
        <f>'10_Pasivo_corte'!J15</f>
        <v/>
      </c>
      <c r="J15" s="20">
        <f>'10_Pasivo_corte'!O15</f>
        <v/>
      </c>
    </row>
    <row r="16">
      <c r="A16" s="37" t="inlineStr">
        <is>
          <t>TOTAL</t>
        </is>
      </c>
      <c r="B16" s="40">
        <f>SUM(B5:B15)</f>
        <v/>
      </c>
      <c r="C16" s="40">
        <f>SUM(C5:C15)</f>
        <v/>
      </c>
      <c r="D16" s="40">
        <f>SUM(D5:D15)</f>
        <v/>
      </c>
      <c r="E16" s="40">
        <f>SUM(E5:E15)</f>
        <v/>
      </c>
      <c r="F16" s="40">
        <f>SUM(F5:F15)</f>
        <v/>
      </c>
      <c r="G16" s="40">
        <f>SUM(G5:G15)</f>
        <v/>
      </c>
      <c r="H16" s="40">
        <f>SUM(H5:H15)</f>
        <v/>
      </c>
      <c r="I16" s="40">
        <f>SUM(I5:I15)</f>
        <v/>
      </c>
      <c r="J16" s="40">
        <f>SUM(J5:J15)</f>
        <v/>
      </c>
    </row>
    <row r="18">
      <c r="A18" s="22" t="inlineStr">
        <is>
          <t>ⓘ  Cómo se calcula esta hoja</t>
        </is>
      </c>
    </row>
    <row r="19">
      <c r="A19" s="23" t="inlineStr">
        <is>
          <t>Columna</t>
        </is>
      </c>
      <c r="B19" s="23" t="inlineStr">
        <is>
          <t>Fórmula (Excel)</t>
        </is>
      </c>
      <c r="C19" s="23" t="inlineStr">
        <is>
          <t>Cómo se calcula (sencillo)</t>
        </is>
      </c>
      <c r="D19" s="23" t="inlineStr">
        <is>
          <t>Ejemplo con números reales</t>
        </is>
      </c>
      <c r="E19" s="23" t="inlineStr">
        <is>
          <t>De dónde viene</t>
        </is>
      </c>
      <c r="F19" s="23" t="inlineStr">
        <is>
          <t>Norma</t>
        </is>
      </c>
    </row>
    <row r="20">
      <c r="A20" s="24" t="inlineStr">
        <is>
          <t>Pasivo recalculado</t>
        </is>
      </c>
      <c r="B20" s="25" t="inlineStr">
        <is>
          <t>'='10_Pasivo_corte'!G5</t>
        </is>
      </c>
      <c r="C20" s="24" t="inlineStr">
        <is>
          <t>Trae el pasivo al corte recalculado de este contrato, de la hoja 10 (Pasivo al corte).</t>
        </is>
      </c>
      <c r="D20" s="24" t="inlineStr">
        <is>
          <t>Fila 1: 45.562,13 → 45.562,13</t>
        </is>
      </c>
      <c r="E20" s="24" t="inlineStr">
        <is>
          <t>hoja «Pasivo al corte: corriente y no corriente»</t>
        </is>
      </c>
      <c r="F20" s="24" t="inlineStr">
        <is>
          <t>—</t>
        </is>
      </c>
    </row>
    <row r="21">
      <c r="A21" s="24" t="inlineStr">
        <is>
          <t>Pasivo registrado</t>
        </is>
      </c>
      <c r="B21" s="25" t="inlineStr">
        <is>
          <t>'='10_Pasivo_corte'!Q5</t>
        </is>
      </c>
      <c r="C21" s="24" t="inlineStr">
        <is>
          <t>Trae el pasivo registrado por el cliente para este contrato, de la hoja 10 (Pasivo al corte).</t>
        </is>
      </c>
      <c r="D21" s="24" t="inlineStr">
        <is>
          <t>Fila 1: 17.000,00 → 17.000,00</t>
        </is>
      </c>
      <c r="E21" s="24" t="inlineStr">
        <is>
          <t>hoja «Pasivo al corte: corriente y no corriente»</t>
        </is>
      </c>
      <c r="F21" s="24" t="inlineStr">
        <is>
          <t>—</t>
        </is>
      </c>
    </row>
    <row r="22">
      <c r="A22" s="24" t="inlineStr">
        <is>
          <t>Ajuste pasivo</t>
        </is>
      </c>
      <c r="B22" s="25" t="inlineStr">
        <is>
          <t>'=B5-C5</t>
        </is>
      </c>
      <c r="C22" s="24" t="inlineStr">
        <is>
          <t>Pasivo recalculado menos pasivo registrado: el ajuste propuesto al pasivo de este contrato.</t>
        </is>
      </c>
      <c r="D22" s="24" t="inlineStr">
        <is>
          <t>Fila 1: 45.562,13-17.000,00 → 28.562,13</t>
        </is>
      </c>
      <c r="E22" s="24" t="inlineStr">
        <is>
          <t>«Pasivo recalculado» (esta hoja), «Pasivo registrado» (esta hoja)</t>
        </is>
      </c>
      <c r="F22" s="24" t="inlineStr">
        <is>
          <t>—</t>
        </is>
      </c>
    </row>
    <row r="23">
      <c r="A23" s="24" t="inlineStr">
        <is>
          <t>Activo recalculado</t>
        </is>
      </c>
      <c r="B23" s="25" t="inlineStr">
        <is>
          <t>'='11_Derecho_uso'!O5</t>
        </is>
      </c>
      <c r="C23" s="24" t="inlineStr">
        <is>
          <t>Trae el neto recalculado del activo, de la hoja 11 (Depreciación y deterioro del activo).</t>
        </is>
      </c>
      <c r="D23" s="24" t="inlineStr">
        <is>
          <t>Fila 1: 41.029,02 → 41.029,02</t>
        </is>
      </c>
      <c r="E23" s="24" t="inlineStr">
        <is>
          <t>hoja «Depreciación y deterioro del activo»</t>
        </is>
      </c>
      <c r="F23" s="24" t="inlineStr">
        <is>
          <t>—</t>
        </is>
      </c>
    </row>
    <row r="24">
      <c r="A24" s="24" t="inlineStr">
        <is>
          <t>Activo registrado</t>
        </is>
      </c>
      <c r="B24" s="25" t="inlineStr">
        <is>
          <t>'='11_Derecho_uso'!P5</t>
        </is>
      </c>
      <c r="C24" s="24" t="inlineStr">
        <is>
          <t>Trae el activo registrado neto por el cliente, de la hoja 11 (Depreciación y deterioro del activo).</t>
        </is>
      </c>
      <c r="D24" s="24" t="inlineStr">
        <is>
          <t>Fila 1: 16.500,00 → 16.500,00</t>
        </is>
      </c>
      <c r="E24" s="24" t="inlineStr">
        <is>
          <t>hoja «Depreciación y deterioro del activo»</t>
        </is>
      </c>
      <c r="F24" s="24" t="inlineStr">
        <is>
          <t>—</t>
        </is>
      </c>
    </row>
    <row r="25">
      <c r="A25" s="24" t="inlineStr">
        <is>
          <t>Ajuste activo</t>
        </is>
      </c>
      <c r="B25" s="25" t="inlineStr">
        <is>
          <t>'=E5-F5</t>
        </is>
      </c>
      <c r="C25" s="24" t="inlineStr">
        <is>
          <t>Activo recalculado menos activo registrado: el ajuste propuesto al activo de este contrato.</t>
        </is>
      </c>
      <c r="D25" s="24" t="inlineStr">
        <is>
          <t>Fila 1: 41.029,02-16.500,00 → 24.529,02</t>
        </is>
      </c>
      <c r="E25" s="24" t="inlineStr">
        <is>
          <t>«Activo recalculado» (esta hoja), «Activo registrado» (esta hoja)</t>
        </is>
      </c>
      <c r="F25" s="24" t="inlineStr">
        <is>
          <t>—</t>
        </is>
      </c>
    </row>
    <row r="26">
      <c r="A26" s="24" t="inlineStr">
        <is>
          <t>Depreciación del ejercicio</t>
        </is>
      </c>
      <c r="B26" s="25" t="inlineStr">
        <is>
          <t>'='11_Derecho_uso'!K5</t>
        </is>
      </c>
      <c r="C26" s="24" t="inlineStr">
        <is>
          <t>Trae la depreciación del ejercicio de la hoja 11; en los contratos que no se reconocen es 0.</t>
        </is>
      </c>
      <c r="D26" s="24" t="inlineStr">
        <is>
          <t>Fila 1: 13.676,34 → 13.676,34</t>
        </is>
      </c>
      <c r="E26" s="24" t="inlineStr">
        <is>
          <t>hoja «Depreciación y deterioro del activo»</t>
        </is>
      </c>
      <c r="F26" s="24" t="inlineStr">
        <is>
          <t>—</t>
        </is>
      </c>
    </row>
    <row r="27">
      <c r="A27" s="24" t="inlineStr">
        <is>
          <t>Interés del ejercicio</t>
        </is>
      </c>
      <c r="B27" s="25" t="inlineStr">
        <is>
          <t>'='10_Pasivo_corte'!J5</t>
        </is>
      </c>
      <c r="C27" s="24" t="inlineStr">
        <is>
          <t>Trae el interés del ejercicio de la hoja 10 (Pasivo al corte); en los contratos que no se reconocen es 0.</t>
        </is>
      </c>
      <c r="D27" s="24" t="inlineStr">
        <is>
          <t>Fila 1: 5.944,38 → 5.944,38</t>
        </is>
      </c>
      <c r="E27" s="24" t="inlineStr">
        <is>
          <t>hoja «Pasivo al corte: corriente y no corriente»</t>
        </is>
      </c>
      <c r="F27" s="24" t="inlineStr">
        <is>
          <t>—</t>
        </is>
      </c>
    </row>
    <row r="28">
      <c r="A28" s="24" t="inlineStr">
        <is>
          <t>Pasivo corriente</t>
        </is>
      </c>
      <c r="B28" s="25" t="inlineStr">
        <is>
          <t>'='10_Pasivo_corte'!O5</t>
        </is>
      </c>
      <c r="C28" s="24" t="inlineStr">
        <is>
          <t>Trae la parte corriente del pasivo de la hoja 10 (Pasivo al corte); en los contratos que no se reconocen es 0.</t>
        </is>
      </c>
      <c r="D28" s="24" t="inlineStr">
        <is>
          <t>Fila 1: 13.502,29 → 13.502,29</t>
        </is>
      </c>
      <c r="E28" s="24" t="inlineStr">
        <is>
          <t>hoja «Pasivo al corte: corriente y no corriente»</t>
        </is>
      </c>
      <c r="F28" s="24" t="inlineStr">
        <is>
          <t>—</t>
        </is>
      </c>
    </row>
  </sheetData>
  <mergeCells count="3">
    <mergeCell ref="A2:F2"/>
    <mergeCell ref="A1:F1"/>
    <mergeCell ref="A18:F18"/>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J29"/>
  <sheetViews>
    <sheetView showGridLines="0" workbookViewId="0">
      <pane ySplit="4" topLeftCell="A5" activePane="bottomLeft" state="frozen"/>
      <selection pane="bottomLeft" activeCell="A1" sqref="A1"/>
    </sheetView>
  </sheetViews>
  <sheetFormatPr baseColWidth="8" defaultRowHeight="15"/>
  <cols>
    <col width="26" customWidth="1" min="1" max="1"/>
    <col width="60" customWidth="1" min="2" max="2"/>
    <col width="12" customWidth="1" min="3" max="3"/>
  </cols>
  <sheetData>
    <row r="1">
      <c r="A1" s="3" t="inlineStr">
        <is>
          <t>Problemas encontrados</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row>
    <row r="4" ht="30" customHeight="1">
      <c r="A4" s="17" t="inlineStr">
        <is>
          <t>Código</t>
        </is>
      </c>
      <c r="B4" s="17" t="inlineStr">
        <is>
          <t>Descripción</t>
        </is>
      </c>
      <c r="C4" s="17" t="inlineStr">
        <is>
          <t>Importe</t>
        </is>
      </c>
    </row>
    <row r="5">
      <c r="A5" s="18" t="inlineStr">
        <is>
          <t>PASIVO_DIFERENCIA</t>
        </is>
      </c>
      <c r="B5" s="18" t="inlineStr">
        <is>
          <t>C-01: pasivo recalculado 45.562,13 vs registrado 17.000,00.</t>
        </is>
      </c>
      <c r="C5" s="20" t="n">
        <v>28562.13</v>
      </c>
    </row>
    <row r="6">
      <c r="A6" s="19" t="inlineStr">
        <is>
          <t>RENOVACION_NO_INCLUIDA</t>
        </is>
      </c>
      <c r="B6" s="19" t="inlineStr">
        <is>
          <t>C-01: la renovación es razonablemente cierta pero el cliente usó 36 meses en vez de 60 (18 a, B37).</t>
        </is>
      </c>
      <c r="C6" s="21" t="n">
        <v>0</v>
      </c>
    </row>
    <row r="7">
      <c r="A7" s="18" t="inlineStr">
        <is>
          <t>CLASIFICACION_CP_LP</t>
        </is>
      </c>
      <c r="B7" s="18" t="inlineStr">
        <is>
          <t>C-01: pasivo corriente recalculado 13.502,29 (capital de los próximos 12 meses) vs registrado 17.000,00.</t>
        </is>
      </c>
      <c r="C7" s="20" t="n">
        <v>-3497.71</v>
      </c>
    </row>
    <row r="8">
      <c r="A8" s="19" t="inlineStr">
        <is>
          <t>ACTIVO_DIFERENCIA</t>
        </is>
      </c>
      <c r="B8" s="19" t="inlineStr">
        <is>
          <t>C-01: derecho de uso recalculado 41.029,02 vs registrado 16.500,00.</t>
        </is>
      </c>
      <c r="C8" s="21" t="n">
        <v>24529.02</v>
      </c>
    </row>
    <row r="9">
      <c r="A9" s="18" t="inlineStr">
        <is>
          <t>INTERES_DIFERENCIA</t>
        </is>
      </c>
      <c r="B9" s="18" t="inlineStr">
        <is>
          <t>C-01: interés del ejercicio recalculado 5.944,38 vs registrado 2.600,00.</t>
        </is>
      </c>
      <c r="C9" s="20" t="n">
        <v>3344.38</v>
      </c>
    </row>
    <row r="10">
      <c r="A10" s="19" t="inlineStr">
        <is>
          <t>CLASIFICACION_CP_LP</t>
        </is>
      </c>
      <c r="B10" s="19" t="inlineStr">
        <is>
          <t>C-02: pasivo corriente recalculado 8.264,46 (capital de los próximos 12 meses) vs registrado 10.000,00.</t>
        </is>
      </c>
      <c r="C10" s="21" t="n">
        <v>-1735.54</v>
      </c>
    </row>
    <row r="11">
      <c r="A11" s="18" t="inlineStr">
        <is>
          <t>PASIVO_DIFERENCIA</t>
        </is>
      </c>
      <c r="B11" s="18" t="inlineStr">
        <is>
          <t>C-03: pasivo recalculado 20.852,15 vs registrado 0,00.</t>
        </is>
      </c>
      <c r="C11" s="20" t="n">
        <v>20852.15</v>
      </c>
    </row>
    <row r="12">
      <c r="A12" s="19" t="inlineStr">
        <is>
          <t>BAJO_VALOR_VEHICULO</t>
        </is>
      </c>
      <c r="B12" s="19" t="inlineStr">
        <is>
          <t>C-03: «Vehículo de gerencia» se declaró de bajo valor, pero un automóvil (coche nuevo) no tiene habitualmente escaso valor y no puede calificar como tal (B6); reconozca el arrendamiento (22).</t>
        </is>
      </c>
      <c r="C12" s="21" t="n">
        <v>20852.15</v>
      </c>
    </row>
    <row r="13">
      <c r="A13" s="18" t="inlineStr">
        <is>
          <t>EXENCION_MAL_APLICADA</t>
        </is>
      </c>
      <c r="B13" s="18" t="inlineStr">
        <is>
          <t>C-03: se trató como exento pero no es de corto plazo (≤ 12 meses y sin opción de compra) ni de bajo valor (5, B3–B8); debe reconocerse (22).</t>
        </is>
      </c>
      <c r="C13" s="20" t="n">
        <v>20852.15</v>
      </c>
    </row>
    <row r="14">
      <c r="A14" s="19" t="inlineStr">
        <is>
          <t>ACTIVO_DIFERENCIA</t>
        </is>
      </c>
      <c r="B14" s="19" t="inlineStr">
        <is>
          <t>C-03: derecho de uso recalculado 20.954,69 vs registrado 0,00.</t>
        </is>
      </c>
      <c r="C14" s="21" t="n">
        <v>20954.69</v>
      </c>
    </row>
    <row r="15">
      <c r="A15" s="18" t="inlineStr">
        <is>
          <t>BAJO_VALOR_B5_B7</t>
        </is>
      </c>
      <c r="B15" s="18" t="inlineStr">
        <is>
          <t>C-04: exención de bajo valor sin evidencia de B5 y B7. Confirme que el arrendatario puede beneficiarse del uso del activo por sí solo o junto con recursos fácilmente disponibles, que el activo no depende en medida apreciable de otros ni está estrechamente interrelacionado con ellos (B5) y que no se subarrienda (B7).</t>
        </is>
      </c>
      <c r="C15" s="20" t="n">
        <v>0</v>
      </c>
    </row>
    <row r="16">
      <c r="A16" s="19" t="inlineStr">
        <is>
          <t>PASIVO_DIFERENCIA</t>
        </is>
      </c>
      <c r="B16" s="19" t="inlineStr">
        <is>
          <t>C-07: pasivo recalculado 23.748,00 vs registrado 19.925,16.</t>
        </is>
      </c>
      <c r="C16" s="21" t="n">
        <v>3822.84</v>
      </c>
    </row>
    <row r="17">
      <c r="A17" s="18" t="inlineStr">
        <is>
          <t>MODIFICACION_NO_REMEDIDA</t>
        </is>
      </c>
      <c r="B17" s="18" t="inlineStr">
        <is>
          <t>C-07: modificación del 2025-01-01 no remedida por el cliente (39–46); ajuste al pasivo y al derecho de uso.</t>
        </is>
      </c>
      <c r="C17" s="20" t="n">
        <v>3247.31</v>
      </c>
    </row>
    <row r="18">
      <c r="A18" s="19" t="inlineStr">
        <is>
          <t>ACTIVO_DIFERENCIA</t>
        </is>
      </c>
      <c r="B18" s="19" t="inlineStr">
        <is>
          <t>C-07: derecho de uso recalculado 21.329,88 vs registrado 19.165,01.</t>
        </is>
      </c>
      <c r="C18" s="21" t="n">
        <v>2164.87</v>
      </c>
    </row>
    <row r="19">
      <c r="A19" s="18" t="inlineStr">
        <is>
          <t>INTERES_DIFERENCIA</t>
        </is>
      </c>
      <c r="B19" s="18" t="inlineStr">
        <is>
          <t>C-07: interés del ejercicio recalculado 3.075,52 vs registrado 2.474,01.</t>
        </is>
      </c>
      <c r="C19" s="20" t="n">
        <v>601.51</v>
      </c>
    </row>
    <row r="20">
      <c r="A20" s="19" t="inlineStr">
        <is>
          <t>VENTA_GANANCIA_POSTERIOR</t>
        </is>
      </c>
      <c r="B20" s="19" t="inlineStr">
        <is>
          <t>C-08: después de la fecha de inicio se reconoció en resultados 18.500,00 por la medición posterior de la venta con arrendamiento posterior. El párrafo 102A exige determinar los pagos (y los pagos revisados) de forma que no se reconozca ningún importe de ganancia o pérdida relacionado con el derecho de uso que el vendedor-arrendatario conserva; la remedición va contra el derecho de uso (39). Solo se admite el resultado de una terminación parcial o total del arrendamiento (46 a): revise el detalle del asiento y el soporte de la terminación.</t>
        </is>
      </c>
      <c r="C20" s="21" t="n">
        <v>18500</v>
      </c>
    </row>
    <row r="21">
      <c r="A21" s="18" t="inlineStr">
        <is>
          <t>VENTA_GANANCIA</t>
        </is>
      </c>
      <c r="B21" s="18" t="inlineStr">
        <is>
          <t>C-08: ganancia a reconocer en la venta 240.355,99 vs registrada 800.000,00 (100 a).</t>
        </is>
      </c>
      <c r="C21" s="20" t="n">
        <v>-559644.01</v>
      </c>
    </row>
    <row r="22">
      <c r="A22" s="19" t="inlineStr">
        <is>
          <t>DETERIORO</t>
        </is>
      </c>
      <c r="B22" s="19" t="inlineStr">
        <is>
          <t>C-09: el importe recuperable (50.000,00) es menor que el importe en libros; deterioro (33, NIC 36).</t>
        </is>
      </c>
      <c r="C22" s="21" t="n">
        <v>21307.75</v>
      </c>
    </row>
    <row r="23">
      <c r="A23" s="18" t="inlineStr">
        <is>
          <t>ACTIVO_DIFERENCIA</t>
        </is>
      </c>
      <c r="B23" s="18" t="inlineStr">
        <is>
          <t>C-09: derecho de uso recalculado 50.000,00 vs registrado 71.307,75.</t>
        </is>
      </c>
      <c r="C23" s="20" t="n">
        <v>-21307.75</v>
      </c>
    </row>
    <row r="24">
      <c r="A24" s="19" t="inlineStr">
        <is>
          <t>PASIVO_DIFERENCIA</t>
        </is>
      </c>
      <c r="B24" s="19" t="inlineStr">
        <is>
          <t>C-10: pasivo recalculado 22.583,03 vs registrado 0,00.</t>
        </is>
      </c>
      <c r="C24" s="21" t="n">
        <v>22583.03</v>
      </c>
    </row>
    <row r="25">
      <c r="A25" s="18" t="inlineStr">
        <is>
          <t>ACTIVO_DIFERENCIA</t>
        </is>
      </c>
      <c r="B25" s="18" t="inlineStr">
        <is>
          <t>C-10: derecho de uso recalculado 20.249,84 vs registrado 0,00.</t>
        </is>
      </c>
      <c r="C25" s="20" t="n">
        <v>20249.84</v>
      </c>
    </row>
    <row r="26">
      <c r="A26" s="19" t="inlineStr">
        <is>
          <t>INDEXADO_REMEDICION</t>
        </is>
      </c>
      <c r="B26" s="19" t="inlineStr">
        <is>
          <t>C-10: el pago incluye un componente ligado a «IPC del INEC (Ecuador)» (200,00 por período) medido con el índice de la fecha de comienzo (27 b, 28) y en el ejercicio no se registró ninguna remedición. Revise las notificaciones de reajuste del arrendador y las facturas del período: si el ajuste de los pagos surtió efecto, el párrafo 42 b exige remedir el pasivo con la tasa de descuento sin cambios (43).</t>
        </is>
      </c>
      <c r="C26" s="21" t="n">
        <v>2400</v>
      </c>
    </row>
    <row r="27">
      <c r="A27" s="18" t="inlineStr">
        <is>
          <t>PASIVO_DIFERENCIA</t>
        </is>
      </c>
      <c r="B27" s="18" t="inlineStr">
        <is>
          <t>C-11: pasivo recalculado 11.400,49 vs registrado 0,00.</t>
        </is>
      </c>
      <c r="C27" s="20" t="n">
        <v>11400.49</v>
      </c>
    </row>
    <row r="28">
      <c r="A28" s="19" t="inlineStr">
        <is>
          <t>ACTIVO_DIFERENCIA</t>
        </is>
      </c>
      <c r="B28" s="19" t="inlineStr">
        <is>
          <t>C-11: derecho de uso recalculado 10.882,28 vs registrado 0,00.</t>
        </is>
      </c>
      <c r="C28" s="21" t="n">
        <v>10882.28</v>
      </c>
    </row>
    <row r="29">
      <c r="A29" s="18" t="inlineStr">
        <is>
          <t>INDEXADO_SIN_IMPORTE</t>
        </is>
      </c>
      <c r="B29" s="18" t="inlineStr">
        <is>
          <t>C-11: el pago se declaró ajustado por un índice de inflación pero no se informó el importe del componente: el pago base y el componente quedan vacíos. Bajo la NIIF para las PYMES no se puede separar la cuota contingente del pago mínimo (20.11) ni del gasto lineal (20.15 b), y bajo NIIF completas no se puede comprobar la medición con el índice del comienzo (27 b) ni la remedición por cambio de índice (42 b). Pida al cliente el detalle de la factura o liquidación del período que separa la renta base del reajuste.</t>
        </is>
      </c>
      <c r="C29" s="20" t="n">
        <v>0</v>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J8"/>
  <sheetViews>
    <sheetView showGridLines="0" workbookViewId="0">
      <pane ySplit="4" topLeftCell="A5" activePane="bottomLeft" state="frozen"/>
      <selection pane="bottomLeft" activeCell="A1" sqref="A1"/>
    </sheetView>
  </sheetViews>
  <sheetFormatPr baseColWidth="8" defaultRowHeight="15"/>
  <cols>
    <col width="27" customWidth="1" min="1" max="1"/>
    <col width="47" customWidth="1" min="2" max="2"/>
  </cols>
  <sheetData>
    <row r="1">
      <c r="A1" s="3" t="inlineStr">
        <is>
          <t>Conclusión</t>
        </is>
      </c>
      <c r="H1" s="14" t="inlineStr">
        <is>
          <t>⟵ Inicio</t>
        </is>
      </c>
      <c r="I1" s="14" t="inlineStr">
        <is>
          <t>◀ Anterior</t>
        </is>
      </c>
      <c r="J1" s="14" t="inlineStr">
        <is>
          <t>Siguiente ▶</t>
        </is>
      </c>
    </row>
    <row r="2">
      <c r="A2" s="15" t="inlineStr">
        <is>
          <t>Arrendamientos · Cliente de muestra S.A. · corte 2025-12-31</t>
        </is>
      </c>
      <c r="B2" s="16" t="n"/>
      <c r="C2" s="16" t="n"/>
      <c r="D2" s="16" t="n"/>
      <c r="E2" s="16" t="n"/>
      <c r="F2" s="16" t="n"/>
    </row>
    <row r="4" ht="30" customHeight="1">
      <c r="A4" s="17" t="inlineStr">
        <is>
          <t>Concepto</t>
        </is>
      </c>
      <c r="B4" s="17" t="inlineStr">
        <is>
          <t>Detalle</t>
        </is>
      </c>
    </row>
    <row r="5">
      <c r="A5" s="18" t="inlineStr">
        <is>
          <t>Conciliación con el mayor</t>
        </is>
      </c>
      <c r="B5" s="18" t="inlineStr">
        <is>
          <t>Población None · mayor None · diferencia None</t>
        </is>
      </c>
    </row>
    <row r="6">
      <c r="A6" s="19" t="inlineStr">
        <is>
          <t>Evaluación de excepciones</t>
        </is>
      </c>
      <c r="B6" s="19" t="inlineStr"/>
    </row>
    <row r="7">
      <c r="A7" s="18" t="inlineStr">
        <is>
          <t>Análisis</t>
        </is>
      </c>
      <c r="B7" s="18" t="inlineStr"/>
    </row>
    <row r="8">
      <c r="A8" s="19" t="inlineStr">
        <is>
          <t>Conclusión</t>
        </is>
      </c>
      <c r="B8" s="19" t="inlineStr"/>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I4"/>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7" customWidth="1" min="3" max="3"/>
    <col width="14" customWidth="1" min="4" max="4"/>
    <col width="12" customWidth="1" min="5" max="5"/>
    <col width="12" customWidth="1" min="6" max="6"/>
  </cols>
  <sheetData>
    <row r="1">
      <c r="A1" s="3" t="inlineStr">
        <is>
          <t>Control de revisión</t>
        </is>
      </c>
      <c r="H1" s="14" t="inlineStr">
        <is>
          <t>⟵ Inicio</t>
        </is>
      </c>
      <c r="I1" s="14" t="inlineStr">
        <is>
          <t>◀ Anterior</t>
        </is>
      </c>
    </row>
    <row r="2">
      <c r="A2" s="15" t="inlineStr">
        <is>
          <t>Arrendamientos · Cliente de muestra S.A. · corte 2025-12-31</t>
        </is>
      </c>
      <c r="B2" s="16" t="n"/>
      <c r="C2" s="16" t="n"/>
      <c r="D2" s="16" t="n"/>
      <c r="E2" s="16" t="n"/>
      <c r="F2" s="16" t="n"/>
    </row>
    <row r="4" ht="30" customHeight="1">
      <c r="A4" s="17" t="inlineStr">
        <is>
          <t>Fecha</t>
        </is>
      </c>
      <c r="B4" s="17" t="inlineStr">
        <is>
          <t>Acción</t>
        </is>
      </c>
      <c r="C4" s="17" t="inlineStr">
        <is>
          <t>Estado anterior</t>
        </is>
      </c>
      <c r="D4" s="17" t="inlineStr">
        <is>
          <t>Estado nuevo</t>
        </is>
      </c>
      <c r="E4" s="17" t="inlineStr">
        <is>
          <t>Actor</t>
        </is>
      </c>
      <c r="F4" s="17" t="inlineStr">
        <is>
          <t>Comentario</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2026-09-24T04:19:38Z</dcterms:created>
  <dcterms:modified xmlns:dcterms="http://purl.org/dc/terms/" xmlns:xsi="http://www.w3.org/2001/XMLSchema-instance" xsi:type="dcterms:W3CDTF">2026-09-24T04:19:38Z</dcterms:modified>
</cp:coreProperties>
</file>