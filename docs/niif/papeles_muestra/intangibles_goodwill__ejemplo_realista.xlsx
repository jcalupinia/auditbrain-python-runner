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icio" sheetId="1" state="visible" r:id="rId1"/>
    <sheet xmlns:r="http://schemas.openxmlformats.org/officeDocument/2006/relationships" name="00_Caratula" sheetId="2" state="visible" r:id="rId2"/>
    <sheet xmlns:r="http://schemas.openxmlformats.org/officeDocument/2006/relationships" name="00_Programa" sheetId="3" state="visible" r:id="rId3"/>
    <sheet xmlns:r="http://schemas.openxmlformats.org/officeDocument/2006/relationships" name="00_Fuentes" sheetId="4" state="visible" r:id="rId4"/>
    <sheet xmlns:r="http://schemas.openxmlformats.org/officeDocument/2006/relationships" name="01_Resumen" sheetId="5" state="visible" r:id="rId5"/>
    <sheet xmlns:r="http://schemas.openxmlformats.org/officeDocument/2006/relationships" name="02_Parametros" sheetId="6" state="visible" r:id="rId6"/>
    <sheet xmlns:r="http://schemas.openxmlformats.org/officeDocument/2006/relationships" name="03_Intangibles" sheetId="7" state="visible" r:id="rId7"/>
    <sheet xmlns:r="http://schemas.openxmlformats.org/officeDocument/2006/relationships" name="04_Reconocimiento" sheetId="8" state="visible" r:id="rId8"/>
    <sheet xmlns:r="http://schemas.openxmlformats.org/officeDocument/2006/relationships" name="05_Amortizacion" sheetId="9" state="visible" r:id="rId9"/>
    <sheet xmlns:r="http://schemas.openxmlformats.org/officeDocument/2006/relationships" name="06_Vida_util" sheetId="10" state="visible" r:id="rId10"/>
    <sheet xmlns:r="http://schemas.openxmlformats.org/officeDocument/2006/relationships" name="07_Deterioro" sheetId="11" state="visible" r:id="rId11"/>
    <sheet xmlns:r="http://schemas.openxmlformats.org/officeDocument/2006/relationships" name="08_Reversion" sheetId="12" state="visible" r:id="rId12"/>
    <sheet xmlns:r="http://schemas.openxmlformats.org/officeDocument/2006/relationships" name="09_Ajuste" sheetId="13" state="visible" r:id="rId13"/>
    <sheet xmlns:r="http://schemas.openxmlformats.org/officeDocument/2006/relationships" name="10_Problemas" sheetId="14" state="visible" r:id="rId14"/>
    <sheet xmlns:r="http://schemas.openxmlformats.org/officeDocument/2006/relationships" name="13_Conclusion" sheetId="15" state="visible" r:id="rId15"/>
    <sheet xmlns:r="http://schemas.openxmlformats.org/officeDocument/2006/relationships" name="14_Control_Revision" sheetId="16" state="visible" r:id="rId16"/>
  </sheets>
  <definedNames>
    <definedName name="_xlnm.Print_Area" localSheetId="0">'00_Inicio'!$A$1:$L$69</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Montserrat"/>
      <b val="1"/>
      <color rgb="00FFFFFF"/>
      <sz val="16"/>
    </font>
    <font>
      <name val="Montserrat"/>
      <b val="1"/>
      <color rgb="000A2342"/>
      <sz val="15"/>
    </font>
    <font>
      <name val="Montserrat"/>
      <b val="1"/>
      <color rgb="000D7377"/>
      <sz val="9"/>
    </font>
    <font>
      <name val="Calibri"/>
      <color rgb="001A1A1A"/>
      <sz val="9"/>
    </font>
    <font>
      <name val="Montserrat"/>
      <b val="1"/>
      <color rgb="00C7A83C"/>
      <sz val="10"/>
    </font>
    <font>
      <name val="Consolas"/>
      <b val="1"/>
      <color rgb="000A2342"/>
      <sz val="18"/>
    </font>
    <font>
      <name val="Consolas"/>
      <b val="1"/>
      <color rgb="00C0392B"/>
      <sz val="18"/>
    </font>
    <font>
      <name val="Montserrat"/>
      <b val="1"/>
      <color rgb="00FFFFFF"/>
      <sz val="10"/>
    </font>
    <font>
      <name val="Calibri"/>
      <i val="1"/>
      <color rgb="006B7280"/>
      <sz val="8"/>
    </font>
    <font>
      <name val="Calibri"/>
      <color rgb="008A94A6"/>
      <sz val="8"/>
    </font>
    <font>
      <name val="Montserrat"/>
      <b val="1"/>
      <color rgb="000A2342"/>
      <sz val="9"/>
    </font>
    <font>
      <name val="Consolas"/>
      <color rgb="001A1A1A"/>
      <sz val="9"/>
    </font>
    <font>
      <name val="Consolas"/>
      <b val="1"/>
      <color rgb="000A2342"/>
      <sz val="10"/>
    </font>
  </fonts>
  <fills count="8">
    <fill>
      <patternFill/>
    </fill>
    <fill>
      <patternFill patternType="gray125"/>
    </fill>
    <fill>
      <patternFill patternType="solid">
        <fgColor rgb="000A2342"/>
      </patternFill>
    </fill>
    <fill>
      <patternFill patternType="solid">
        <fgColor rgb="00F4F6F9"/>
      </patternFill>
    </fill>
    <fill>
      <patternFill patternType="solid">
        <fgColor rgb="000D7377"/>
      </patternFill>
    </fill>
    <fill>
      <patternFill patternType="solid">
        <fgColor rgb="00DCE6F1"/>
      </patternFill>
    </fill>
    <fill>
      <patternFill patternType="solid">
        <fgColor rgb="00F7F9FC"/>
      </patternFill>
    </fill>
    <fill>
      <patternFill patternType="solid">
        <fgColor rgb="00C7A83C"/>
      </patternFill>
    </fill>
  </fills>
  <borders count="5">
    <border>
      <left/>
      <right/>
      <top/>
      <bottom/>
      <diagonal/>
    </border>
    <border>
      <left style="thin">
        <color rgb="00B7C0CC"/>
      </left>
      <right style="thin">
        <color rgb="00B7C0CC"/>
      </right>
      <top style="thin">
        <color rgb="00B7C0CC"/>
      </top>
      <bottom style="thin">
        <color rgb="00B7C0CC"/>
      </bottom>
    </border>
    <border>
      <bottom style="medium">
        <color rgb="00C7A83C"/>
      </bottom>
    </border>
    <border>
      <bottom style="thin">
        <color rgb="00E3E8EF"/>
      </bottom>
    </border>
    <border>
      <left style="thin">
        <color rgb="00B7C0CC"/>
      </left>
      <right style="thin">
        <color rgb="00B7C0CC"/>
      </right>
      <top style="double">
        <color rgb="000A2342"/>
      </top>
      <bottom style="double">
        <color rgb="000A2342"/>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3" borderId="1" applyAlignment="1" pivotButton="0" quotePrefix="0" xfId="0">
      <alignment vertical="bottom" wrapText="1"/>
    </xf>
    <xf numFmtId="4" fontId="6" fillId="3" borderId="1" pivotButton="0" quotePrefix="0" xfId="0"/>
    <xf numFmtId="3" fontId="7" fillId="3" borderId="1" pivotButton="0" quotePrefix="0" xfId="0"/>
    <xf numFmtId="0" fontId="8" fillId="4" borderId="1" applyAlignment="1" pivotButton="0" quotePrefix="0" xfId="0">
      <alignment horizontal="center" vertical="center" wrapText="1"/>
    </xf>
    <xf numFmtId="0" fontId="9" fillId="0" borderId="0" pivotButton="0" quotePrefix="0" xfId="0"/>
    <xf numFmtId="0" fontId="10" fillId="0" borderId="0" pivotButton="0" quotePrefix="0" xfId="0"/>
    <xf numFmtId="4" fontId="10" fillId="0" borderId="0" pivotButton="0" quotePrefix="0" xfId="0"/>
    <xf numFmtId="0" fontId="11" fillId="5" borderId="1" applyAlignment="1" pivotButton="0" quotePrefix="0" xfId="0">
      <alignment horizontal="center" vertical="center" wrapText="1"/>
    </xf>
    <xf numFmtId="0" fontId="5" fillId="0" borderId="2" pivotButton="0" quotePrefix="0" xfId="0"/>
    <xf numFmtId="0" fontId="0" fillId="0" borderId="2" pivotButton="0" quotePrefix="0" xfId="0"/>
    <xf numFmtId="0" fontId="8" fillId="2" borderId="2" applyAlignment="1" pivotButton="0" quotePrefix="0" xfId="0">
      <alignment horizontal="center" vertical="center" wrapText="1"/>
    </xf>
    <xf numFmtId="0" fontId="4" fillId="0" borderId="3" applyAlignment="1" pivotButton="0" quotePrefix="0" xfId="0">
      <alignment horizontal="left" vertical="top" wrapText="1"/>
    </xf>
    <xf numFmtId="0" fontId="4" fillId="6" borderId="3" applyAlignment="1" pivotButton="0" quotePrefix="0" xfId="0">
      <alignment horizontal="left" vertical="top" wrapText="1"/>
    </xf>
    <xf numFmtId="4" fontId="12" fillId="0" borderId="3" applyAlignment="1" pivotButton="0" quotePrefix="0" xfId="0">
      <alignment horizontal="right" vertical="center"/>
    </xf>
    <xf numFmtId="4" fontId="12" fillId="6" borderId="3" applyAlignment="1" pivotButton="0" quotePrefix="0" xfId="0">
      <alignment horizontal="right" vertical="center"/>
    </xf>
    <xf numFmtId="0" fontId="5" fillId="7" borderId="0" applyAlignment="1" pivotButton="0" quotePrefix="0" xfId="0">
      <alignment horizontal="left" vertical="top" wrapText="1"/>
    </xf>
    <xf numFmtId="0" fontId="8" fillId="2" borderId="1" applyAlignment="1" pivotButton="0" quotePrefix="0" xfId="0">
      <alignment horizontal="center" vertical="center" wrapText="1"/>
    </xf>
    <xf numFmtId="0" fontId="4" fillId="3" borderId="1" applyAlignment="1" pivotButton="0" quotePrefix="0" xfId="0">
      <alignment horizontal="left" vertical="top" wrapText="1"/>
    </xf>
    <xf numFmtId="0" fontId="12" fillId="3" borderId="1" applyAlignment="1" pivotButton="0" quotePrefix="0" xfId="0">
      <alignment horizontal="left" vertical="top" wrapText="1"/>
    </xf>
    <xf numFmtId="165" fontId="4" fillId="0" borderId="3" applyAlignment="1" pivotButton="0" quotePrefix="0" xfId="0">
      <alignment horizontal="center" vertical="center" wrapText="1"/>
    </xf>
    <xf numFmtId="0" fontId="12" fillId="0" borderId="3" applyAlignment="1" pivotButton="0" quotePrefix="0" xfId="0">
      <alignment horizontal="right" vertical="center"/>
    </xf>
    <xf numFmtId="0" fontId="12" fillId="6" borderId="3" applyAlignment="1" pivotButton="0" quotePrefix="0" xfId="0">
      <alignment horizontal="right" vertical="center"/>
    </xf>
    <xf numFmtId="165" fontId="12" fillId="0" borderId="3" applyAlignment="1" pivotButton="0" quotePrefix="0" xfId="0">
      <alignment horizontal="center" vertical="center" wrapText="1"/>
    </xf>
    <xf numFmtId="3" fontId="12" fillId="0" borderId="3" applyAlignment="1" pivotButton="0" quotePrefix="0" xfId="0">
      <alignment horizontal="right" vertical="center"/>
    </xf>
    <xf numFmtId="165" fontId="12" fillId="6" borderId="3" applyAlignment="1" pivotButton="0" quotePrefix="0" xfId="0">
      <alignment horizontal="center" vertical="center" wrapText="1"/>
    </xf>
    <xf numFmtId="3" fontId="12" fillId="6" borderId="3" applyAlignment="1" pivotButton="0" quotePrefix="0" xfId="0">
      <alignment horizontal="right" vertical="center"/>
    </xf>
    <xf numFmtId="165" fontId="12" fillId="0" borderId="3" applyAlignment="1" pivotButton="0" quotePrefix="0" xfId="0">
      <alignment horizontal="right" vertical="center"/>
    </xf>
    <xf numFmtId="165" fontId="12" fillId="6" borderId="3" applyAlignment="1" pivotButton="0" quotePrefix="0" xfId="0">
      <alignment horizontal="right" vertical="center"/>
    </xf>
    <xf numFmtId="0" fontId="13" fillId="5" borderId="4" applyAlignment="1" pivotButton="0" quotePrefix="0" xfId="0">
      <alignment horizontal="left" vertical="top" wrapText="1"/>
    </xf>
    <xf numFmtId="165" fontId="13" fillId="5" borderId="4" applyAlignment="1" pivotButton="0" quotePrefix="0" xfId="0">
      <alignment horizontal="right" vertical="center"/>
    </xf>
    <xf numFmtId="4" fontId="13" fillId="5" borderId="4" applyAlignment="1" pivotButton="0" quotePrefix="0" xfId="0">
      <alignment horizontal="right" vertical="center"/>
    </xf>
    <xf numFmtId="3" fontId="13" fillId="5" borderId="4"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Cifras del resumen (USD)</a:t>
            </a:r>
          </a:p>
        </rich>
      </tx>
    </title>
    <plotArea>
      <barChart>
        <barDir val="bar"/>
        <grouping val="clustered"/>
        <ser>
          <idx val="0"/>
          <order val="0"/>
          <tx>
            <strRef>
              <f>'00_Inicio'!O22</f>
            </strRef>
          </tx>
          <spPr>
            <a:solidFill xmlns:a="http://schemas.openxmlformats.org/drawingml/2006/main">
              <a:srgbClr val="0093A3"/>
            </a:solidFill>
            <a:ln xmlns:a="http://schemas.openxmlformats.org/drawingml/2006/main">
              <a:noFill/>
              <a:prstDash val="solid"/>
            </a:ln>
          </spPr>
          <invertIfNegative val="0"/>
          <cat>
            <numRef>
              <f>'00_Inicio'!$N$23:$N$36</f>
            </numRef>
          </cat>
          <val>
            <numRef>
              <f>'00_Inicio'!$O$23:$O$36</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Hallazgos de mayor impacto (USD)</a:t>
            </a:r>
          </a:p>
        </rich>
      </tx>
    </title>
    <plotArea>
      <barChart>
        <barDir val="bar"/>
        <grouping val="clustered"/>
        <ser>
          <idx val="0"/>
          <order val="0"/>
          <tx>
            <strRef>
              <f>'00_Inicio'!O38</f>
            </strRef>
          </tx>
          <spPr>
            <a:solidFill xmlns:a="http://schemas.openxmlformats.org/drawingml/2006/main">
              <a:srgbClr val="0093A3"/>
            </a:solidFill>
            <a:ln xmlns:a="http://schemas.openxmlformats.org/drawingml/2006/main">
              <a:noFill/>
              <a:prstDash val="solid"/>
            </a:ln>
          </spPr>
          <invertIfNegative val="0"/>
          <cat>
            <numRef>
              <f>'00_Inicio'!$N$39:$N$46</f>
            </numRef>
          </cat>
          <val>
            <numRef>
              <f>'00_Inicio'!$O$39:$O$46</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22</row>
      <rowOff>0</rowOff>
    </from>
    <ext cx="7740000" cy="47088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49</row>
      <rowOff>0</rowOff>
    </from>
    <ext cx="7740000" cy="3153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Caratula'!A1" TargetMode="External" Id="rId1"/><Relationship Type="http://schemas.openxmlformats.org/officeDocument/2006/relationships/hyperlink" Target="#'00_Programa'!A1" TargetMode="External" Id="rId2"/><Relationship Type="http://schemas.openxmlformats.org/officeDocument/2006/relationships/hyperlink" Target="#'00_Fuentes'!A1" TargetMode="External" Id="rId3"/><Relationship Type="http://schemas.openxmlformats.org/officeDocument/2006/relationships/hyperlink" Target="#'01_Resumen'!A1" TargetMode="External" Id="rId4"/><Relationship Type="http://schemas.openxmlformats.org/officeDocument/2006/relationships/hyperlink" Target="#'02_Parametros'!A1" TargetMode="External" Id="rId5"/><Relationship Type="http://schemas.openxmlformats.org/officeDocument/2006/relationships/hyperlink" Target="#'03_Intangibles'!A1" TargetMode="External" Id="rId6"/><Relationship Type="http://schemas.openxmlformats.org/officeDocument/2006/relationships/hyperlink" Target="#'04_Reconocimiento'!A1" TargetMode="External" Id="rId7"/><Relationship Type="http://schemas.openxmlformats.org/officeDocument/2006/relationships/hyperlink" Target="#'05_Amortizacion'!A1" TargetMode="External" Id="rId8"/><Relationship Type="http://schemas.openxmlformats.org/officeDocument/2006/relationships/hyperlink" Target="#'06_Vida_util'!A1" TargetMode="External" Id="rId9"/><Relationship Type="http://schemas.openxmlformats.org/officeDocument/2006/relationships/hyperlink" Target="#'07_Deterioro'!A1" TargetMode="External" Id="rId10"/><Relationship Type="http://schemas.openxmlformats.org/officeDocument/2006/relationships/hyperlink" Target="#'08_Reversion'!A1" TargetMode="External" Id="rId11"/><Relationship Type="http://schemas.openxmlformats.org/officeDocument/2006/relationships/hyperlink" Target="#'09_Ajuste'!A1" TargetMode="External" Id="rId12"/><Relationship Type="http://schemas.openxmlformats.org/officeDocument/2006/relationships/hyperlink" Target="#'10_Problemas'!A1" TargetMode="External" Id="rId13"/><Relationship Type="http://schemas.openxmlformats.org/officeDocument/2006/relationships/hyperlink" Target="#'13_Conclusion'!A1" TargetMode="External" Id="rId14"/><Relationship Type="http://schemas.openxmlformats.org/officeDocument/2006/relationships/hyperlink" Target="#'14_Control_Revision'!A1" TargetMode="External" Id="rId15"/><Relationship Type="http://schemas.openxmlformats.org/officeDocument/2006/relationships/drawing" Target="/xl/drawings/drawing1.xml" Id="rId16"/></Relationships>
</file>

<file path=xl/worksheets/_rels/sheet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s>
</file>

<file path=xl/worksheets/_rels/sheet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Caratula'!A1" TargetMode="External" Id="rId2"/><Relationship Type="http://schemas.openxmlformats.org/officeDocument/2006/relationships/hyperlink" Target="#'00_Fuentes'!A1" TargetMode="External" Id="rId3"/></Relationships>
</file>

<file path=xl/worksheets/_rels/sheet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 Type="http://schemas.openxmlformats.org/officeDocument/2006/relationships/hyperlink" Target="#'01_Resumen'!A1" TargetMode="External" Id="rId3"/></Relationships>
</file>

<file path=xl/worksheets/_rels/sheet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Fuentes'!A1" TargetMode="External" Id="rId2"/><Relationship Type="http://schemas.openxmlformats.org/officeDocument/2006/relationships/hyperlink" Target="#'02_Parametros'!A1" TargetMode="External" Id="rId3"/></Relationships>
</file>

<file path=xl/worksheets/_rels/sheet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1_Resumen'!A1" TargetMode="External" Id="rId2"/><Relationship Type="http://schemas.openxmlformats.org/officeDocument/2006/relationships/hyperlink" Target="#'03_Intangibles'!A1" TargetMode="External" Id="rId3"/></Relationships>
</file>

<file path=xl/worksheets/_rels/sheet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2_Parametros'!A1" TargetMode="External" Id="rId2"/><Relationship Type="http://schemas.openxmlformats.org/officeDocument/2006/relationships/hyperlink" Target="#'04_Reconocimiento'!A1" TargetMode="External" Id="rId3"/></Relationships>
</file>

<file path=xl/worksheets/_rels/sheet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3_Intangibles'!A1" TargetMode="External" Id="rId2"/><Relationship Type="http://schemas.openxmlformats.org/officeDocument/2006/relationships/hyperlink" Target="#'05_Amortizacion'!A1" TargetMode="External" Id="rId3"/></Relationships>
</file>

<file path=xl/worksheets/_rels/sheet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4_Reconocimiento'!A1" TargetMode="External" Id="rId2"/><Relationship Type="http://schemas.openxmlformats.org/officeDocument/2006/relationships/hyperlink" Target="#'06_Vida_util'!A1" TargetMode="External" Id="rId3"/></Relationships>
</file>

<file path=xl/worksheets/_rels/sheet1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5_Amortizacion'!A1" TargetMode="External" Id="rId2"/><Relationship Type="http://schemas.openxmlformats.org/officeDocument/2006/relationships/hyperlink" Target="#'07_Deterioro'!A1" TargetMode="External" Id="rId3"/></Relationships>
</file>

<file path=xl/worksheets/_rels/sheet11.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6_Vida_util'!A1" TargetMode="External" Id="rId2"/><Relationship Type="http://schemas.openxmlformats.org/officeDocument/2006/relationships/hyperlink" Target="#'08_Reversion'!A1" TargetMode="External" Id="rId3"/></Relationships>
</file>

<file path=xl/worksheets/_rels/sheet1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7_Deterioro'!A1" TargetMode="External" Id="rId2"/><Relationship Type="http://schemas.openxmlformats.org/officeDocument/2006/relationships/hyperlink" Target="#'09_Ajuste'!A1" TargetMode="External" Id="rId3"/></Relationships>
</file>

<file path=xl/worksheets/_rels/sheet1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8_Reversion'!A1" TargetMode="External" Id="rId2"/><Relationship Type="http://schemas.openxmlformats.org/officeDocument/2006/relationships/hyperlink" Target="#'10_Problemas'!A1" TargetMode="External" Id="rId3"/></Relationships>
</file>

<file path=xl/worksheets/_rels/sheet1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9_Ajuste'!A1" TargetMode="External" Id="rId2"/><Relationship Type="http://schemas.openxmlformats.org/officeDocument/2006/relationships/hyperlink" Target="#'13_Conclusion'!A1" TargetMode="External" Id="rId3"/></Relationships>
</file>

<file path=xl/worksheets/_rels/sheet1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0_Problemas'!A1" TargetMode="External" Id="rId2"/><Relationship Type="http://schemas.openxmlformats.org/officeDocument/2006/relationships/hyperlink" Target="#'14_Control_Revision'!A1" TargetMode="External" Id="rId3"/></Relationships>
</file>

<file path=xl/worksheets/_rels/sheet1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Conclusion'!A1" TargetMode="External" Id="rId2"/></Relationships>
</file>

<file path=xl/worksheets/sheet1.xml><?xml version="1.0" encoding="utf-8"?>
<worksheet xmlns="http://schemas.openxmlformats.org/spreadsheetml/2006/main">
  <sheetPr>
    <outlinePr summaryBelow="1" summaryRight="1"/>
    <pageSetUpPr fitToPage="1"/>
  </sheetPr>
  <dimension ref="B2:O46"/>
  <sheetViews>
    <sheetView showGridLines="0" workbookViewId="0">
      <selection activeCell="A1" sqref="A1"/>
    </sheetView>
  </sheetViews>
  <sheetFormatPr baseColWidth="8" defaultRowHeight="15"/>
  <cols>
    <col width="3" customWidth="1" min="1" max="1"/>
    <col width="27" customWidth="1" min="2" max="2"/>
    <col width="27" customWidth="1" min="3" max="3"/>
    <col width="27" customWidth="1" min="4" max="4"/>
    <col width="27" customWidth="1" min="5" max="5"/>
    <col width="27" customWidth="1" min="6" max="6"/>
    <col width="34" customWidth="1" min="14" max="14"/>
    <col width="16" customWidth="1" min="15" max="15"/>
  </cols>
  <sheetData>
    <row r="2">
      <c r="B2" s="1" t="inlineStr">
        <is>
          <t>AuditConsulting Auditores Cía. Ltda.  ·  AUDIT-IA</t>
        </is>
      </c>
      <c r="C2" s="2" t="n"/>
      <c r="D2" s="2" t="n"/>
      <c r="E2" s="2" t="n"/>
      <c r="F2" s="2" t="n"/>
    </row>
    <row r="3">
      <c r="B3" s="2" t="n"/>
      <c r="C3" s="2" t="n"/>
      <c r="D3" s="2" t="n"/>
      <c r="E3" s="2" t="n"/>
      <c r="F3" s="2" t="n"/>
    </row>
    <row r="4">
      <c r="B4" s="3" t="inlineStr">
        <is>
          <t>Activos intangibles y goodwill</t>
        </is>
      </c>
    </row>
    <row r="6">
      <c r="B6" s="4" t="inlineStr">
        <is>
          <t>Cliente</t>
        </is>
      </c>
      <c r="C6" s="5" t="inlineStr">
        <is>
          <t>Cliente de muestra S.A.</t>
        </is>
      </c>
      <c r="D6" s="4" t="inlineStr">
        <is>
          <t>RUC</t>
        </is>
      </c>
      <c r="E6" s="5" t="inlineStr">
        <is>
          <t>1790000000001</t>
        </is>
      </c>
    </row>
    <row r="7">
      <c r="B7" s="4" t="inlineStr">
        <is>
          <t>Marco contable</t>
        </is>
      </c>
      <c r="C7" s="5" t="inlineStr">
        <is>
          <t>NIIF completas</t>
        </is>
      </c>
      <c r="D7" s="4" t="inlineStr">
        <is>
          <t>Fecha de corte</t>
        </is>
      </c>
      <c r="E7" s="5" t="inlineStr">
        <is>
          <t>2025-12-31</t>
        </is>
      </c>
    </row>
    <row r="8">
      <c r="B8" s="4" t="inlineStr">
        <is>
          <t>Preparó</t>
        </is>
      </c>
      <c r="C8" s="5" t="inlineStr">
        <is>
          <t>Ejercicio modelo</t>
        </is>
      </c>
      <c r="D8" s="4" t="inlineStr">
        <is>
          <t>Revisó</t>
        </is>
      </c>
      <c r="E8" s="5" t="inlineStr">
        <is>
          <t>Pendiente</t>
        </is>
      </c>
    </row>
    <row r="10">
      <c r="B10" s="6" t="inlineStr">
        <is>
          <t>INDICADORES CLAVE</t>
        </is>
      </c>
    </row>
    <row r="11" ht="30" customHeight="1">
      <c r="B11" s="7" t="inlineStr">
        <is>
          <t>Ajuste propuesto (neto)</t>
        </is>
      </c>
      <c r="C11" s="7" t="inlineStr">
        <is>
          <t>Problemas encontrados</t>
        </is>
      </c>
    </row>
    <row r="12">
      <c r="B12" s="8" t="n">
        <v>-42000</v>
      </c>
      <c r="C12" s="9" t="n">
        <v>14</v>
      </c>
    </row>
    <row r="15">
      <c r="B15" s="6" t="inlineStr">
        <is>
          <t>IR A LA CÉDULA</t>
        </is>
      </c>
    </row>
    <row r="16" ht="32" customHeight="1">
      <c r="B16" s="10" t="inlineStr">
        <is>
          <t>Carátula</t>
        </is>
      </c>
      <c r="C16" s="10" t="inlineStr">
        <is>
          <t>Programa</t>
        </is>
      </c>
      <c r="D16" s="10" t="inlineStr">
        <is>
          <t>Base técnica</t>
        </is>
      </c>
      <c r="E16" s="10" t="inlineStr">
        <is>
          <t>Resumen y ajuste propuesto</t>
        </is>
      </c>
    </row>
    <row r="17" ht="32" customHeight="1">
      <c r="B17" s="10" t="inlineStr">
        <is>
          <t>Parámetros</t>
        </is>
      </c>
      <c r="C17" s="10" t="inlineStr">
        <is>
          <t>Auxiliar de intangibles y goodwill</t>
        </is>
      </c>
      <c r="D17" s="10" t="inlineStr">
        <is>
          <t>Reconocimiento e investigación / desarrollo</t>
        </is>
      </c>
      <c r="E17" s="10" t="inlineStr">
        <is>
          <t>Amortización y vida finita / indefinida</t>
        </is>
      </c>
    </row>
    <row r="18" ht="32" customHeight="1">
      <c r="B18" s="10" t="inlineStr">
        <is>
          <t>Revisión de vida útil y valor residual</t>
        </is>
      </c>
      <c r="C18" s="10" t="inlineStr">
        <is>
          <t>Deterioro e importe recuperable</t>
        </is>
      </c>
      <c r="D18" s="10" t="inlineStr">
        <is>
          <t>Reversión del deterioro</t>
        </is>
      </c>
      <c r="E18" s="10" t="inlineStr">
        <is>
          <t>Valor neto y ajuste propuesto</t>
        </is>
      </c>
    </row>
    <row r="19" ht="32" customHeight="1">
      <c r="B19" s="10" t="inlineStr">
        <is>
          <t>Problemas encontrados</t>
        </is>
      </c>
      <c r="C19" s="10" t="inlineStr">
        <is>
          <t>Conclusión</t>
        </is>
      </c>
      <c r="D19" s="10" t="inlineStr">
        <is>
          <t>Control de revisión</t>
        </is>
      </c>
    </row>
    <row r="21">
      <c r="B21" s="6" t="inlineStr">
        <is>
          <t>PANORAMA</t>
        </is>
      </c>
      <c r="N21" s="11" t="inlineStr">
        <is>
          <t>Datos de los gráficos (fórmulas a las cédulas)</t>
        </is>
      </c>
    </row>
    <row r="22">
      <c r="N22" s="12" t="inlineStr">
        <is>
          <t>Cifras del resumen</t>
        </is>
      </c>
      <c r="O22" s="12" t="inlineStr">
        <is>
          <t>Importe (USD)</t>
        </is>
      </c>
    </row>
    <row r="23">
      <c r="N23" s="12">
        <f>'01_Resumen'!A5</f>
        <v/>
      </c>
      <c r="O23" s="13">
        <f>'01_Resumen'!B5</f>
        <v/>
      </c>
    </row>
    <row r="24">
      <c r="N24" s="12">
        <f>'01_Resumen'!A6</f>
        <v/>
      </c>
      <c r="O24" s="13">
        <f>'01_Resumen'!B6</f>
        <v/>
      </c>
    </row>
    <row r="25">
      <c r="N25" s="12">
        <f>'01_Resumen'!A7</f>
        <v/>
      </c>
      <c r="O25" s="13">
        <f>'01_Resumen'!B7</f>
        <v/>
      </c>
    </row>
    <row r="26">
      <c r="N26" s="12">
        <f>'01_Resumen'!A8</f>
        <v/>
      </c>
      <c r="O26" s="13">
        <f>'01_Resumen'!B8</f>
        <v/>
      </c>
    </row>
    <row r="27">
      <c r="N27" s="12">
        <f>'01_Resumen'!A9</f>
        <v/>
      </c>
      <c r="O27" s="13">
        <f>'01_Resumen'!B9</f>
        <v/>
      </c>
    </row>
    <row r="28">
      <c r="N28" s="12">
        <f>'01_Resumen'!A10</f>
        <v/>
      </c>
      <c r="O28" s="13">
        <f>'01_Resumen'!B10</f>
        <v/>
      </c>
    </row>
    <row r="29">
      <c r="N29" s="12">
        <f>'01_Resumen'!A11</f>
        <v/>
      </c>
      <c r="O29" s="13">
        <f>'01_Resumen'!B11</f>
        <v/>
      </c>
    </row>
    <row r="30">
      <c r="N30" s="12">
        <f>'01_Resumen'!A12</f>
        <v/>
      </c>
      <c r="O30" s="13">
        <f>'01_Resumen'!B12</f>
        <v/>
      </c>
    </row>
    <row r="31">
      <c r="N31" s="12">
        <f>'01_Resumen'!A13</f>
        <v/>
      </c>
      <c r="O31" s="13">
        <f>'01_Resumen'!B13</f>
        <v/>
      </c>
    </row>
    <row r="32">
      <c r="N32" s="12">
        <f>'01_Resumen'!A14</f>
        <v/>
      </c>
      <c r="O32" s="13">
        <f>'01_Resumen'!B14</f>
        <v/>
      </c>
    </row>
    <row r="33">
      <c r="N33" s="12">
        <f>'01_Resumen'!A15</f>
        <v/>
      </c>
      <c r="O33" s="13">
        <f>'01_Resumen'!B15</f>
        <v/>
      </c>
    </row>
    <row r="34">
      <c r="N34" s="12">
        <f>'01_Resumen'!A16</f>
        <v/>
      </c>
      <c r="O34" s="13">
        <f>'01_Resumen'!B16</f>
        <v/>
      </c>
    </row>
    <row r="35">
      <c r="N35" s="12">
        <f>'01_Resumen'!A17</f>
        <v/>
      </c>
      <c r="O35" s="13">
        <f>'01_Resumen'!B17</f>
        <v/>
      </c>
    </row>
    <row r="36">
      <c r="N36" s="12">
        <f>'01_Resumen'!A18</f>
        <v/>
      </c>
      <c r="O36" s="13">
        <f>'01_Resumen'!B18</f>
        <v/>
      </c>
    </row>
    <row r="38">
      <c r="N38" s="12" t="inlineStr">
        <is>
          <t>Hallazgos de mayor impacto</t>
        </is>
      </c>
      <c r="O38" s="12" t="inlineStr">
        <is>
          <t>Importe (USD)</t>
        </is>
      </c>
    </row>
    <row r="39">
      <c r="N39" s="12" t="inlineStr">
        <is>
          <t>Ajuste</t>
        </is>
      </c>
      <c r="O39" s="13">
        <f>SUMIFS('10_Problemas'!$C$5:$C$18,'10_Problemas'!$A$5:$A$18,"AJUSTE",'10_Problemas'!$C$5:$C$18,"&gt;0")-SUMIFS('10_Problemas'!$C$5:$C$18,'10_Problemas'!$A$5:$A$18,"AJUSTE",'10_Problemas'!$C$5:$C$18,"&lt;0")</f>
        <v/>
      </c>
    </row>
    <row r="40">
      <c r="N40" s="12" t="inlineStr">
        <is>
          <t>Sin prueba deterioro</t>
        </is>
      </c>
      <c r="O40" s="13">
        <f>SUMIFS('10_Problemas'!$C$5:$C$18,'10_Problemas'!$A$5:$A$18,"SIN_PRUEBA_DETERIORO",'10_Problemas'!$C$5:$C$18,"&gt;0")-SUMIFS('10_Problemas'!$C$5:$C$18,'10_Problemas'!$A$5:$A$18,"SIN_PRUEBA_DETERIORO",'10_Problemas'!$C$5:$C$18,"&lt;0")</f>
        <v/>
      </c>
    </row>
    <row r="41">
      <c r="N41" s="12" t="inlineStr">
        <is>
          <t>Sin revision vida</t>
        </is>
      </c>
      <c r="O41" s="13">
        <f>SUMIFS('10_Problemas'!$C$5:$C$18,'10_Problemas'!$A$5:$A$18,"SIN_REVISION_VIDA",'10_Problemas'!$C$5:$C$18,"&gt;0")-SUMIFS('10_Problemas'!$C$5:$C$18,'10_Problemas'!$A$5:$A$18,"SIN_REVISION_VIDA",'10_Problemas'!$C$5:$C$18,"&lt;0")</f>
        <v/>
      </c>
    </row>
    <row r="42">
      <c r="N42" s="12" t="inlineStr">
        <is>
          <t>Metodo ingresos excepcion</t>
        </is>
      </c>
      <c r="O42" s="13">
        <f>SUMIFS('10_Problemas'!$C$5:$C$18,'10_Problemas'!$A$5:$A$18,"METODO_INGRESOS_EXCEPCION",'10_Problemas'!$C$5:$C$18,"&gt;0")-SUMIFS('10_Problemas'!$C$5:$C$18,'10_Problemas'!$A$5:$A$18,"METODO_INGRESOS_EXCEPCION",'10_Problemas'!$C$5:$C$18,"&lt;0")</f>
        <v/>
      </c>
    </row>
    <row r="43">
      <c r="N43" s="12" t="inlineStr">
        <is>
          <t>Investigacion capitalizada</t>
        </is>
      </c>
      <c r="O43" s="13">
        <f>SUMIFS('10_Problemas'!$C$5:$C$18,'10_Problemas'!$A$5:$A$18,"INVESTIGACION_CAPITALIZADA",'10_Problemas'!$C$5:$C$18,"&gt;0")-SUMIFS('10_Problemas'!$C$5:$C$18,'10_Problemas'!$A$5:$A$18,"INVESTIGACION_CAPITALIZADA",'10_Problemas'!$C$5:$C$18,"&lt;0")</f>
        <v/>
      </c>
    </row>
    <row r="44">
      <c r="N44" s="12" t="inlineStr">
        <is>
          <t>Reversion goodwill</t>
        </is>
      </c>
      <c r="O44" s="13">
        <f>SUMIFS('10_Problemas'!$C$5:$C$18,'10_Problemas'!$A$5:$A$18,"REVERSION_GOODWILL",'10_Problemas'!$C$5:$C$18,"&gt;0")-SUMIFS('10_Problemas'!$C$5:$C$18,'10_Problemas'!$A$5:$A$18,"REVERSION_GOODWILL",'10_Problemas'!$C$5:$C$18,"&lt;0")</f>
        <v/>
      </c>
    </row>
    <row r="45">
      <c r="N45" s="12" t="inlineStr">
        <is>
          <t>Desarrollo no cumple 57</t>
        </is>
      </c>
      <c r="O45" s="13">
        <f>SUMIFS('10_Problemas'!$C$5:$C$18,'10_Problemas'!$A$5:$A$18,"DESARROLLO_NO_CUMPLE_57",'10_Problemas'!$C$5:$C$18,"&gt;0")-SUMIFS('10_Problemas'!$C$5:$C$18,'10_Problemas'!$A$5:$A$18,"DESARROLLO_NO_CUMPLE_57",'10_Problemas'!$C$5:$C$18,"&lt;0")</f>
        <v/>
      </c>
    </row>
    <row r="46">
      <c r="N46" s="12" t="inlineStr">
        <is>
          <t>Otros (7 tipos)</t>
        </is>
      </c>
      <c r="O46" s="13">
        <f>SUMIF('10_Problemas'!$C$5:$C$18,"&gt;0")-SUMIF('10_Problemas'!$C$5:$C$18,"&lt;0")-((SUMIFS('10_Problemas'!$C$5:$C$18,'10_Problemas'!$A$5:$A$18,"AJUSTE",'10_Problemas'!$C$5:$C$18,"&gt;0")-SUMIFS('10_Problemas'!$C$5:$C$18,'10_Problemas'!$A$5:$A$18,"AJUSTE",'10_Problemas'!$C$5:$C$18,"&lt;0"))+(SUMIFS('10_Problemas'!$C$5:$C$18,'10_Problemas'!$A$5:$A$18,"SIN_PRUEBA_DETERIORO",'10_Problemas'!$C$5:$C$18,"&gt;0")-SUMIFS('10_Problemas'!$C$5:$C$18,'10_Problemas'!$A$5:$A$18,"SIN_PRUEBA_DETERIORO",'10_Problemas'!$C$5:$C$18,"&lt;0"))+(SUMIFS('10_Problemas'!$C$5:$C$18,'10_Problemas'!$A$5:$A$18,"SIN_REVISION_VIDA",'10_Problemas'!$C$5:$C$18,"&gt;0")-SUMIFS('10_Problemas'!$C$5:$C$18,'10_Problemas'!$A$5:$A$18,"SIN_REVISION_VIDA",'10_Problemas'!$C$5:$C$18,"&lt;0"))+(SUMIFS('10_Problemas'!$C$5:$C$18,'10_Problemas'!$A$5:$A$18,"METODO_INGRESOS_EXCEPCION",'10_Problemas'!$C$5:$C$18,"&gt;0")-SUMIFS('10_Problemas'!$C$5:$C$18,'10_Problemas'!$A$5:$A$18,"METODO_INGRESOS_EXCEPCION",'10_Problemas'!$C$5:$C$18,"&lt;0"))+(SUMIFS('10_Problemas'!$C$5:$C$18,'10_Problemas'!$A$5:$A$18,"INVESTIGACION_CAPITALIZADA",'10_Problemas'!$C$5:$C$18,"&gt;0")-SUMIFS('10_Problemas'!$C$5:$C$18,'10_Problemas'!$A$5:$A$18,"INVESTIGACION_CAPITALIZADA",'10_Problemas'!$C$5:$C$18,"&lt;0"))+(SUMIFS('10_Problemas'!$C$5:$C$18,'10_Problemas'!$A$5:$A$18,"REVERSION_GOODWILL",'10_Problemas'!$C$5:$C$18,"&gt;0")-SUMIFS('10_Problemas'!$C$5:$C$18,'10_Problemas'!$A$5:$A$18,"REVERSION_GOODWILL",'10_Problemas'!$C$5:$C$18,"&lt;0"))+(SUMIFS('10_Problemas'!$C$5:$C$18,'10_Problemas'!$A$5:$A$18,"DESARROLLO_NO_CUMPLE_57",'10_Problemas'!$C$5:$C$18,"&gt;0")-SUMIFS('10_Problemas'!$C$5:$C$18,'10_Problemas'!$A$5:$A$18,"DESARROLLO_NO_CUMPLE_57",'10_Problemas'!$C$5:$C$18,"&lt;0")))</f>
        <v/>
      </c>
    </row>
  </sheetData>
  <mergeCells count="2">
    <mergeCell ref="B4:F4"/>
    <mergeCell ref="B2:F3"/>
  </mergeCells>
  <hyperlinks>
    <hyperlink xmlns:r="http://schemas.openxmlformats.org/officeDocument/2006/relationships" ref="B16" r:id="rId1"/>
    <hyperlink xmlns:r="http://schemas.openxmlformats.org/officeDocument/2006/relationships" ref="C16" r:id="rId2"/>
    <hyperlink xmlns:r="http://schemas.openxmlformats.org/officeDocument/2006/relationships" ref="D16" r:id="rId3"/>
    <hyperlink xmlns:r="http://schemas.openxmlformats.org/officeDocument/2006/relationships" ref="E16" r:id="rId4"/>
    <hyperlink xmlns:r="http://schemas.openxmlformats.org/officeDocument/2006/relationships" ref="B17" r:id="rId5"/>
    <hyperlink xmlns:r="http://schemas.openxmlformats.org/officeDocument/2006/relationships" ref="C17" r:id="rId6"/>
    <hyperlink xmlns:r="http://schemas.openxmlformats.org/officeDocument/2006/relationships" ref="D17" r:id="rId7"/>
    <hyperlink xmlns:r="http://schemas.openxmlformats.org/officeDocument/2006/relationships" ref="E17" r:id="rId8"/>
    <hyperlink xmlns:r="http://schemas.openxmlformats.org/officeDocument/2006/relationships" ref="B18" r:id="rId9"/>
    <hyperlink xmlns:r="http://schemas.openxmlformats.org/officeDocument/2006/relationships" ref="C18" r:id="rId10"/>
    <hyperlink xmlns:r="http://schemas.openxmlformats.org/officeDocument/2006/relationships" ref="D18" r:id="rId11"/>
    <hyperlink xmlns:r="http://schemas.openxmlformats.org/officeDocument/2006/relationships" ref="E18" r:id="rId12"/>
    <hyperlink xmlns:r="http://schemas.openxmlformats.org/officeDocument/2006/relationships" ref="B19" r:id="rId13"/>
    <hyperlink xmlns:r="http://schemas.openxmlformats.org/officeDocument/2006/relationships" ref="C19" r:id="rId14"/>
    <hyperlink xmlns:r="http://schemas.openxmlformats.org/officeDocument/2006/relationships" ref="D19" r:id="rId15"/>
  </hyperlinks>
  <printOptions horizontalCentered="1"/>
  <pageMargins left="0.75" right="0.75" top="1" bottom="1" header="0.5" footer="0.5"/>
  <pageSetup orientation="landscape" fitToHeight="0" fitToWidth="1"/>
  <headerFooter>
    <oddHeader/>
    <oddFooter>&amp;LAuditConsulting Auditores Cía. Ltda.&amp;CCliente de muestra S.A.&amp;RPágina &amp;P de &amp;N</oddFooter>
    <evenHeader/>
    <evenFooter/>
    <firstHeader/>
    <firstFooter/>
  </headerFooter>
  <drawing xmlns:r="http://schemas.openxmlformats.org/officeDocument/2006/relationships" r:id="rId16"/>
</worksheet>
</file>

<file path=xl/worksheets/sheet2.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34" customWidth="1" min="1" max="1"/>
    <col width="38" customWidth="1" min="2" max="2"/>
  </cols>
  <sheetData>
    <row r="1">
      <c r="A1" s="3" t="inlineStr">
        <is>
          <t>Carátula</t>
        </is>
      </c>
      <c r="H1" s="14" t="inlineStr">
        <is>
          <t>⟵ Inicio</t>
        </is>
      </c>
      <c r="J1" s="14" t="inlineStr">
        <is>
          <t>Siguiente ▶</t>
        </is>
      </c>
    </row>
    <row r="2">
      <c r="A2" s="15" t="inlineStr">
        <is>
          <t>Activos intangibles y goodwill · Cliente de muestra S.A. · corte 2025-12-31</t>
        </is>
      </c>
      <c r="B2" s="16" t="n"/>
      <c r="C2" s="16" t="n"/>
      <c r="D2" s="16" t="n"/>
      <c r="E2" s="16" t="n"/>
      <c r="F2" s="16" t="n"/>
    </row>
    <row r="4" ht="30" customHeight="1">
      <c r="A4" s="17" t="inlineStr">
        <is>
          <t>Concepto</t>
        </is>
      </c>
      <c r="B4" s="17" t="inlineStr">
        <is>
          <t>Detalle</t>
        </is>
      </c>
    </row>
    <row r="5">
      <c r="A5" s="18" t="inlineStr">
        <is>
          <t>Firma</t>
        </is>
      </c>
      <c r="B5" s="18" t="inlineStr">
        <is>
          <t>AuditConsulting Auditores Cía. Ltda.</t>
        </is>
      </c>
    </row>
    <row r="6">
      <c r="A6" s="19" t="inlineStr">
        <is>
          <t>Cliente</t>
        </is>
      </c>
      <c r="B6" s="19" t="inlineStr">
        <is>
          <t>Cliente de muestra S.A.</t>
        </is>
      </c>
    </row>
    <row r="7">
      <c r="A7" s="18" t="inlineStr">
        <is>
          <t>RUC</t>
        </is>
      </c>
      <c r="B7" s="18" t="inlineStr">
        <is>
          <t>1790000000001</t>
        </is>
      </c>
    </row>
    <row r="8">
      <c r="A8" s="19" t="inlineStr">
        <is>
          <t>Ejercicio</t>
        </is>
      </c>
      <c r="B8" s="19" t="inlineStr">
        <is>
          <t>2025</t>
        </is>
      </c>
    </row>
    <row r="9">
      <c r="A9" s="18" t="inlineStr">
        <is>
          <t>Fecha de corte</t>
        </is>
      </c>
      <c r="B9" s="18" t="inlineStr">
        <is>
          <t>2025-12-31</t>
        </is>
      </c>
    </row>
    <row r="10">
      <c r="A10" s="19" t="inlineStr">
        <is>
          <t>Marco contable</t>
        </is>
      </c>
      <c r="B10" s="19" t="inlineStr">
        <is>
          <t>NIIF completas</t>
        </is>
      </c>
    </row>
    <row r="11">
      <c r="A11" s="18" t="inlineStr">
        <is>
          <t>Herramienta</t>
        </is>
      </c>
      <c r="B11" s="18" t="inlineStr">
        <is>
          <t>Activos intangibles y goodwill</t>
        </is>
      </c>
    </row>
    <row r="12">
      <c r="A12" s="19" t="inlineStr">
        <is>
          <t>Rubro</t>
        </is>
      </c>
      <c r="B12" s="19" t="inlineStr">
        <is>
          <t>Intangibles</t>
        </is>
      </c>
    </row>
    <row r="13">
      <c r="A13" s="18" t="inlineStr">
        <is>
          <t>Motor</t>
        </is>
      </c>
      <c r="B13" s="18" t="inlineStr">
        <is>
          <t>intangibles_goodwill 1.0</t>
        </is>
      </c>
    </row>
    <row r="14">
      <c r="A14" s="19" t="inlineStr">
        <is>
          <t>Versión del papel</t>
        </is>
      </c>
      <c r="B14" s="19" t="inlineStr">
        <is>
          <t>v1</t>
        </is>
      </c>
    </row>
    <row r="15">
      <c r="A15" s="18" t="inlineStr">
        <is>
          <t>Estado</t>
        </is>
      </c>
      <c r="B15" s="18" t="inlineStr">
        <is>
          <t>MUESTRA</t>
        </is>
      </c>
    </row>
    <row r="16">
      <c r="A16" s="19" t="inlineStr">
        <is>
          <t>Preparó</t>
        </is>
      </c>
      <c r="B16" s="19" t="inlineStr">
        <is>
          <t>Ejercicio modelo</t>
        </is>
      </c>
    </row>
    <row r="17">
      <c r="A17" s="18" t="inlineStr">
        <is>
          <t>Revisó</t>
        </is>
      </c>
      <c r="B17" s="18" t="inlineStr">
        <is>
          <t>Pendiente</t>
        </is>
      </c>
    </row>
    <row r="18">
      <c r="A18" s="19" t="inlineStr">
        <is>
          <t>Aprobó</t>
        </is>
      </c>
      <c r="B18" s="19" t="inlineStr"/>
    </row>
    <row r="19">
      <c r="A19" s="18" t="inlineStr">
        <is>
          <t>Fecha de aprobación</t>
        </is>
      </c>
      <c r="B19" s="18" t="inlineStr"/>
    </row>
    <row r="20">
      <c r="A20" s="19" t="inlineStr">
        <is>
          <t>Huella de la ejecución (SHA-256)</t>
        </is>
      </c>
      <c r="B20" s="19" t="inlineStr"/>
    </row>
  </sheetData>
  <mergeCells count="2">
    <mergeCell ref="A2:F2"/>
    <mergeCell ref="A1:F1"/>
  </mergeCells>
  <hyperlinks>
    <hyperlink xmlns:r="http://schemas.openxmlformats.org/officeDocument/2006/relationships" ref="H1" r:id="rId1"/>
    <hyperlink xmlns:r="http://schemas.openxmlformats.org/officeDocument/2006/relationships" ref="J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3"/>
  <sheetViews>
    <sheetView showGridLines="0" workbookViewId="0">
      <pane ySplit="4" topLeftCell="A5" activePane="bottomLeft" state="frozen"/>
      <selection pane="bottomLeft" activeCell="A1" sqref="A1"/>
    </sheetView>
  </sheetViews>
  <sheetFormatPr baseColWidth="8" defaultRowHeight="15"/>
  <cols>
    <col width="12" customWidth="1" min="1" max="1"/>
    <col width="31" customWidth="1" min="2" max="2"/>
    <col width="12" customWidth="1" min="3" max="3"/>
    <col width="60" customWidth="1" min="4" max="4"/>
    <col width="60" customWidth="1" min="5" max="5"/>
    <col width="60" customWidth="1" min="6" max="6"/>
    <col width="60" customWidth="1" min="7" max="7"/>
  </cols>
  <sheetData>
    <row r="1">
      <c r="A1" s="3" t="inlineStr">
        <is>
          <t>Programa</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c r="G2" s="16" t="n"/>
    </row>
    <row r="4" ht="30" customHeight="1">
      <c r="A4" s="17" t="inlineStr">
        <is>
          <t>Código</t>
        </is>
      </c>
      <c r="B4" s="17" t="inlineStr">
        <is>
          <t>Objetivo</t>
        </is>
      </c>
      <c r="C4" s="17" t="inlineStr">
        <is>
          <t>Afirmación</t>
        </is>
      </c>
      <c r="D4" s="17" t="inlineStr">
        <is>
          <t>Procedimiento</t>
        </is>
      </c>
      <c r="E4" s="17" t="inlineStr">
        <is>
          <t>Evidencia</t>
        </is>
      </c>
      <c r="F4" s="17" t="inlineStr">
        <is>
          <t>Criterio</t>
        </is>
      </c>
      <c r="G4" s="17" t="inlineStr">
        <is>
          <t>Referencia</t>
        </is>
      </c>
    </row>
    <row r="5">
      <c r="A5" s="18" t="inlineStr">
        <is>
          <t>INT-01</t>
        </is>
      </c>
      <c r="B5" s="18" t="inlineStr">
        <is>
          <t>Reconocimiento</t>
        </is>
      </c>
      <c r="C5" s="18" t="inlineStr">
        <is>
          <t>Existencia</t>
        </is>
      </c>
      <c r="D5" s="18" t="inlineStr">
        <is>
          <t>Cotejar costo y titularidad con contratos, facturas y registros; evaluar probabilidad de beneficios</t>
        </is>
      </c>
      <c r="E5" s="18" t="inlineStr">
        <is>
          <t>Contratos, facturas, registros de marcas y patentes</t>
        </is>
      </c>
      <c r="F5" s="18" t="inlineStr">
        <is>
          <t>Solo se reconoce lo que cumple NIC 38.21 / PYMES 18.4</t>
        </is>
      </c>
      <c r="G5" s="18" t="inlineStr">
        <is>
          <t>NIC 38.21-23 · PYMES 18.4</t>
        </is>
      </c>
    </row>
    <row r="6">
      <c r="A6" s="19" t="inlineStr">
        <is>
          <t>INT-02</t>
        </is>
      </c>
      <c r="B6" s="19" t="inlineStr">
        <is>
          <t>Investigación y desarrollo</t>
        </is>
      </c>
      <c r="C6" s="19" t="inlineStr">
        <is>
          <t>Valoración</t>
        </is>
      </c>
      <c r="D6" s="19" t="inlineStr">
        <is>
          <t>Separar fases; en NIIF completas verificar los seis criterios de NIC 38.57; en PYMES llevar todo a gasto</t>
        </is>
      </c>
      <c r="E6" s="19" t="inlineStr">
        <is>
          <t>Memorias del proyecto, presupuestos, estudios de viabilidad</t>
        </is>
      </c>
      <c r="F6" s="19" t="inlineStr">
        <is>
          <t>Investigación y desarrollo sin criterios a gasto</t>
        </is>
      </c>
      <c r="G6" s="19" t="inlineStr">
        <is>
          <t>NIC 38.54, 38.57 · PYMES 18.14, INT-04</t>
        </is>
      </c>
    </row>
    <row r="7">
      <c r="A7" s="18" t="inlineStr">
        <is>
          <t>INT-03</t>
        </is>
      </c>
      <c r="B7" s="18" t="inlineStr">
        <is>
          <t>Amortización</t>
        </is>
      </c>
      <c r="C7" s="18" t="inlineStr">
        <is>
          <t>Valoración</t>
        </is>
      </c>
      <c r="D7" s="18" t="inlineStr">
        <is>
          <t>Recalcular la amortización desde la fecha disponible para su uso con la vida y el residual</t>
        </is>
      </c>
      <c r="E7" s="18" t="inlineStr">
        <is>
          <t>Auxiliar, actas de puesta en marcha</t>
        </is>
      </c>
      <c r="F7" s="18" t="inlineStr">
        <is>
          <t>Amortización recalculada = registrada</t>
        </is>
      </c>
      <c r="G7" s="18" t="inlineStr">
        <is>
          <t>NIC 38.97-100 · PYMES 18.21-18.23, INT-06</t>
        </is>
      </c>
    </row>
    <row r="8">
      <c r="A8" s="19" t="inlineStr">
        <is>
          <t>INT-04</t>
        </is>
      </c>
      <c r="B8" s="19" t="inlineStr">
        <is>
          <t>Vida útil finita e indefinida</t>
        </is>
      </c>
      <c r="C8" s="19" t="inlineStr">
        <is>
          <t>Valoración</t>
        </is>
      </c>
      <c r="D8" s="19" t="inlineStr">
        <is>
          <t>Evaluar la clasificación de la vida, su revisión anual y, en PYMES, que toda vida sea finita (máximo diez años sin estimación fiable)</t>
        </is>
      </c>
      <c r="E8" s="19" t="inlineStr">
        <is>
          <t>Análisis de factores de vida útil, contratos</t>
        </is>
      </c>
      <c r="F8" s="19" t="inlineStr">
        <is>
          <t>Clasificación sustentada y revisada</t>
        </is>
      </c>
      <c r="G8" s="19" t="inlineStr">
        <is>
          <t>NIC 38.88-96, 38.104, 38.107-110 · PYMES 18.19-18.20, 18.24, INT-08</t>
        </is>
      </c>
    </row>
    <row r="9">
      <c r="A9" s="18" t="inlineStr">
        <is>
          <t>INT-05</t>
        </is>
      </c>
      <c r="B9" s="18" t="inlineStr">
        <is>
          <t>Deterioro</t>
        </is>
      </c>
      <c r="C9" s="18" t="inlineStr">
        <is>
          <t>Valoración</t>
        </is>
      </c>
      <c r="D9" s="18" t="inlineStr">
        <is>
          <t>Revisar la prueba de deterioro: valor en uso y VR menos costos; prueba anual de goodwill, vida indefinida y no disponibles (NIIF completas)</t>
        </is>
      </c>
      <c r="E9" s="18" t="inlineStr">
        <is>
          <t>Modelos de flujos, tasas de descuento, tasaciones</t>
        </is>
      </c>
      <c r="F9" s="18" t="inlineStr">
        <is>
          <t>Pérdida reconocida</t>
        </is>
      </c>
      <c r="G9" s="18" t="inlineStr">
        <is>
          <t>NIC 36.10 a y b, 36.18, 36.59, 36.90 · PYMES 27.5-27.7</t>
        </is>
      </c>
    </row>
    <row r="10">
      <c r="A10" s="19" t="inlineStr">
        <is>
          <t>INT-06</t>
        </is>
      </c>
      <c r="B10" s="19" t="inlineStr">
        <is>
          <t>Goodwill</t>
        </is>
      </c>
      <c r="C10" s="19" t="inlineStr">
        <is>
          <t>Valoración</t>
        </is>
      </c>
      <c r="D10" s="19" t="inlineStr">
        <is>
          <t>Verificar la medición del goodwill según el marco y la prohibición de revertir su deterioro</t>
        </is>
      </c>
      <c r="E10" s="19" t="inlineStr">
        <is>
          <t>Asignación del precio de compra, pruebas de deterioro</t>
        </is>
      </c>
      <c r="F10" s="19" t="inlineStr">
        <is>
          <t>Tratamiento según el marco</t>
        </is>
      </c>
      <c r="G10" s="19" t="inlineStr">
        <is>
          <t>NIIF 3.32, B63 a · NIC 36.124 · PYMES 19.23 (2015) / 19.34 (2025), 27.28, INT-10</t>
        </is>
      </c>
    </row>
    <row r="11">
      <c r="A11" s="18" t="inlineStr">
        <is>
          <t>INT-07</t>
        </is>
      </c>
      <c r="B11" s="18" t="inlineStr">
        <is>
          <t>Reversión del deterioro</t>
        </is>
      </c>
      <c r="C11" s="18" t="inlineStr">
        <is>
          <t>Valoración</t>
        </is>
      </c>
      <c r="D11" s="18" t="inlineStr">
        <is>
          <t>Con indicio, recalcular la reversión limitada al importe en libros sin deterioro</t>
        </is>
      </c>
      <c r="E11" s="18" t="inlineStr">
        <is>
          <t>Nuevas estimaciones del recuperable</t>
        </is>
      </c>
      <c r="F11" s="18" t="inlineStr">
        <is>
          <t>Reversión dentro del límite</t>
        </is>
      </c>
      <c r="G11" s="18" t="inlineStr">
        <is>
          <t>NIC 36.114-119 · PYMES 27.29-27.30</t>
        </is>
      </c>
    </row>
    <row r="12">
      <c r="A12" s="19" t="inlineStr">
        <is>
          <t>INT-09</t>
        </is>
      </c>
      <c r="B12" s="19" t="inlineStr">
        <is>
          <t>Método de amortización</t>
        </is>
      </c>
      <c r="C12" s="19" t="inlineStr">
        <is>
          <t>Valoración</t>
        </is>
      </c>
      <c r="D12" s="19" t="inlineStr">
        <is>
          <t>Confirmar el método informado por el cliente; si se basa en los ingresos, exigir la excepción documentada («a» el intangible se expresa como una medida de los ingresos o «b» alta correlación entre ingresos y consumo de los beneficios) y, si no la hay, recalcular por el método lineal y cuantificar el efecto en resultados</t>
        </is>
      </c>
      <c r="E12" s="19" t="inlineStr">
        <is>
          <t>Contrato que fija el importe total de ingresos a generar, análisis de correlación, papel de cálculo de la amortización</t>
        </is>
      </c>
      <c r="F12" s="19" t="inlineStr">
        <is>
          <t>Método admitido por la norma y aplicado de forma coherente de ejercicio a ejercicio</t>
        </is>
      </c>
      <c r="G12" s="19" t="inlineStr">
        <is>
          <t>NIC 38.97-98, 98A-98C · PYMES 2025 18.22A (la edición 2015 solo exige 18.22: patrón esperado de consumo)</t>
        </is>
      </c>
    </row>
    <row r="13">
      <c r="A13" s="18" t="inlineStr">
        <is>
          <t>INT-08</t>
        </is>
      </c>
      <c r="B13" s="18" t="inlineStr">
        <is>
          <t>Conciliación con el mayor</t>
        </is>
      </c>
      <c r="C13" s="18" t="inlineStr">
        <is>
          <t>Integridad</t>
        </is>
      </c>
      <c r="D13" s="18" t="inlineStr">
        <is>
          <t>Conciliar el neto del auxiliar con el mayor y proponer el ajuste</t>
        </is>
      </c>
      <c r="E13" s="18" t="inlineStr">
        <is>
          <t>Auxiliar y mayor</t>
        </is>
      </c>
      <c r="F13" s="18" t="inlineStr">
        <is>
          <t>Diferencia explicada o ajustada</t>
        </is>
      </c>
      <c r="G13" s="18" t="inlineStr">
        <is>
          <t>NIA 330</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9"/>
  <sheetViews>
    <sheetView showGridLines="0" workbookViewId="0">
      <pane ySplit="4" topLeftCell="A5" activePane="bottomLeft" state="frozen"/>
      <selection pane="bottomLeft" activeCell="A1" sqref="A1"/>
    </sheetView>
  </sheetViews>
  <sheetFormatPr baseColWidth="8" defaultRowHeight="15"/>
  <cols>
    <col width="26" customWidth="1" min="1" max="1"/>
    <col width="60" customWidth="1" min="2" max="2"/>
    <col width="60" customWidth="1" min="3" max="3"/>
    <col width="12" customWidth="1" min="4" max="4"/>
    <col width="12" customWidth="1" min="5" max="5"/>
  </cols>
  <sheetData>
    <row r="1">
      <c r="A1" s="3" t="inlineStr">
        <is>
          <t>Base técnica</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row>
    <row r="4" ht="30" customHeight="1">
      <c r="A4" s="17" t="inlineStr">
        <is>
          <t>Categoría</t>
        </is>
      </c>
      <c r="B4" s="17" t="inlineStr">
        <is>
          <t>Documento</t>
        </is>
      </c>
      <c r="C4" s="17" t="inlineStr">
        <is>
          <t>Párrafos</t>
        </is>
      </c>
      <c r="D4" s="17" t="inlineStr">
        <is>
          <t>URL</t>
        </is>
      </c>
      <c r="E4" s="17" t="inlineStr">
        <is>
          <t>Verificada</t>
        </is>
      </c>
    </row>
    <row r="5">
      <c r="A5" s="18" t="inlineStr">
        <is>
          <t>NIA · NIA 540 (Revisada)</t>
        </is>
      </c>
      <c r="B5" s="18" t="inlineStr">
        <is>
          <t>Vida útil, residual, valor en uso y VR menos costos son estimaciones: evaluar método, datos y supuestos.</t>
        </is>
      </c>
      <c r="C5" s="18" t="inlineStr">
        <is>
          <t>párr. 13, 16–17, 18–27 y 28–30</t>
        </is>
      </c>
      <c r="D5" s="18" t="inlineStr"/>
      <c r="E5" s="18" t="inlineStr"/>
    </row>
    <row r="6">
      <c r="A6" s="19" t="inlineStr">
        <is>
          <t>NIA · NIA 500</t>
        </is>
      </c>
      <c r="B6" s="19" t="inlineStr">
        <is>
          <t>Evidencia suficiente del costo, la fecha de disponibilidad y los criterios de NIC 38.57.</t>
        </is>
      </c>
      <c r="C6" s="19" t="inlineStr">
        <is>
          <t>párr. 6 y 9</t>
        </is>
      </c>
      <c r="D6" s="19" t="inlineStr"/>
      <c r="E6" s="19" t="inlineStr"/>
    </row>
    <row r="7">
      <c r="A7" s="18" t="inlineStr">
        <is>
          <t>NIA · NIA 500</t>
        </is>
      </c>
      <c r="B7" s="18" t="inlineStr">
        <is>
          <t>Evaluar el trabajo del experto en valoración usado para el importe recuperable y la asignación del precio de compra.</t>
        </is>
      </c>
      <c r="C7" s="18" t="inlineStr">
        <is>
          <t>párr. 8 (experto de la dirección; NIA 620 solo si lo contrata el auditor)</t>
        </is>
      </c>
      <c r="D7" s="18" t="inlineStr"/>
      <c r="E7" s="18" t="inlineStr"/>
    </row>
    <row r="8">
      <c r="A8" s="19" t="inlineStr">
        <is>
          <t>NIA · NIA 330</t>
        </is>
      </c>
      <c r="B8" s="19" t="inlineStr">
        <is>
          <t>Procedimientos sustantivos y conciliación del auxiliar con el mayor.</t>
        </is>
      </c>
      <c r="C8" s="19" t="inlineStr">
        <is>
          <t>párr. 18-20</t>
        </is>
      </c>
      <c r="D8" s="19" t="inlineStr"/>
      <c r="E8" s="19" t="inlineStr"/>
    </row>
    <row r="9">
      <c r="A9" s="18" t="inlineStr">
        <is>
          <t>NIA · NIA 560</t>
        </is>
      </c>
      <c r="B9" s="18" t="inlineStr">
        <is>
          <t>Hechos posteriores que evidencien deterioro al cierre.</t>
        </is>
      </c>
      <c r="C9" s="18" t="inlineStr">
        <is>
          <t>párr. 6</t>
        </is>
      </c>
      <c r="D9" s="18" t="inlineStr"/>
      <c r="E9" s="18"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22"/>
  <sheetViews>
    <sheetView showGridLines="0" workbookViewId="0">
      <pane ySplit="4" topLeftCell="A5" activePane="bottomLeft" state="frozen"/>
      <selection pane="bottomLeft" activeCell="A1" sqref="A1"/>
    </sheetView>
  </sheetViews>
  <sheetFormatPr baseColWidth="8" defaultRowHeight="15"/>
  <cols>
    <col width="56" customWidth="1" min="1" max="1"/>
    <col width="12" customWidth="1" min="2" max="2"/>
  </cols>
  <sheetData>
    <row r="1">
      <c r="A1" s="3" t="inlineStr">
        <is>
          <t>Resumen y ajuste propuesto</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row>
    <row r="4" ht="30" customHeight="1">
      <c r="A4" s="17" t="inlineStr">
        <is>
          <t>Concepto</t>
        </is>
      </c>
      <c r="B4" s="17" t="inlineStr">
        <is>
          <t>Importe</t>
        </is>
      </c>
    </row>
    <row r="5">
      <c r="A5" s="18" t="inlineStr">
        <is>
          <t>Intangibles netos auditados</t>
        </is>
      </c>
      <c r="B5" s="20">
        <f>SUM('09_Ajuste'!$D$5:$D$17)</f>
        <v/>
      </c>
    </row>
    <row r="6">
      <c r="A6" s="19" t="inlineStr">
        <is>
          <t>Intangibles netos según el mayor</t>
        </is>
      </c>
      <c r="B6" s="21">
        <f>IF('02_Parametros'!$B$11="",SUM('09_Ajuste'!$C$5:$C$17),'02_Parametros'!$B$11)</f>
        <v/>
      </c>
    </row>
    <row r="7">
      <c r="A7" s="18" t="inlineStr">
        <is>
          <t>Ajuste propuesto (neto)</t>
        </is>
      </c>
      <c r="B7" s="20">
        <f>B5-B6</f>
        <v/>
      </c>
    </row>
    <row r="8">
      <c r="A8" s="19" t="inlineStr">
        <is>
          <t>Neto según el auxiliar del cliente</t>
        </is>
      </c>
      <c r="B8" s="21">
        <f>SUM('09_Ajuste'!$C$5:$C$17)</f>
        <v/>
      </c>
    </row>
    <row r="9">
      <c r="A9" s="18" t="inlineStr">
        <is>
          <t>Diferencia auxiliar − mayor</t>
        </is>
      </c>
      <c r="B9" s="20">
        <f>B8-B6</f>
        <v/>
      </c>
    </row>
    <row r="10">
      <c r="A10" s="19" t="inlineStr">
        <is>
          <t>Investigación / desarrollo no capitalizable (baja)</t>
        </is>
      </c>
      <c r="B10" s="21">
        <f>SUM('04_Reconocimiento'!$J$5:$J$17)</f>
        <v/>
      </c>
    </row>
    <row r="11">
      <c r="A11" s="18" t="inlineStr">
        <is>
          <t>Amortización del año recalculada (método lineal)</t>
        </is>
      </c>
      <c r="B11" s="20">
        <f>SUM('05_Amortizacion'!$K$5:$K$17)</f>
        <v/>
      </c>
    </row>
    <row r="12">
      <c r="A12" s="19" t="inlineStr">
        <is>
          <t>Amortización del año auditada (recalculada o aceptada)</t>
        </is>
      </c>
      <c r="B12" s="21">
        <f>SUM('05_Amortizacion'!$R$5:$R$17)</f>
        <v/>
      </c>
    </row>
    <row r="13">
      <c r="A13" s="18" t="inlineStr">
        <is>
          <t>Amortización del año registrada</t>
        </is>
      </c>
      <c r="B13" s="20">
        <f>SUM('05_Amortizacion'!$L$5:$L$17)</f>
        <v/>
      </c>
    </row>
    <row r="14">
      <c r="A14" s="19" t="inlineStr">
        <is>
          <t>Diferencia de amortización</t>
        </is>
      </c>
      <c r="B14" s="21">
        <f>SUM('05_Amortizacion'!$M$5:$M$17)</f>
        <v/>
      </c>
    </row>
    <row r="15">
      <c r="A15" s="18" t="inlineStr">
        <is>
          <t>Deterioro del año auditado</t>
        </is>
      </c>
      <c r="B15" s="20">
        <f>SUM('07_Deterioro'!$K$5:$K$17)</f>
        <v/>
      </c>
    </row>
    <row r="16">
      <c r="A16" s="19" t="inlineStr">
        <is>
          <t>Deterioro del año registrado</t>
        </is>
      </c>
      <c r="B16" s="21">
        <f>SUM('07_Deterioro'!$J$5:$J$17)</f>
        <v/>
      </c>
    </row>
    <row r="17">
      <c r="A17" s="18" t="inlineStr">
        <is>
          <t>Reversión de deterioro auditada</t>
        </is>
      </c>
      <c r="B17" s="20">
        <f>SUM('08_Reversion'!$I$5:$I$17)</f>
        <v/>
      </c>
    </row>
    <row r="18">
      <c r="A18" s="19" t="inlineStr">
        <is>
          <t>Reversión de deterioro registrada</t>
        </is>
      </c>
      <c r="B18" s="21">
        <f>SUM('08_Reversion'!$H$5:$H$17)</f>
        <v/>
      </c>
    </row>
    <row r="20">
      <c r="A20" s="22" t="inlineStr">
        <is>
          <t>ⓘ  Cómo se calcula esta hoja</t>
        </is>
      </c>
    </row>
    <row r="21">
      <c r="A21" s="23" t="inlineStr">
        <is>
          <t>Columna</t>
        </is>
      </c>
      <c r="B21" s="23" t="inlineStr">
        <is>
          <t>Fórmula (Excel)</t>
        </is>
      </c>
      <c r="C21" s="23" t="inlineStr">
        <is>
          <t>Cómo se calcula (sencillo)</t>
        </is>
      </c>
      <c r="D21" s="23" t="inlineStr">
        <is>
          <t>Ejemplo con números reales</t>
        </is>
      </c>
      <c r="E21" s="23" t="inlineStr">
        <is>
          <t>De dónde viene</t>
        </is>
      </c>
      <c r="F21" s="23" t="inlineStr">
        <is>
          <t>Norma</t>
        </is>
      </c>
    </row>
    <row r="22">
      <c r="A22" s="24" t="inlineStr">
        <is>
          <t>Importe</t>
        </is>
      </c>
      <c r="B22" s="25" t="inlineStr">
        <is>
          <t>'=SUM('09_Ajuste'!$D$5:$D$17)</t>
        </is>
      </c>
      <c r="C22" s="24" t="inlineStr">
        <is>
          <t>Trae cada importe de la hoja de cálculo que le corresponde, concepto por concepto: los netos salen de la hoja 09 (Valor neto y ajuste propuesto), la baja a gasto de la hoja 04, la amortización de la hoja 05, el deterioro de la 07 y la reversión de la 08. El saldo del mayor es el del parámetro (si está en blanco, el neto del auxiliar) y el ajuste es el neto auditado menos ese saldo del mayor.</t>
        </is>
      </c>
      <c r="D22" s="24" t="inlineStr">
        <is>
          <t>Fila 1: SUM([«Neto auditado» de «Valor neto y ajuste propuesto», 13 filas]) → 549.050,00</t>
        </is>
      </c>
      <c r="E22" s="24" t="inlineStr">
        <is>
          <t>hoja «Valor neto y ajuste propuesto»</t>
        </is>
      </c>
      <c r="F22" s="24" t="inlineStr">
        <is>
          <t>—</t>
        </is>
      </c>
    </row>
  </sheetData>
  <mergeCells count="3">
    <mergeCell ref="A20:F20"/>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1"/>
  <sheetViews>
    <sheetView showGridLines="0" workbookViewId="0">
      <pane ySplit="4" topLeftCell="A5" activePane="bottomLeft" state="frozen"/>
      <selection pane="bottomLeft" activeCell="A1" sqref="A1"/>
    </sheetView>
  </sheetViews>
  <sheetFormatPr baseColWidth="8" defaultRowHeight="15"/>
  <cols>
    <col width="60" customWidth="1" min="1" max="1"/>
    <col width="42" customWidth="1" min="2" max="2"/>
    <col width="60" customWidth="1" min="3" max="3"/>
  </cols>
  <sheetData>
    <row r="1">
      <c r="A1" s="3" t="inlineStr">
        <is>
          <t>Parámetros</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row>
    <row r="4" ht="30" customHeight="1">
      <c r="A4" s="17" t="inlineStr">
        <is>
          <t>Parámetro</t>
        </is>
      </c>
      <c r="B4" s="17" t="inlineStr">
        <is>
          <t>Valor</t>
        </is>
      </c>
      <c r="C4" s="17" t="inlineStr">
        <is>
          <t>Sustento</t>
        </is>
      </c>
    </row>
    <row r="5">
      <c r="A5" s="18" t="inlineStr">
        <is>
          <t>Corte del ejercicio</t>
        </is>
      </c>
      <c r="B5" s="26" t="n">
        <v>46022</v>
      </c>
      <c r="C5" s="18" t="inlineStr">
        <is>
          <t>Ficha del encargo; ejercicio de 12 meses que termina en el corte</t>
        </is>
      </c>
    </row>
    <row r="6">
      <c r="A6" s="19" t="inlineStr">
        <is>
          <t>Marco contable</t>
        </is>
      </c>
      <c r="B6" s="19" t="inlineStr">
        <is>
          <t>NIIF completas · NIC 38, NIC 36 y NIIF 3</t>
        </is>
      </c>
      <c r="C6" s="19" t="inlineStr">
        <is>
          <t>PYMES 2015 y 2025: investigación y desarrollo a gasto y goodwill amortizable en su vida útil; solo si no puede establecerse con fiabilidad, mejor estimación de la gerencia no mayor a diez años (19.23 en 2015; 19.34 en 2025). 2025: 18.22A presume que la amortización basada en ingresos no es apropiada; Sección 19 alineada con NIIF 3; la plusvalía sigue amortizándose; vigente desde el 1-1-2027; para cortes 2025–2026 solo con adopción anticipada</t>
        </is>
      </c>
    </row>
    <row r="7">
      <c r="A7" s="18" t="inlineStr">
        <is>
          <t>Ruta PYMES (1 = sí, 0 = NIIF completas)</t>
        </is>
      </c>
      <c r="B7" s="27" t="n">
        <v>0</v>
      </c>
      <c r="C7" s="18" t="inlineStr">
        <is>
          <t>1: todo intangible y el goodwill se amortizan y el desarrollo va a gasto; 0: vida indefinida y goodwill sin amortizar con prueba anual</t>
        </is>
      </c>
    </row>
    <row r="8">
      <c r="A8" s="19" t="inlineStr">
        <is>
          <t>Edición PYMES</t>
        </is>
      </c>
      <c r="B8" s="19" t="inlineStr">
        <is>
          <t>2015</t>
        </is>
      </c>
      <c r="C8" s="19" t="inlineStr">
        <is>
          <t>Ficha del encargo</t>
        </is>
      </c>
    </row>
    <row r="9">
      <c r="A9" s="18" t="inlineStr">
        <is>
          <t>Presunción contra la amortización basada en ingresos (1 = sí, 0 = no)</t>
        </is>
      </c>
      <c r="B9" s="27" t="n">
        <v>1</v>
      </c>
      <c r="C9" s="18" t="inlineStr">
        <is>
          <t>1: NIC 38.98A (NIIF completas) y 18.22A (PYMES 2025) presumen inapropiado el método basado en los ingresos ordinarios y solo admiten dos circunstancias: que el intangible se exprese como una medida de los ingresos —importe total fijo de ingresos a generar fijado en el contrato (NIC 38.98C)— o que se demuestre que los ingresos y el consumo de los beneficios están estrechamente correlacionados. Sin esa justificación documentada la herramienta recalcula por el método lineal (NIC 38.97; PYMES 18.22). 0: la edición 2015 de la NIIF para las PYMES no contiene esa presunción (18.22 solo exige que el método refleje el patrón esperado de consumo): el método informado se acepta, no se recalcula y se pide el papel que lo sustenta</t>
        </is>
      </c>
    </row>
    <row r="10">
      <c r="A10" s="19" t="inlineStr">
        <is>
          <t>PYMES: vida útil máxima si no es fiable (meses)</t>
        </is>
      </c>
      <c r="B10" s="28" t="n">
        <v>120</v>
      </c>
      <c r="C10" s="19" t="inlineStr">
        <is>
          <t>PYMES: TOPE de la mejor estimación de la gerencia cuando la vida no se puede establecer con fiabilidad (18.20 / 19.23 en 2015; 19.34 en 2025). No es una vida por defecto: sin vida en la ficha la partida no se amortiza y se pide la estimación; si la vida excede el tope, se limita al tope</t>
        </is>
      </c>
    </row>
    <row r="11">
      <c r="A11" s="18" t="inlineStr">
        <is>
          <t>Intangibles netos según el mayor</t>
        </is>
      </c>
      <c r="B11" s="27" t="n">
        <v>591050</v>
      </c>
      <c r="C11" s="18" t="inlineStr">
        <is>
          <t>Mayor contable (en blanco: se toma el auxiliar)</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T18"/>
  <sheetViews>
    <sheetView showGridLines="0" workbookViewId="0">
      <pane ySplit="4" topLeftCell="A5" activePane="bottomLeft" state="frozen"/>
      <selection pane="bottomLeft" activeCell="A1" sqref="A1"/>
    </sheetView>
  </sheetViews>
  <sheetFormatPr baseColWidth="8" defaultRowHeight="15"/>
  <cols>
    <col width="12" customWidth="1" min="1" max="1"/>
    <col width="53" customWidth="1" min="2" max="2"/>
    <col width="18" customWidth="1" min="3" max="3"/>
    <col width="15" customWidth="1" min="4" max="4"/>
    <col width="18" customWidth="1" min="5" max="5"/>
    <col width="21" customWidth="1" min="6" max="6"/>
    <col width="12" customWidth="1" min="7" max="7"/>
    <col width="16" customWidth="1" min="8" max="8"/>
    <col width="19" customWidth="1" min="9" max="9"/>
    <col width="22" customWidth="1" min="10" max="10"/>
    <col width="27" customWidth="1" min="11" max="11"/>
    <col width="24" customWidth="1" min="12" max="12"/>
    <col width="14" customWidth="1" min="13" max="13"/>
    <col width="32" customWidth="1" min="14" max="14"/>
    <col width="30" customWidth="1" min="15" max="15"/>
    <col width="22" customWidth="1" min="16" max="16"/>
    <col width="22" customWidth="1" min="17" max="17"/>
    <col width="25" customWidth="1" min="18" max="18"/>
    <col width="34" customWidth="1" min="19" max="19"/>
    <col width="60" customWidth="1" min="20" max="20"/>
  </cols>
  <sheetData>
    <row r="1">
      <c r="A1" s="3" t="inlineStr">
        <is>
          <t>Auxiliar de intangibles y goodwill</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c r="G2" s="16" t="n"/>
      <c r="H2" s="16" t="n"/>
      <c r="I2" s="16" t="n"/>
      <c r="J2" s="16" t="n"/>
      <c r="K2" s="16" t="n"/>
      <c r="L2" s="16" t="n"/>
      <c r="M2" s="16" t="n"/>
      <c r="N2" s="16" t="n"/>
      <c r="O2" s="16" t="n"/>
      <c r="P2" s="16" t="n"/>
      <c r="Q2" s="16" t="n"/>
      <c r="R2" s="16" t="n"/>
      <c r="S2" s="16" t="n"/>
      <c r="T2" s="16" t="n"/>
    </row>
    <row r="4" ht="30" customHeight="1">
      <c r="A4" s="17" t="inlineStr">
        <is>
          <t>Código</t>
        </is>
      </c>
      <c r="B4" s="17" t="inlineStr">
        <is>
          <t>Descripción</t>
        </is>
      </c>
      <c r="C4" s="17" t="inlineStr">
        <is>
          <t>Tipo</t>
        </is>
      </c>
      <c r="D4" s="17" t="inlineStr">
        <is>
          <t>Fase</t>
        </is>
      </c>
      <c r="E4" s="17" t="inlineStr">
        <is>
          <t>Cumple NIC 38.57</t>
        </is>
      </c>
      <c r="F4" s="17" t="inlineStr">
        <is>
          <t>Disponible para uso</t>
        </is>
      </c>
      <c r="G4" s="17" t="inlineStr">
        <is>
          <t>Costo</t>
        </is>
      </c>
      <c r="H4" s="17" t="inlineStr">
        <is>
          <t>Valor residual</t>
        </is>
      </c>
      <c r="I4" s="17" t="inlineStr">
        <is>
          <t>Vida útil (meses)</t>
        </is>
      </c>
      <c r="J4" s="17" t="inlineStr">
        <is>
          <t>Amort. acum. inicial</t>
        </is>
      </c>
      <c r="K4" s="17" t="inlineStr">
        <is>
          <t>Amort. del año registrada</t>
        </is>
      </c>
      <c r="L4" s="17" t="inlineStr">
        <is>
          <t>Deterioro acum. previo</t>
        </is>
      </c>
      <c r="M4" s="17" t="inlineStr">
        <is>
          <t>Valor en uso</t>
        </is>
      </c>
      <c r="N4" s="17" t="inlineStr">
        <is>
          <t>VR menos costos de disposición</t>
        </is>
      </c>
      <c r="O4" s="17" t="inlineStr">
        <is>
          <t>Deterioro del año registrado</t>
        </is>
      </c>
      <c r="P4" s="17" t="inlineStr">
        <is>
          <t>Indicio de reversión</t>
        </is>
      </c>
      <c r="Q4" s="17" t="inlineStr">
        <is>
          <t>Reversión registrada</t>
        </is>
      </c>
      <c r="R4" s="17" t="inlineStr">
        <is>
          <t>Vida revisada al cierre</t>
        </is>
      </c>
      <c r="S4" s="17" t="inlineStr">
        <is>
          <t>Método de amortización informado</t>
        </is>
      </c>
      <c r="T4" s="17" t="inlineStr">
        <is>
          <t>Justificación del método por ingresos (a / b + papel)</t>
        </is>
      </c>
    </row>
    <row r="5">
      <c r="A5" s="18" t="inlineStr">
        <is>
          <t>SW-01</t>
        </is>
      </c>
      <c r="B5" s="18" t="inlineStr">
        <is>
          <t>Software ERP</t>
        </is>
      </c>
      <c r="C5" s="18" t="inlineStr">
        <is>
          <t>Software</t>
        </is>
      </c>
      <c r="D5" s="18" t="inlineStr"/>
      <c r="E5" s="18" t="inlineStr"/>
      <c r="F5" s="29" t="n">
        <v>44927</v>
      </c>
      <c r="G5" s="20" t="n">
        <v>60000</v>
      </c>
      <c r="H5" s="20" t="n"/>
      <c r="I5" s="30" t="n">
        <v>60</v>
      </c>
      <c r="J5" s="20" t="n">
        <v>24000</v>
      </c>
      <c r="K5" s="20" t="n">
        <v>12000</v>
      </c>
      <c r="L5" s="20" t="n"/>
      <c r="M5" s="20" t="n"/>
      <c r="N5" s="20" t="n"/>
      <c r="O5" s="20" t="n"/>
      <c r="P5" s="18" t="inlineStr"/>
      <c r="Q5" s="20" t="n"/>
      <c r="R5" s="18" t="inlineStr">
        <is>
          <t>Sí</t>
        </is>
      </c>
      <c r="S5" s="18" t="inlineStr"/>
      <c r="T5" s="18" t="inlineStr"/>
    </row>
    <row r="6">
      <c r="A6" s="19" t="inlineStr">
        <is>
          <t>LIC-01</t>
        </is>
      </c>
      <c r="B6" s="19" t="inlineStr">
        <is>
          <t>Licencia de distribución exclusiva</t>
        </is>
      </c>
      <c r="C6" s="19" t="inlineStr">
        <is>
          <t>Licencia</t>
        </is>
      </c>
      <c r="D6" s="19" t="inlineStr"/>
      <c r="E6" s="19" t="inlineStr"/>
      <c r="F6" s="31" t="n">
        <v>45748</v>
      </c>
      <c r="G6" s="21" t="n">
        <v>24000</v>
      </c>
      <c r="H6" s="21" t="n"/>
      <c r="I6" s="32" t="n">
        <v>36</v>
      </c>
      <c r="J6" s="21" t="n">
        <v>0</v>
      </c>
      <c r="K6" s="21" t="n">
        <v>8000</v>
      </c>
      <c r="L6" s="21" t="n"/>
      <c r="M6" s="21" t="n"/>
      <c r="N6" s="21" t="n"/>
      <c r="O6" s="21" t="n"/>
      <c r="P6" s="19" t="inlineStr"/>
      <c r="Q6" s="21" t="n"/>
      <c r="R6" s="19" t="inlineStr">
        <is>
          <t>Sí</t>
        </is>
      </c>
      <c r="S6" s="19" t="inlineStr"/>
      <c r="T6" s="19" t="inlineStr"/>
    </row>
    <row r="7">
      <c r="A7" s="18" t="inlineStr">
        <is>
          <t>MAR-01</t>
        </is>
      </c>
      <c r="B7" s="18" t="inlineStr">
        <is>
          <t>Marca comercial adquirida</t>
        </is>
      </c>
      <c r="C7" s="18" t="inlineStr">
        <is>
          <t>Marca</t>
        </is>
      </c>
      <c r="D7" s="18" t="inlineStr"/>
      <c r="E7" s="18" t="inlineStr"/>
      <c r="F7" s="29" t="n">
        <v>44743</v>
      </c>
      <c r="G7" s="20" t="n">
        <v>150000</v>
      </c>
      <c r="H7" s="20" t="n"/>
      <c r="I7" s="30" t="n"/>
      <c r="J7" s="20" t="n"/>
      <c r="K7" s="20" t="n"/>
      <c r="L7" s="20" t="n"/>
      <c r="M7" s="20" t="n">
        <v>140000</v>
      </c>
      <c r="N7" s="20" t="n">
        <v>130000</v>
      </c>
      <c r="O7" s="20" t="n"/>
      <c r="P7" s="18" t="inlineStr"/>
      <c r="Q7" s="20" t="n"/>
      <c r="R7" s="18" t="inlineStr">
        <is>
          <t>Sí</t>
        </is>
      </c>
      <c r="S7" s="18" t="inlineStr"/>
      <c r="T7" s="18" t="inlineStr"/>
    </row>
    <row r="8">
      <c r="A8" s="19" t="inlineStr">
        <is>
          <t>GW-01</t>
        </is>
      </c>
      <c r="B8" s="19" t="inlineStr">
        <is>
          <t>Goodwill adquisición Distribuidora Andina</t>
        </is>
      </c>
      <c r="C8" s="19" t="inlineStr">
        <is>
          <t>Goodwill</t>
        </is>
      </c>
      <c r="D8" s="19" t="inlineStr"/>
      <c r="E8" s="19" t="inlineStr"/>
      <c r="F8" s="31" t="n">
        <v>44197</v>
      </c>
      <c r="G8" s="21" t="n">
        <v>200000</v>
      </c>
      <c r="H8" s="21" t="n"/>
      <c r="I8" s="32" t="n"/>
      <c r="J8" s="21" t="n"/>
      <c r="K8" s="21" t="n"/>
      <c r="L8" s="21" t="n">
        <v>30000</v>
      </c>
      <c r="M8" s="21" t="n">
        <v>185000</v>
      </c>
      <c r="N8" s="21" t="n"/>
      <c r="O8" s="21" t="n"/>
      <c r="P8" s="19" t="inlineStr">
        <is>
          <t>Sí</t>
        </is>
      </c>
      <c r="Q8" s="21" t="n">
        <v>15000</v>
      </c>
      <c r="R8" s="19" t="inlineStr">
        <is>
          <t>Sí</t>
        </is>
      </c>
      <c r="S8" s="19" t="inlineStr"/>
      <c r="T8" s="19" t="inlineStr"/>
    </row>
    <row r="9">
      <c r="A9" s="18" t="inlineStr">
        <is>
          <t>INV-01</t>
        </is>
      </c>
      <c r="B9" s="18" t="inlineStr">
        <is>
          <t>Estudio de mercado y prototipos nuevo producto</t>
        </is>
      </c>
      <c r="C9" s="18" t="inlineStr">
        <is>
          <t>Proyecto interno</t>
        </is>
      </c>
      <c r="D9" s="18" t="inlineStr">
        <is>
          <t>Investigación</t>
        </is>
      </c>
      <c r="E9" s="18" t="inlineStr"/>
      <c r="F9" s="33" t="n"/>
      <c r="G9" s="20" t="n">
        <v>18000</v>
      </c>
      <c r="H9" s="20" t="n"/>
      <c r="I9" s="30" t="n"/>
      <c r="J9" s="20" t="n"/>
      <c r="K9" s="20" t="n"/>
      <c r="L9" s="20" t="n"/>
      <c r="M9" s="20" t="n"/>
      <c r="N9" s="20" t="n"/>
      <c r="O9" s="20" t="n"/>
      <c r="P9" s="18" t="inlineStr"/>
      <c r="Q9" s="20" t="n"/>
      <c r="R9" s="18" t="inlineStr">
        <is>
          <t>Sí</t>
        </is>
      </c>
      <c r="S9" s="18" t="inlineStr"/>
      <c r="T9" s="18" t="inlineStr"/>
    </row>
    <row r="10">
      <c r="A10" s="19" t="inlineStr">
        <is>
          <t>DES-01</t>
        </is>
      </c>
      <c r="B10" s="19" t="inlineStr">
        <is>
          <t>Aplicación móvil de pedidos</t>
        </is>
      </c>
      <c r="C10" s="19" t="inlineStr">
        <is>
          <t>Desarrollo</t>
        </is>
      </c>
      <c r="D10" s="19" t="inlineStr">
        <is>
          <t>Desarrollo</t>
        </is>
      </c>
      <c r="E10" s="19" t="inlineStr">
        <is>
          <t>Sí</t>
        </is>
      </c>
      <c r="F10" s="31" t="n">
        <v>45931</v>
      </c>
      <c r="G10" s="21" t="n">
        <v>45000</v>
      </c>
      <c r="H10" s="21" t="n"/>
      <c r="I10" s="32" t="n">
        <v>36</v>
      </c>
      <c r="J10" s="21" t="n">
        <v>0</v>
      </c>
      <c r="K10" s="21" t="n">
        <v>3750</v>
      </c>
      <c r="L10" s="21" t="n"/>
      <c r="M10" s="21" t="n"/>
      <c r="N10" s="21" t="n"/>
      <c r="O10" s="21" t="n"/>
      <c r="P10" s="19" t="inlineStr"/>
      <c r="Q10" s="21" t="n"/>
      <c r="R10" s="19" t="inlineStr">
        <is>
          <t>Sí</t>
        </is>
      </c>
      <c r="S10" s="19" t="inlineStr"/>
      <c r="T10" s="19" t="inlineStr"/>
    </row>
    <row r="11">
      <c r="A11" s="18" t="inlineStr">
        <is>
          <t>DES-02</t>
        </is>
      </c>
      <c r="B11" s="18" t="inlineStr">
        <is>
          <t>Módulo de comercio electrónico</t>
        </is>
      </c>
      <c r="C11" s="18" t="inlineStr">
        <is>
          <t>Desarrollo</t>
        </is>
      </c>
      <c r="D11" s="18" t="inlineStr">
        <is>
          <t>Desarrollo</t>
        </is>
      </c>
      <c r="E11" s="18" t="inlineStr">
        <is>
          <t>No</t>
        </is>
      </c>
      <c r="F11" s="33" t="n"/>
      <c r="G11" s="20" t="n">
        <v>12000</v>
      </c>
      <c r="H11" s="20" t="n"/>
      <c r="I11" s="30" t="n"/>
      <c r="J11" s="20" t="n"/>
      <c r="K11" s="20" t="n"/>
      <c r="L11" s="20" t="n"/>
      <c r="M11" s="20" t="n"/>
      <c r="N11" s="20" t="n"/>
      <c r="O11" s="20" t="n"/>
      <c r="P11" s="18" t="inlineStr"/>
      <c r="Q11" s="20" t="n"/>
      <c r="R11" s="18" t="inlineStr">
        <is>
          <t>Sí</t>
        </is>
      </c>
      <c r="S11" s="18" t="inlineStr"/>
      <c r="T11" s="18" t="inlineStr"/>
    </row>
    <row r="12">
      <c r="A12" s="19" t="inlineStr">
        <is>
          <t>DES-03</t>
        </is>
      </c>
      <c r="B12" s="19" t="inlineStr">
        <is>
          <t>Plataforma logística en desarrollo</t>
        </is>
      </c>
      <c r="C12" s="19" t="inlineStr">
        <is>
          <t>Desarrollo</t>
        </is>
      </c>
      <c r="D12" s="19" t="inlineStr">
        <is>
          <t>Desarrollo</t>
        </is>
      </c>
      <c r="E12" s="19" t="inlineStr">
        <is>
          <t>Sí</t>
        </is>
      </c>
      <c r="F12" s="34" t="n"/>
      <c r="G12" s="21" t="n">
        <v>30000</v>
      </c>
      <c r="H12" s="21" t="n"/>
      <c r="I12" s="32" t="n">
        <v>60</v>
      </c>
      <c r="J12" s="21" t="n"/>
      <c r="K12" s="21" t="n"/>
      <c r="L12" s="21" t="n"/>
      <c r="M12" s="21" t="n"/>
      <c r="N12" s="21" t="n"/>
      <c r="O12" s="21" t="n"/>
      <c r="P12" s="19" t="inlineStr"/>
      <c r="Q12" s="21" t="n"/>
      <c r="R12" s="19" t="inlineStr">
        <is>
          <t>Sí</t>
        </is>
      </c>
      <c r="S12" s="19" t="inlineStr"/>
      <c r="T12" s="19" t="inlineStr"/>
    </row>
    <row r="13">
      <c r="A13" s="18" t="inlineStr">
        <is>
          <t>PAT-01</t>
        </is>
      </c>
      <c r="B13" s="18" t="inlineStr">
        <is>
          <t>Patente de proceso</t>
        </is>
      </c>
      <c r="C13" s="18" t="inlineStr">
        <is>
          <t>Patente</t>
        </is>
      </c>
      <c r="D13" s="18" t="inlineStr"/>
      <c r="E13" s="18" t="inlineStr"/>
      <c r="F13" s="29" t="n">
        <v>43831</v>
      </c>
      <c r="G13" s="20" t="n">
        <v>80000</v>
      </c>
      <c r="H13" s="20" t="n">
        <v>8000</v>
      </c>
      <c r="I13" s="30" t="n">
        <v>120</v>
      </c>
      <c r="J13" s="20" t="n">
        <v>36000</v>
      </c>
      <c r="K13" s="20" t="n">
        <v>7200</v>
      </c>
      <c r="L13" s="20" t="n">
        <v>10000</v>
      </c>
      <c r="M13" s="20" t="n">
        <v>40000</v>
      </c>
      <c r="N13" s="20" t="n">
        <v>38000</v>
      </c>
      <c r="O13" s="20" t="n"/>
      <c r="P13" s="18" t="inlineStr">
        <is>
          <t>Sí</t>
        </is>
      </c>
      <c r="Q13" s="20" t="n"/>
      <c r="R13" s="18" t="inlineStr">
        <is>
          <t>No</t>
        </is>
      </c>
      <c r="S13" s="18" t="inlineStr"/>
      <c r="T13" s="18" t="inlineStr"/>
    </row>
    <row r="14">
      <c r="A14" s="19" t="inlineStr">
        <is>
          <t>SW-02</t>
        </is>
      </c>
      <c r="B14" s="19" t="inlineStr">
        <is>
          <t>Software CRM</t>
        </is>
      </c>
      <c r="C14" s="19" t="inlineStr">
        <is>
          <t>Software</t>
        </is>
      </c>
      <c r="D14" s="19" t="inlineStr"/>
      <c r="E14" s="19" t="inlineStr"/>
      <c r="F14" s="31" t="n">
        <v>43466</v>
      </c>
      <c r="G14" s="21" t="n">
        <v>9000</v>
      </c>
      <c r="H14" s="21" t="n"/>
      <c r="I14" s="32" t="n">
        <v>48</v>
      </c>
      <c r="J14" s="21" t="n">
        <v>9000</v>
      </c>
      <c r="K14" s="21" t="n">
        <v>0</v>
      </c>
      <c r="L14" s="21" t="n"/>
      <c r="M14" s="21" t="n"/>
      <c r="N14" s="21" t="n"/>
      <c r="O14" s="21" t="n"/>
      <c r="P14" s="19" t="inlineStr"/>
      <c r="Q14" s="21" t="n"/>
      <c r="R14" s="19" t="inlineStr">
        <is>
          <t>Sí</t>
        </is>
      </c>
      <c r="S14" s="19" t="inlineStr"/>
      <c r="T14" s="19" t="inlineStr"/>
    </row>
    <row r="15">
      <c r="A15" s="18" t="inlineStr">
        <is>
          <t>SW-03</t>
        </is>
      </c>
      <c r="B15" s="18" t="inlineStr">
        <is>
          <t>Software de nómina</t>
        </is>
      </c>
      <c r="C15" s="18" t="inlineStr">
        <is>
          <t>Software</t>
        </is>
      </c>
      <c r="D15" s="18" t="inlineStr"/>
      <c r="E15" s="18" t="inlineStr"/>
      <c r="F15" s="29" t="n">
        <v>45474</v>
      </c>
      <c r="G15" s="20" t="n">
        <v>12000</v>
      </c>
      <c r="H15" s="20" t="n"/>
      <c r="I15" s="30" t="n">
        <v>36</v>
      </c>
      <c r="J15" s="20" t="n">
        <v>1000</v>
      </c>
      <c r="K15" s="20" t="n">
        <v>4000</v>
      </c>
      <c r="L15" s="20" t="n"/>
      <c r="M15" s="20" t="n"/>
      <c r="N15" s="20" t="n"/>
      <c r="O15" s="20" t="n"/>
      <c r="P15" s="18" t="inlineStr"/>
      <c r="Q15" s="20" t="n"/>
      <c r="R15" s="18" t="inlineStr">
        <is>
          <t>Sí</t>
        </is>
      </c>
      <c r="S15" s="18" t="inlineStr"/>
      <c r="T15" s="18" t="inlineStr"/>
    </row>
    <row r="16">
      <c r="A16" s="19" t="inlineStr">
        <is>
          <t>CON-01</t>
        </is>
      </c>
      <c r="B16" s="19" t="inlineStr">
        <is>
          <t>Concesión de distribución regional</t>
        </is>
      </c>
      <c r="C16" s="19" t="inlineStr">
        <is>
          <t>Licencia</t>
        </is>
      </c>
      <c r="D16" s="19" t="inlineStr"/>
      <c r="E16" s="19" t="inlineStr"/>
      <c r="F16" s="31" t="n">
        <v>45658</v>
      </c>
      <c r="G16" s="21" t="n">
        <v>36000</v>
      </c>
      <c r="H16" s="21" t="n"/>
      <c r="I16" s="32" t="n">
        <v>48</v>
      </c>
      <c r="J16" s="21" t="n">
        <v>0</v>
      </c>
      <c r="K16" s="21" t="n">
        <v>12000</v>
      </c>
      <c r="L16" s="21" t="n"/>
      <c r="M16" s="21" t="n"/>
      <c r="N16" s="21" t="n"/>
      <c r="O16" s="21" t="n"/>
      <c r="P16" s="19" t="inlineStr"/>
      <c r="Q16" s="21" t="n"/>
      <c r="R16" s="19" t="inlineStr">
        <is>
          <t>Sí</t>
        </is>
      </c>
      <c r="S16" s="19" t="inlineStr">
        <is>
          <t>Ingresos del contrato</t>
        </is>
      </c>
      <c r="T16" s="19" t="inlineStr"/>
    </row>
    <row r="17">
      <c r="A17" s="18" t="inlineStr">
        <is>
          <t>CON-02</t>
        </is>
      </c>
      <c r="B17" s="18" t="inlineStr">
        <is>
          <t>Concesión de peaje (importe total fijo de ingresos)</t>
        </is>
      </c>
      <c r="C17" s="18" t="inlineStr">
        <is>
          <t>Licencia</t>
        </is>
      </c>
      <c r="D17" s="18" t="inlineStr"/>
      <c r="E17" s="18" t="inlineStr"/>
      <c r="F17" s="29" t="n">
        <v>45292</v>
      </c>
      <c r="G17" s="20" t="n">
        <v>100000</v>
      </c>
      <c r="H17" s="20" t="n"/>
      <c r="I17" s="30" t="n">
        <v>96</v>
      </c>
      <c r="J17" s="20" t="n">
        <v>20000</v>
      </c>
      <c r="K17" s="20" t="n">
        <v>25000</v>
      </c>
      <c r="L17" s="20" t="n"/>
      <c r="M17" s="20" t="n"/>
      <c r="N17" s="20" t="n"/>
      <c r="O17" s="20" t="n"/>
      <c r="P17" s="18" t="inlineStr"/>
      <c r="Q17" s="20" t="n"/>
      <c r="R17" s="18" t="inlineStr">
        <is>
          <t>Sí</t>
        </is>
      </c>
      <c r="S17" s="18" t="inlineStr">
        <is>
          <t>Ingresos</t>
        </is>
      </c>
      <c r="T17" s="18" t="inlineStr">
        <is>
          <t>a) el contrato fija un importe total de peajes a recaudar; ver PT-INT-07</t>
        </is>
      </c>
    </row>
    <row r="18">
      <c r="A18" s="35" t="inlineStr">
        <is>
          <t>TOTAL</t>
        </is>
      </c>
      <c r="B18" s="35" t="inlineStr"/>
      <c r="C18" s="35" t="inlineStr"/>
      <c r="D18" s="35" t="inlineStr"/>
      <c r="E18" s="35" t="inlineStr"/>
      <c r="F18" s="36" t="n"/>
      <c r="G18" s="37">
        <f>SUM(G5:G17)</f>
        <v/>
      </c>
      <c r="H18" s="37" t="n"/>
      <c r="I18" s="38" t="n"/>
      <c r="J18" s="37" t="n"/>
      <c r="K18" s="37" t="n"/>
      <c r="L18" s="37" t="n"/>
      <c r="M18" s="37" t="n"/>
      <c r="N18" s="37" t="n"/>
      <c r="O18" s="37" t="n"/>
      <c r="P18" s="35" t="inlineStr"/>
      <c r="Q18" s="37" t="n"/>
      <c r="R18" s="35" t="inlineStr"/>
      <c r="S18" s="35" t="inlineStr"/>
      <c r="T18" s="35"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J30"/>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15" customWidth="1" min="3" max="3"/>
    <col width="18" customWidth="1" min="4" max="4"/>
    <col width="15" customWidth="1" min="5" max="5"/>
    <col width="15" customWidth="1" min="6" max="6"/>
    <col width="48" customWidth="1" min="7" max="7"/>
    <col width="18" customWidth="1" min="8" max="8"/>
    <col width="16" customWidth="1" min="9" max="9"/>
    <col width="28" customWidth="1" min="10" max="10"/>
  </cols>
  <sheetData>
    <row r="1">
      <c r="A1" s="3" t="inlineStr">
        <is>
          <t>Reconocimiento e investigación / desarrollo</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c r="G2" s="16" t="n"/>
      <c r="H2" s="16" t="n"/>
      <c r="I2" s="16" t="n"/>
      <c r="J2" s="16" t="n"/>
    </row>
    <row r="4" ht="30" customHeight="1">
      <c r="A4" s="17" t="inlineStr">
        <is>
          <t>Código</t>
        </is>
      </c>
      <c r="B4" s="17" t="inlineStr">
        <is>
          <t>Tipo</t>
        </is>
      </c>
      <c r="C4" s="17" t="inlineStr">
        <is>
          <t>Fase</t>
        </is>
      </c>
      <c r="D4" s="17" t="inlineStr">
        <is>
          <t>Cumple NIC 38.57</t>
        </is>
      </c>
      <c r="E4" s="17" t="inlineStr">
        <is>
          <t>Categoría</t>
        </is>
      </c>
      <c r="F4" s="17" t="inlineStr">
        <is>
          <t>Capitalizable</t>
        </is>
      </c>
      <c r="G4" s="17" t="inlineStr">
        <is>
          <t>Criterio</t>
        </is>
      </c>
      <c r="H4" s="17" t="inlineStr">
        <is>
          <t>Costo registrado</t>
        </is>
      </c>
      <c r="I4" s="17" t="inlineStr">
        <is>
          <t>Costo auditado</t>
        </is>
      </c>
      <c r="J4" s="17" t="inlineStr">
        <is>
          <t>Neto a dar de baja (gasto)</t>
        </is>
      </c>
    </row>
    <row r="5">
      <c r="A5" s="18" t="inlineStr">
        <is>
          <t>SW-01</t>
        </is>
      </c>
      <c r="B5" s="18">
        <f>'03_Intangibles'!C5&amp;""</f>
        <v/>
      </c>
      <c r="C5" s="18">
        <f>'03_Intangibles'!D5&amp;""</f>
        <v/>
      </c>
      <c r="D5" s="18">
        <f>'03_Intangibles'!E5&amp;""</f>
        <v/>
      </c>
      <c r="E5" s="18">
        <f>IF(OR(ISNUMBER(SEARCH("investig",B5)),ISNUMBER(SEARCH("investig",C5))),"Investigación",IF(OR(ISNUMBER(SEARCH("desarroll",B5)),ISNUMBER(SEARCH("desarroll",C5))),"Desarrollo",IF(OR(ISNUMBER(SEARCH("goodwill",B5)),ISNUMBER(SEARCH("plusval",B5))),"Goodwill","Otro")))</f>
        <v/>
      </c>
      <c r="F5" s="18">
        <f>IF(E5="Investigación","No",IF(E5="Desarrollo",IF('02_Parametros'!$B$7=1,"No",IF(D5="No","No","Sí")),"Sí"))</f>
        <v/>
      </c>
      <c r="G5" s="18">
        <f>IF(E5="Investigación","Investigación a gasto (NIC 38.54; PYMES 18.14)",IF(AND(E5="Desarrollo",'02_Parametros'!$B$7=1),"PYMES: desarrollo a gasto (18.14)",IF(AND(E5="Desarrollo",D5="No"),"No cumple NIC 38.57",IF(AND(E5="Desarrollo",D5=""),"Criterios 57 sin evidencia","Reconocido (NIC 38.21; PYMES 18.4)"))))</f>
        <v/>
      </c>
      <c r="H5" s="20">
        <f>'03_Intangibles'!G5</f>
        <v/>
      </c>
      <c r="I5" s="20">
        <f>IF(F5="Sí",H5,0)</f>
        <v/>
      </c>
      <c r="J5" s="20">
        <f>IF(F5="No",'03_Intangibles'!G5-'03_Intangibles'!J5-'03_Intangibles'!K5-'03_Intangibles'!L5-'03_Intangibles'!O5+'03_Intangibles'!Q5,0)</f>
        <v/>
      </c>
    </row>
    <row r="6">
      <c r="A6" s="19" t="inlineStr">
        <is>
          <t>LIC-01</t>
        </is>
      </c>
      <c r="B6" s="19">
        <f>'03_Intangibles'!C6&amp;""</f>
        <v/>
      </c>
      <c r="C6" s="19">
        <f>'03_Intangibles'!D6&amp;""</f>
        <v/>
      </c>
      <c r="D6" s="19">
        <f>'03_Intangibles'!E6&amp;""</f>
        <v/>
      </c>
      <c r="E6" s="19">
        <f>IF(OR(ISNUMBER(SEARCH("investig",B6)),ISNUMBER(SEARCH("investig",C6))),"Investigación",IF(OR(ISNUMBER(SEARCH("desarroll",B6)),ISNUMBER(SEARCH("desarroll",C6))),"Desarrollo",IF(OR(ISNUMBER(SEARCH("goodwill",B6)),ISNUMBER(SEARCH("plusval",B6))),"Goodwill","Otro")))</f>
        <v/>
      </c>
      <c r="F6" s="19">
        <f>IF(E6="Investigación","No",IF(E6="Desarrollo",IF('02_Parametros'!$B$7=1,"No",IF(D6="No","No","Sí")),"Sí"))</f>
        <v/>
      </c>
      <c r="G6" s="19">
        <f>IF(E6="Investigación","Investigación a gasto (NIC 38.54; PYMES 18.14)",IF(AND(E6="Desarrollo",'02_Parametros'!$B$7=1),"PYMES: desarrollo a gasto (18.14)",IF(AND(E6="Desarrollo",D6="No"),"No cumple NIC 38.57",IF(AND(E6="Desarrollo",D6=""),"Criterios 57 sin evidencia","Reconocido (NIC 38.21; PYMES 18.4)"))))</f>
        <v/>
      </c>
      <c r="H6" s="21">
        <f>'03_Intangibles'!G6</f>
        <v/>
      </c>
      <c r="I6" s="21">
        <f>IF(F6="Sí",H6,0)</f>
        <v/>
      </c>
      <c r="J6" s="21">
        <f>IF(F6="No",'03_Intangibles'!G6-'03_Intangibles'!J6-'03_Intangibles'!K6-'03_Intangibles'!L6-'03_Intangibles'!O6+'03_Intangibles'!Q6,0)</f>
        <v/>
      </c>
    </row>
    <row r="7">
      <c r="A7" s="18" t="inlineStr">
        <is>
          <t>MAR-01</t>
        </is>
      </c>
      <c r="B7" s="18">
        <f>'03_Intangibles'!C7&amp;""</f>
        <v/>
      </c>
      <c r="C7" s="18">
        <f>'03_Intangibles'!D7&amp;""</f>
        <v/>
      </c>
      <c r="D7" s="18">
        <f>'03_Intangibles'!E7&amp;""</f>
        <v/>
      </c>
      <c r="E7" s="18">
        <f>IF(OR(ISNUMBER(SEARCH("investig",B7)),ISNUMBER(SEARCH("investig",C7))),"Investigación",IF(OR(ISNUMBER(SEARCH("desarroll",B7)),ISNUMBER(SEARCH("desarroll",C7))),"Desarrollo",IF(OR(ISNUMBER(SEARCH("goodwill",B7)),ISNUMBER(SEARCH("plusval",B7))),"Goodwill","Otro")))</f>
        <v/>
      </c>
      <c r="F7" s="18">
        <f>IF(E7="Investigación","No",IF(E7="Desarrollo",IF('02_Parametros'!$B$7=1,"No",IF(D7="No","No","Sí")),"Sí"))</f>
        <v/>
      </c>
      <c r="G7" s="18">
        <f>IF(E7="Investigación","Investigación a gasto (NIC 38.54; PYMES 18.14)",IF(AND(E7="Desarrollo",'02_Parametros'!$B$7=1),"PYMES: desarrollo a gasto (18.14)",IF(AND(E7="Desarrollo",D7="No"),"No cumple NIC 38.57",IF(AND(E7="Desarrollo",D7=""),"Criterios 57 sin evidencia","Reconocido (NIC 38.21; PYMES 18.4)"))))</f>
        <v/>
      </c>
      <c r="H7" s="20">
        <f>'03_Intangibles'!G7</f>
        <v/>
      </c>
      <c r="I7" s="20">
        <f>IF(F7="Sí",H7,0)</f>
        <v/>
      </c>
      <c r="J7" s="20">
        <f>IF(F7="No",'03_Intangibles'!G7-'03_Intangibles'!J7-'03_Intangibles'!K7-'03_Intangibles'!L7-'03_Intangibles'!O7+'03_Intangibles'!Q7,0)</f>
        <v/>
      </c>
    </row>
    <row r="8">
      <c r="A8" s="19" t="inlineStr">
        <is>
          <t>GW-01</t>
        </is>
      </c>
      <c r="B8" s="19">
        <f>'03_Intangibles'!C8&amp;""</f>
        <v/>
      </c>
      <c r="C8" s="19">
        <f>'03_Intangibles'!D8&amp;""</f>
        <v/>
      </c>
      <c r="D8" s="19">
        <f>'03_Intangibles'!E8&amp;""</f>
        <v/>
      </c>
      <c r="E8" s="19">
        <f>IF(OR(ISNUMBER(SEARCH("investig",B8)),ISNUMBER(SEARCH("investig",C8))),"Investigación",IF(OR(ISNUMBER(SEARCH("desarroll",B8)),ISNUMBER(SEARCH("desarroll",C8))),"Desarrollo",IF(OR(ISNUMBER(SEARCH("goodwill",B8)),ISNUMBER(SEARCH("plusval",B8))),"Goodwill","Otro")))</f>
        <v/>
      </c>
      <c r="F8" s="19">
        <f>IF(E8="Investigación","No",IF(E8="Desarrollo",IF('02_Parametros'!$B$7=1,"No",IF(D8="No","No","Sí")),"Sí"))</f>
        <v/>
      </c>
      <c r="G8" s="19">
        <f>IF(E8="Investigación","Investigación a gasto (NIC 38.54; PYMES 18.14)",IF(AND(E8="Desarrollo",'02_Parametros'!$B$7=1),"PYMES: desarrollo a gasto (18.14)",IF(AND(E8="Desarrollo",D8="No"),"No cumple NIC 38.57",IF(AND(E8="Desarrollo",D8=""),"Criterios 57 sin evidencia","Reconocido (NIC 38.21; PYMES 18.4)"))))</f>
        <v/>
      </c>
      <c r="H8" s="21">
        <f>'03_Intangibles'!G8</f>
        <v/>
      </c>
      <c r="I8" s="21">
        <f>IF(F8="Sí",H8,0)</f>
        <v/>
      </c>
      <c r="J8" s="21">
        <f>IF(F8="No",'03_Intangibles'!G8-'03_Intangibles'!J8-'03_Intangibles'!K8-'03_Intangibles'!L8-'03_Intangibles'!O8+'03_Intangibles'!Q8,0)</f>
        <v/>
      </c>
    </row>
    <row r="9">
      <c r="A9" s="18" t="inlineStr">
        <is>
          <t>INV-01</t>
        </is>
      </c>
      <c r="B9" s="18">
        <f>'03_Intangibles'!C9&amp;""</f>
        <v/>
      </c>
      <c r="C9" s="18">
        <f>'03_Intangibles'!D9&amp;""</f>
        <v/>
      </c>
      <c r="D9" s="18">
        <f>'03_Intangibles'!E9&amp;""</f>
        <v/>
      </c>
      <c r="E9" s="18">
        <f>IF(OR(ISNUMBER(SEARCH("investig",B9)),ISNUMBER(SEARCH("investig",C9))),"Investigación",IF(OR(ISNUMBER(SEARCH("desarroll",B9)),ISNUMBER(SEARCH("desarroll",C9))),"Desarrollo",IF(OR(ISNUMBER(SEARCH("goodwill",B9)),ISNUMBER(SEARCH("plusval",B9))),"Goodwill","Otro")))</f>
        <v/>
      </c>
      <c r="F9" s="18">
        <f>IF(E9="Investigación","No",IF(E9="Desarrollo",IF('02_Parametros'!$B$7=1,"No",IF(D9="No","No","Sí")),"Sí"))</f>
        <v/>
      </c>
      <c r="G9" s="18">
        <f>IF(E9="Investigación","Investigación a gasto (NIC 38.54; PYMES 18.14)",IF(AND(E9="Desarrollo",'02_Parametros'!$B$7=1),"PYMES: desarrollo a gasto (18.14)",IF(AND(E9="Desarrollo",D9="No"),"No cumple NIC 38.57",IF(AND(E9="Desarrollo",D9=""),"Criterios 57 sin evidencia","Reconocido (NIC 38.21; PYMES 18.4)"))))</f>
        <v/>
      </c>
      <c r="H9" s="20">
        <f>'03_Intangibles'!G9</f>
        <v/>
      </c>
      <c r="I9" s="20">
        <f>IF(F9="Sí",H9,0)</f>
        <v/>
      </c>
      <c r="J9" s="20">
        <f>IF(F9="No",'03_Intangibles'!G9-'03_Intangibles'!J9-'03_Intangibles'!K9-'03_Intangibles'!L9-'03_Intangibles'!O9+'03_Intangibles'!Q9,0)</f>
        <v/>
      </c>
    </row>
    <row r="10">
      <c r="A10" s="19" t="inlineStr">
        <is>
          <t>DES-01</t>
        </is>
      </c>
      <c r="B10" s="19">
        <f>'03_Intangibles'!C10&amp;""</f>
        <v/>
      </c>
      <c r="C10" s="19">
        <f>'03_Intangibles'!D10&amp;""</f>
        <v/>
      </c>
      <c r="D10" s="19">
        <f>'03_Intangibles'!E10&amp;""</f>
        <v/>
      </c>
      <c r="E10" s="19">
        <f>IF(OR(ISNUMBER(SEARCH("investig",B10)),ISNUMBER(SEARCH("investig",C10))),"Investigación",IF(OR(ISNUMBER(SEARCH("desarroll",B10)),ISNUMBER(SEARCH("desarroll",C10))),"Desarrollo",IF(OR(ISNUMBER(SEARCH("goodwill",B10)),ISNUMBER(SEARCH("plusval",B10))),"Goodwill","Otro")))</f>
        <v/>
      </c>
      <c r="F10" s="19">
        <f>IF(E10="Investigación","No",IF(E10="Desarrollo",IF('02_Parametros'!$B$7=1,"No",IF(D10="No","No","Sí")),"Sí"))</f>
        <v/>
      </c>
      <c r="G10" s="19">
        <f>IF(E10="Investigación","Investigación a gasto (NIC 38.54; PYMES 18.14)",IF(AND(E10="Desarrollo",'02_Parametros'!$B$7=1),"PYMES: desarrollo a gasto (18.14)",IF(AND(E10="Desarrollo",D10="No"),"No cumple NIC 38.57",IF(AND(E10="Desarrollo",D10=""),"Criterios 57 sin evidencia","Reconocido (NIC 38.21; PYMES 18.4)"))))</f>
        <v/>
      </c>
      <c r="H10" s="21">
        <f>'03_Intangibles'!G10</f>
        <v/>
      </c>
      <c r="I10" s="21">
        <f>IF(F10="Sí",H10,0)</f>
        <v/>
      </c>
      <c r="J10" s="21">
        <f>IF(F10="No",'03_Intangibles'!G10-'03_Intangibles'!J10-'03_Intangibles'!K10-'03_Intangibles'!L10-'03_Intangibles'!O10+'03_Intangibles'!Q10,0)</f>
        <v/>
      </c>
    </row>
    <row r="11">
      <c r="A11" s="18" t="inlineStr">
        <is>
          <t>DES-02</t>
        </is>
      </c>
      <c r="B11" s="18">
        <f>'03_Intangibles'!C11&amp;""</f>
        <v/>
      </c>
      <c r="C11" s="18">
        <f>'03_Intangibles'!D11&amp;""</f>
        <v/>
      </c>
      <c r="D11" s="18">
        <f>'03_Intangibles'!E11&amp;""</f>
        <v/>
      </c>
      <c r="E11" s="18">
        <f>IF(OR(ISNUMBER(SEARCH("investig",B11)),ISNUMBER(SEARCH("investig",C11))),"Investigación",IF(OR(ISNUMBER(SEARCH("desarroll",B11)),ISNUMBER(SEARCH("desarroll",C11))),"Desarrollo",IF(OR(ISNUMBER(SEARCH("goodwill",B11)),ISNUMBER(SEARCH("plusval",B11))),"Goodwill","Otro")))</f>
        <v/>
      </c>
      <c r="F11" s="18">
        <f>IF(E11="Investigación","No",IF(E11="Desarrollo",IF('02_Parametros'!$B$7=1,"No",IF(D11="No","No","Sí")),"Sí"))</f>
        <v/>
      </c>
      <c r="G11" s="18">
        <f>IF(E11="Investigación","Investigación a gasto (NIC 38.54; PYMES 18.14)",IF(AND(E11="Desarrollo",'02_Parametros'!$B$7=1),"PYMES: desarrollo a gasto (18.14)",IF(AND(E11="Desarrollo",D11="No"),"No cumple NIC 38.57",IF(AND(E11="Desarrollo",D11=""),"Criterios 57 sin evidencia","Reconocido (NIC 38.21; PYMES 18.4)"))))</f>
        <v/>
      </c>
      <c r="H11" s="20">
        <f>'03_Intangibles'!G11</f>
        <v/>
      </c>
      <c r="I11" s="20">
        <f>IF(F11="Sí",H11,0)</f>
        <v/>
      </c>
      <c r="J11" s="20">
        <f>IF(F11="No",'03_Intangibles'!G11-'03_Intangibles'!J11-'03_Intangibles'!K11-'03_Intangibles'!L11-'03_Intangibles'!O11+'03_Intangibles'!Q11,0)</f>
        <v/>
      </c>
    </row>
    <row r="12">
      <c r="A12" s="19" t="inlineStr">
        <is>
          <t>DES-03</t>
        </is>
      </c>
      <c r="B12" s="19">
        <f>'03_Intangibles'!C12&amp;""</f>
        <v/>
      </c>
      <c r="C12" s="19">
        <f>'03_Intangibles'!D12&amp;""</f>
        <v/>
      </c>
      <c r="D12" s="19">
        <f>'03_Intangibles'!E12&amp;""</f>
        <v/>
      </c>
      <c r="E12" s="19">
        <f>IF(OR(ISNUMBER(SEARCH("investig",B12)),ISNUMBER(SEARCH("investig",C12))),"Investigación",IF(OR(ISNUMBER(SEARCH("desarroll",B12)),ISNUMBER(SEARCH("desarroll",C12))),"Desarrollo",IF(OR(ISNUMBER(SEARCH("goodwill",B12)),ISNUMBER(SEARCH("plusval",B12))),"Goodwill","Otro")))</f>
        <v/>
      </c>
      <c r="F12" s="19">
        <f>IF(E12="Investigación","No",IF(E12="Desarrollo",IF('02_Parametros'!$B$7=1,"No",IF(D12="No","No","Sí")),"Sí"))</f>
        <v/>
      </c>
      <c r="G12" s="19">
        <f>IF(E12="Investigación","Investigación a gasto (NIC 38.54; PYMES 18.14)",IF(AND(E12="Desarrollo",'02_Parametros'!$B$7=1),"PYMES: desarrollo a gasto (18.14)",IF(AND(E12="Desarrollo",D12="No"),"No cumple NIC 38.57",IF(AND(E12="Desarrollo",D12=""),"Criterios 57 sin evidencia","Reconocido (NIC 38.21; PYMES 18.4)"))))</f>
        <v/>
      </c>
      <c r="H12" s="21">
        <f>'03_Intangibles'!G12</f>
        <v/>
      </c>
      <c r="I12" s="21">
        <f>IF(F12="Sí",H12,0)</f>
        <v/>
      </c>
      <c r="J12" s="21">
        <f>IF(F12="No",'03_Intangibles'!G12-'03_Intangibles'!J12-'03_Intangibles'!K12-'03_Intangibles'!L12-'03_Intangibles'!O12+'03_Intangibles'!Q12,0)</f>
        <v/>
      </c>
    </row>
    <row r="13">
      <c r="A13" s="18" t="inlineStr">
        <is>
          <t>PAT-01</t>
        </is>
      </c>
      <c r="B13" s="18">
        <f>'03_Intangibles'!C13&amp;""</f>
        <v/>
      </c>
      <c r="C13" s="18">
        <f>'03_Intangibles'!D13&amp;""</f>
        <v/>
      </c>
      <c r="D13" s="18">
        <f>'03_Intangibles'!E13&amp;""</f>
        <v/>
      </c>
      <c r="E13" s="18">
        <f>IF(OR(ISNUMBER(SEARCH("investig",B13)),ISNUMBER(SEARCH("investig",C13))),"Investigación",IF(OR(ISNUMBER(SEARCH("desarroll",B13)),ISNUMBER(SEARCH("desarroll",C13))),"Desarrollo",IF(OR(ISNUMBER(SEARCH("goodwill",B13)),ISNUMBER(SEARCH("plusval",B13))),"Goodwill","Otro")))</f>
        <v/>
      </c>
      <c r="F13" s="18">
        <f>IF(E13="Investigación","No",IF(E13="Desarrollo",IF('02_Parametros'!$B$7=1,"No",IF(D13="No","No","Sí")),"Sí"))</f>
        <v/>
      </c>
      <c r="G13" s="18">
        <f>IF(E13="Investigación","Investigación a gasto (NIC 38.54; PYMES 18.14)",IF(AND(E13="Desarrollo",'02_Parametros'!$B$7=1),"PYMES: desarrollo a gasto (18.14)",IF(AND(E13="Desarrollo",D13="No"),"No cumple NIC 38.57",IF(AND(E13="Desarrollo",D13=""),"Criterios 57 sin evidencia","Reconocido (NIC 38.21; PYMES 18.4)"))))</f>
        <v/>
      </c>
      <c r="H13" s="20">
        <f>'03_Intangibles'!G13</f>
        <v/>
      </c>
      <c r="I13" s="20">
        <f>IF(F13="Sí",H13,0)</f>
        <v/>
      </c>
      <c r="J13" s="20">
        <f>IF(F13="No",'03_Intangibles'!G13-'03_Intangibles'!J13-'03_Intangibles'!K13-'03_Intangibles'!L13-'03_Intangibles'!O13+'03_Intangibles'!Q13,0)</f>
        <v/>
      </c>
    </row>
    <row r="14">
      <c r="A14" s="19" t="inlineStr">
        <is>
          <t>SW-02</t>
        </is>
      </c>
      <c r="B14" s="19">
        <f>'03_Intangibles'!C14&amp;""</f>
        <v/>
      </c>
      <c r="C14" s="19">
        <f>'03_Intangibles'!D14&amp;""</f>
        <v/>
      </c>
      <c r="D14" s="19">
        <f>'03_Intangibles'!E14&amp;""</f>
        <v/>
      </c>
      <c r="E14" s="19">
        <f>IF(OR(ISNUMBER(SEARCH("investig",B14)),ISNUMBER(SEARCH("investig",C14))),"Investigación",IF(OR(ISNUMBER(SEARCH("desarroll",B14)),ISNUMBER(SEARCH("desarroll",C14))),"Desarrollo",IF(OR(ISNUMBER(SEARCH("goodwill",B14)),ISNUMBER(SEARCH("plusval",B14))),"Goodwill","Otro")))</f>
        <v/>
      </c>
      <c r="F14" s="19">
        <f>IF(E14="Investigación","No",IF(E14="Desarrollo",IF('02_Parametros'!$B$7=1,"No",IF(D14="No","No","Sí")),"Sí"))</f>
        <v/>
      </c>
      <c r="G14" s="19">
        <f>IF(E14="Investigación","Investigación a gasto (NIC 38.54; PYMES 18.14)",IF(AND(E14="Desarrollo",'02_Parametros'!$B$7=1),"PYMES: desarrollo a gasto (18.14)",IF(AND(E14="Desarrollo",D14="No"),"No cumple NIC 38.57",IF(AND(E14="Desarrollo",D14=""),"Criterios 57 sin evidencia","Reconocido (NIC 38.21; PYMES 18.4)"))))</f>
        <v/>
      </c>
      <c r="H14" s="21">
        <f>'03_Intangibles'!G14</f>
        <v/>
      </c>
      <c r="I14" s="21">
        <f>IF(F14="Sí",H14,0)</f>
        <v/>
      </c>
      <c r="J14" s="21">
        <f>IF(F14="No",'03_Intangibles'!G14-'03_Intangibles'!J14-'03_Intangibles'!K14-'03_Intangibles'!L14-'03_Intangibles'!O14+'03_Intangibles'!Q14,0)</f>
        <v/>
      </c>
    </row>
    <row r="15">
      <c r="A15" s="18" t="inlineStr">
        <is>
          <t>SW-03</t>
        </is>
      </c>
      <c r="B15" s="18">
        <f>'03_Intangibles'!C15&amp;""</f>
        <v/>
      </c>
      <c r="C15" s="18">
        <f>'03_Intangibles'!D15&amp;""</f>
        <v/>
      </c>
      <c r="D15" s="18">
        <f>'03_Intangibles'!E15&amp;""</f>
        <v/>
      </c>
      <c r="E15" s="18">
        <f>IF(OR(ISNUMBER(SEARCH("investig",B15)),ISNUMBER(SEARCH("investig",C15))),"Investigación",IF(OR(ISNUMBER(SEARCH("desarroll",B15)),ISNUMBER(SEARCH("desarroll",C15))),"Desarrollo",IF(OR(ISNUMBER(SEARCH("goodwill",B15)),ISNUMBER(SEARCH("plusval",B15))),"Goodwill","Otro")))</f>
        <v/>
      </c>
      <c r="F15" s="18">
        <f>IF(E15="Investigación","No",IF(E15="Desarrollo",IF('02_Parametros'!$B$7=1,"No",IF(D15="No","No","Sí")),"Sí"))</f>
        <v/>
      </c>
      <c r="G15" s="18">
        <f>IF(E15="Investigación","Investigación a gasto (NIC 38.54; PYMES 18.14)",IF(AND(E15="Desarrollo",'02_Parametros'!$B$7=1),"PYMES: desarrollo a gasto (18.14)",IF(AND(E15="Desarrollo",D15="No"),"No cumple NIC 38.57",IF(AND(E15="Desarrollo",D15=""),"Criterios 57 sin evidencia","Reconocido (NIC 38.21; PYMES 18.4)"))))</f>
        <v/>
      </c>
      <c r="H15" s="20">
        <f>'03_Intangibles'!G15</f>
        <v/>
      </c>
      <c r="I15" s="20">
        <f>IF(F15="Sí",H15,0)</f>
        <v/>
      </c>
      <c r="J15" s="20">
        <f>IF(F15="No",'03_Intangibles'!G15-'03_Intangibles'!J15-'03_Intangibles'!K15-'03_Intangibles'!L15-'03_Intangibles'!O15+'03_Intangibles'!Q15,0)</f>
        <v/>
      </c>
    </row>
    <row r="16">
      <c r="A16" s="19" t="inlineStr">
        <is>
          <t>CON-01</t>
        </is>
      </c>
      <c r="B16" s="19">
        <f>'03_Intangibles'!C16&amp;""</f>
        <v/>
      </c>
      <c r="C16" s="19">
        <f>'03_Intangibles'!D16&amp;""</f>
        <v/>
      </c>
      <c r="D16" s="19">
        <f>'03_Intangibles'!E16&amp;""</f>
        <v/>
      </c>
      <c r="E16" s="19">
        <f>IF(OR(ISNUMBER(SEARCH("investig",B16)),ISNUMBER(SEARCH("investig",C16))),"Investigación",IF(OR(ISNUMBER(SEARCH("desarroll",B16)),ISNUMBER(SEARCH("desarroll",C16))),"Desarrollo",IF(OR(ISNUMBER(SEARCH("goodwill",B16)),ISNUMBER(SEARCH("plusval",B16))),"Goodwill","Otro")))</f>
        <v/>
      </c>
      <c r="F16" s="19">
        <f>IF(E16="Investigación","No",IF(E16="Desarrollo",IF('02_Parametros'!$B$7=1,"No",IF(D16="No","No","Sí")),"Sí"))</f>
        <v/>
      </c>
      <c r="G16" s="19">
        <f>IF(E16="Investigación","Investigación a gasto (NIC 38.54; PYMES 18.14)",IF(AND(E16="Desarrollo",'02_Parametros'!$B$7=1),"PYMES: desarrollo a gasto (18.14)",IF(AND(E16="Desarrollo",D16="No"),"No cumple NIC 38.57",IF(AND(E16="Desarrollo",D16=""),"Criterios 57 sin evidencia","Reconocido (NIC 38.21; PYMES 18.4)"))))</f>
        <v/>
      </c>
      <c r="H16" s="21">
        <f>'03_Intangibles'!G16</f>
        <v/>
      </c>
      <c r="I16" s="21">
        <f>IF(F16="Sí",H16,0)</f>
        <v/>
      </c>
      <c r="J16" s="21">
        <f>IF(F16="No",'03_Intangibles'!G16-'03_Intangibles'!J16-'03_Intangibles'!K16-'03_Intangibles'!L16-'03_Intangibles'!O16+'03_Intangibles'!Q16,0)</f>
        <v/>
      </c>
    </row>
    <row r="17">
      <c r="A17" s="18" t="inlineStr">
        <is>
          <t>CON-02</t>
        </is>
      </c>
      <c r="B17" s="18">
        <f>'03_Intangibles'!C17&amp;""</f>
        <v/>
      </c>
      <c r="C17" s="18">
        <f>'03_Intangibles'!D17&amp;""</f>
        <v/>
      </c>
      <c r="D17" s="18">
        <f>'03_Intangibles'!E17&amp;""</f>
        <v/>
      </c>
      <c r="E17" s="18">
        <f>IF(OR(ISNUMBER(SEARCH("investig",B17)),ISNUMBER(SEARCH("investig",C17))),"Investigación",IF(OR(ISNUMBER(SEARCH("desarroll",B17)),ISNUMBER(SEARCH("desarroll",C17))),"Desarrollo",IF(OR(ISNUMBER(SEARCH("goodwill",B17)),ISNUMBER(SEARCH("plusval",B17))),"Goodwill","Otro")))</f>
        <v/>
      </c>
      <c r="F17" s="18">
        <f>IF(E17="Investigación","No",IF(E17="Desarrollo",IF('02_Parametros'!$B$7=1,"No",IF(D17="No","No","Sí")),"Sí"))</f>
        <v/>
      </c>
      <c r="G17" s="18">
        <f>IF(E17="Investigación","Investigación a gasto (NIC 38.54; PYMES 18.14)",IF(AND(E17="Desarrollo",'02_Parametros'!$B$7=1),"PYMES: desarrollo a gasto (18.14)",IF(AND(E17="Desarrollo",D17="No"),"No cumple NIC 38.57",IF(AND(E17="Desarrollo",D17=""),"Criterios 57 sin evidencia","Reconocido (NIC 38.21; PYMES 18.4)"))))</f>
        <v/>
      </c>
      <c r="H17" s="20">
        <f>'03_Intangibles'!G17</f>
        <v/>
      </c>
      <c r="I17" s="20">
        <f>IF(F17="Sí",H17,0)</f>
        <v/>
      </c>
      <c r="J17" s="20">
        <f>IF(F17="No",'03_Intangibles'!G17-'03_Intangibles'!J17-'03_Intangibles'!K17-'03_Intangibles'!L17-'03_Intangibles'!O17+'03_Intangibles'!Q17,0)</f>
        <v/>
      </c>
    </row>
    <row r="18">
      <c r="A18" s="35" t="inlineStr">
        <is>
          <t>TOTAL</t>
        </is>
      </c>
      <c r="B18" s="35" t="inlineStr"/>
      <c r="C18" s="35" t="inlineStr"/>
      <c r="D18" s="35" t="inlineStr"/>
      <c r="E18" s="35" t="inlineStr"/>
      <c r="F18" s="35" t="inlineStr"/>
      <c r="G18" s="35" t="inlineStr"/>
      <c r="H18" s="37">
        <f>SUM(H5:H17)</f>
        <v/>
      </c>
      <c r="I18" s="37">
        <f>SUM(I5:I17)</f>
        <v/>
      </c>
      <c r="J18" s="37">
        <f>SUM(J5:J17)</f>
        <v/>
      </c>
    </row>
    <row r="20">
      <c r="A20" s="22" t="inlineStr">
        <is>
          <t>ⓘ  Cómo se calcula esta hoja</t>
        </is>
      </c>
    </row>
    <row r="21">
      <c r="A21" s="23" t="inlineStr">
        <is>
          <t>Columna</t>
        </is>
      </c>
      <c r="B21" s="23" t="inlineStr">
        <is>
          <t>Fórmula (Excel)</t>
        </is>
      </c>
      <c r="C21" s="23" t="inlineStr">
        <is>
          <t>Cómo se calcula (sencillo)</t>
        </is>
      </c>
      <c r="D21" s="23" t="inlineStr">
        <is>
          <t>Ejemplo con números reales</t>
        </is>
      </c>
      <c r="E21" s="23" t="inlineStr">
        <is>
          <t>De dónde viene</t>
        </is>
      </c>
      <c r="F21" s="23" t="inlineStr">
        <is>
          <t>Norma</t>
        </is>
      </c>
    </row>
    <row r="22">
      <c r="A22" s="24" t="inlineStr">
        <is>
          <t>Tipo</t>
        </is>
      </c>
      <c r="B22" s="25" t="inlineStr">
        <is>
          <t>'='03_Intangibles'!C5&amp;""</t>
        </is>
      </c>
      <c r="C22" s="24" t="inlineStr">
        <is>
          <t>Copia, como texto, el tipo de intangible (software, licencia, marca, goodwill…) que informó el cliente en la hoja 03 (Auxiliar de intangibles y goodwill).</t>
        </is>
      </c>
      <c r="D22" s="24" t="inlineStr">
        <is>
          <t>Fila 1: «Software»&amp;"" → Software</t>
        </is>
      </c>
      <c r="E22" s="24" t="inlineStr">
        <is>
          <t>hoja «Auxiliar de intangibles y goodwill»</t>
        </is>
      </c>
      <c r="F22" s="24" t="inlineStr">
        <is>
          <t>—</t>
        </is>
      </c>
    </row>
    <row r="23">
      <c r="A23" s="24" t="inlineStr">
        <is>
          <t>Fase</t>
        </is>
      </c>
      <c r="B23" s="25" t="inlineStr">
        <is>
          <t>'='03_Intangibles'!D5&amp;""</t>
        </is>
      </c>
      <c r="C23" s="24" t="inlineStr">
        <is>
          <t>Copia, como texto, la fase del proyecto interno (investigación o desarrollo) informada en la hoja 03 (Auxiliar de intangibles y goodwill); si no aplica, queda en blanco.</t>
        </is>
      </c>
      <c r="D23" s="24" t="inlineStr">
        <is>
          <t>Fila 1: (vacío)&amp;"" → (en blanco)</t>
        </is>
      </c>
      <c r="E23" s="24" t="inlineStr">
        <is>
          <t>hoja «Auxiliar de intangibles y goodwill»</t>
        </is>
      </c>
      <c r="F23" s="24" t="inlineStr">
        <is>
          <t>—</t>
        </is>
      </c>
    </row>
    <row r="24">
      <c r="A24" s="24" t="inlineStr">
        <is>
          <t>Cumple NIC 38.57</t>
        </is>
      </c>
      <c r="B24" s="25" t="inlineStr">
        <is>
          <t>'='03_Intangibles'!E5&amp;""</t>
        </is>
      </c>
      <c r="C24" s="24" t="inlineStr">
        <is>
          <t>Copia la respuesta del cliente (Sí/No) sobre si el desarrollo cumple los criterios de la NIC 38.57, tomada de la hoja 03 (Auxiliar de intangibles y goodwill).</t>
        </is>
      </c>
      <c r="D24" s="24" t="inlineStr">
        <is>
          <t>Fila 1: (vacío)&amp;"" → (en blanco)</t>
        </is>
      </c>
      <c r="E24" s="24" t="inlineStr">
        <is>
          <t>hoja «Auxiliar de intangibles y goodwill»</t>
        </is>
      </c>
      <c r="F24" s="24" t="inlineStr">
        <is>
          <t>—</t>
        </is>
      </c>
    </row>
    <row r="25">
      <c r="A25" s="24" t="inlineStr">
        <is>
          <t>Categoría</t>
        </is>
      </c>
      <c r="B25" s="25" t="inlineStr">
        <is>
          <t>'=IF(OR(ISNUMBER(SEARCH("investig",B5)),ISNUMBER(SEARCH("investig",C5))),"Investigación",IF(OR(ISNUMBER(SEARCH("desarroll",B5)),ISNUMBER(SEARCH("desarroll",C5))),"Desarrollo",IF(OR(ISNUMBER(SEARCH("goodwill",B5)),ISNUMBER(SEARCH("plusval",B5))),"Goodwill","Otro")))</t>
        </is>
      </c>
      <c r="C25" s="24" t="inlineStr">
        <is>
          <t>Clasifica la partida leyendo el tipo y la fase: si alguno menciona «investigación» es Investigación; si menciona «desarrollo» es Desarrollo; si el tipo dice «goodwill» o «plusvalía» es Goodwill; cualquier otro caso queda como Otro.</t>
        </is>
      </c>
      <c r="D25" s="24" t="inlineStr">
        <is>
          <t>Fila 1: IF(OR(ISNUMBER(SEARCH("investig"; «Software»)); ISNUMBER(SEARCH("investig"; (vacío)))); "Investigación"; IF(OR(ISNUMBER(SEARCH("desarroll"; «Software»)); ISNUMBER(SEARCH("desarroll"; (vacío)))); "Desarrollo"; IF(OR(ISNUMBER(SEARCH("goodwill"; «Software»)); ISNUMBER(SEARCH("plusval"; «Software»))); "Goodwill"; "Otro"))) → Otro</t>
        </is>
      </c>
      <c r="E25" s="24" t="inlineStr">
        <is>
          <t>«Tipo» (esta hoja), «Fase» (esta hoja)</t>
        </is>
      </c>
      <c r="F25" s="24" t="inlineStr">
        <is>
          <t>—</t>
        </is>
      </c>
    </row>
    <row r="26">
      <c r="A26" s="24" t="inlineStr">
        <is>
          <t>Capitalizable</t>
        </is>
      </c>
      <c r="B26" s="25" t="inlineStr">
        <is>
          <t>'=IF(E5="Investigación","No",IF(E5="Desarrollo",IF('02_Parametros'!$B$7=1,"No",IF(D5="No","No","Sí")),"Sí"))</t>
        </is>
      </c>
      <c r="C26" s="24" t="inlineStr">
        <is>
          <t>Decide si la partida puede quedarse en el activo: la investigación nunca; el desarrollo no en la ruta PYMES (parámetro de la hoja 02) ni cuando el cliente respondió «No» a la NIC 38.57; todo lo demás sí.</t>
        </is>
      </c>
      <c r="D26" s="24" t="inlineStr">
        <is>
          <t>Fila 1: IF(«Otro»="Investigación"; "No"; IF(«Otro»="Desarrollo"; IF(0,00=1; "No"; IF((vacío)="No"; "No"; "Sí")); "Sí")) → Sí</t>
        </is>
      </c>
      <c r="E26" s="24" t="inlineStr">
        <is>
          <t>«Categoría» (esta hoja), «Cumple NIC 38.57» (esta hoja), hoja «Parámetros»</t>
        </is>
      </c>
      <c r="F26" s="24" t="inlineStr">
        <is>
          <t>—</t>
        </is>
      </c>
    </row>
    <row r="27">
      <c r="A27" s="24" t="inlineStr">
        <is>
          <t>Criterio</t>
        </is>
      </c>
      <c r="B27" s="25" t="inlineStr">
        <is>
          <t>'=IF(E5="Investigación","Investigación a gasto (NIC 38.54; PYMES 18.14)",IF(AND(E5="Desarrollo",'02_Parametros'!$B$7=1),"PYMES: desarrollo a gasto (18.14)",IF(AND(E5="Desarrollo",D5="No"),"No cumple NIC 38.57",IF(AND(E5="Desarrollo",D5=""),"Criterios 57 sin evidencia","Reconocido (NIC 38.21; PYMES 18.4)"))))</t>
        </is>
      </c>
      <c r="C27" s="24" t="inlineStr">
        <is>
          <t>Escribe en palabras el motivo de la decisión anterior: investigación a gasto, desarrollo a gasto en PYMES, desarrollo que no cumple la NIC 38.57, desarrollo sin evidencia de esos criterios (respuesta en blanco) o intangible reconocido.</t>
        </is>
      </c>
      <c r="D27" s="24" t="inlineStr">
        <is>
          <t>Fila 1: IF(«Otro»="Investigación"; "Investigación a gasto (NIC 38.54; PYMES 18.14)"; IF(AND(«Otro»="Desarrollo"; 0,00=1); "PYMES: desarrollo a gasto (18.14)"; IF(AND(«Otro»="Desarrollo"; (vacío)="No"); "No cumple NIC 38.57"; IF(AND(«Otro»="Desarrollo"; (vacío)=""); "Criterios 57 sin evidencia"; "Reconocido (NIC 38.21; PYMES 18.4)")))) → Reconocido (NIC 38.21; PYMES 18.4)</t>
        </is>
      </c>
      <c r="E27" s="24" t="inlineStr">
        <is>
          <t>«Categoría» (esta hoja), «Cumple NIC 38.57» (esta hoja), hoja «Parámetros»</t>
        </is>
      </c>
      <c r="F27" s="24" t="inlineStr">
        <is>
          <t>—</t>
        </is>
      </c>
    </row>
    <row r="28">
      <c r="A28" s="24" t="inlineStr">
        <is>
          <t>Costo registrado</t>
        </is>
      </c>
      <c r="B28" s="25" t="inlineStr">
        <is>
          <t>'='03_Intangibles'!G5</t>
        </is>
      </c>
      <c r="C28" s="24" t="inlineStr">
        <is>
          <t>Trae el costo de la partida tal como lo registró el cliente en la hoja 03 (Auxiliar de intangibles y goodwill).</t>
        </is>
      </c>
      <c r="D28" s="24" t="inlineStr">
        <is>
          <t>Fila 1: 60.000,00 → 60.000,00</t>
        </is>
      </c>
      <c r="E28" s="24" t="inlineStr">
        <is>
          <t>hoja «Auxiliar de intangibles y goodwill»</t>
        </is>
      </c>
      <c r="F28" s="24" t="inlineStr">
        <is>
          <t>—</t>
        </is>
      </c>
    </row>
    <row r="29">
      <c r="A29" s="24" t="inlineStr">
        <is>
          <t>Costo auditado</t>
        </is>
      </c>
      <c r="B29" s="25" t="inlineStr">
        <is>
          <t>'=IF(F5="Sí",H5,0)</t>
        </is>
      </c>
      <c r="C29" s="24" t="inlineStr">
        <is>
          <t>Mantiene el costo registrado solo si la partida es capitalizable; si no lo es, el costo auditado es cero.</t>
        </is>
      </c>
      <c r="D29" s="24" t="inlineStr">
        <is>
          <t>Fila 1: IF(«Sí»="Sí"; 60.000,00; 0) → 60.000,00</t>
        </is>
      </c>
      <c r="E29" s="24" t="inlineStr">
        <is>
          <t>«Capitalizable» (esta hoja), «Costo registrado» (esta hoja)</t>
        </is>
      </c>
      <c r="F29" s="24" t="inlineStr">
        <is>
          <t>—</t>
        </is>
      </c>
    </row>
    <row r="30">
      <c r="A30" s="24" t="inlineStr">
        <is>
          <t>Neto a dar de baja (gasto)</t>
        </is>
      </c>
      <c r="B30" s="25" t="inlineStr">
        <is>
          <t>'=IF(F5="No",'03_Intangibles'!G5-'03_Intangibles'!J5-'03_Intangibles'!K5-'03_Intangibles'!L5-'03_Intangibles'!O5+'03_Intangibles'!Q5,0)</t>
        </is>
      </c>
      <c r="C30" s="24" t="inlineStr">
        <is>
          <t>Solo para partidas no capitalizables: parte del costo de la hoja 03 (Auxiliar de intangibles y goodwill), resta la amortización acumulada inicial, la del año, el deterioro previo y el del año, y suma la reversión registrada. Es el neto que debe pasar a gasto; en las capitalizables es cero.</t>
        </is>
      </c>
      <c r="D30" s="24" t="inlineStr">
        <is>
          <t>Fila 1: IF(«Sí»="No"; 60.000,00-24.000,00-12.000,00-(vacío)-(vacío)+(vacío); 0) → 0,00</t>
        </is>
      </c>
      <c r="E30" s="24" t="inlineStr">
        <is>
          <t>«Capitalizable» (esta hoja), hoja «Auxiliar de intangibles y goodwill»</t>
        </is>
      </c>
      <c r="F30" s="24" t="inlineStr">
        <is>
          <t>—</t>
        </is>
      </c>
    </row>
  </sheetData>
  <mergeCells count="3">
    <mergeCell ref="A20:F20"/>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R38"/>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16" customWidth="1" min="4" max="4"/>
    <col width="16" customWidth="1" min="5" max="5"/>
    <col width="21" customWidth="1" min="6" max="6"/>
    <col width="23" customWidth="1" min="7" max="7"/>
    <col width="39" customWidth="1" min="8" max="8"/>
    <col width="28" customWidth="1" min="9" max="9"/>
    <col width="19" customWidth="1" min="10" max="10"/>
    <col width="35" customWidth="1" min="11" max="11"/>
    <col width="35" customWidth="1" min="12" max="12"/>
    <col width="12" customWidth="1" min="13" max="13"/>
    <col width="30" customWidth="1" min="14" max="14"/>
    <col width="33" customWidth="1" min="15" max="15"/>
    <col width="60" customWidth="1" min="16" max="16"/>
    <col width="36" customWidth="1" min="17" max="17"/>
    <col width="23" customWidth="1" min="18" max="18"/>
  </cols>
  <sheetData>
    <row r="1">
      <c r="A1" s="3" t="inlineStr">
        <is>
          <t>Amortización y vida finita / indefinida</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c r="G2" s="16" t="n"/>
      <c r="H2" s="16" t="n"/>
      <c r="I2" s="16" t="n"/>
      <c r="J2" s="16" t="n"/>
      <c r="K2" s="16" t="n"/>
      <c r="L2" s="16" t="n"/>
      <c r="M2" s="16" t="n"/>
      <c r="N2" s="16" t="n"/>
      <c r="O2" s="16" t="n"/>
      <c r="P2" s="16" t="n"/>
      <c r="Q2" s="16" t="n"/>
      <c r="R2" s="16" t="n"/>
    </row>
    <row r="4" ht="30" customHeight="1">
      <c r="A4" s="17" t="inlineStr">
        <is>
          <t>Código</t>
        </is>
      </c>
      <c r="B4" s="17" t="inlineStr">
        <is>
          <t>Categoría</t>
        </is>
      </c>
      <c r="C4" s="17" t="inlineStr">
        <is>
          <t>Capitalizable</t>
        </is>
      </c>
      <c r="D4" s="17" t="inlineStr">
        <is>
          <t>Costo auditado</t>
        </is>
      </c>
      <c r="E4" s="17" t="inlineStr">
        <is>
          <t>Valor residual</t>
        </is>
      </c>
      <c r="F4" s="17" t="inlineStr">
        <is>
          <t>Importe amortizable</t>
        </is>
      </c>
      <c r="G4" s="17" t="inlineStr">
        <is>
          <t>Vida aplicada (meses)</t>
        </is>
      </c>
      <c r="H4" s="17" t="inlineStr">
        <is>
          <t>Tipo de vida</t>
        </is>
      </c>
      <c r="I4" s="17" t="inlineStr">
        <is>
          <t>Meses en uso del ejercicio</t>
        </is>
      </c>
      <c r="J4" s="17" t="inlineStr">
        <is>
          <t>Importe pendiente</t>
        </is>
      </c>
      <c r="K4" s="17" t="inlineStr">
        <is>
          <t>Amortización recalculada (lineal)</t>
        </is>
      </c>
      <c r="L4" s="17" t="inlineStr">
        <is>
          <t>Amortización registrada (cliente)</t>
        </is>
      </c>
      <c r="M4" s="17" t="inlineStr">
        <is>
          <t>Diferencia</t>
        </is>
      </c>
      <c r="N4" s="17" t="inlineStr">
        <is>
          <t>Amort. acumulada recalculada</t>
        </is>
      </c>
      <c r="O4" s="17" t="inlineStr">
        <is>
          <t>Método informado por el cliente</t>
        </is>
      </c>
      <c r="P4" s="17" t="inlineStr">
        <is>
          <t>Circunstancia invocada (NIC 38.98A / 18.22A)</t>
        </is>
      </c>
      <c r="Q4" s="17" t="inlineStr">
        <is>
          <t>Método aplicado por la herramienta</t>
        </is>
      </c>
      <c r="R4" s="17" t="inlineStr">
        <is>
          <t>Amortización auditada</t>
        </is>
      </c>
    </row>
    <row r="5">
      <c r="A5" s="18" t="inlineStr">
        <is>
          <t>SW-01</t>
        </is>
      </c>
      <c r="B5" s="18">
        <f>'04_Reconocimiento'!E5</f>
        <v/>
      </c>
      <c r="C5" s="18">
        <f>'04_Reconocimiento'!F5</f>
        <v/>
      </c>
      <c r="D5" s="20">
        <f>'04_Reconocimiento'!I5</f>
        <v/>
      </c>
      <c r="E5" s="20">
        <f>'03_Intangibles'!H5+0</f>
        <v/>
      </c>
      <c r="F5" s="20">
        <f>MAX(D5-E5,0)</f>
        <v/>
      </c>
      <c r="G5" s="30">
        <f>IF(C5="No","",IF('02_Parametros'!$B$7=1,IF('03_Intangibles'!I5="","",MIN('03_Intangibles'!I5,'02_Parametros'!$B$10)),IF(B5="Goodwill","",IF('03_Intangibles'!I5="","",'03_Intangibles'!I5))))</f>
        <v/>
      </c>
      <c r="H5" s="18">
        <f>IF(C5="No","No aplica",IF(G5&lt;&gt;"","Finita",IF('02_Parametros'!$B$7=1,"Sin estimación (18.20)",IF(B5="Goodwill","Goodwill: indefinida (no se amortiza)","Indefinida"))))</f>
        <v/>
      </c>
      <c r="I5" s="30">
        <f>IF('03_Intangibles'!F5="",0,MAX(0,MIN(12,(YEAR('02_Parametros'!$B$5)-YEAR('03_Intangibles'!F5))*12+MONTH('02_Parametros'!$B$5)-MONTH('03_Intangibles'!F5)+1)))</f>
        <v/>
      </c>
      <c r="J5" s="20">
        <f>MAX(F5-'03_Intangibles'!J5-'03_Intangibles'!L5,0)</f>
        <v/>
      </c>
      <c r="K5" s="20">
        <f>IF(AND(C5="Sí",LEFT(Q5,6)&lt;&gt;"Lineal"),"",IF(AND('02_Parametros'!$B$7=1,C5="Sí",G5=""),"",IF(OR(G5="",I5=0),0,MIN(F5/G5*I5,J5))))</f>
        <v/>
      </c>
      <c r="L5" s="20">
        <f>'03_Intangibles'!K5+0</f>
        <v/>
      </c>
      <c r="M5" s="20">
        <f>IF(K5="","",K5-L5)</f>
        <v/>
      </c>
      <c r="N5" s="20">
        <f>'03_Intangibles'!J5+IF(R5="",0,R5)</f>
        <v/>
      </c>
      <c r="O5" s="18">
        <f>'03_Intangibles'!S5&amp;""</f>
        <v/>
      </c>
      <c r="P5" s="18">
        <f>IF('03_Intangibles'!T5="","",IF(LEFT('03_Intangibles'!T5,1)="a","a) el intangible se expresa como una medida de los ingresos",IF(LEFT('03_Intangibles'!T5,1)="b","b) ingresos y consumo estrechamente correlacionados","No invoca ninguna de las dos circunstancias")))</f>
        <v/>
      </c>
      <c r="Q5" s="18">
        <f>IF(C5="No","No aplica",IF(ISNUMBER(SEARCH("ingres",O5)),IF('02_Parametros'!$B$9=0,"Ingresos (sin presunción: PYMES 2015)",IF(OR(LEFT(P5,1)="a",LEFT(P5,1)="b"),"Ingresos (excepción documentada)","Lineal (presunción no refutada)")),IF(OR(O5="",ISNUMBER(SEARCH("lineal",O5)),ISNUMBER(SEARCH("recta",O5))),"Lineal","Otro método informado (no recalculado)")))</f>
        <v/>
      </c>
      <c r="R5" s="20">
        <f>IF(AND(C5="Sí",LEFT(Q5,6)&lt;&gt;"Lineal"),L5,K5)</f>
        <v/>
      </c>
    </row>
    <row r="6">
      <c r="A6" s="19" t="inlineStr">
        <is>
          <t>LIC-01</t>
        </is>
      </c>
      <c r="B6" s="19">
        <f>'04_Reconocimiento'!E6</f>
        <v/>
      </c>
      <c r="C6" s="19">
        <f>'04_Reconocimiento'!F6</f>
        <v/>
      </c>
      <c r="D6" s="21">
        <f>'04_Reconocimiento'!I6</f>
        <v/>
      </c>
      <c r="E6" s="21">
        <f>'03_Intangibles'!H6+0</f>
        <v/>
      </c>
      <c r="F6" s="21">
        <f>MAX(D6-E6,0)</f>
        <v/>
      </c>
      <c r="G6" s="32">
        <f>IF(C6="No","",IF('02_Parametros'!$B$7=1,IF('03_Intangibles'!I6="","",MIN('03_Intangibles'!I6,'02_Parametros'!$B$10)),IF(B6="Goodwill","",IF('03_Intangibles'!I6="","",'03_Intangibles'!I6))))</f>
        <v/>
      </c>
      <c r="H6" s="19">
        <f>IF(C6="No","No aplica",IF(G6&lt;&gt;"","Finita",IF('02_Parametros'!$B$7=1,"Sin estimación (18.20)",IF(B6="Goodwill","Goodwill: indefinida (no se amortiza)","Indefinida"))))</f>
        <v/>
      </c>
      <c r="I6" s="32">
        <f>IF('03_Intangibles'!F6="",0,MAX(0,MIN(12,(YEAR('02_Parametros'!$B$5)-YEAR('03_Intangibles'!F6))*12+MONTH('02_Parametros'!$B$5)-MONTH('03_Intangibles'!F6)+1)))</f>
        <v/>
      </c>
      <c r="J6" s="21">
        <f>MAX(F6-'03_Intangibles'!J6-'03_Intangibles'!L6,0)</f>
        <v/>
      </c>
      <c r="K6" s="21">
        <f>IF(AND(C6="Sí",LEFT(Q6,6)&lt;&gt;"Lineal"),"",IF(AND('02_Parametros'!$B$7=1,C6="Sí",G6=""),"",IF(OR(G6="",I6=0),0,MIN(F6/G6*I6,J6))))</f>
        <v/>
      </c>
      <c r="L6" s="21">
        <f>'03_Intangibles'!K6+0</f>
        <v/>
      </c>
      <c r="M6" s="21">
        <f>IF(K6="","",K6-L6)</f>
        <v/>
      </c>
      <c r="N6" s="21">
        <f>'03_Intangibles'!J6+IF(R6="",0,R6)</f>
        <v/>
      </c>
      <c r="O6" s="19">
        <f>'03_Intangibles'!S6&amp;""</f>
        <v/>
      </c>
      <c r="P6" s="19">
        <f>IF('03_Intangibles'!T6="","",IF(LEFT('03_Intangibles'!T6,1)="a","a) el intangible se expresa como una medida de los ingresos",IF(LEFT('03_Intangibles'!T6,1)="b","b) ingresos y consumo estrechamente correlacionados","No invoca ninguna de las dos circunstancias")))</f>
        <v/>
      </c>
      <c r="Q6" s="19">
        <f>IF(C6="No","No aplica",IF(ISNUMBER(SEARCH("ingres",O6)),IF('02_Parametros'!$B$9=0,"Ingresos (sin presunción: PYMES 2015)",IF(OR(LEFT(P6,1)="a",LEFT(P6,1)="b"),"Ingresos (excepción documentada)","Lineal (presunción no refutada)")),IF(OR(O6="",ISNUMBER(SEARCH("lineal",O6)),ISNUMBER(SEARCH("recta",O6))),"Lineal","Otro método informado (no recalculado)")))</f>
        <v/>
      </c>
      <c r="R6" s="21">
        <f>IF(AND(C6="Sí",LEFT(Q6,6)&lt;&gt;"Lineal"),L6,K6)</f>
        <v/>
      </c>
    </row>
    <row r="7">
      <c r="A7" s="18" t="inlineStr">
        <is>
          <t>MAR-01</t>
        </is>
      </c>
      <c r="B7" s="18">
        <f>'04_Reconocimiento'!E7</f>
        <v/>
      </c>
      <c r="C7" s="18">
        <f>'04_Reconocimiento'!F7</f>
        <v/>
      </c>
      <c r="D7" s="20">
        <f>'04_Reconocimiento'!I7</f>
        <v/>
      </c>
      <c r="E7" s="20">
        <f>'03_Intangibles'!H7+0</f>
        <v/>
      </c>
      <c r="F7" s="20">
        <f>MAX(D7-E7,0)</f>
        <v/>
      </c>
      <c r="G7" s="30">
        <f>IF(C7="No","",IF('02_Parametros'!$B$7=1,IF('03_Intangibles'!I7="","",MIN('03_Intangibles'!I7,'02_Parametros'!$B$10)),IF(B7="Goodwill","",IF('03_Intangibles'!I7="","",'03_Intangibles'!I7))))</f>
        <v/>
      </c>
      <c r="H7" s="18">
        <f>IF(C7="No","No aplica",IF(G7&lt;&gt;"","Finita",IF('02_Parametros'!$B$7=1,"Sin estimación (18.20)",IF(B7="Goodwill","Goodwill: indefinida (no se amortiza)","Indefinida"))))</f>
        <v/>
      </c>
      <c r="I7" s="30">
        <f>IF('03_Intangibles'!F7="",0,MAX(0,MIN(12,(YEAR('02_Parametros'!$B$5)-YEAR('03_Intangibles'!F7))*12+MONTH('02_Parametros'!$B$5)-MONTH('03_Intangibles'!F7)+1)))</f>
        <v/>
      </c>
      <c r="J7" s="20">
        <f>MAX(F7-'03_Intangibles'!J7-'03_Intangibles'!L7,0)</f>
        <v/>
      </c>
      <c r="K7" s="20">
        <f>IF(AND(C7="Sí",LEFT(Q7,6)&lt;&gt;"Lineal"),"",IF(AND('02_Parametros'!$B$7=1,C7="Sí",G7=""),"",IF(OR(G7="",I7=0),0,MIN(F7/G7*I7,J7))))</f>
        <v/>
      </c>
      <c r="L7" s="20">
        <f>'03_Intangibles'!K7+0</f>
        <v/>
      </c>
      <c r="M7" s="20">
        <f>IF(K7="","",K7-L7)</f>
        <v/>
      </c>
      <c r="N7" s="20">
        <f>'03_Intangibles'!J7+IF(R7="",0,R7)</f>
        <v/>
      </c>
      <c r="O7" s="18">
        <f>'03_Intangibles'!S7&amp;""</f>
        <v/>
      </c>
      <c r="P7" s="18">
        <f>IF('03_Intangibles'!T7="","",IF(LEFT('03_Intangibles'!T7,1)="a","a) el intangible se expresa como una medida de los ingresos",IF(LEFT('03_Intangibles'!T7,1)="b","b) ingresos y consumo estrechamente correlacionados","No invoca ninguna de las dos circunstancias")))</f>
        <v/>
      </c>
      <c r="Q7" s="18">
        <f>IF(C7="No","No aplica",IF(ISNUMBER(SEARCH("ingres",O7)),IF('02_Parametros'!$B$9=0,"Ingresos (sin presunción: PYMES 2015)",IF(OR(LEFT(P7,1)="a",LEFT(P7,1)="b"),"Ingresos (excepción documentada)","Lineal (presunción no refutada)")),IF(OR(O7="",ISNUMBER(SEARCH("lineal",O7)),ISNUMBER(SEARCH("recta",O7))),"Lineal","Otro método informado (no recalculado)")))</f>
        <v/>
      </c>
      <c r="R7" s="20">
        <f>IF(AND(C7="Sí",LEFT(Q7,6)&lt;&gt;"Lineal"),L7,K7)</f>
        <v/>
      </c>
    </row>
    <row r="8">
      <c r="A8" s="19" t="inlineStr">
        <is>
          <t>GW-01</t>
        </is>
      </c>
      <c r="B8" s="19">
        <f>'04_Reconocimiento'!E8</f>
        <v/>
      </c>
      <c r="C8" s="19">
        <f>'04_Reconocimiento'!F8</f>
        <v/>
      </c>
      <c r="D8" s="21">
        <f>'04_Reconocimiento'!I8</f>
        <v/>
      </c>
      <c r="E8" s="21">
        <f>'03_Intangibles'!H8+0</f>
        <v/>
      </c>
      <c r="F8" s="21">
        <f>MAX(D8-E8,0)</f>
        <v/>
      </c>
      <c r="G8" s="32">
        <f>IF(C8="No","",IF('02_Parametros'!$B$7=1,IF('03_Intangibles'!I8="","",MIN('03_Intangibles'!I8,'02_Parametros'!$B$10)),IF(B8="Goodwill","",IF('03_Intangibles'!I8="","",'03_Intangibles'!I8))))</f>
        <v/>
      </c>
      <c r="H8" s="19">
        <f>IF(C8="No","No aplica",IF(G8&lt;&gt;"","Finita",IF('02_Parametros'!$B$7=1,"Sin estimación (18.20)",IF(B8="Goodwill","Goodwill: indefinida (no se amortiza)","Indefinida"))))</f>
        <v/>
      </c>
      <c r="I8" s="32">
        <f>IF('03_Intangibles'!F8="",0,MAX(0,MIN(12,(YEAR('02_Parametros'!$B$5)-YEAR('03_Intangibles'!F8))*12+MONTH('02_Parametros'!$B$5)-MONTH('03_Intangibles'!F8)+1)))</f>
        <v/>
      </c>
      <c r="J8" s="21">
        <f>MAX(F8-'03_Intangibles'!J8-'03_Intangibles'!L8,0)</f>
        <v/>
      </c>
      <c r="K8" s="21">
        <f>IF(AND(C8="Sí",LEFT(Q8,6)&lt;&gt;"Lineal"),"",IF(AND('02_Parametros'!$B$7=1,C8="Sí",G8=""),"",IF(OR(G8="",I8=0),0,MIN(F8/G8*I8,J8))))</f>
        <v/>
      </c>
      <c r="L8" s="21">
        <f>'03_Intangibles'!K8+0</f>
        <v/>
      </c>
      <c r="M8" s="21">
        <f>IF(K8="","",K8-L8)</f>
        <v/>
      </c>
      <c r="N8" s="21">
        <f>'03_Intangibles'!J8+IF(R8="",0,R8)</f>
        <v/>
      </c>
      <c r="O8" s="19">
        <f>'03_Intangibles'!S8&amp;""</f>
        <v/>
      </c>
      <c r="P8" s="19">
        <f>IF('03_Intangibles'!T8="","",IF(LEFT('03_Intangibles'!T8,1)="a","a) el intangible se expresa como una medida de los ingresos",IF(LEFT('03_Intangibles'!T8,1)="b","b) ingresos y consumo estrechamente correlacionados","No invoca ninguna de las dos circunstancias")))</f>
        <v/>
      </c>
      <c r="Q8" s="19">
        <f>IF(C8="No","No aplica",IF(ISNUMBER(SEARCH("ingres",O8)),IF('02_Parametros'!$B$9=0,"Ingresos (sin presunción: PYMES 2015)",IF(OR(LEFT(P8,1)="a",LEFT(P8,1)="b"),"Ingresos (excepción documentada)","Lineal (presunción no refutada)")),IF(OR(O8="",ISNUMBER(SEARCH("lineal",O8)),ISNUMBER(SEARCH("recta",O8))),"Lineal","Otro método informado (no recalculado)")))</f>
        <v/>
      </c>
      <c r="R8" s="21">
        <f>IF(AND(C8="Sí",LEFT(Q8,6)&lt;&gt;"Lineal"),L8,K8)</f>
        <v/>
      </c>
    </row>
    <row r="9">
      <c r="A9" s="18" t="inlineStr">
        <is>
          <t>INV-01</t>
        </is>
      </c>
      <c r="B9" s="18">
        <f>'04_Reconocimiento'!E9</f>
        <v/>
      </c>
      <c r="C9" s="18">
        <f>'04_Reconocimiento'!F9</f>
        <v/>
      </c>
      <c r="D9" s="20">
        <f>'04_Reconocimiento'!I9</f>
        <v/>
      </c>
      <c r="E9" s="20">
        <f>'03_Intangibles'!H9+0</f>
        <v/>
      </c>
      <c r="F9" s="20">
        <f>MAX(D9-E9,0)</f>
        <v/>
      </c>
      <c r="G9" s="30">
        <f>IF(C9="No","",IF('02_Parametros'!$B$7=1,IF('03_Intangibles'!I9="","",MIN('03_Intangibles'!I9,'02_Parametros'!$B$10)),IF(B9="Goodwill","",IF('03_Intangibles'!I9="","",'03_Intangibles'!I9))))</f>
        <v/>
      </c>
      <c r="H9" s="18">
        <f>IF(C9="No","No aplica",IF(G9&lt;&gt;"","Finita",IF('02_Parametros'!$B$7=1,"Sin estimación (18.20)",IF(B9="Goodwill","Goodwill: indefinida (no se amortiza)","Indefinida"))))</f>
        <v/>
      </c>
      <c r="I9" s="30">
        <f>IF('03_Intangibles'!F9="",0,MAX(0,MIN(12,(YEAR('02_Parametros'!$B$5)-YEAR('03_Intangibles'!F9))*12+MONTH('02_Parametros'!$B$5)-MONTH('03_Intangibles'!F9)+1)))</f>
        <v/>
      </c>
      <c r="J9" s="20">
        <f>MAX(F9-'03_Intangibles'!J9-'03_Intangibles'!L9,0)</f>
        <v/>
      </c>
      <c r="K9" s="20">
        <f>IF(AND(C9="Sí",LEFT(Q9,6)&lt;&gt;"Lineal"),"",IF(AND('02_Parametros'!$B$7=1,C9="Sí",G9=""),"",IF(OR(G9="",I9=0),0,MIN(F9/G9*I9,J9))))</f>
        <v/>
      </c>
      <c r="L9" s="20">
        <f>'03_Intangibles'!K9+0</f>
        <v/>
      </c>
      <c r="M9" s="20">
        <f>IF(K9="","",K9-L9)</f>
        <v/>
      </c>
      <c r="N9" s="20">
        <f>'03_Intangibles'!J9+IF(R9="",0,R9)</f>
        <v/>
      </c>
      <c r="O9" s="18">
        <f>'03_Intangibles'!S9&amp;""</f>
        <v/>
      </c>
      <c r="P9" s="18">
        <f>IF('03_Intangibles'!T9="","",IF(LEFT('03_Intangibles'!T9,1)="a","a) el intangible se expresa como una medida de los ingresos",IF(LEFT('03_Intangibles'!T9,1)="b","b) ingresos y consumo estrechamente correlacionados","No invoca ninguna de las dos circunstancias")))</f>
        <v/>
      </c>
      <c r="Q9" s="18">
        <f>IF(C9="No","No aplica",IF(ISNUMBER(SEARCH("ingres",O9)),IF('02_Parametros'!$B$9=0,"Ingresos (sin presunción: PYMES 2015)",IF(OR(LEFT(P9,1)="a",LEFT(P9,1)="b"),"Ingresos (excepción documentada)","Lineal (presunción no refutada)")),IF(OR(O9="",ISNUMBER(SEARCH("lineal",O9)),ISNUMBER(SEARCH("recta",O9))),"Lineal","Otro método informado (no recalculado)")))</f>
        <v/>
      </c>
      <c r="R9" s="20">
        <f>IF(AND(C9="Sí",LEFT(Q9,6)&lt;&gt;"Lineal"),L9,K9)</f>
        <v/>
      </c>
    </row>
    <row r="10">
      <c r="A10" s="19" t="inlineStr">
        <is>
          <t>DES-01</t>
        </is>
      </c>
      <c r="B10" s="19">
        <f>'04_Reconocimiento'!E10</f>
        <v/>
      </c>
      <c r="C10" s="19">
        <f>'04_Reconocimiento'!F10</f>
        <v/>
      </c>
      <c r="D10" s="21">
        <f>'04_Reconocimiento'!I10</f>
        <v/>
      </c>
      <c r="E10" s="21">
        <f>'03_Intangibles'!H10+0</f>
        <v/>
      </c>
      <c r="F10" s="21">
        <f>MAX(D10-E10,0)</f>
        <v/>
      </c>
      <c r="G10" s="32">
        <f>IF(C10="No","",IF('02_Parametros'!$B$7=1,IF('03_Intangibles'!I10="","",MIN('03_Intangibles'!I10,'02_Parametros'!$B$10)),IF(B10="Goodwill","",IF('03_Intangibles'!I10="","",'03_Intangibles'!I10))))</f>
        <v/>
      </c>
      <c r="H10" s="19">
        <f>IF(C10="No","No aplica",IF(G10&lt;&gt;"","Finita",IF('02_Parametros'!$B$7=1,"Sin estimación (18.20)",IF(B10="Goodwill","Goodwill: indefinida (no se amortiza)","Indefinida"))))</f>
        <v/>
      </c>
      <c r="I10" s="32">
        <f>IF('03_Intangibles'!F10="",0,MAX(0,MIN(12,(YEAR('02_Parametros'!$B$5)-YEAR('03_Intangibles'!F10))*12+MONTH('02_Parametros'!$B$5)-MONTH('03_Intangibles'!F10)+1)))</f>
        <v/>
      </c>
      <c r="J10" s="21">
        <f>MAX(F10-'03_Intangibles'!J10-'03_Intangibles'!L10,0)</f>
        <v/>
      </c>
      <c r="K10" s="21">
        <f>IF(AND(C10="Sí",LEFT(Q10,6)&lt;&gt;"Lineal"),"",IF(AND('02_Parametros'!$B$7=1,C10="Sí",G10=""),"",IF(OR(G10="",I10=0),0,MIN(F10/G10*I10,J10))))</f>
        <v/>
      </c>
      <c r="L10" s="21">
        <f>'03_Intangibles'!K10+0</f>
        <v/>
      </c>
      <c r="M10" s="21">
        <f>IF(K10="","",K10-L10)</f>
        <v/>
      </c>
      <c r="N10" s="21">
        <f>'03_Intangibles'!J10+IF(R10="",0,R10)</f>
        <v/>
      </c>
      <c r="O10" s="19">
        <f>'03_Intangibles'!S10&amp;""</f>
        <v/>
      </c>
      <c r="P10" s="19">
        <f>IF('03_Intangibles'!T10="","",IF(LEFT('03_Intangibles'!T10,1)="a","a) el intangible se expresa como una medida de los ingresos",IF(LEFT('03_Intangibles'!T10,1)="b","b) ingresos y consumo estrechamente correlacionados","No invoca ninguna de las dos circunstancias")))</f>
        <v/>
      </c>
      <c r="Q10" s="19">
        <f>IF(C10="No","No aplica",IF(ISNUMBER(SEARCH("ingres",O10)),IF('02_Parametros'!$B$9=0,"Ingresos (sin presunción: PYMES 2015)",IF(OR(LEFT(P10,1)="a",LEFT(P10,1)="b"),"Ingresos (excepción documentada)","Lineal (presunción no refutada)")),IF(OR(O10="",ISNUMBER(SEARCH("lineal",O10)),ISNUMBER(SEARCH("recta",O10))),"Lineal","Otro método informado (no recalculado)")))</f>
        <v/>
      </c>
      <c r="R10" s="21">
        <f>IF(AND(C10="Sí",LEFT(Q10,6)&lt;&gt;"Lineal"),L10,K10)</f>
        <v/>
      </c>
    </row>
    <row r="11">
      <c r="A11" s="18" t="inlineStr">
        <is>
          <t>DES-02</t>
        </is>
      </c>
      <c r="B11" s="18">
        <f>'04_Reconocimiento'!E11</f>
        <v/>
      </c>
      <c r="C11" s="18">
        <f>'04_Reconocimiento'!F11</f>
        <v/>
      </c>
      <c r="D11" s="20">
        <f>'04_Reconocimiento'!I11</f>
        <v/>
      </c>
      <c r="E11" s="20">
        <f>'03_Intangibles'!H11+0</f>
        <v/>
      </c>
      <c r="F11" s="20">
        <f>MAX(D11-E11,0)</f>
        <v/>
      </c>
      <c r="G11" s="30">
        <f>IF(C11="No","",IF('02_Parametros'!$B$7=1,IF('03_Intangibles'!I11="","",MIN('03_Intangibles'!I11,'02_Parametros'!$B$10)),IF(B11="Goodwill","",IF('03_Intangibles'!I11="","",'03_Intangibles'!I11))))</f>
        <v/>
      </c>
      <c r="H11" s="18">
        <f>IF(C11="No","No aplica",IF(G11&lt;&gt;"","Finita",IF('02_Parametros'!$B$7=1,"Sin estimación (18.20)",IF(B11="Goodwill","Goodwill: indefinida (no se amortiza)","Indefinida"))))</f>
        <v/>
      </c>
      <c r="I11" s="30">
        <f>IF('03_Intangibles'!F11="",0,MAX(0,MIN(12,(YEAR('02_Parametros'!$B$5)-YEAR('03_Intangibles'!F11))*12+MONTH('02_Parametros'!$B$5)-MONTH('03_Intangibles'!F11)+1)))</f>
        <v/>
      </c>
      <c r="J11" s="20">
        <f>MAX(F11-'03_Intangibles'!J11-'03_Intangibles'!L11,0)</f>
        <v/>
      </c>
      <c r="K11" s="20">
        <f>IF(AND(C11="Sí",LEFT(Q11,6)&lt;&gt;"Lineal"),"",IF(AND('02_Parametros'!$B$7=1,C11="Sí",G11=""),"",IF(OR(G11="",I11=0),0,MIN(F11/G11*I11,J11))))</f>
        <v/>
      </c>
      <c r="L11" s="20">
        <f>'03_Intangibles'!K11+0</f>
        <v/>
      </c>
      <c r="M11" s="20">
        <f>IF(K11="","",K11-L11)</f>
        <v/>
      </c>
      <c r="N11" s="20">
        <f>'03_Intangibles'!J11+IF(R11="",0,R11)</f>
        <v/>
      </c>
      <c r="O11" s="18">
        <f>'03_Intangibles'!S11&amp;""</f>
        <v/>
      </c>
      <c r="P11" s="18">
        <f>IF('03_Intangibles'!T11="","",IF(LEFT('03_Intangibles'!T11,1)="a","a) el intangible se expresa como una medida de los ingresos",IF(LEFT('03_Intangibles'!T11,1)="b","b) ingresos y consumo estrechamente correlacionados","No invoca ninguna de las dos circunstancias")))</f>
        <v/>
      </c>
      <c r="Q11" s="18">
        <f>IF(C11="No","No aplica",IF(ISNUMBER(SEARCH("ingres",O11)),IF('02_Parametros'!$B$9=0,"Ingresos (sin presunción: PYMES 2015)",IF(OR(LEFT(P11,1)="a",LEFT(P11,1)="b"),"Ingresos (excepción documentada)","Lineal (presunción no refutada)")),IF(OR(O11="",ISNUMBER(SEARCH("lineal",O11)),ISNUMBER(SEARCH("recta",O11))),"Lineal","Otro método informado (no recalculado)")))</f>
        <v/>
      </c>
      <c r="R11" s="20">
        <f>IF(AND(C11="Sí",LEFT(Q11,6)&lt;&gt;"Lineal"),L11,K11)</f>
        <v/>
      </c>
    </row>
    <row r="12">
      <c r="A12" s="19" t="inlineStr">
        <is>
          <t>DES-03</t>
        </is>
      </c>
      <c r="B12" s="19">
        <f>'04_Reconocimiento'!E12</f>
        <v/>
      </c>
      <c r="C12" s="19">
        <f>'04_Reconocimiento'!F12</f>
        <v/>
      </c>
      <c r="D12" s="21">
        <f>'04_Reconocimiento'!I12</f>
        <v/>
      </c>
      <c r="E12" s="21">
        <f>'03_Intangibles'!H12+0</f>
        <v/>
      </c>
      <c r="F12" s="21">
        <f>MAX(D12-E12,0)</f>
        <v/>
      </c>
      <c r="G12" s="32">
        <f>IF(C12="No","",IF('02_Parametros'!$B$7=1,IF('03_Intangibles'!I12="","",MIN('03_Intangibles'!I12,'02_Parametros'!$B$10)),IF(B12="Goodwill","",IF('03_Intangibles'!I12="","",'03_Intangibles'!I12))))</f>
        <v/>
      </c>
      <c r="H12" s="19">
        <f>IF(C12="No","No aplica",IF(G12&lt;&gt;"","Finita",IF('02_Parametros'!$B$7=1,"Sin estimación (18.20)",IF(B12="Goodwill","Goodwill: indefinida (no se amortiza)","Indefinida"))))</f>
        <v/>
      </c>
      <c r="I12" s="32">
        <f>IF('03_Intangibles'!F12="",0,MAX(0,MIN(12,(YEAR('02_Parametros'!$B$5)-YEAR('03_Intangibles'!F12))*12+MONTH('02_Parametros'!$B$5)-MONTH('03_Intangibles'!F12)+1)))</f>
        <v/>
      </c>
      <c r="J12" s="21">
        <f>MAX(F12-'03_Intangibles'!J12-'03_Intangibles'!L12,0)</f>
        <v/>
      </c>
      <c r="K12" s="21">
        <f>IF(AND(C12="Sí",LEFT(Q12,6)&lt;&gt;"Lineal"),"",IF(AND('02_Parametros'!$B$7=1,C12="Sí",G12=""),"",IF(OR(G12="",I12=0),0,MIN(F12/G12*I12,J12))))</f>
        <v/>
      </c>
      <c r="L12" s="21">
        <f>'03_Intangibles'!K12+0</f>
        <v/>
      </c>
      <c r="M12" s="21">
        <f>IF(K12="","",K12-L12)</f>
        <v/>
      </c>
      <c r="N12" s="21">
        <f>'03_Intangibles'!J12+IF(R12="",0,R12)</f>
        <v/>
      </c>
      <c r="O12" s="19">
        <f>'03_Intangibles'!S12&amp;""</f>
        <v/>
      </c>
      <c r="P12" s="19">
        <f>IF('03_Intangibles'!T12="","",IF(LEFT('03_Intangibles'!T12,1)="a","a) el intangible se expresa como una medida de los ingresos",IF(LEFT('03_Intangibles'!T12,1)="b","b) ingresos y consumo estrechamente correlacionados","No invoca ninguna de las dos circunstancias")))</f>
        <v/>
      </c>
      <c r="Q12" s="19">
        <f>IF(C12="No","No aplica",IF(ISNUMBER(SEARCH("ingres",O12)),IF('02_Parametros'!$B$9=0,"Ingresos (sin presunción: PYMES 2015)",IF(OR(LEFT(P12,1)="a",LEFT(P12,1)="b"),"Ingresos (excepción documentada)","Lineal (presunción no refutada)")),IF(OR(O12="",ISNUMBER(SEARCH("lineal",O12)),ISNUMBER(SEARCH("recta",O12))),"Lineal","Otro método informado (no recalculado)")))</f>
        <v/>
      </c>
      <c r="R12" s="21">
        <f>IF(AND(C12="Sí",LEFT(Q12,6)&lt;&gt;"Lineal"),L12,K12)</f>
        <v/>
      </c>
    </row>
    <row r="13">
      <c r="A13" s="18" t="inlineStr">
        <is>
          <t>PAT-01</t>
        </is>
      </c>
      <c r="B13" s="18">
        <f>'04_Reconocimiento'!E13</f>
        <v/>
      </c>
      <c r="C13" s="18">
        <f>'04_Reconocimiento'!F13</f>
        <v/>
      </c>
      <c r="D13" s="20">
        <f>'04_Reconocimiento'!I13</f>
        <v/>
      </c>
      <c r="E13" s="20">
        <f>'03_Intangibles'!H13+0</f>
        <v/>
      </c>
      <c r="F13" s="20">
        <f>MAX(D13-E13,0)</f>
        <v/>
      </c>
      <c r="G13" s="30">
        <f>IF(C13="No","",IF('02_Parametros'!$B$7=1,IF('03_Intangibles'!I13="","",MIN('03_Intangibles'!I13,'02_Parametros'!$B$10)),IF(B13="Goodwill","",IF('03_Intangibles'!I13="","",'03_Intangibles'!I13))))</f>
        <v/>
      </c>
      <c r="H13" s="18">
        <f>IF(C13="No","No aplica",IF(G13&lt;&gt;"","Finita",IF('02_Parametros'!$B$7=1,"Sin estimación (18.20)",IF(B13="Goodwill","Goodwill: indefinida (no se amortiza)","Indefinida"))))</f>
        <v/>
      </c>
      <c r="I13" s="30">
        <f>IF('03_Intangibles'!F13="",0,MAX(0,MIN(12,(YEAR('02_Parametros'!$B$5)-YEAR('03_Intangibles'!F13))*12+MONTH('02_Parametros'!$B$5)-MONTH('03_Intangibles'!F13)+1)))</f>
        <v/>
      </c>
      <c r="J13" s="20">
        <f>MAX(F13-'03_Intangibles'!J13-'03_Intangibles'!L13,0)</f>
        <v/>
      </c>
      <c r="K13" s="20">
        <f>IF(AND(C13="Sí",LEFT(Q13,6)&lt;&gt;"Lineal"),"",IF(AND('02_Parametros'!$B$7=1,C13="Sí",G13=""),"",IF(OR(G13="",I13=0),0,MIN(F13/G13*I13,J13))))</f>
        <v/>
      </c>
      <c r="L13" s="20">
        <f>'03_Intangibles'!K13+0</f>
        <v/>
      </c>
      <c r="M13" s="20">
        <f>IF(K13="","",K13-L13)</f>
        <v/>
      </c>
      <c r="N13" s="20">
        <f>'03_Intangibles'!J13+IF(R13="",0,R13)</f>
        <v/>
      </c>
      <c r="O13" s="18">
        <f>'03_Intangibles'!S13&amp;""</f>
        <v/>
      </c>
      <c r="P13" s="18">
        <f>IF('03_Intangibles'!T13="","",IF(LEFT('03_Intangibles'!T13,1)="a","a) el intangible se expresa como una medida de los ingresos",IF(LEFT('03_Intangibles'!T13,1)="b","b) ingresos y consumo estrechamente correlacionados","No invoca ninguna de las dos circunstancias")))</f>
        <v/>
      </c>
      <c r="Q13" s="18">
        <f>IF(C13="No","No aplica",IF(ISNUMBER(SEARCH("ingres",O13)),IF('02_Parametros'!$B$9=0,"Ingresos (sin presunción: PYMES 2015)",IF(OR(LEFT(P13,1)="a",LEFT(P13,1)="b"),"Ingresos (excepción documentada)","Lineal (presunción no refutada)")),IF(OR(O13="",ISNUMBER(SEARCH("lineal",O13)),ISNUMBER(SEARCH("recta",O13))),"Lineal","Otro método informado (no recalculado)")))</f>
        <v/>
      </c>
      <c r="R13" s="20">
        <f>IF(AND(C13="Sí",LEFT(Q13,6)&lt;&gt;"Lineal"),L13,K13)</f>
        <v/>
      </c>
    </row>
    <row r="14">
      <c r="A14" s="19" t="inlineStr">
        <is>
          <t>SW-02</t>
        </is>
      </c>
      <c r="B14" s="19">
        <f>'04_Reconocimiento'!E14</f>
        <v/>
      </c>
      <c r="C14" s="19">
        <f>'04_Reconocimiento'!F14</f>
        <v/>
      </c>
      <c r="D14" s="21">
        <f>'04_Reconocimiento'!I14</f>
        <v/>
      </c>
      <c r="E14" s="21">
        <f>'03_Intangibles'!H14+0</f>
        <v/>
      </c>
      <c r="F14" s="21">
        <f>MAX(D14-E14,0)</f>
        <v/>
      </c>
      <c r="G14" s="32">
        <f>IF(C14="No","",IF('02_Parametros'!$B$7=1,IF('03_Intangibles'!I14="","",MIN('03_Intangibles'!I14,'02_Parametros'!$B$10)),IF(B14="Goodwill","",IF('03_Intangibles'!I14="","",'03_Intangibles'!I14))))</f>
        <v/>
      </c>
      <c r="H14" s="19">
        <f>IF(C14="No","No aplica",IF(G14&lt;&gt;"","Finita",IF('02_Parametros'!$B$7=1,"Sin estimación (18.20)",IF(B14="Goodwill","Goodwill: indefinida (no se amortiza)","Indefinida"))))</f>
        <v/>
      </c>
      <c r="I14" s="32">
        <f>IF('03_Intangibles'!F14="",0,MAX(0,MIN(12,(YEAR('02_Parametros'!$B$5)-YEAR('03_Intangibles'!F14))*12+MONTH('02_Parametros'!$B$5)-MONTH('03_Intangibles'!F14)+1)))</f>
        <v/>
      </c>
      <c r="J14" s="21">
        <f>MAX(F14-'03_Intangibles'!J14-'03_Intangibles'!L14,0)</f>
        <v/>
      </c>
      <c r="K14" s="21">
        <f>IF(AND(C14="Sí",LEFT(Q14,6)&lt;&gt;"Lineal"),"",IF(AND('02_Parametros'!$B$7=1,C14="Sí",G14=""),"",IF(OR(G14="",I14=0),0,MIN(F14/G14*I14,J14))))</f>
        <v/>
      </c>
      <c r="L14" s="21">
        <f>'03_Intangibles'!K14+0</f>
        <v/>
      </c>
      <c r="M14" s="21">
        <f>IF(K14="","",K14-L14)</f>
        <v/>
      </c>
      <c r="N14" s="21">
        <f>'03_Intangibles'!J14+IF(R14="",0,R14)</f>
        <v/>
      </c>
      <c r="O14" s="19">
        <f>'03_Intangibles'!S14&amp;""</f>
        <v/>
      </c>
      <c r="P14" s="19">
        <f>IF('03_Intangibles'!T14="","",IF(LEFT('03_Intangibles'!T14,1)="a","a) el intangible se expresa como una medida de los ingresos",IF(LEFT('03_Intangibles'!T14,1)="b","b) ingresos y consumo estrechamente correlacionados","No invoca ninguna de las dos circunstancias")))</f>
        <v/>
      </c>
      <c r="Q14" s="19">
        <f>IF(C14="No","No aplica",IF(ISNUMBER(SEARCH("ingres",O14)),IF('02_Parametros'!$B$9=0,"Ingresos (sin presunción: PYMES 2015)",IF(OR(LEFT(P14,1)="a",LEFT(P14,1)="b"),"Ingresos (excepción documentada)","Lineal (presunción no refutada)")),IF(OR(O14="",ISNUMBER(SEARCH("lineal",O14)),ISNUMBER(SEARCH("recta",O14))),"Lineal","Otro método informado (no recalculado)")))</f>
        <v/>
      </c>
      <c r="R14" s="21">
        <f>IF(AND(C14="Sí",LEFT(Q14,6)&lt;&gt;"Lineal"),L14,K14)</f>
        <v/>
      </c>
    </row>
    <row r="15">
      <c r="A15" s="18" t="inlineStr">
        <is>
          <t>SW-03</t>
        </is>
      </c>
      <c r="B15" s="18">
        <f>'04_Reconocimiento'!E15</f>
        <v/>
      </c>
      <c r="C15" s="18">
        <f>'04_Reconocimiento'!F15</f>
        <v/>
      </c>
      <c r="D15" s="20">
        <f>'04_Reconocimiento'!I15</f>
        <v/>
      </c>
      <c r="E15" s="20">
        <f>'03_Intangibles'!H15+0</f>
        <v/>
      </c>
      <c r="F15" s="20">
        <f>MAX(D15-E15,0)</f>
        <v/>
      </c>
      <c r="G15" s="30">
        <f>IF(C15="No","",IF('02_Parametros'!$B$7=1,IF('03_Intangibles'!I15="","",MIN('03_Intangibles'!I15,'02_Parametros'!$B$10)),IF(B15="Goodwill","",IF('03_Intangibles'!I15="","",'03_Intangibles'!I15))))</f>
        <v/>
      </c>
      <c r="H15" s="18">
        <f>IF(C15="No","No aplica",IF(G15&lt;&gt;"","Finita",IF('02_Parametros'!$B$7=1,"Sin estimación (18.20)",IF(B15="Goodwill","Goodwill: indefinida (no se amortiza)","Indefinida"))))</f>
        <v/>
      </c>
      <c r="I15" s="30">
        <f>IF('03_Intangibles'!F15="",0,MAX(0,MIN(12,(YEAR('02_Parametros'!$B$5)-YEAR('03_Intangibles'!F15))*12+MONTH('02_Parametros'!$B$5)-MONTH('03_Intangibles'!F15)+1)))</f>
        <v/>
      </c>
      <c r="J15" s="20">
        <f>MAX(F15-'03_Intangibles'!J15-'03_Intangibles'!L15,0)</f>
        <v/>
      </c>
      <c r="K15" s="20">
        <f>IF(AND(C15="Sí",LEFT(Q15,6)&lt;&gt;"Lineal"),"",IF(AND('02_Parametros'!$B$7=1,C15="Sí",G15=""),"",IF(OR(G15="",I15=0),0,MIN(F15/G15*I15,J15))))</f>
        <v/>
      </c>
      <c r="L15" s="20">
        <f>'03_Intangibles'!K15+0</f>
        <v/>
      </c>
      <c r="M15" s="20">
        <f>IF(K15="","",K15-L15)</f>
        <v/>
      </c>
      <c r="N15" s="20">
        <f>'03_Intangibles'!J15+IF(R15="",0,R15)</f>
        <v/>
      </c>
      <c r="O15" s="18">
        <f>'03_Intangibles'!S15&amp;""</f>
        <v/>
      </c>
      <c r="P15" s="18">
        <f>IF('03_Intangibles'!T15="","",IF(LEFT('03_Intangibles'!T15,1)="a","a) el intangible se expresa como una medida de los ingresos",IF(LEFT('03_Intangibles'!T15,1)="b","b) ingresos y consumo estrechamente correlacionados","No invoca ninguna de las dos circunstancias")))</f>
        <v/>
      </c>
      <c r="Q15" s="18">
        <f>IF(C15="No","No aplica",IF(ISNUMBER(SEARCH("ingres",O15)),IF('02_Parametros'!$B$9=0,"Ingresos (sin presunción: PYMES 2015)",IF(OR(LEFT(P15,1)="a",LEFT(P15,1)="b"),"Ingresos (excepción documentada)","Lineal (presunción no refutada)")),IF(OR(O15="",ISNUMBER(SEARCH("lineal",O15)),ISNUMBER(SEARCH("recta",O15))),"Lineal","Otro método informado (no recalculado)")))</f>
        <v/>
      </c>
      <c r="R15" s="20">
        <f>IF(AND(C15="Sí",LEFT(Q15,6)&lt;&gt;"Lineal"),L15,K15)</f>
        <v/>
      </c>
    </row>
    <row r="16">
      <c r="A16" s="19" t="inlineStr">
        <is>
          <t>CON-01</t>
        </is>
      </c>
      <c r="B16" s="19">
        <f>'04_Reconocimiento'!E16</f>
        <v/>
      </c>
      <c r="C16" s="19">
        <f>'04_Reconocimiento'!F16</f>
        <v/>
      </c>
      <c r="D16" s="21">
        <f>'04_Reconocimiento'!I16</f>
        <v/>
      </c>
      <c r="E16" s="21">
        <f>'03_Intangibles'!H16+0</f>
        <v/>
      </c>
      <c r="F16" s="21">
        <f>MAX(D16-E16,0)</f>
        <v/>
      </c>
      <c r="G16" s="32">
        <f>IF(C16="No","",IF('02_Parametros'!$B$7=1,IF('03_Intangibles'!I16="","",MIN('03_Intangibles'!I16,'02_Parametros'!$B$10)),IF(B16="Goodwill","",IF('03_Intangibles'!I16="","",'03_Intangibles'!I16))))</f>
        <v/>
      </c>
      <c r="H16" s="19">
        <f>IF(C16="No","No aplica",IF(G16&lt;&gt;"","Finita",IF('02_Parametros'!$B$7=1,"Sin estimación (18.20)",IF(B16="Goodwill","Goodwill: indefinida (no se amortiza)","Indefinida"))))</f>
        <v/>
      </c>
      <c r="I16" s="32">
        <f>IF('03_Intangibles'!F16="",0,MAX(0,MIN(12,(YEAR('02_Parametros'!$B$5)-YEAR('03_Intangibles'!F16))*12+MONTH('02_Parametros'!$B$5)-MONTH('03_Intangibles'!F16)+1)))</f>
        <v/>
      </c>
      <c r="J16" s="21">
        <f>MAX(F16-'03_Intangibles'!J16-'03_Intangibles'!L16,0)</f>
        <v/>
      </c>
      <c r="K16" s="21">
        <f>IF(AND(C16="Sí",LEFT(Q16,6)&lt;&gt;"Lineal"),"",IF(AND('02_Parametros'!$B$7=1,C16="Sí",G16=""),"",IF(OR(G16="",I16=0),0,MIN(F16/G16*I16,J16))))</f>
        <v/>
      </c>
      <c r="L16" s="21">
        <f>'03_Intangibles'!K16+0</f>
        <v/>
      </c>
      <c r="M16" s="21">
        <f>IF(K16="","",K16-L16)</f>
        <v/>
      </c>
      <c r="N16" s="21">
        <f>'03_Intangibles'!J16+IF(R16="",0,R16)</f>
        <v/>
      </c>
      <c r="O16" s="19">
        <f>'03_Intangibles'!S16&amp;""</f>
        <v/>
      </c>
      <c r="P16" s="19">
        <f>IF('03_Intangibles'!T16="","",IF(LEFT('03_Intangibles'!T16,1)="a","a) el intangible se expresa como una medida de los ingresos",IF(LEFT('03_Intangibles'!T16,1)="b","b) ingresos y consumo estrechamente correlacionados","No invoca ninguna de las dos circunstancias")))</f>
        <v/>
      </c>
      <c r="Q16" s="19">
        <f>IF(C16="No","No aplica",IF(ISNUMBER(SEARCH("ingres",O16)),IF('02_Parametros'!$B$9=0,"Ingresos (sin presunción: PYMES 2015)",IF(OR(LEFT(P16,1)="a",LEFT(P16,1)="b"),"Ingresos (excepción documentada)","Lineal (presunción no refutada)")),IF(OR(O16="",ISNUMBER(SEARCH("lineal",O16)),ISNUMBER(SEARCH("recta",O16))),"Lineal","Otro método informado (no recalculado)")))</f>
        <v/>
      </c>
      <c r="R16" s="21">
        <f>IF(AND(C16="Sí",LEFT(Q16,6)&lt;&gt;"Lineal"),L16,K16)</f>
        <v/>
      </c>
    </row>
    <row r="17">
      <c r="A17" s="18" t="inlineStr">
        <is>
          <t>CON-02</t>
        </is>
      </c>
      <c r="B17" s="18">
        <f>'04_Reconocimiento'!E17</f>
        <v/>
      </c>
      <c r="C17" s="18">
        <f>'04_Reconocimiento'!F17</f>
        <v/>
      </c>
      <c r="D17" s="20">
        <f>'04_Reconocimiento'!I17</f>
        <v/>
      </c>
      <c r="E17" s="20">
        <f>'03_Intangibles'!H17+0</f>
        <v/>
      </c>
      <c r="F17" s="20">
        <f>MAX(D17-E17,0)</f>
        <v/>
      </c>
      <c r="G17" s="30">
        <f>IF(C17="No","",IF('02_Parametros'!$B$7=1,IF('03_Intangibles'!I17="","",MIN('03_Intangibles'!I17,'02_Parametros'!$B$10)),IF(B17="Goodwill","",IF('03_Intangibles'!I17="","",'03_Intangibles'!I17))))</f>
        <v/>
      </c>
      <c r="H17" s="18">
        <f>IF(C17="No","No aplica",IF(G17&lt;&gt;"","Finita",IF('02_Parametros'!$B$7=1,"Sin estimación (18.20)",IF(B17="Goodwill","Goodwill: indefinida (no se amortiza)","Indefinida"))))</f>
        <v/>
      </c>
      <c r="I17" s="30">
        <f>IF('03_Intangibles'!F17="",0,MAX(0,MIN(12,(YEAR('02_Parametros'!$B$5)-YEAR('03_Intangibles'!F17))*12+MONTH('02_Parametros'!$B$5)-MONTH('03_Intangibles'!F17)+1)))</f>
        <v/>
      </c>
      <c r="J17" s="20">
        <f>MAX(F17-'03_Intangibles'!J17-'03_Intangibles'!L17,0)</f>
        <v/>
      </c>
      <c r="K17" s="20">
        <f>IF(AND(C17="Sí",LEFT(Q17,6)&lt;&gt;"Lineal"),"",IF(AND('02_Parametros'!$B$7=1,C17="Sí",G17=""),"",IF(OR(G17="",I17=0),0,MIN(F17/G17*I17,J17))))</f>
        <v/>
      </c>
      <c r="L17" s="20">
        <f>'03_Intangibles'!K17+0</f>
        <v/>
      </c>
      <c r="M17" s="20">
        <f>IF(K17="","",K17-L17)</f>
        <v/>
      </c>
      <c r="N17" s="20">
        <f>'03_Intangibles'!J17+IF(R17="",0,R17)</f>
        <v/>
      </c>
      <c r="O17" s="18">
        <f>'03_Intangibles'!S17&amp;""</f>
        <v/>
      </c>
      <c r="P17" s="18">
        <f>IF('03_Intangibles'!T17="","",IF(LEFT('03_Intangibles'!T17,1)="a","a) el intangible se expresa como una medida de los ingresos",IF(LEFT('03_Intangibles'!T17,1)="b","b) ingresos y consumo estrechamente correlacionados","No invoca ninguna de las dos circunstancias")))</f>
        <v/>
      </c>
      <c r="Q17" s="18">
        <f>IF(C17="No","No aplica",IF(ISNUMBER(SEARCH("ingres",O17)),IF('02_Parametros'!$B$9=0,"Ingresos (sin presunción: PYMES 2015)",IF(OR(LEFT(P17,1)="a",LEFT(P17,1)="b"),"Ingresos (excepción documentada)","Lineal (presunción no refutada)")),IF(OR(O17="",ISNUMBER(SEARCH("lineal",O17)),ISNUMBER(SEARCH("recta",O17))),"Lineal","Otro método informado (no recalculado)")))</f>
        <v/>
      </c>
      <c r="R17" s="20">
        <f>IF(AND(C17="Sí",LEFT(Q17,6)&lt;&gt;"Lineal"),L17,K17)</f>
        <v/>
      </c>
    </row>
    <row r="18">
      <c r="A18" s="35" t="inlineStr">
        <is>
          <t>TOTAL</t>
        </is>
      </c>
      <c r="B18" s="35" t="inlineStr"/>
      <c r="C18" s="35" t="inlineStr"/>
      <c r="D18" s="37">
        <f>SUM(D5:D17)</f>
        <v/>
      </c>
      <c r="E18" s="37" t="n"/>
      <c r="F18" s="37">
        <f>SUM(F5:F17)</f>
        <v/>
      </c>
      <c r="G18" s="38" t="n"/>
      <c r="H18" s="35" t="inlineStr"/>
      <c r="I18" s="38" t="n"/>
      <c r="J18" s="37" t="n"/>
      <c r="K18" s="37">
        <f>SUM(K5:K17)</f>
        <v/>
      </c>
      <c r="L18" s="37">
        <f>SUM(L5:L17)</f>
        <v/>
      </c>
      <c r="M18" s="37">
        <f>SUM(M5:M17)</f>
        <v/>
      </c>
      <c r="N18" s="37">
        <f>SUM(N5:N17)</f>
        <v/>
      </c>
      <c r="O18" s="35" t="inlineStr"/>
      <c r="P18" s="35" t="inlineStr"/>
      <c r="Q18" s="35" t="inlineStr"/>
      <c r="R18" s="37">
        <f>SUM(R5:R17)</f>
        <v/>
      </c>
    </row>
    <row r="20">
      <c r="A20" s="22" t="inlineStr">
        <is>
          <t>ⓘ  Cómo se calcula esta hoja</t>
        </is>
      </c>
    </row>
    <row r="21">
      <c r="A21" s="23" t="inlineStr">
        <is>
          <t>Columna</t>
        </is>
      </c>
      <c r="B21" s="23" t="inlineStr">
        <is>
          <t>Fórmula (Excel)</t>
        </is>
      </c>
      <c r="C21" s="23" t="inlineStr">
        <is>
          <t>Cómo se calcula (sencillo)</t>
        </is>
      </c>
      <c r="D21" s="23" t="inlineStr">
        <is>
          <t>Ejemplo con números reales</t>
        </is>
      </c>
      <c r="E21" s="23" t="inlineStr">
        <is>
          <t>De dónde viene</t>
        </is>
      </c>
      <c r="F21" s="23" t="inlineStr">
        <is>
          <t>Norma</t>
        </is>
      </c>
    </row>
    <row r="22">
      <c r="A22" s="24" t="inlineStr">
        <is>
          <t>Categoría</t>
        </is>
      </c>
      <c r="B22" s="25" t="inlineStr">
        <is>
          <t>'='04_Reconocimiento'!E5</t>
        </is>
      </c>
      <c r="C22" s="24" t="inlineStr">
        <is>
          <t>Trae la categoría (Investigación, Desarrollo, Goodwill u Otro) asignada en la hoja 04 (Reconocimiento).</t>
        </is>
      </c>
      <c r="D22" s="24" t="inlineStr">
        <is>
          <t>Fila 1: «Otro» → Otro</t>
        </is>
      </c>
      <c r="E22" s="24" t="inlineStr">
        <is>
          <t>hoja «Reconocimiento e investigación / desarrollo»</t>
        </is>
      </c>
      <c r="F22" s="24" t="inlineStr">
        <is>
          <t>—</t>
        </is>
      </c>
    </row>
    <row r="23">
      <c r="A23" s="24" t="inlineStr">
        <is>
          <t>Capitalizable</t>
        </is>
      </c>
      <c r="B23" s="25" t="inlineStr">
        <is>
          <t>'='04_Reconocimiento'!F5</t>
        </is>
      </c>
      <c r="C23" s="24" t="inlineStr">
        <is>
          <t>Trae de la hoja 04 (Reconocimiento) si la partida se mantiene en el activo (Sí) o va a gasto (No).</t>
        </is>
      </c>
      <c r="D23" s="24" t="inlineStr">
        <is>
          <t>Fila 1: «Sí» → Sí</t>
        </is>
      </c>
      <c r="E23" s="24" t="inlineStr">
        <is>
          <t>hoja «Reconocimiento e investigación / desarrollo»</t>
        </is>
      </c>
      <c r="F23" s="24" t="inlineStr">
        <is>
          <t>—</t>
        </is>
      </c>
    </row>
    <row r="24">
      <c r="A24" s="24" t="inlineStr">
        <is>
          <t>Costo auditado</t>
        </is>
      </c>
      <c r="B24" s="25" t="inlineStr">
        <is>
          <t>'='04_Reconocimiento'!I5</t>
        </is>
      </c>
      <c r="C24" s="24" t="inlineStr">
        <is>
          <t>Trae el costo auditado de la hoja 04 (Reconocimiento): el costo registrado si es capitalizable, o cero si no.</t>
        </is>
      </c>
      <c r="D24" s="24" t="inlineStr">
        <is>
          <t>Fila 1: 60.000,00 → 60.000,00</t>
        </is>
      </c>
      <c r="E24" s="24" t="inlineStr">
        <is>
          <t>hoja «Reconocimiento e investigación / desarrollo»</t>
        </is>
      </c>
      <c r="F24" s="24" t="inlineStr">
        <is>
          <t>—</t>
        </is>
      </c>
    </row>
    <row r="25">
      <c r="A25" s="24" t="inlineStr">
        <is>
          <t>Valor residual</t>
        </is>
      </c>
      <c r="B25" s="25" t="inlineStr">
        <is>
          <t>'='03_Intangibles'!H5+0</t>
        </is>
      </c>
      <c r="C25" s="24" t="inlineStr">
        <is>
          <t>Trae el valor residual informado por el cliente en la hoja 03 (Auxiliar de intangibles y goodwill); si está en blanco, se toma como cero.</t>
        </is>
      </c>
      <c r="D25" s="24" t="inlineStr">
        <is>
          <t>Fila 1: (vacío)+0 → 0,00</t>
        </is>
      </c>
      <c r="E25" s="24" t="inlineStr">
        <is>
          <t>hoja «Auxiliar de intangibles y goodwill»</t>
        </is>
      </c>
      <c r="F25" s="24" t="inlineStr">
        <is>
          <t>—</t>
        </is>
      </c>
    </row>
    <row r="26">
      <c r="A26" s="24" t="inlineStr">
        <is>
          <t>Importe amortizable</t>
        </is>
      </c>
      <c r="B26" s="25" t="inlineStr">
        <is>
          <t>'=MAX(D5-E5,0)</t>
        </is>
      </c>
      <c r="C26" s="24" t="inlineStr">
        <is>
          <t>Resta el valor residual al costo auditado; si el resultado fuera negativo, queda en cero.</t>
        </is>
      </c>
      <c r="D26" s="24" t="inlineStr">
        <is>
          <t>Fila 1: MAX(60.000,00-0,00; 0) → 60.000,00</t>
        </is>
      </c>
      <c r="E26" s="24" t="inlineStr">
        <is>
          <t>«Costo auditado» (esta hoja), «Valor residual» (esta hoja)</t>
        </is>
      </c>
      <c r="F26" s="24" t="inlineStr">
        <is>
          <t>—</t>
        </is>
      </c>
    </row>
    <row r="27">
      <c r="A27" s="24" t="inlineStr">
        <is>
          <t>Vida aplicada (meses)</t>
        </is>
      </c>
      <c r="B27" s="25" t="inlineStr">
        <is>
          <t>'=IF(C5="No","",IF('02_Parametros'!$B$7=1,IF('03_Intangibles'!I5="","",MIN('03_Intangibles'!I5,'02_Parametros'!$B$10)),IF(B5="Goodwill","",IF('03_Intangibles'!I5="","",'03_Intangibles'!I5))))</t>
        </is>
      </c>
      <c r="C27" s="24" t="inlineStr">
        <is>
          <t>Toma la vida útil en meses de la hoja 03 (Auxiliar de intangibles y goodwill). En la ruta PYMES la limita al tope de la hoja 02 (Parámetros); en NIIF completas el goodwill queda sin vida. Queda en blanco si la partida no es capitalizable o si no hay vida informada.</t>
        </is>
      </c>
      <c r="D27" s="24" t="inlineStr">
        <is>
          <t>Fila 1: IF(«Sí»="No"; ""; IF(0,00=1; IF(60=""; ""; MIN(60; 120,00)); IF(«Otro»="Goodwill"; ""; IF(60=""; ""; 60)))) → 60</t>
        </is>
      </c>
      <c r="E27" s="24" t="inlineStr">
        <is>
          <t>«Capitalizable» (esta hoja), «Categoría» (esta hoja), hoja «Parámetros», hoja «Auxiliar de intangibles y goodwill»</t>
        </is>
      </c>
      <c r="F27" s="24" t="inlineStr">
        <is>
          <t>—</t>
        </is>
      </c>
    </row>
    <row r="28">
      <c r="A28" s="24" t="inlineStr">
        <is>
          <t>Tipo de vida</t>
        </is>
      </c>
      <c r="B28" s="25" t="inlineStr">
        <is>
          <t>'=IF(C5="No","No aplica",IF(G5&lt;&gt;"","Finita",IF('02_Parametros'!$B$7=1,"Sin estimación (18.20)",IF(B5="Goodwill","Goodwill: indefinida (no se amortiza)","Indefinida"))))</t>
        </is>
      </c>
      <c r="C28" s="24" t="inlineStr">
        <is>
          <t>Indica «Finita» si hay vida aplicada. Sin vida: «No aplica» si no es capitalizable, «Sin estimación» en PYMES, y en NIIF completas «indefinida», con una leyenda propia para el goodwill, que no se amortiza.</t>
        </is>
      </c>
      <c r="D28" s="24" t="inlineStr">
        <is>
          <t>Fila 1: IF(«Sí»="No"; "No aplica"; IF(60&lt;&gt;""; "Finita"; IF(0,00=1; "Sin estimación (18.20)"; IF(«Otro»="Goodwill"; "Goodwill: indefinida (no se amortiza)"; "Indefinida")))) → Finita</t>
        </is>
      </c>
      <c r="E28" s="24" t="inlineStr">
        <is>
          <t>«Capitalizable» (esta hoja), «Vida aplicada (meses)» (esta hoja), «Categoría» (esta hoja), hoja «Parámetros»</t>
        </is>
      </c>
      <c r="F28" s="24" t="inlineStr">
        <is>
          <t>—</t>
        </is>
      </c>
    </row>
    <row r="29">
      <c r="A29" s="24" t="inlineStr">
        <is>
          <t>Meses en uso del ejercicio</t>
        </is>
      </c>
      <c r="B29" s="25" t="inlineStr">
        <is>
          <t>'=IF('03_Intangibles'!F5="",0,MAX(0,MIN(12,(YEAR('02_Parametros'!$B$5)-YEAR('03_Intangibles'!F5))*12+MONTH('02_Parametros'!$B$5)-MONTH('03_Intangibles'!F5)+1)))</t>
        </is>
      </c>
      <c r="C29" s="24" t="inlineStr">
        <is>
          <t>Cuenta los meses desde la fecha en que el intangible quedó disponible para uso (la hoja 03 (Auxiliar de intangibles y goodwill)) hasta el corte de la hoja 02, incluido el mes de inicio, con un mínimo de 0 y un máximo de 12. Sin fecha, da cero.</t>
        </is>
      </c>
      <c r="D29" s="24" t="inlineStr">
        <is>
          <t>Fila 1: IF(«2023-01-01»=""; 0; MAX(0; MIN(12; (YEAR(«2025-12-31»)-YEAR(«2023-01-01»))*12+MONTH(«2025-12-31»)-MONTH(«2023-01-01»)+1))) → 12</t>
        </is>
      </c>
      <c r="E29" s="24" t="inlineStr">
        <is>
          <t>hoja «Auxiliar de intangibles y goodwill», hoja «Parámetros»</t>
        </is>
      </c>
      <c r="F29" s="24" t="inlineStr">
        <is>
          <t>—</t>
        </is>
      </c>
    </row>
    <row r="30">
      <c r="A30" s="24" t="inlineStr">
        <is>
          <t>Importe pendiente</t>
        </is>
      </c>
      <c r="B30" s="25" t="inlineStr">
        <is>
          <t>'=MAX(F5-'03_Intangibles'!J5-'03_Intangibles'!L5,0)</t>
        </is>
      </c>
      <c r="C30" s="24" t="inlineStr">
        <is>
          <t>Resta al importe amortizable la amortización acumulada inicial y el deterioro previo de la hoja 03 (Auxiliar de intangibles y goodwill): es lo que todavía queda por amortizar (nunca menos de cero).</t>
        </is>
      </c>
      <c r="D30" s="24" t="inlineStr">
        <is>
          <t>Fila 1: MAX(60.000,00-24.000,00-(vacío); 0) → 36.000,00</t>
        </is>
      </c>
      <c r="E30" s="24" t="inlineStr">
        <is>
          <t>«Importe amortizable» (esta hoja), hoja «Auxiliar de intangibles y goodwill»</t>
        </is>
      </c>
      <c r="F30" s="24" t="inlineStr">
        <is>
          <t>—</t>
        </is>
      </c>
    </row>
    <row r="31">
      <c r="A31" s="24" t="inlineStr">
        <is>
          <t>Amortización recalculada (lineal)</t>
        </is>
      </c>
      <c r="B31" s="25" t="inlineStr">
        <is>
          <t>'=IF(AND(C5="Sí",LEFT(Q5,6)&lt;&gt;"Lineal"),"",IF(AND('02_Parametros'!$B$7=1,C5="Sí",G5=""),"",IF(OR(G5="",I5=0),0,MIN(F5/G5*I5,J5))))</t>
        </is>
      </c>
      <c r="C31" s="24" t="inlineStr">
        <is>
          <t>Divide el importe amortizable para la vida aplicada y lo multiplica por los meses en uso del ejercicio, sin pasar del importe pendiente. Da cero sin vida o sin meses de uso; en partidas capitalizables queda en blanco si el método aplicado no es el lineal o si en PYMES falta la vida.</t>
        </is>
      </c>
      <c r="D31" s="24" t="inlineStr">
        <is>
          <t>Fila 1: IF(AND(«Sí»="Sí"; LEFT(«Lineal»; 6)&lt;&gt;"Lineal"); ""; IF(AND(0,00=1; «Sí»="Sí"; 60=""); ""; IF(OR(60=""; 12=0); 0; MIN(60.000,00/60*12; 36.000,00)))) → 12.000,00</t>
        </is>
      </c>
      <c r="E31" s="24" t="inlineStr">
        <is>
          <t>«Capitalizable» (esta hoja), «Método aplicado por la herramienta» (esta hoja), «Vida aplicada (meses)» (esta hoja), «Meses en uso del ejercicio» (esta hoja), «Importe amortizable» (esta hoja), «Importe pendiente» (esta hoja), hoja «Parámetros»</t>
        </is>
      </c>
      <c r="F31" s="24" t="inlineStr">
        <is>
          <t>—</t>
        </is>
      </c>
    </row>
    <row r="32">
      <c r="A32" s="24" t="inlineStr">
        <is>
          <t>Amortización registrada (cliente)</t>
        </is>
      </c>
      <c r="B32" s="25" t="inlineStr">
        <is>
          <t>'='03_Intangibles'!K5+0</t>
        </is>
      </c>
      <c r="C32" s="24" t="inlineStr">
        <is>
          <t>Trae la amortización del año que registró el cliente en la hoja 03 (Auxiliar de intangibles y goodwill) (cero si está en blanco).</t>
        </is>
      </c>
      <c r="D32" s="24" t="inlineStr">
        <is>
          <t>Fila 1: 12.000,00+0 → 12.000,00</t>
        </is>
      </c>
      <c r="E32" s="24" t="inlineStr">
        <is>
          <t>hoja «Auxiliar de intangibles y goodwill»</t>
        </is>
      </c>
      <c r="F32" s="24" t="inlineStr">
        <is>
          <t>—</t>
        </is>
      </c>
    </row>
    <row r="33">
      <c r="A33" s="24" t="inlineStr">
        <is>
          <t>Diferencia</t>
        </is>
      </c>
      <c r="B33" s="25" t="inlineStr">
        <is>
          <t>'=IF(K5="","",K5-L5)</t>
        </is>
      </c>
      <c r="C33" s="24" t="inlineStr">
        <is>
          <t>Resta la amortización registrada por el cliente a la recalculada; si la recalculada quedó en blanco (método no lineal o sin vida en PYMES), la diferencia también queda en blanco.</t>
        </is>
      </c>
      <c r="D33" s="24" t="inlineStr">
        <is>
          <t>Fila 1: IF(12.000,00=""; ""; 12.000,00-12.000,00) → 0,00</t>
        </is>
      </c>
      <c r="E33" s="24" t="inlineStr">
        <is>
          <t>«Amortización recalculada (lineal)» (esta hoja), «Amortización registrada (cliente)» (esta hoja)</t>
        </is>
      </c>
      <c r="F33" s="24" t="inlineStr">
        <is>
          <t>—</t>
        </is>
      </c>
    </row>
    <row r="34">
      <c r="A34" s="24" t="inlineStr">
        <is>
          <t>Amort. acumulada recalculada</t>
        </is>
      </c>
      <c r="B34" s="25" t="inlineStr">
        <is>
          <t>'='03_Intangibles'!J5+IF(R5="",0,R5)</t>
        </is>
      </c>
      <c r="C34" s="24" t="inlineStr">
        <is>
          <t>Suma la amortización acumulada inicial de la hoja 03 (Auxiliar de intangibles y goodwill) y la amortización auditada del año de esta misma hoja: es la amortización acumulada al corte según el auditor.</t>
        </is>
      </c>
      <c r="D34" s="24" t="inlineStr">
        <is>
          <t>Fila 1: 24.000,00+IF(12.000,00=""; 0; 12.000,00) → 36.000,00</t>
        </is>
      </c>
      <c r="E34" s="24" t="inlineStr">
        <is>
          <t>«Amortización auditada» (esta hoja), hoja «Auxiliar de intangibles y goodwill»</t>
        </is>
      </c>
      <c r="F34" s="24" t="inlineStr">
        <is>
          <t>—</t>
        </is>
      </c>
    </row>
    <row r="35">
      <c r="A35" s="24" t="inlineStr">
        <is>
          <t>Método informado por el cliente</t>
        </is>
      </c>
      <c r="B35" s="25" t="inlineStr">
        <is>
          <t>'='03_Intangibles'!S5&amp;""</t>
        </is>
      </c>
      <c r="C35" s="24" t="inlineStr">
        <is>
          <t>Copia, como texto, el método de amortización que informó el cliente en la hoja 03 (Auxiliar de intangibles y goodwill).</t>
        </is>
      </c>
      <c r="D35" s="24" t="inlineStr">
        <is>
          <t>Fila 1: (vacío)&amp;"" → (en blanco)</t>
        </is>
      </c>
      <c r="E35" s="24" t="inlineStr">
        <is>
          <t>hoja «Auxiliar de intangibles y goodwill»</t>
        </is>
      </c>
      <c r="F35" s="24" t="inlineStr">
        <is>
          <t>—</t>
        </is>
      </c>
    </row>
    <row r="36">
      <c r="A36" s="24" t="inlineStr">
        <is>
          <t>Circunstancia invocada (NIC 38.98A / 18.22A)</t>
        </is>
      </c>
      <c r="B36" s="25" t="inlineStr">
        <is>
          <t>'=IF('03_Intangibles'!T5="","",IF(LEFT('03_Intangibles'!T5,1)="a","a) el intangible se expresa como una medida de los ingresos",IF(LEFT('03_Intangibles'!T5,1)="b","b) ingresos y consumo estrechamente correlacionados","No invoca ninguna de las dos circunstancias")))</t>
        </is>
      </c>
      <c r="C36" s="24" t="inlineStr">
        <is>
          <t>Lee la justificación del método por ingresos de la hoja 03 (Auxiliar de intangibles y goodwill): si empieza con «a» o «b» escribe la circunstancia correspondiente; con otro texto indica que no invoca ninguna; en blanco queda vacía.</t>
        </is>
      </c>
      <c r="D36" s="24" t="inlineStr">
        <is>
          <t>Fila 1: IF((vacío)=""; ""; IF(LEFT((vacío); 1)="a"; "a) el intangible se expresa como una medida de los ingresos"; IF(LEFT((vacío); 1)="b"; "b) ingresos y consumo estrechamente correlacionados"; "No invoca ninguna de las dos circunstancias"))) → (en blanco)</t>
        </is>
      </c>
      <c r="E36" s="24" t="inlineStr">
        <is>
          <t>hoja «Auxiliar de intangibles y goodwill»</t>
        </is>
      </c>
      <c r="F36" s="24" t="inlineStr">
        <is>
          <t>—</t>
        </is>
      </c>
    </row>
    <row r="37">
      <c r="A37" s="24" t="inlineStr">
        <is>
          <t>Método aplicado por la herramienta</t>
        </is>
      </c>
      <c r="B37" s="25" t="inlineStr">
        <is>
          <t>'=IF(C5="No","No aplica",IF(ISNUMBER(SEARCH("ingres",O5)),IF('02_Parametros'!$B$9=0,"Ingresos (sin presunción: PYMES 2015)",IF(OR(LEFT(P5,1)="a",LEFT(P5,1)="b"),"Ingresos (excepción documentada)","Lineal (presunción no refutada)")),IF(OR(O5="",ISNUMBER(SEARCH("lineal",O5)),ISNUMBER(SEARCH("recta",O5))),"Lineal","Otro método informado (no recalculado)")))</t>
        </is>
      </c>
      <c r="C37" s="24" t="inlineStr">
        <is>
          <t>Si el cliente informa un método por ingresos, lo acepta cuando no rige la presunción (parámetro de la hoja 02) o hay circunstancia a/b documentada; si no, aplica el lineal. Sin método, lineal o línea recta es «Lineal»; otro método se acepta sin recalcular.</t>
        </is>
      </c>
      <c r="D37" s="24" t="inlineStr">
        <is>
          <t>Fila 1: IF(«Sí»="No"; "No aplica"; IF(ISNUMBER(SEARCH("ingres"; (vacío))); IF(1,00=0; "Ingresos (sin presunción: PYMES 2015)"; IF(OR(LEFT((vacío); 1)="a"; LEFT((vacío); 1)="b"); "Ingresos (excepción documentada)"; "Lineal (presunción no refutada)")); IF(OR((vacío)=""; ISNUMBER(SEARCH("lineal"; (vacío))); ISNUMBER(SEARCH("recta"; (vacío)))); "Lineal"; "Otro método informado (no recalculado)"))) → Lineal</t>
        </is>
      </c>
      <c r="E37" s="24" t="inlineStr">
        <is>
          <t>«Capitalizable» (esta hoja), «Método informado por el cliente» (esta hoja), «Circunstancia invocada (NIC 38.98A / 18.22A)» (esta hoja), hoja «Parámetros»</t>
        </is>
      </c>
      <c r="F37" s="24" t="inlineStr">
        <is>
          <t>—</t>
        </is>
      </c>
    </row>
    <row r="38">
      <c r="A38" s="24" t="inlineStr">
        <is>
          <t>Amortización auditada</t>
        </is>
      </c>
      <c r="B38" s="25" t="inlineStr">
        <is>
          <t>'=IF(AND(C5="Sí",LEFT(Q5,6)&lt;&gt;"Lineal"),L5,K5)</t>
        </is>
      </c>
      <c r="C38" s="24" t="inlineStr">
        <is>
          <t>Usa la amortización recalculada cuando el método aplicado es el lineal; si la partida es capitalizable y se aceptó otro método (ingresos u otro), acepta la amortización registrada por el cliente.</t>
        </is>
      </c>
      <c r="D38" s="24" t="inlineStr">
        <is>
          <t>Fila 1: IF(AND(«Sí»="Sí"; LEFT(«Lineal»; 6)&lt;&gt;"Lineal"); 12.000,00; 12.000,00) → 12.000,00</t>
        </is>
      </c>
      <c r="E38" s="24" t="inlineStr">
        <is>
          <t>«Capitalizable» (esta hoja), «Método aplicado por la herramienta» (esta hoja), «Amortización registrada (cliente)» (esta hoja), «Amortización recalculada (lineal)» (esta hoja)</t>
        </is>
      </c>
      <c r="F38" s="24" t="inlineStr">
        <is>
          <t>—</t>
        </is>
      </c>
    </row>
  </sheetData>
  <mergeCells count="3">
    <mergeCell ref="A20:F20"/>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34"/>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25" customWidth="1" min="3" max="3"/>
    <col width="23" customWidth="1" min="4" max="4"/>
    <col width="39" customWidth="1" min="5" max="5"/>
    <col width="31" customWidth="1" min="6" max="6"/>
    <col width="24" customWidth="1" min="7" max="7"/>
    <col width="27" customWidth="1" min="8" max="8"/>
    <col width="30" customWidth="1" min="9" max="9"/>
    <col width="37" customWidth="1" min="10" max="10"/>
    <col width="16" customWidth="1" min="11" max="11"/>
    <col width="27" customWidth="1" min="12" max="12"/>
    <col width="25" customWidth="1" min="13" max="13"/>
    <col width="40" customWidth="1" min="14" max="14"/>
    <col width="23" customWidth="1" min="15" max="15"/>
  </cols>
  <sheetData>
    <row r="1">
      <c r="A1" s="3" t="inlineStr">
        <is>
          <t>Revisión de vida útil y valor residual</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c r="G2" s="16" t="n"/>
      <c r="H2" s="16" t="n"/>
      <c r="I2" s="16" t="n"/>
      <c r="J2" s="16" t="n"/>
      <c r="K2" s="16" t="n"/>
      <c r="L2" s="16" t="n"/>
      <c r="M2" s="16" t="n"/>
      <c r="N2" s="16" t="n"/>
      <c r="O2" s="16" t="n"/>
    </row>
    <row r="4" ht="30" customHeight="1">
      <c r="A4" s="17" t="inlineStr">
        <is>
          <t>Código</t>
        </is>
      </c>
      <c r="B4" s="17" t="inlineStr">
        <is>
          <t>Categoría</t>
        </is>
      </c>
      <c r="C4" s="17" t="inlineStr">
        <is>
          <t>Vida registrada (meses)</t>
        </is>
      </c>
      <c r="D4" s="17" t="inlineStr">
        <is>
          <t>Vida aplicada (meses)</t>
        </is>
      </c>
      <c r="E4" s="17" t="inlineStr">
        <is>
          <t>Tipo de vida</t>
        </is>
      </c>
      <c r="F4" s="17" t="inlineStr">
        <is>
          <t>Meses transcurridos al cierre</t>
        </is>
      </c>
      <c r="G4" s="17" t="inlineStr">
        <is>
          <t>Vida remanente (meses)</t>
        </is>
      </c>
      <c r="H4" s="17" t="inlineStr">
        <is>
          <t>Amort. acumulada esperada</t>
        </is>
      </c>
      <c r="I4" s="17" t="inlineStr">
        <is>
          <t>Amort. acumulada recalculada</t>
        </is>
      </c>
      <c r="J4" s="17" t="inlineStr">
        <is>
          <t>Diferencia (esperada − recalculada)</t>
        </is>
      </c>
      <c r="K4" s="17" t="inlineStr">
        <is>
          <t>Valor residual</t>
        </is>
      </c>
      <c r="L4" s="17" t="inlineStr">
        <is>
          <t>Residual distinto de cero</t>
        </is>
      </c>
      <c r="M4" s="17" t="inlineStr">
        <is>
          <t>Vida revisada al cierre</t>
        </is>
      </c>
      <c r="N4" s="17" t="inlineStr">
        <is>
          <t>Revisión exigida</t>
        </is>
      </c>
      <c r="O4" s="17" t="inlineStr">
        <is>
          <t>Totalmente amortizado</t>
        </is>
      </c>
    </row>
    <row r="5">
      <c r="A5" s="18" t="inlineStr">
        <is>
          <t>SW-01</t>
        </is>
      </c>
      <c r="B5" s="18">
        <f>'05_Amortizacion'!B5</f>
        <v/>
      </c>
      <c r="C5" s="30">
        <f>IF('03_Intangibles'!I5="","",'03_Intangibles'!I5)</f>
        <v/>
      </c>
      <c r="D5" s="30">
        <f>IF('05_Amortizacion'!G5="","",'05_Amortizacion'!G5)</f>
        <v/>
      </c>
      <c r="E5" s="18">
        <f>'05_Amortizacion'!H5</f>
        <v/>
      </c>
      <c r="F5" s="30">
        <f>IF(OR('03_Intangibles'!F5="",'05_Amortizacion'!C5="No"),"",MAX(0,(YEAR('02_Parametros'!$B$5)-YEAR('03_Intangibles'!F5))*12+MONTH('02_Parametros'!$B$5)-MONTH('03_Intangibles'!F5)+1))</f>
        <v/>
      </c>
      <c r="G5" s="30">
        <f>IF(OR(D5="",F5=""),"",MAX(D5-F5,0))</f>
        <v/>
      </c>
      <c r="H5" s="20">
        <f>IF(OR(D5="",F5=""),"",MIN('05_Amortizacion'!F5,'05_Amortizacion'!F5/D5*F5))</f>
        <v/>
      </c>
      <c r="I5" s="20">
        <f>'05_Amortizacion'!N5</f>
        <v/>
      </c>
      <c r="J5" s="20">
        <f>IF(OR(H5="",'03_Intangibles'!L5&gt;0,AND('05_Amortizacion'!C5="Sí",LEFT('05_Amortizacion'!Q5,6)&lt;&gt;"Lineal")),"",H5-I5)</f>
        <v/>
      </c>
      <c r="K5" s="20">
        <f>'05_Amortizacion'!E5</f>
        <v/>
      </c>
      <c r="L5" s="18">
        <f>IF(AND('05_Amortizacion'!C5="Sí",K5&gt;0),"Sí","No")</f>
        <v/>
      </c>
      <c r="M5" s="18">
        <f>'03_Intangibles'!R5&amp;""</f>
        <v/>
      </c>
      <c r="N5" s="18">
        <f>IF('05_Amortizacion'!C5="No","No aplica",IF('02_Parametros'!$B$7=1,"Con indicios (PYMES 18.24)",IF(B5="Goodwill","No aplica (prueba NIC 36.10 b y 36.90)",IF(E5="Finita","Anual (NIC 38.104)","Anual (NIC 38.109)"))))</f>
        <v/>
      </c>
      <c r="O5" s="18">
        <f>IF(G5="","No",IF(G5=0,"Sí","No"))</f>
        <v/>
      </c>
    </row>
    <row r="6">
      <c r="A6" s="19" t="inlineStr">
        <is>
          <t>LIC-01</t>
        </is>
      </c>
      <c r="B6" s="19">
        <f>'05_Amortizacion'!B6</f>
        <v/>
      </c>
      <c r="C6" s="32">
        <f>IF('03_Intangibles'!I6="","",'03_Intangibles'!I6)</f>
        <v/>
      </c>
      <c r="D6" s="32">
        <f>IF('05_Amortizacion'!G6="","",'05_Amortizacion'!G6)</f>
        <v/>
      </c>
      <c r="E6" s="19">
        <f>'05_Amortizacion'!H6</f>
        <v/>
      </c>
      <c r="F6" s="32">
        <f>IF(OR('03_Intangibles'!F6="",'05_Amortizacion'!C6="No"),"",MAX(0,(YEAR('02_Parametros'!$B$5)-YEAR('03_Intangibles'!F6))*12+MONTH('02_Parametros'!$B$5)-MONTH('03_Intangibles'!F6)+1))</f>
        <v/>
      </c>
      <c r="G6" s="32">
        <f>IF(OR(D6="",F6=""),"",MAX(D6-F6,0))</f>
        <v/>
      </c>
      <c r="H6" s="21">
        <f>IF(OR(D6="",F6=""),"",MIN('05_Amortizacion'!F6,'05_Amortizacion'!F6/D6*F6))</f>
        <v/>
      </c>
      <c r="I6" s="21">
        <f>'05_Amortizacion'!N6</f>
        <v/>
      </c>
      <c r="J6" s="21">
        <f>IF(OR(H6="",'03_Intangibles'!L6&gt;0,AND('05_Amortizacion'!C6="Sí",LEFT('05_Amortizacion'!Q6,6)&lt;&gt;"Lineal")),"",H6-I6)</f>
        <v/>
      </c>
      <c r="K6" s="21">
        <f>'05_Amortizacion'!E6</f>
        <v/>
      </c>
      <c r="L6" s="19">
        <f>IF(AND('05_Amortizacion'!C6="Sí",K6&gt;0),"Sí","No")</f>
        <v/>
      </c>
      <c r="M6" s="19">
        <f>'03_Intangibles'!R6&amp;""</f>
        <v/>
      </c>
      <c r="N6" s="19">
        <f>IF('05_Amortizacion'!C6="No","No aplica",IF('02_Parametros'!$B$7=1,"Con indicios (PYMES 18.24)",IF(B6="Goodwill","No aplica (prueba NIC 36.10 b y 36.90)",IF(E6="Finita","Anual (NIC 38.104)","Anual (NIC 38.109)"))))</f>
        <v/>
      </c>
      <c r="O6" s="19">
        <f>IF(G6="","No",IF(G6=0,"Sí","No"))</f>
        <v/>
      </c>
    </row>
    <row r="7">
      <c r="A7" s="18" t="inlineStr">
        <is>
          <t>MAR-01</t>
        </is>
      </c>
      <c r="B7" s="18">
        <f>'05_Amortizacion'!B7</f>
        <v/>
      </c>
      <c r="C7" s="30">
        <f>IF('03_Intangibles'!I7="","",'03_Intangibles'!I7)</f>
        <v/>
      </c>
      <c r="D7" s="30">
        <f>IF('05_Amortizacion'!G7="","",'05_Amortizacion'!G7)</f>
        <v/>
      </c>
      <c r="E7" s="18">
        <f>'05_Amortizacion'!H7</f>
        <v/>
      </c>
      <c r="F7" s="30">
        <f>IF(OR('03_Intangibles'!F7="",'05_Amortizacion'!C7="No"),"",MAX(0,(YEAR('02_Parametros'!$B$5)-YEAR('03_Intangibles'!F7))*12+MONTH('02_Parametros'!$B$5)-MONTH('03_Intangibles'!F7)+1))</f>
        <v/>
      </c>
      <c r="G7" s="30">
        <f>IF(OR(D7="",F7=""),"",MAX(D7-F7,0))</f>
        <v/>
      </c>
      <c r="H7" s="20">
        <f>IF(OR(D7="",F7=""),"",MIN('05_Amortizacion'!F7,'05_Amortizacion'!F7/D7*F7))</f>
        <v/>
      </c>
      <c r="I7" s="20">
        <f>'05_Amortizacion'!N7</f>
        <v/>
      </c>
      <c r="J7" s="20">
        <f>IF(OR(H7="",'03_Intangibles'!L7&gt;0,AND('05_Amortizacion'!C7="Sí",LEFT('05_Amortizacion'!Q7,6)&lt;&gt;"Lineal")),"",H7-I7)</f>
        <v/>
      </c>
      <c r="K7" s="20">
        <f>'05_Amortizacion'!E7</f>
        <v/>
      </c>
      <c r="L7" s="18">
        <f>IF(AND('05_Amortizacion'!C7="Sí",K7&gt;0),"Sí","No")</f>
        <v/>
      </c>
      <c r="M7" s="18">
        <f>'03_Intangibles'!R7&amp;""</f>
        <v/>
      </c>
      <c r="N7" s="18">
        <f>IF('05_Amortizacion'!C7="No","No aplica",IF('02_Parametros'!$B$7=1,"Con indicios (PYMES 18.24)",IF(B7="Goodwill","No aplica (prueba NIC 36.10 b y 36.90)",IF(E7="Finita","Anual (NIC 38.104)","Anual (NIC 38.109)"))))</f>
        <v/>
      </c>
      <c r="O7" s="18">
        <f>IF(G7="","No",IF(G7=0,"Sí","No"))</f>
        <v/>
      </c>
    </row>
    <row r="8">
      <c r="A8" s="19" t="inlineStr">
        <is>
          <t>GW-01</t>
        </is>
      </c>
      <c r="B8" s="19">
        <f>'05_Amortizacion'!B8</f>
        <v/>
      </c>
      <c r="C8" s="32">
        <f>IF('03_Intangibles'!I8="","",'03_Intangibles'!I8)</f>
        <v/>
      </c>
      <c r="D8" s="32">
        <f>IF('05_Amortizacion'!G8="","",'05_Amortizacion'!G8)</f>
        <v/>
      </c>
      <c r="E8" s="19">
        <f>'05_Amortizacion'!H8</f>
        <v/>
      </c>
      <c r="F8" s="32">
        <f>IF(OR('03_Intangibles'!F8="",'05_Amortizacion'!C8="No"),"",MAX(0,(YEAR('02_Parametros'!$B$5)-YEAR('03_Intangibles'!F8))*12+MONTH('02_Parametros'!$B$5)-MONTH('03_Intangibles'!F8)+1))</f>
        <v/>
      </c>
      <c r="G8" s="32">
        <f>IF(OR(D8="",F8=""),"",MAX(D8-F8,0))</f>
        <v/>
      </c>
      <c r="H8" s="21">
        <f>IF(OR(D8="",F8=""),"",MIN('05_Amortizacion'!F8,'05_Amortizacion'!F8/D8*F8))</f>
        <v/>
      </c>
      <c r="I8" s="21">
        <f>'05_Amortizacion'!N8</f>
        <v/>
      </c>
      <c r="J8" s="21">
        <f>IF(OR(H8="",'03_Intangibles'!L8&gt;0,AND('05_Amortizacion'!C8="Sí",LEFT('05_Amortizacion'!Q8,6)&lt;&gt;"Lineal")),"",H8-I8)</f>
        <v/>
      </c>
      <c r="K8" s="21">
        <f>'05_Amortizacion'!E8</f>
        <v/>
      </c>
      <c r="L8" s="19">
        <f>IF(AND('05_Amortizacion'!C8="Sí",K8&gt;0),"Sí","No")</f>
        <v/>
      </c>
      <c r="M8" s="19">
        <f>'03_Intangibles'!R8&amp;""</f>
        <v/>
      </c>
      <c r="N8" s="19">
        <f>IF('05_Amortizacion'!C8="No","No aplica",IF('02_Parametros'!$B$7=1,"Con indicios (PYMES 18.24)",IF(B8="Goodwill","No aplica (prueba NIC 36.10 b y 36.90)",IF(E8="Finita","Anual (NIC 38.104)","Anual (NIC 38.109)"))))</f>
        <v/>
      </c>
      <c r="O8" s="19">
        <f>IF(G8="","No",IF(G8=0,"Sí","No"))</f>
        <v/>
      </c>
    </row>
    <row r="9">
      <c r="A9" s="18" t="inlineStr">
        <is>
          <t>INV-01</t>
        </is>
      </c>
      <c r="B9" s="18">
        <f>'05_Amortizacion'!B9</f>
        <v/>
      </c>
      <c r="C9" s="30">
        <f>IF('03_Intangibles'!I9="","",'03_Intangibles'!I9)</f>
        <v/>
      </c>
      <c r="D9" s="30">
        <f>IF('05_Amortizacion'!G9="","",'05_Amortizacion'!G9)</f>
        <v/>
      </c>
      <c r="E9" s="18">
        <f>'05_Amortizacion'!H9</f>
        <v/>
      </c>
      <c r="F9" s="30">
        <f>IF(OR('03_Intangibles'!F9="",'05_Amortizacion'!C9="No"),"",MAX(0,(YEAR('02_Parametros'!$B$5)-YEAR('03_Intangibles'!F9))*12+MONTH('02_Parametros'!$B$5)-MONTH('03_Intangibles'!F9)+1))</f>
        <v/>
      </c>
      <c r="G9" s="30">
        <f>IF(OR(D9="",F9=""),"",MAX(D9-F9,0))</f>
        <v/>
      </c>
      <c r="H9" s="20">
        <f>IF(OR(D9="",F9=""),"",MIN('05_Amortizacion'!F9,'05_Amortizacion'!F9/D9*F9))</f>
        <v/>
      </c>
      <c r="I9" s="20">
        <f>'05_Amortizacion'!N9</f>
        <v/>
      </c>
      <c r="J9" s="20">
        <f>IF(OR(H9="",'03_Intangibles'!L9&gt;0,AND('05_Amortizacion'!C9="Sí",LEFT('05_Amortizacion'!Q9,6)&lt;&gt;"Lineal")),"",H9-I9)</f>
        <v/>
      </c>
      <c r="K9" s="20">
        <f>'05_Amortizacion'!E9</f>
        <v/>
      </c>
      <c r="L9" s="18">
        <f>IF(AND('05_Amortizacion'!C9="Sí",K9&gt;0),"Sí","No")</f>
        <v/>
      </c>
      <c r="M9" s="18">
        <f>'03_Intangibles'!R9&amp;""</f>
        <v/>
      </c>
      <c r="N9" s="18">
        <f>IF('05_Amortizacion'!C9="No","No aplica",IF('02_Parametros'!$B$7=1,"Con indicios (PYMES 18.24)",IF(B9="Goodwill","No aplica (prueba NIC 36.10 b y 36.90)",IF(E9="Finita","Anual (NIC 38.104)","Anual (NIC 38.109)"))))</f>
        <v/>
      </c>
      <c r="O9" s="18">
        <f>IF(G9="","No",IF(G9=0,"Sí","No"))</f>
        <v/>
      </c>
    </row>
    <row r="10">
      <c r="A10" s="19" t="inlineStr">
        <is>
          <t>DES-01</t>
        </is>
      </c>
      <c r="B10" s="19">
        <f>'05_Amortizacion'!B10</f>
        <v/>
      </c>
      <c r="C10" s="32">
        <f>IF('03_Intangibles'!I10="","",'03_Intangibles'!I10)</f>
        <v/>
      </c>
      <c r="D10" s="32">
        <f>IF('05_Amortizacion'!G10="","",'05_Amortizacion'!G10)</f>
        <v/>
      </c>
      <c r="E10" s="19">
        <f>'05_Amortizacion'!H10</f>
        <v/>
      </c>
      <c r="F10" s="32">
        <f>IF(OR('03_Intangibles'!F10="",'05_Amortizacion'!C10="No"),"",MAX(0,(YEAR('02_Parametros'!$B$5)-YEAR('03_Intangibles'!F10))*12+MONTH('02_Parametros'!$B$5)-MONTH('03_Intangibles'!F10)+1))</f>
        <v/>
      </c>
      <c r="G10" s="32">
        <f>IF(OR(D10="",F10=""),"",MAX(D10-F10,0))</f>
        <v/>
      </c>
      <c r="H10" s="21">
        <f>IF(OR(D10="",F10=""),"",MIN('05_Amortizacion'!F10,'05_Amortizacion'!F10/D10*F10))</f>
        <v/>
      </c>
      <c r="I10" s="21">
        <f>'05_Amortizacion'!N10</f>
        <v/>
      </c>
      <c r="J10" s="21">
        <f>IF(OR(H10="",'03_Intangibles'!L10&gt;0,AND('05_Amortizacion'!C10="Sí",LEFT('05_Amortizacion'!Q10,6)&lt;&gt;"Lineal")),"",H10-I10)</f>
        <v/>
      </c>
      <c r="K10" s="21">
        <f>'05_Amortizacion'!E10</f>
        <v/>
      </c>
      <c r="L10" s="19">
        <f>IF(AND('05_Amortizacion'!C10="Sí",K10&gt;0),"Sí","No")</f>
        <v/>
      </c>
      <c r="M10" s="19">
        <f>'03_Intangibles'!R10&amp;""</f>
        <v/>
      </c>
      <c r="N10" s="19">
        <f>IF('05_Amortizacion'!C10="No","No aplica",IF('02_Parametros'!$B$7=1,"Con indicios (PYMES 18.24)",IF(B10="Goodwill","No aplica (prueba NIC 36.10 b y 36.90)",IF(E10="Finita","Anual (NIC 38.104)","Anual (NIC 38.109)"))))</f>
        <v/>
      </c>
      <c r="O10" s="19">
        <f>IF(G10="","No",IF(G10=0,"Sí","No"))</f>
        <v/>
      </c>
    </row>
    <row r="11">
      <c r="A11" s="18" t="inlineStr">
        <is>
          <t>DES-02</t>
        </is>
      </c>
      <c r="B11" s="18">
        <f>'05_Amortizacion'!B11</f>
        <v/>
      </c>
      <c r="C11" s="30">
        <f>IF('03_Intangibles'!I11="","",'03_Intangibles'!I11)</f>
        <v/>
      </c>
      <c r="D11" s="30">
        <f>IF('05_Amortizacion'!G11="","",'05_Amortizacion'!G11)</f>
        <v/>
      </c>
      <c r="E11" s="18">
        <f>'05_Amortizacion'!H11</f>
        <v/>
      </c>
      <c r="F11" s="30">
        <f>IF(OR('03_Intangibles'!F11="",'05_Amortizacion'!C11="No"),"",MAX(0,(YEAR('02_Parametros'!$B$5)-YEAR('03_Intangibles'!F11))*12+MONTH('02_Parametros'!$B$5)-MONTH('03_Intangibles'!F11)+1))</f>
        <v/>
      </c>
      <c r="G11" s="30">
        <f>IF(OR(D11="",F11=""),"",MAX(D11-F11,0))</f>
        <v/>
      </c>
      <c r="H11" s="20">
        <f>IF(OR(D11="",F11=""),"",MIN('05_Amortizacion'!F11,'05_Amortizacion'!F11/D11*F11))</f>
        <v/>
      </c>
      <c r="I11" s="20">
        <f>'05_Amortizacion'!N11</f>
        <v/>
      </c>
      <c r="J11" s="20">
        <f>IF(OR(H11="",'03_Intangibles'!L11&gt;0,AND('05_Amortizacion'!C11="Sí",LEFT('05_Amortizacion'!Q11,6)&lt;&gt;"Lineal")),"",H11-I11)</f>
        <v/>
      </c>
      <c r="K11" s="20">
        <f>'05_Amortizacion'!E11</f>
        <v/>
      </c>
      <c r="L11" s="18">
        <f>IF(AND('05_Amortizacion'!C11="Sí",K11&gt;0),"Sí","No")</f>
        <v/>
      </c>
      <c r="M11" s="18">
        <f>'03_Intangibles'!R11&amp;""</f>
        <v/>
      </c>
      <c r="N11" s="18">
        <f>IF('05_Amortizacion'!C11="No","No aplica",IF('02_Parametros'!$B$7=1,"Con indicios (PYMES 18.24)",IF(B11="Goodwill","No aplica (prueba NIC 36.10 b y 36.90)",IF(E11="Finita","Anual (NIC 38.104)","Anual (NIC 38.109)"))))</f>
        <v/>
      </c>
      <c r="O11" s="18">
        <f>IF(G11="","No",IF(G11=0,"Sí","No"))</f>
        <v/>
      </c>
    </row>
    <row r="12">
      <c r="A12" s="19" t="inlineStr">
        <is>
          <t>DES-03</t>
        </is>
      </c>
      <c r="B12" s="19">
        <f>'05_Amortizacion'!B12</f>
        <v/>
      </c>
      <c r="C12" s="32">
        <f>IF('03_Intangibles'!I12="","",'03_Intangibles'!I12)</f>
        <v/>
      </c>
      <c r="D12" s="32">
        <f>IF('05_Amortizacion'!G12="","",'05_Amortizacion'!G12)</f>
        <v/>
      </c>
      <c r="E12" s="19">
        <f>'05_Amortizacion'!H12</f>
        <v/>
      </c>
      <c r="F12" s="32">
        <f>IF(OR('03_Intangibles'!F12="",'05_Amortizacion'!C12="No"),"",MAX(0,(YEAR('02_Parametros'!$B$5)-YEAR('03_Intangibles'!F12))*12+MONTH('02_Parametros'!$B$5)-MONTH('03_Intangibles'!F12)+1))</f>
        <v/>
      </c>
      <c r="G12" s="32">
        <f>IF(OR(D12="",F12=""),"",MAX(D12-F12,0))</f>
        <v/>
      </c>
      <c r="H12" s="21">
        <f>IF(OR(D12="",F12=""),"",MIN('05_Amortizacion'!F12,'05_Amortizacion'!F12/D12*F12))</f>
        <v/>
      </c>
      <c r="I12" s="21">
        <f>'05_Amortizacion'!N12</f>
        <v/>
      </c>
      <c r="J12" s="21">
        <f>IF(OR(H12="",'03_Intangibles'!L12&gt;0,AND('05_Amortizacion'!C12="Sí",LEFT('05_Amortizacion'!Q12,6)&lt;&gt;"Lineal")),"",H12-I12)</f>
        <v/>
      </c>
      <c r="K12" s="21">
        <f>'05_Amortizacion'!E12</f>
        <v/>
      </c>
      <c r="L12" s="19">
        <f>IF(AND('05_Amortizacion'!C12="Sí",K12&gt;0),"Sí","No")</f>
        <v/>
      </c>
      <c r="M12" s="19">
        <f>'03_Intangibles'!R12&amp;""</f>
        <v/>
      </c>
      <c r="N12" s="19">
        <f>IF('05_Amortizacion'!C12="No","No aplica",IF('02_Parametros'!$B$7=1,"Con indicios (PYMES 18.24)",IF(B12="Goodwill","No aplica (prueba NIC 36.10 b y 36.90)",IF(E12="Finita","Anual (NIC 38.104)","Anual (NIC 38.109)"))))</f>
        <v/>
      </c>
      <c r="O12" s="19">
        <f>IF(G12="","No",IF(G12=0,"Sí","No"))</f>
        <v/>
      </c>
    </row>
    <row r="13">
      <c r="A13" s="18" t="inlineStr">
        <is>
          <t>PAT-01</t>
        </is>
      </c>
      <c r="B13" s="18">
        <f>'05_Amortizacion'!B13</f>
        <v/>
      </c>
      <c r="C13" s="30">
        <f>IF('03_Intangibles'!I13="","",'03_Intangibles'!I13)</f>
        <v/>
      </c>
      <c r="D13" s="30">
        <f>IF('05_Amortizacion'!G13="","",'05_Amortizacion'!G13)</f>
        <v/>
      </c>
      <c r="E13" s="18">
        <f>'05_Amortizacion'!H13</f>
        <v/>
      </c>
      <c r="F13" s="30">
        <f>IF(OR('03_Intangibles'!F13="",'05_Amortizacion'!C13="No"),"",MAX(0,(YEAR('02_Parametros'!$B$5)-YEAR('03_Intangibles'!F13))*12+MONTH('02_Parametros'!$B$5)-MONTH('03_Intangibles'!F13)+1))</f>
        <v/>
      </c>
      <c r="G13" s="30">
        <f>IF(OR(D13="",F13=""),"",MAX(D13-F13,0))</f>
        <v/>
      </c>
      <c r="H13" s="20">
        <f>IF(OR(D13="",F13=""),"",MIN('05_Amortizacion'!F13,'05_Amortizacion'!F13/D13*F13))</f>
        <v/>
      </c>
      <c r="I13" s="20">
        <f>'05_Amortizacion'!N13</f>
        <v/>
      </c>
      <c r="J13" s="20">
        <f>IF(OR(H13="",'03_Intangibles'!L13&gt;0,AND('05_Amortizacion'!C13="Sí",LEFT('05_Amortizacion'!Q13,6)&lt;&gt;"Lineal")),"",H13-I13)</f>
        <v/>
      </c>
      <c r="K13" s="20">
        <f>'05_Amortizacion'!E13</f>
        <v/>
      </c>
      <c r="L13" s="18">
        <f>IF(AND('05_Amortizacion'!C13="Sí",K13&gt;0),"Sí","No")</f>
        <v/>
      </c>
      <c r="M13" s="18">
        <f>'03_Intangibles'!R13&amp;""</f>
        <v/>
      </c>
      <c r="N13" s="18">
        <f>IF('05_Amortizacion'!C13="No","No aplica",IF('02_Parametros'!$B$7=1,"Con indicios (PYMES 18.24)",IF(B13="Goodwill","No aplica (prueba NIC 36.10 b y 36.90)",IF(E13="Finita","Anual (NIC 38.104)","Anual (NIC 38.109)"))))</f>
        <v/>
      </c>
      <c r="O13" s="18">
        <f>IF(G13="","No",IF(G13=0,"Sí","No"))</f>
        <v/>
      </c>
    </row>
    <row r="14">
      <c r="A14" s="19" t="inlineStr">
        <is>
          <t>SW-02</t>
        </is>
      </c>
      <c r="B14" s="19">
        <f>'05_Amortizacion'!B14</f>
        <v/>
      </c>
      <c r="C14" s="32">
        <f>IF('03_Intangibles'!I14="","",'03_Intangibles'!I14)</f>
        <v/>
      </c>
      <c r="D14" s="32">
        <f>IF('05_Amortizacion'!G14="","",'05_Amortizacion'!G14)</f>
        <v/>
      </c>
      <c r="E14" s="19">
        <f>'05_Amortizacion'!H14</f>
        <v/>
      </c>
      <c r="F14" s="32">
        <f>IF(OR('03_Intangibles'!F14="",'05_Amortizacion'!C14="No"),"",MAX(0,(YEAR('02_Parametros'!$B$5)-YEAR('03_Intangibles'!F14))*12+MONTH('02_Parametros'!$B$5)-MONTH('03_Intangibles'!F14)+1))</f>
        <v/>
      </c>
      <c r="G14" s="32">
        <f>IF(OR(D14="",F14=""),"",MAX(D14-F14,0))</f>
        <v/>
      </c>
      <c r="H14" s="21">
        <f>IF(OR(D14="",F14=""),"",MIN('05_Amortizacion'!F14,'05_Amortizacion'!F14/D14*F14))</f>
        <v/>
      </c>
      <c r="I14" s="21">
        <f>'05_Amortizacion'!N14</f>
        <v/>
      </c>
      <c r="J14" s="21">
        <f>IF(OR(H14="",'03_Intangibles'!L14&gt;0,AND('05_Amortizacion'!C14="Sí",LEFT('05_Amortizacion'!Q14,6)&lt;&gt;"Lineal")),"",H14-I14)</f>
        <v/>
      </c>
      <c r="K14" s="21">
        <f>'05_Amortizacion'!E14</f>
        <v/>
      </c>
      <c r="L14" s="19">
        <f>IF(AND('05_Amortizacion'!C14="Sí",K14&gt;0),"Sí","No")</f>
        <v/>
      </c>
      <c r="M14" s="19">
        <f>'03_Intangibles'!R14&amp;""</f>
        <v/>
      </c>
      <c r="N14" s="19">
        <f>IF('05_Amortizacion'!C14="No","No aplica",IF('02_Parametros'!$B$7=1,"Con indicios (PYMES 18.24)",IF(B14="Goodwill","No aplica (prueba NIC 36.10 b y 36.90)",IF(E14="Finita","Anual (NIC 38.104)","Anual (NIC 38.109)"))))</f>
        <v/>
      </c>
      <c r="O14" s="19">
        <f>IF(G14="","No",IF(G14=0,"Sí","No"))</f>
        <v/>
      </c>
    </row>
    <row r="15">
      <c r="A15" s="18" t="inlineStr">
        <is>
          <t>SW-03</t>
        </is>
      </c>
      <c r="B15" s="18">
        <f>'05_Amortizacion'!B15</f>
        <v/>
      </c>
      <c r="C15" s="30">
        <f>IF('03_Intangibles'!I15="","",'03_Intangibles'!I15)</f>
        <v/>
      </c>
      <c r="D15" s="30">
        <f>IF('05_Amortizacion'!G15="","",'05_Amortizacion'!G15)</f>
        <v/>
      </c>
      <c r="E15" s="18">
        <f>'05_Amortizacion'!H15</f>
        <v/>
      </c>
      <c r="F15" s="30">
        <f>IF(OR('03_Intangibles'!F15="",'05_Amortizacion'!C15="No"),"",MAX(0,(YEAR('02_Parametros'!$B$5)-YEAR('03_Intangibles'!F15))*12+MONTH('02_Parametros'!$B$5)-MONTH('03_Intangibles'!F15)+1))</f>
        <v/>
      </c>
      <c r="G15" s="30">
        <f>IF(OR(D15="",F15=""),"",MAX(D15-F15,0))</f>
        <v/>
      </c>
      <c r="H15" s="20">
        <f>IF(OR(D15="",F15=""),"",MIN('05_Amortizacion'!F15,'05_Amortizacion'!F15/D15*F15))</f>
        <v/>
      </c>
      <c r="I15" s="20">
        <f>'05_Amortizacion'!N15</f>
        <v/>
      </c>
      <c r="J15" s="20">
        <f>IF(OR(H15="",'03_Intangibles'!L15&gt;0,AND('05_Amortizacion'!C15="Sí",LEFT('05_Amortizacion'!Q15,6)&lt;&gt;"Lineal")),"",H15-I15)</f>
        <v/>
      </c>
      <c r="K15" s="20">
        <f>'05_Amortizacion'!E15</f>
        <v/>
      </c>
      <c r="L15" s="18">
        <f>IF(AND('05_Amortizacion'!C15="Sí",K15&gt;0),"Sí","No")</f>
        <v/>
      </c>
      <c r="M15" s="18">
        <f>'03_Intangibles'!R15&amp;""</f>
        <v/>
      </c>
      <c r="N15" s="18">
        <f>IF('05_Amortizacion'!C15="No","No aplica",IF('02_Parametros'!$B$7=1,"Con indicios (PYMES 18.24)",IF(B15="Goodwill","No aplica (prueba NIC 36.10 b y 36.90)",IF(E15="Finita","Anual (NIC 38.104)","Anual (NIC 38.109)"))))</f>
        <v/>
      </c>
      <c r="O15" s="18">
        <f>IF(G15="","No",IF(G15=0,"Sí","No"))</f>
        <v/>
      </c>
    </row>
    <row r="16">
      <c r="A16" s="19" t="inlineStr">
        <is>
          <t>CON-01</t>
        </is>
      </c>
      <c r="B16" s="19">
        <f>'05_Amortizacion'!B16</f>
        <v/>
      </c>
      <c r="C16" s="32">
        <f>IF('03_Intangibles'!I16="","",'03_Intangibles'!I16)</f>
        <v/>
      </c>
      <c r="D16" s="32">
        <f>IF('05_Amortizacion'!G16="","",'05_Amortizacion'!G16)</f>
        <v/>
      </c>
      <c r="E16" s="19">
        <f>'05_Amortizacion'!H16</f>
        <v/>
      </c>
      <c r="F16" s="32">
        <f>IF(OR('03_Intangibles'!F16="",'05_Amortizacion'!C16="No"),"",MAX(0,(YEAR('02_Parametros'!$B$5)-YEAR('03_Intangibles'!F16))*12+MONTH('02_Parametros'!$B$5)-MONTH('03_Intangibles'!F16)+1))</f>
        <v/>
      </c>
      <c r="G16" s="32">
        <f>IF(OR(D16="",F16=""),"",MAX(D16-F16,0))</f>
        <v/>
      </c>
      <c r="H16" s="21">
        <f>IF(OR(D16="",F16=""),"",MIN('05_Amortizacion'!F16,'05_Amortizacion'!F16/D16*F16))</f>
        <v/>
      </c>
      <c r="I16" s="21">
        <f>'05_Amortizacion'!N16</f>
        <v/>
      </c>
      <c r="J16" s="21">
        <f>IF(OR(H16="",'03_Intangibles'!L16&gt;0,AND('05_Amortizacion'!C16="Sí",LEFT('05_Amortizacion'!Q16,6)&lt;&gt;"Lineal")),"",H16-I16)</f>
        <v/>
      </c>
      <c r="K16" s="21">
        <f>'05_Amortizacion'!E16</f>
        <v/>
      </c>
      <c r="L16" s="19">
        <f>IF(AND('05_Amortizacion'!C16="Sí",K16&gt;0),"Sí","No")</f>
        <v/>
      </c>
      <c r="M16" s="19">
        <f>'03_Intangibles'!R16&amp;""</f>
        <v/>
      </c>
      <c r="N16" s="19">
        <f>IF('05_Amortizacion'!C16="No","No aplica",IF('02_Parametros'!$B$7=1,"Con indicios (PYMES 18.24)",IF(B16="Goodwill","No aplica (prueba NIC 36.10 b y 36.90)",IF(E16="Finita","Anual (NIC 38.104)","Anual (NIC 38.109)"))))</f>
        <v/>
      </c>
      <c r="O16" s="19">
        <f>IF(G16="","No",IF(G16=0,"Sí","No"))</f>
        <v/>
      </c>
    </row>
    <row r="17">
      <c r="A17" s="18" t="inlineStr">
        <is>
          <t>CON-02</t>
        </is>
      </c>
      <c r="B17" s="18">
        <f>'05_Amortizacion'!B17</f>
        <v/>
      </c>
      <c r="C17" s="30">
        <f>IF('03_Intangibles'!I17="","",'03_Intangibles'!I17)</f>
        <v/>
      </c>
      <c r="D17" s="30">
        <f>IF('05_Amortizacion'!G17="","",'05_Amortizacion'!G17)</f>
        <v/>
      </c>
      <c r="E17" s="18">
        <f>'05_Amortizacion'!H17</f>
        <v/>
      </c>
      <c r="F17" s="30">
        <f>IF(OR('03_Intangibles'!F17="",'05_Amortizacion'!C17="No"),"",MAX(0,(YEAR('02_Parametros'!$B$5)-YEAR('03_Intangibles'!F17))*12+MONTH('02_Parametros'!$B$5)-MONTH('03_Intangibles'!F17)+1))</f>
        <v/>
      </c>
      <c r="G17" s="30">
        <f>IF(OR(D17="",F17=""),"",MAX(D17-F17,0))</f>
        <v/>
      </c>
      <c r="H17" s="20">
        <f>IF(OR(D17="",F17=""),"",MIN('05_Amortizacion'!F17,'05_Amortizacion'!F17/D17*F17))</f>
        <v/>
      </c>
      <c r="I17" s="20">
        <f>'05_Amortizacion'!N17</f>
        <v/>
      </c>
      <c r="J17" s="20">
        <f>IF(OR(H17="",'03_Intangibles'!L17&gt;0,AND('05_Amortizacion'!C17="Sí",LEFT('05_Amortizacion'!Q17,6)&lt;&gt;"Lineal")),"",H17-I17)</f>
        <v/>
      </c>
      <c r="K17" s="20">
        <f>'05_Amortizacion'!E17</f>
        <v/>
      </c>
      <c r="L17" s="18">
        <f>IF(AND('05_Amortizacion'!C17="Sí",K17&gt;0),"Sí","No")</f>
        <v/>
      </c>
      <c r="M17" s="18">
        <f>'03_Intangibles'!R17&amp;""</f>
        <v/>
      </c>
      <c r="N17" s="18">
        <f>IF('05_Amortizacion'!C17="No","No aplica",IF('02_Parametros'!$B$7=1,"Con indicios (PYMES 18.24)",IF(B17="Goodwill","No aplica (prueba NIC 36.10 b y 36.90)",IF(E17="Finita","Anual (NIC 38.104)","Anual (NIC 38.109)"))))</f>
        <v/>
      </c>
      <c r="O17" s="18">
        <f>IF(G17="","No",IF(G17=0,"Sí","No"))</f>
        <v/>
      </c>
    </row>
    <row r="19">
      <c r="A19" s="22" t="inlineStr">
        <is>
          <t>ⓘ  Cómo se calcula esta hoja</t>
        </is>
      </c>
    </row>
    <row r="20">
      <c r="A20" s="23" t="inlineStr">
        <is>
          <t>Columna</t>
        </is>
      </c>
      <c r="B20" s="23" t="inlineStr">
        <is>
          <t>Fórmula (Excel)</t>
        </is>
      </c>
      <c r="C20" s="23" t="inlineStr">
        <is>
          <t>Cómo se calcula (sencillo)</t>
        </is>
      </c>
      <c r="D20" s="23" t="inlineStr">
        <is>
          <t>Ejemplo con números reales</t>
        </is>
      </c>
      <c r="E20" s="23" t="inlineStr">
        <is>
          <t>De dónde viene</t>
        </is>
      </c>
      <c r="F20" s="23" t="inlineStr">
        <is>
          <t>Norma</t>
        </is>
      </c>
    </row>
    <row r="21">
      <c r="A21" s="24" t="inlineStr">
        <is>
          <t>Categoría</t>
        </is>
      </c>
      <c r="B21" s="25" t="inlineStr">
        <is>
          <t>'='05_Amortizacion'!B5</t>
        </is>
      </c>
      <c r="C21" s="24" t="inlineStr">
        <is>
          <t>Trae la categoría de la partida desde la hoja 05 (Amortización y vida finita / indefinida).</t>
        </is>
      </c>
      <c r="D21" s="24" t="inlineStr">
        <is>
          <t>Fila 1: «Otro» → Otro</t>
        </is>
      </c>
      <c r="E21" s="24" t="inlineStr">
        <is>
          <t>hoja «Amortización y vida finita / indefinida»</t>
        </is>
      </c>
      <c r="F21" s="24" t="inlineStr">
        <is>
          <t>—</t>
        </is>
      </c>
    </row>
    <row r="22">
      <c r="A22" s="24" t="inlineStr">
        <is>
          <t>Vida registrada (meses)</t>
        </is>
      </c>
      <c r="B22" s="25" t="inlineStr">
        <is>
          <t>'=IF('03_Intangibles'!I5="","",'03_Intangibles'!I5)</t>
        </is>
      </c>
      <c r="C22" s="24" t="inlineStr">
        <is>
          <t>Trae la vida útil en meses que registró el cliente en la hoja 03 (Auxiliar de intangibles y goodwill); si no la informó, queda en blanco.</t>
        </is>
      </c>
      <c r="D22" s="24" t="inlineStr">
        <is>
          <t>Fila 1: IF(60=""; ""; 60) → 60</t>
        </is>
      </c>
      <c r="E22" s="24" t="inlineStr">
        <is>
          <t>hoja «Auxiliar de intangibles y goodwill»</t>
        </is>
      </c>
      <c r="F22" s="24" t="inlineStr">
        <is>
          <t>—</t>
        </is>
      </c>
    </row>
    <row r="23">
      <c r="A23" s="24" t="inlineStr">
        <is>
          <t>Vida aplicada (meses)</t>
        </is>
      </c>
      <c r="B23" s="25" t="inlineStr">
        <is>
          <t>'=IF('05_Amortizacion'!G5="","",'05_Amortizacion'!G5)</t>
        </is>
      </c>
      <c r="C23" s="24" t="inlineStr">
        <is>
          <t>Trae la vida aplicada de la hoja 05 (Amortización), ya limitada al tope PYMES cuando corresponde; en blanco si no hay.</t>
        </is>
      </c>
      <c r="D23" s="24" t="inlineStr">
        <is>
          <t>Fila 1: IF(60=""; ""; 60) → 60</t>
        </is>
      </c>
      <c r="E23" s="24" t="inlineStr">
        <is>
          <t>hoja «Amortización y vida finita / indefinida»</t>
        </is>
      </c>
      <c r="F23" s="24" t="inlineStr">
        <is>
          <t>—</t>
        </is>
      </c>
    </row>
    <row r="24">
      <c r="A24" s="24" t="inlineStr">
        <is>
          <t>Tipo de vida</t>
        </is>
      </c>
      <c r="B24" s="25" t="inlineStr">
        <is>
          <t>'='05_Amortizacion'!H5</t>
        </is>
      </c>
      <c r="C24" s="24" t="inlineStr">
        <is>
          <t>Trae de la hoja 05 (Amortización) si la vida es finita, indefinida, sin estimación o no aplica.</t>
        </is>
      </c>
      <c r="D24" s="24" t="inlineStr">
        <is>
          <t>Fila 1: «Finita» → Finita</t>
        </is>
      </c>
      <c r="E24" s="24" t="inlineStr">
        <is>
          <t>hoja «Amortización y vida finita / indefinida»</t>
        </is>
      </c>
      <c r="F24" s="24" t="inlineStr">
        <is>
          <t>—</t>
        </is>
      </c>
    </row>
    <row r="25">
      <c r="A25" s="24" t="inlineStr">
        <is>
          <t>Meses transcurridos al cierre</t>
        </is>
      </c>
      <c r="B25" s="25" t="inlineStr">
        <is>
          <t>'=IF(OR('03_Intangibles'!F5="",'05_Amortizacion'!C5="No"),"",MAX(0,(YEAR('02_Parametros'!$B$5)-YEAR('03_Intangibles'!F5))*12+MONTH('02_Parametros'!$B$5)-MONTH('03_Intangibles'!F5)+1))</t>
        </is>
      </c>
      <c r="C25" s="24" t="inlineStr">
        <is>
          <t>Cuenta los meses desde la fecha disponible para uso (la hoja 03 (Auxiliar de intangibles y goodwill)) hasta el corte, incluido el mes de inicio y sin tope de 12. Queda en blanco si falta la fecha o la partida no es capitalizable.</t>
        </is>
      </c>
      <c r="D25" s="24" t="inlineStr">
        <is>
          <t>Fila 1: IF(OR(«2023-01-01»=""; «Sí»="No"); ""; MAX(0; (YEAR(«2025-12-31»)-YEAR(«2023-01-01»))*12+MONTH(«2025-12-31»)-MONTH(«2023-01-01»)+1)) → 36</t>
        </is>
      </c>
      <c r="E25" s="24" t="inlineStr">
        <is>
          <t>hoja «Auxiliar de intangibles y goodwill», hoja «Amortización y vida finita / indefinida», hoja «Parámetros»</t>
        </is>
      </c>
      <c r="F25" s="24" t="inlineStr">
        <is>
          <t>—</t>
        </is>
      </c>
    </row>
    <row r="26">
      <c r="A26" s="24" t="inlineStr">
        <is>
          <t>Vida remanente (meses)</t>
        </is>
      </c>
      <c r="B26" s="25" t="inlineStr">
        <is>
          <t>'=IF(OR(D5="",F5=""),"",MAX(D5-F5,0))</t>
        </is>
      </c>
      <c r="C26" s="24" t="inlineStr">
        <is>
          <t>Resta los meses transcurridos a la vida aplicada (mínimo cero); en blanco si falta alguno de los dos datos.</t>
        </is>
      </c>
      <c r="D26" s="24" t="inlineStr">
        <is>
          <t>Fila 1: IF(OR(60=""; 36=""); ""; MAX(60-36; 0)) → 24</t>
        </is>
      </c>
      <c r="E26" s="24" t="inlineStr">
        <is>
          <t>«Vida aplicada (meses)» (esta hoja), «Meses transcurridos al cierre» (esta hoja)</t>
        </is>
      </c>
      <c r="F26" s="24" t="inlineStr">
        <is>
          <t>—</t>
        </is>
      </c>
    </row>
    <row r="27">
      <c r="A27" s="24" t="inlineStr">
        <is>
          <t>Amort. acumulada esperada</t>
        </is>
      </c>
      <c r="B27" s="25" t="inlineStr">
        <is>
          <t>'=IF(OR(D5="",F5=""),"",MIN('05_Amortizacion'!F5,'05_Amortizacion'!F5/D5*F5))</t>
        </is>
      </c>
      <c r="C27" s="24" t="inlineStr">
        <is>
          <t>Reparte el importe amortizable de la hoja 05 (Amortización) entre la vida aplicada y lo multiplica por los meses transcurridos, sin pasar del importe amortizable; en blanco si falta la vida o los meses.</t>
        </is>
      </c>
      <c r="D27" s="24" t="inlineStr">
        <is>
          <t>Fila 1: IF(OR(60=""; 36=""); ""; MIN(60.000,00; 60.000,00/60*36)) → 36.000,00</t>
        </is>
      </c>
      <c r="E27" s="24" t="inlineStr">
        <is>
          <t>«Vida aplicada (meses)» (esta hoja), «Meses transcurridos al cierre» (esta hoja), hoja «Amortización y vida finita / indefinida»</t>
        </is>
      </c>
      <c r="F27" s="24" t="inlineStr">
        <is>
          <t>—</t>
        </is>
      </c>
    </row>
    <row r="28">
      <c r="A28" s="24" t="inlineStr">
        <is>
          <t>Amort. acumulada recalculada</t>
        </is>
      </c>
      <c r="B28" s="25" t="inlineStr">
        <is>
          <t>'='05_Amortizacion'!N5</t>
        </is>
      </c>
      <c r="C28" s="24" t="inlineStr">
        <is>
          <t>Trae la amortización acumulada al corte que recalculó el auditor en la hoja 05 (Amortización).</t>
        </is>
      </c>
      <c r="D28" s="24" t="inlineStr">
        <is>
          <t>Fila 1: 36.000,00 → 36.000,00</t>
        </is>
      </c>
      <c r="E28" s="24" t="inlineStr">
        <is>
          <t>hoja «Amortización y vida finita / indefinida»</t>
        </is>
      </c>
      <c r="F28" s="24" t="inlineStr">
        <is>
          <t>—</t>
        </is>
      </c>
    </row>
    <row r="29">
      <c r="A29" s="24" t="inlineStr">
        <is>
          <t>Diferencia (esperada − recalculada)</t>
        </is>
      </c>
      <c r="B29" s="25" t="inlineStr">
        <is>
          <t>'=IF(OR(H5="",'03_Intangibles'!L5&gt;0,AND('05_Amortizacion'!C5="Sí",LEFT('05_Amortizacion'!Q5,6)&lt;&gt;"Lineal")),"",H5-I5)</t>
        </is>
      </c>
      <c r="C29" s="24" t="inlineStr">
        <is>
          <t>Resta la acumulada recalculada a la esperada. Queda en blanco si no hay esperada, si la partida tiene deterioro previo en la hoja 03 (Auxiliar de intangibles y goodwill) o si se aceptó un método distinto del lineal.</t>
        </is>
      </c>
      <c r="D29" s="24" t="inlineStr">
        <is>
          <t>Fila 1: IF(OR(36.000,00=""; (vacío)&gt;0; AND(«Sí»="Sí"; LEFT(«Lineal»; 6)&lt;&gt;"Lineal")); ""; 36.000,00-36.000,00) → 0,00</t>
        </is>
      </c>
      <c r="E29" s="24" t="inlineStr">
        <is>
          <t>«Amort. acumulada esperada» (esta hoja), «Amort. acumulada recalculada» (esta hoja), hoja «Auxiliar de intangibles y goodwill», hoja «Amortización y vida finita / indefinida»</t>
        </is>
      </c>
      <c r="F29" s="24" t="inlineStr">
        <is>
          <t>—</t>
        </is>
      </c>
    </row>
    <row r="30">
      <c r="A30" s="24" t="inlineStr">
        <is>
          <t>Valor residual</t>
        </is>
      </c>
      <c r="B30" s="25" t="inlineStr">
        <is>
          <t>'='05_Amortizacion'!E5</t>
        </is>
      </c>
      <c r="C30" s="24" t="inlineStr">
        <is>
          <t>Trae el valor residual usado en la hoja 05 (Amortización), cero si el cliente no lo informó.</t>
        </is>
      </c>
      <c r="D30" s="24" t="inlineStr">
        <is>
          <t>Fila 1: 0,00 → 0,00</t>
        </is>
      </c>
      <c r="E30" s="24" t="inlineStr">
        <is>
          <t>hoja «Amortización y vida finita / indefinida»</t>
        </is>
      </c>
      <c r="F30" s="24" t="inlineStr">
        <is>
          <t>—</t>
        </is>
      </c>
    </row>
    <row r="31">
      <c r="A31" s="24" t="inlineStr">
        <is>
          <t>Residual distinto de cero</t>
        </is>
      </c>
      <c r="B31" s="25" t="inlineStr">
        <is>
          <t>'=IF(AND('05_Amortizacion'!C5="Sí",K5&gt;0),"Sí","No")</t>
        </is>
      </c>
      <c r="C31" s="24" t="inlineStr">
        <is>
          <t>Marca «Sí» cuando la partida es capitalizable y su valor residual es mayor que cero; si no, «No».</t>
        </is>
      </c>
      <c r="D31" s="24" t="inlineStr">
        <is>
          <t>Fila 1: IF(AND(«Sí»="Sí"; 0,00&gt;0); "Sí"; "No") → No</t>
        </is>
      </c>
      <c r="E31" s="24" t="inlineStr">
        <is>
          <t>«Valor residual» (esta hoja), hoja «Amortización y vida finita / indefinida»</t>
        </is>
      </c>
      <c r="F31" s="24" t="inlineStr">
        <is>
          <t>—</t>
        </is>
      </c>
    </row>
    <row r="32">
      <c r="A32" s="24" t="inlineStr">
        <is>
          <t>Vida revisada al cierre</t>
        </is>
      </c>
      <c r="B32" s="25" t="inlineStr">
        <is>
          <t>'='03_Intangibles'!R5&amp;""</t>
        </is>
      </c>
      <c r="C32" s="24" t="inlineStr">
        <is>
          <t>Copia la respuesta del cliente sobre si revisó la vida útil al cierre, tomada de la hoja 03 (Auxiliar de intangibles y goodwill).</t>
        </is>
      </c>
      <c r="D32" s="24" t="inlineStr">
        <is>
          <t>Fila 1: «Sí»&amp;"" → Sí</t>
        </is>
      </c>
      <c r="E32" s="24" t="inlineStr">
        <is>
          <t>hoja «Auxiliar de intangibles y goodwill»</t>
        </is>
      </c>
      <c r="F32" s="24" t="inlineStr">
        <is>
          <t>—</t>
        </is>
      </c>
    </row>
    <row r="33">
      <c r="A33" s="24" t="inlineStr">
        <is>
          <t>Revisión exigida</t>
        </is>
      </c>
      <c r="B33" s="25" t="inlineStr">
        <is>
          <t>'=IF('05_Amortizacion'!C5="No","No aplica",IF('02_Parametros'!$B$7=1,"Con indicios (PYMES 18.24)",IF(B5="Goodwill","No aplica (prueba NIC 36.10 b y 36.90)",IF(E5="Finita","Anual (NIC 38.104)","Anual (NIC 38.109)"))))</t>
        </is>
      </c>
      <c r="C33" s="24" t="inlineStr">
        <is>
          <t>Indica con qué frecuencia debe revisarse la vida: no aplica si no es capitalizable; en PYMES, cuando hay indicios; en el goodwill de NIIF completas no aplica (va a prueba de deterioro); anual para vida finita o indefinida.</t>
        </is>
      </c>
      <c r="D33" s="24" t="inlineStr">
        <is>
          <t>Fila 1: IF(«Sí»="No"; "No aplica"; IF(0,00=1; "Con indicios (PYMES 18.24)"; IF(«Otro»="Goodwill"; "No aplica (prueba NIC 36.10 b y 36.90)"; IF(«Finita»="Finita"; "Anual (NIC 38.104)"; "Anual (NIC 38.109)")))) → Anual (NIC 38.104)</t>
        </is>
      </c>
      <c r="E33" s="24" t="inlineStr">
        <is>
          <t>«Categoría» (esta hoja), «Tipo de vida» (esta hoja), hoja «Amortización y vida finita / indefinida», hoja «Parámetros»</t>
        </is>
      </c>
      <c r="F33" s="24" t="inlineStr">
        <is>
          <t>—</t>
        </is>
      </c>
    </row>
    <row r="34">
      <c r="A34" s="24" t="inlineStr">
        <is>
          <t>Totalmente amortizado</t>
        </is>
      </c>
      <c r="B34" s="25" t="inlineStr">
        <is>
          <t>'=IF(G5="","No",IF(G5=0,"Sí","No"))</t>
        </is>
      </c>
      <c r="C34" s="24" t="inlineStr">
        <is>
          <t>Marca «Sí» cuando la vida remanente es cero; si es mayor o está en blanco, marca «No».</t>
        </is>
      </c>
      <c r="D34" s="24" t="inlineStr">
        <is>
          <t>Fila 1: IF(24=""; "No"; IF(24=0; "Sí"; "No")) → No</t>
        </is>
      </c>
      <c r="E34" s="24" t="inlineStr">
        <is>
          <t>«Vida remanente (meses)» (esta hoja)</t>
        </is>
      </c>
      <c r="F34" s="24" t="inlineStr">
        <is>
          <t>—</t>
        </is>
      </c>
    </row>
  </sheetData>
  <mergeCells count="3">
    <mergeCell ref="A19:F19"/>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L32"/>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29" customWidth="1" min="4" max="4"/>
    <col width="39" customWidth="1" min="5" max="5"/>
    <col width="14" customWidth="1" min="6" max="6"/>
    <col width="32" customWidth="1" min="7" max="7"/>
    <col width="21" customWidth="1" min="8" max="8"/>
    <col width="21" customWidth="1" min="9" max="9"/>
    <col width="22" customWidth="1" min="10" max="10"/>
    <col width="20" customWidth="1" min="11" max="11"/>
    <col width="12" customWidth="1" min="12" max="12"/>
  </cols>
  <sheetData>
    <row r="1">
      <c r="A1" s="3" t="inlineStr">
        <is>
          <t>Deterioro e importe recuperable</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c r="G2" s="16" t="n"/>
      <c r="H2" s="16" t="n"/>
      <c r="I2" s="16" t="n"/>
      <c r="J2" s="16" t="n"/>
      <c r="K2" s="16" t="n"/>
      <c r="L2" s="16" t="n"/>
    </row>
    <row r="4" ht="30" customHeight="1">
      <c r="A4" s="17" t="inlineStr">
        <is>
          <t>Código</t>
        </is>
      </c>
      <c r="B4" s="17" t="inlineStr">
        <is>
          <t>Categoría</t>
        </is>
      </c>
      <c r="C4" s="17" t="inlineStr">
        <is>
          <t>Capitalizable</t>
        </is>
      </c>
      <c r="D4" s="17" t="inlineStr">
        <is>
          <t>Prueba exigida</t>
        </is>
      </c>
      <c r="E4" s="17" t="inlineStr">
        <is>
          <t>Importe en libros antes del deterioro</t>
        </is>
      </c>
      <c r="F4" s="17" t="inlineStr">
        <is>
          <t>Valor en uso</t>
        </is>
      </c>
      <c r="G4" s="17" t="inlineStr">
        <is>
          <t>VR menos costos de disposición</t>
        </is>
      </c>
      <c r="H4" s="17" t="inlineStr">
        <is>
          <t>Importe recuperable</t>
        </is>
      </c>
      <c r="I4" s="17" t="inlineStr">
        <is>
          <t>Deterioro calculado</t>
        </is>
      </c>
      <c r="J4" s="17" t="inlineStr">
        <is>
          <t>Deterioro registrado</t>
        </is>
      </c>
      <c r="K4" s="17" t="inlineStr">
        <is>
          <t>Deterioro auditado</t>
        </is>
      </c>
      <c r="L4" s="17" t="inlineStr">
        <is>
          <t>Diferencia</t>
        </is>
      </c>
    </row>
    <row r="5">
      <c r="A5" s="18" t="inlineStr">
        <is>
          <t>SW-01</t>
        </is>
      </c>
      <c r="B5" s="18">
        <f>'05_Amortizacion'!B5</f>
        <v/>
      </c>
      <c r="C5" s="18">
        <f>'05_Amortizacion'!C5</f>
        <v/>
      </c>
      <c r="D5" s="18">
        <f>IF(C5="No","No aplica",IF('02_Parametros'!$B$7=1,"Solo si hay indicios (PYMES 27.7)",IF(B5="Goodwill","Anual (NIC 36.10 b y 36.90)",IF(OR('05_Amortizacion'!G5="",'03_Intangibles'!F5=""),"Anual (NIC 36.10 a)","Si hay indicios (NIC 36.9)"))))</f>
        <v/>
      </c>
      <c r="E5" s="20">
        <f>'05_Amortizacion'!D5-'05_Amortizacion'!N5-'03_Intangibles'!L5</f>
        <v/>
      </c>
      <c r="F5" s="20">
        <f>IF('03_Intangibles'!M5="","",'03_Intangibles'!M5)</f>
        <v/>
      </c>
      <c r="G5" s="20">
        <f>IF('03_Intangibles'!N5="","",'03_Intangibles'!N5)</f>
        <v/>
      </c>
      <c r="H5" s="20">
        <f>IF(AND(F5="",G5=""),"",MAX(F5,G5))</f>
        <v/>
      </c>
      <c r="I5" s="20">
        <f>IF(OR(H5="",C5="No"),"",MAX(E5-H5,0))</f>
        <v/>
      </c>
      <c r="J5" s="20">
        <f>'03_Intangibles'!O5+0</f>
        <v/>
      </c>
      <c r="K5" s="20">
        <f>IF(C5="No",0,IF(I5="",J5,I5))</f>
        <v/>
      </c>
      <c r="L5" s="20">
        <f>K5-J5</f>
        <v/>
      </c>
    </row>
    <row r="6">
      <c r="A6" s="19" t="inlineStr">
        <is>
          <t>LIC-01</t>
        </is>
      </c>
      <c r="B6" s="19">
        <f>'05_Amortizacion'!B6</f>
        <v/>
      </c>
      <c r="C6" s="19">
        <f>'05_Amortizacion'!C6</f>
        <v/>
      </c>
      <c r="D6" s="19">
        <f>IF(C6="No","No aplica",IF('02_Parametros'!$B$7=1,"Solo si hay indicios (PYMES 27.7)",IF(B6="Goodwill","Anual (NIC 36.10 b y 36.90)",IF(OR('05_Amortizacion'!G6="",'03_Intangibles'!F6=""),"Anual (NIC 36.10 a)","Si hay indicios (NIC 36.9)"))))</f>
        <v/>
      </c>
      <c r="E6" s="21">
        <f>'05_Amortizacion'!D6-'05_Amortizacion'!N6-'03_Intangibles'!L6</f>
        <v/>
      </c>
      <c r="F6" s="21">
        <f>IF('03_Intangibles'!M6="","",'03_Intangibles'!M6)</f>
        <v/>
      </c>
      <c r="G6" s="21">
        <f>IF('03_Intangibles'!N6="","",'03_Intangibles'!N6)</f>
        <v/>
      </c>
      <c r="H6" s="21">
        <f>IF(AND(F6="",G6=""),"",MAX(F6,G6))</f>
        <v/>
      </c>
      <c r="I6" s="21">
        <f>IF(OR(H6="",C6="No"),"",MAX(E6-H6,0))</f>
        <v/>
      </c>
      <c r="J6" s="21">
        <f>'03_Intangibles'!O6+0</f>
        <v/>
      </c>
      <c r="K6" s="21">
        <f>IF(C6="No",0,IF(I6="",J6,I6))</f>
        <v/>
      </c>
      <c r="L6" s="21">
        <f>K6-J6</f>
        <v/>
      </c>
    </row>
    <row r="7">
      <c r="A7" s="18" t="inlineStr">
        <is>
          <t>MAR-01</t>
        </is>
      </c>
      <c r="B7" s="18">
        <f>'05_Amortizacion'!B7</f>
        <v/>
      </c>
      <c r="C7" s="18">
        <f>'05_Amortizacion'!C7</f>
        <v/>
      </c>
      <c r="D7" s="18">
        <f>IF(C7="No","No aplica",IF('02_Parametros'!$B$7=1,"Solo si hay indicios (PYMES 27.7)",IF(B7="Goodwill","Anual (NIC 36.10 b y 36.90)",IF(OR('05_Amortizacion'!G7="",'03_Intangibles'!F7=""),"Anual (NIC 36.10 a)","Si hay indicios (NIC 36.9)"))))</f>
        <v/>
      </c>
      <c r="E7" s="20">
        <f>'05_Amortizacion'!D7-'05_Amortizacion'!N7-'03_Intangibles'!L7</f>
        <v/>
      </c>
      <c r="F7" s="20">
        <f>IF('03_Intangibles'!M7="","",'03_Intangibles'!M7)</f>
        <v/>
      </c>
      <c r="G7" s="20">
        <f>IF('03_Intangibles'!N7="","",'03_Intangibles'!N7)</f>
        <v/>
      </c>
      <c r="H7" s="20">
        <f>IF(AND(F7="",G7=""),"",MAX(F7,G7))</f>
        <v/>
      </c>
      <c r="I7" s="20">
        <f>IF(OR(H7="",C7="No"),"",MAX(E7-H7,0))</f>
        <v/>
      </c>
      <c r="J7" s="20">
        <f>'03_Intangibles'!O7+0</f>
        <v/>
      </c>
      <c r="K7" s="20">
        <f>IF(C7="No",0,IF(I7="",J7,I7))</f>
        <v/>
      </c>
      <c r="L7" s="20">
        <f>K7-J7</f>
        <v/>
      </c>
    </row>
    <row r="8">
      <c r="A8" s="19" t="inlineStr">
        <is>
          <t>GW-01</t>
        </is>
      </c>
      <c r="B8" s="19">
        <f>'05_Amortizacion'!B8</f>
        <v/>
      </c>
      <c r="C8" s="19">
        <f>'05_Amortizacion'!C8</f>
        <v/>
      </c>
      <c r="D8" s="19">
        <f>IF(C8="No","No aplica",IF('02_Parametros'!$B$7=1,"Solo si hay indicios (PYMES 27.7)",IF(B8="Goodwill","Anual (NIC 36.10 b y 36.90)",IF(OR('05_Amortizacion'!G8="",'03_Intangibles'!F8=""),"Anual (NIC 36.10 a)","Si hay indicios (NIC 36.9)"))))</f>
        <v/>
      </c>
      <c r="E8" s="21">
        <f>'05_Amortizacion'!D8-'05_Amortizacion'!N8-'03_Intangibles'!L8</f>
        <v/>
      </c>
      <c r="F8" s="21">
        <f>IF('03_Intangibles'!M8="","",'03_Intangibles'!M8)</f>
        <v/>
      </c>
      <c r="G8" s="21">
        <f>IF('03_Intangibles'!N8="","",'03_Intangibles'!N8)</f>
        <v/>
      </c>
      <c r="H8" s="21">
        <f>IF(AND(F8="",G8=""),"",MAX(F8,G8))</f>
        <v/>
      </c>
      <c r="I8" s="21">
        <f>IF(OR(H8="",C8="No"),"",MAX(E8-H8,0))</f>
        <v/>
      </c>
      <c r="J8" s="21">
        <f>'03_Intangibles'!O8+0</f>
        <v/>
      </c>
      <c r="K8" s="21">
        <f>IF(C8="No",0,IF(I8="",J8,I8))</f>
        <v/>
      </c>
      <c r="L8" s="21">
        <f>K8-J8</f>
        <v/>
      </c>
    </row>
    <row r="9">
      <c r="A9" s="18" t="inlineStr">
        <is>
          <t>INV-01</t>
        </is>
      </c>
      <c r="B9" s="18">
        <f>'05_Amortizacion'!B9</f>
        <v/>
      </c>
      <c r="C9" s="18">
        <f>'05_Amortizacion'!C9</f>
        <v/>
      </c>
      <c r="D9" s="18">
        <f>IF(C9="No","No aplica",IF('02_Parametros'!$B$7=1,"Solo si hay indicios (PYMES 27.7)",IF(B9="Goodwill","Anual (NIC 36.10 b y 36.90)",IF(OR('05_Amortizacion'!G9="",'03_Intangibles'!F9=""),"Anual (NIC 36.10 a)","Si hay indicios (NIC 36.9)"))))</f>
        <v/>
      </c>
      <c r="E9" s="20">
        <f>'05_Amortizacion'!D9-'05_Amortizacion'!N9-'03_Intangibles'!L9</f>
        <v/>
      </c>
      <c r="F9" s="20">
        <f>IF('03_Intangibles'!M9="","",'03_Intangibles'!M9)</f>
        <v/>
      </c>
      <c r="G9" s="20">
        <f>IF('03_Intangibles'!N9="","",'03_Intangibles'!N9)</f>
        <v/>
      </c>
      <c r="H9" s="20">
        <f>IF(AND(F9="",G9=""),"",MAX(F9,G9))</f>
        <v/>
      </c>
      <c r="I9" s="20">
        <f>IF(OR(H9="",C9="No"),"",MAX(E9-H9,0))</f>
        <v/>
      </c>
      <c r="J9" s="20">
        <f>'03_Intangibles'!O9+0</f>
        <v/>
      </c>
      <c r="K9" s="20">
        <f>IF(C9="No",0,IF(I9="",J9,I9))</f>
        <v/>
      </c>
      <c r="L9" s="20">
        <f>K9-J9</f>
        <v/>
      </c>
    </row>
    <row r="10">
      <c r="A10" s="19" t="inlineStr">
        <is>
          <t>DES-01</t>
        </is>
      </c>
      <c r="B10" s="19">
        <f>'05_Amortizacion'!B10</f>
        <v/>
      </c>
      <c r="C10" s="19">
        <f>'05_Amortizacion'!C10</f>
        <v/>
      </c>
      <c r="D10" s="19">
        <f>IF(C10="No","No aplica",IF('02_Parametros'!$B$7=1,"Solo si hay indicios (PYMES 27.7)",IF(B10="Goodwill","Anual (NIC 36.10 b y 36.90)",IF(OR('05_Amortizacion'!G10="",'03_Intangibles'!F10=""),"Anual (NIC 36.10 a)","Si hay indicios (NIC 36.9)"))))</f>
        <v/>
      </c>
      <c r="E10" s="21">
        <f>'05_Amortizacion'!D10-'05_Amortizacion'!N10-'03_Intangibles'!L10</f>
        <v/>
      </c>
      <c r="F10" s="21">
        <f>IF('03_Intangibles'!M10="","",'03_Intangibles'!M10)</f>
        <v/>
      </c>
      <c r="G10" s="21">
        <f>IF('03_Intangibles'!N10="","",'03_Intangibles'!N10)</f>
        <v/>
      </c>
      <c r="H10" s="21">
        <f>IF(AND(F10="",G10=""),"",MAX(F10,G10))</f>
        <v/>
      </c>
      <c r="I10" s="21">
        <f>IF(OR(H10="",C10="No"),"",MAX(E10-H10,0))</f>
        <v/>
      </c>
      <c r="J10" s="21">
        <f>'03_Intangibles'!O10+0</f>
        <v/>
      </c>
      <c r="K10" s="21">
        <f>IF(C10="No",0,IF(I10="",J10,I10))</f>
        <v/>
      </c>
      <c r="L10" s="21">
        <f>K10-J10</f>
        <v/>
      </c>
    </row>
    <row r="11">
      <c r="A11" s="18" t="inlineStr">
        <is>
          <t>DES-02</t>
        </is>
      </c>
      <c r="B11" s="18">
        <f>'05_Amortizacion'!B11</f>
        <v/>
      </c>
      <c r="C11" s="18">
        <f>'05_Amortizacion'!C11</f>
        <v/>
      </c>
      <c r="D11" s="18">
        <f>IF(C11="No","No aplica",IF('02_Parametros'!$B$7=1,"Solo si hay indicios (PYMES 27.7)",IF(B11="Goodwill","Anual (NIC 36.10 b y 36.90)",IF(OR('05_Amortizacion'!G11="",'03_Intangibles'!F11=""),"Anual (NIC 36.10 a)","Si hay indicios (NIC 36.9)"))))</f>
        <v/>
      </c>
      <c r="E11" s="20">
        <f>'05_Amortizacion'!D11-'05_Amortizacion'!N11-'03_Intangibles'!L11</f>
        <v/>
      </c>
      <c r="F11" s="20">
        <f>IF('03_Intangibles'!M11="","",'03_Intangibles'!M11)</f>
        <v/>
      </c>
      <c r="G11" s="20">
        <f>IF('03_Intangibles'!N11="","",'03_Intangibles'!N11)</f>
        <v/>
      </c>
      <c r="H11" s="20">
        <f>IF(AND(F11="",G11=""),"",MAX(F11,G11))</f>
        <v/>
      </c>
      <c r="I11" s="20">
        <f>IF(OR(H11="",C11="No"),"",MAX(E11-H11,0))</f>
        <v/>
      </c>
      <c r="J11" s="20">
        <f>'03_Intangibles'!O11+0</f>
        <v/>
      </c>
      <c r="K11" s="20">
        <f>IF(C11="No",0,IF(I11="",J11,I11))</f>
        <v/>
      </c>
      <c r="L11" s="20">
        <f>K11-J11</f>
        <v/>
      </c>
    </row>
    <row r="12">
      <c r="A12" s="19" t="inlineStr">
        <is>
          <t>DES-03</t>
        </is>
      </c>
      <c r="B12" s="19">
        <f>'05_Amortizacion'!B12</f>
        <v/>
      </c>
      <c r="C12" s="19">
        <f>'05_Amortizacion'!C12</f>
        <v/>
      </c>
      <c r="D12" s="19">
        <f>IF(C12="No","No aplica",IF('02_Parametros'!$B$7=1,"Solo si hay indicios (PYMES 27.7)",IF(B12="Goodwill","Anual (NIC 36.10 b y 36.90)",IF(OR('05_Amortizacion'!G12="",'03_Intangibles'!F12=""),"Anual (NIC 36.10 a)","Si hay indicios (NIC 36.9)"))))</f>
        <v/>
      </c>
      <c r="E12" s="21">
        <f>'05_Amortizacion'!D12-'05_Amortizacion'!N12-'03_Intangibles'!L12</f>
        <v/>
      </c>
      <c r="F12" s="21">
        <f>IF('03_Intangibles'!M12="","",'03_Intangibles'!M12)</f>
        <v/>
      </c>
      <c r="G12" s="21">
        <f>IF('03_Intangibles'!N12="","",'03_Intangibles'!N12)</f>
        <v/>
      </c>
      <c r="H12" s="21">
        <f>IF(AND(F12="",G12=""),"",MAX(F12,G12))</f>
        <v/>
      </c>
      <c r="I12" s="21">
        <f>IF(OR(H12="",C12="No"),"",MAX(E12-H12,0))</f>
        <v/>
      </c>
      <c r="J12" s="21">
        <f>'03_Intangibles'!O12+0</f>
        <v/>
      </c>
      <c r="K12" s="21">
        <f>IF(C12="No",0,IF(I12="",J12,I12))</f>
        <v/>
      </c>
      <c r="L12" s="21">
        <f>K12-J12</f>
        <v/>
      </c>
    </row>
    <row r="13">
      <c r="A13" s="18" t="inlineStr">
        <is>
          <t>PAT-01</t>
        </is>
      </c>
      <c r="B13" s="18">
        <f>'05_Amortizacion'!B13</f>
        <v/>
      </c>
      <c r="C13" s="18">
        <f>'05_Amortizacion'!C13</f>
        <v/>
      </c>
      <c r="D13" s="18">
        <f>IF(C13="No","No aplica",IF('02_Parametros'!$B$7=1,"Solo si hay indicios (PYMES 27.7)",IF(B13="Goodwill","Anual (NIC 36.10 b y 36.90)",IF(OR('05_Amortizacion'!G13="",'03_Intangibles'!F13=""),"Anual (NIC 36.10 a)","Si hay indicios (NIC 36.9)"))))</f>
        <v/>
      </c>
      <c r="E13" s="20">
        <f>'05_Amortizacion'!D13-'05_Amortizacion'!N13-'03_Intangibles'!L13</f>
        <v/>
      </c>
      <c r="F13" s="20">
        <f>IF('03_Intangibles'!M13="","",'03_Intangibles'!M13)</f>
        <v/>
      </c>
      <c r="G13" s="20">
        <f>IF('03_Intangibles'!N13="","",'03_Intangibles'!N13)</f>
        <v/>
      </c>
      <c r="H13" s="20">
        <f>IF(AND(F13="",G13=""),"",MAX(F13,G13))</f>
        <v/>
      </c>
      <c r="I13" s="20">
        <f>IF(OR(H13="",C13="No"),"",MAX(E13-H13,0))</f>
        <v/>
      </c>
      <c r="J13" s="20">
        <f>'03_Intangibles'!O13+0</f>
        <v/>
      </c>
      <c r="K13" s="20">
        <f>IF(C13="No",0,IF(I13="",J13,I13))</f>
        <v/>
      </c>
      <c r="L13" s="20">
        <f>K13-J13</f>
        <v/>
      </c>
    </row>
    <row r="14">
      <c r="A14" s="19" t="inlineStr">
        <is>
          <t>SW-02</t>
        </is>
      </c>
      <c r="B14" s="19">
        <f>'05_Amortizacion'!B14</f>
        <v/>
      </c>
      <c r="C14" s="19">
        <f>'05_Amortizacion'!C14</f>
        <v/>
      </c>
      <c r="D14" s="19">
        <f>IF(C14="No","No aplica",IF('02_Parametros'!$B$7=1,"Solo si hay indicios (PYMES 27.7)",IF(B14="Goodwill","Anual (NIC 36.10 b y 36.90)",IF(OR('05_Amortizacion'!G14="",'03_Intangibles'!F14=""),"Anual (NIC 36.10 a)","Si hay indicios (NIC 36.9)"))))</f>
        <v/>
      </c>
      <c r="E14" s="21">
        <f>'05_Amortizacion'!D14-'05_Amortizacion'!N14-'03_Intangibles'!L14</f>
        <v/>
      </c>
      <c r="F14" s="21">
        <f>IF('03_Intangibles'!M14="","",'03_Intangibles'!M14)</f>
        <v/>
      </c>
      <c r="G14" s="21">
        <f>IF('03_Intangibles'!N14="","",'03_Intangibles'!N14)</f>
        <v/>
      </c>
      <c r="H14" s="21">
        <f>IF(AND(F14="",G14=""),"",MAX(F14,G14))</f>
        <v/>
      </c>
      <c r="I14" s="21">
        <f>IF(OR(H14="",C14="No"),"",MAX(E14-H14,0))</f>
        <v/>
      </c>
      <c r="J14" s="21">
        <f>'03_Intangibles'!O14+0</f>
        <v/>
      </c>
      <c r="K14" s="21">
        <f>IF(C14="No",0,IF(I14="",J14,I14))</f>
        <v/>
      </c>
      <c r="L14" s="21">
        <f>K14-J14</f>
        <v/>
      </c>
    </row>
    <row r="15">
      <c r="A15" s="18" t="inlineStr">
        <is>
          <t>SW-03</t>
        </is>
      </c>
      <c r="B15" s="18">
        <f>'05_Amortizacion'!B15</f>
        <v/>
      </c>
      <c r="C15" s="18">
        <f>'05_Amortizacion'!C15</f>
        <v/>
      </c>
      <c r="D15" s="18">
        <f>IF(C15="No","No aplica",IF('02_Parametros'!$B$7=1,"Solo si hay indicios (PYMES 27.7)",IF(B15="Goodwill","Anual (NIC 36.10 b y 36.90)",IF(OR('05_Amortizacion'!G15="",'03_Intangibles'!F15=""),"Anual (NIC 36.10 a)","Si hay indicios (NIC 36.9)"))))</f>
        <v/>
      </c>
      <c r="E15" s="20">
        <f>'05_Amortizacion'!D15-'05_Amortizacion'!N15-'03_Intangibles'!L15</f>
        <v/>
      </c>
      <c r="F15" s="20">
        <f>IF('03_Intangibles'!M15="","",'03_Intangibles'!M15)</f>
        <v/>
      </c>
      <c r="G15" s="20">
        <f>IF('03_Intangibles'!N15="","",'03_Intangibles'!N15)</f>
        <v/>
      </c>
      <c r="H15" s="20">
        <f>IF(AND(F15="",G15=""),"",MAX(F15,G15))</f>
        <v/>
      </c>
      <c r="I15" s="20">
        <f>IF(OR(H15="",C15="No"),"",MAX(E15-H15,0))</f>
        <v/>
      </c>
      <c r="J15" s="20">
        <f>'03_Intangibles'!O15+0</f>
        <v/>
      </c>
      <c r="K15" s="20">
        <f>IF(C15="No",0,IF(I15="",J15,I15))</f>
        <v/>
      </c>
      <c r="L15" s="20">
        <f>K15-J15</f>
        <v/>
      </c>
    </row>
    <row r="16">
      <c r="A16" s="19" t="inlineStr">
        <is>
          <t>CON-01</t>
        </is>
      </c>
      <c r="B16" s="19">
        <f>'05_Amortizacion'!B16</f>
        <v/>
      </c>
      <c r="C16" s="19">
        <f>'05_Amortizacion'!C16</f>
        <v/>
      </c>
      <c r="D16" s="19">
        <f>IF(C16="No","No aplica",IF('02_Parametros'!$B$7=1,"Solo si hay indicios (PYMES 27.7)",IF(B16="Goodwill","Anual (NIC 36.10 b y 36.90)",IF(OR('05_Amortizacion'!G16="",'03_Intangibles'!F16=""),"Anual (NIC 36.10 a)","Si hay indicios (NIC 36.9)"))))</f>
        <v/>
      </c>
      <c r="E16" s="21">
        <f>'05_Amortizacion'!D16-'05_Amortizacion'!N16-'03_Intangibles'!L16</f>
        <v/>
      </c>
      <c r="F16" s="21">
        <f>IF('03_Intangibles'!M16="","",'03_Intangibles'!M16)</f>
        <v/>
      </c>
      <c r="G16" s="21">
        <f>IF('03_Intangibles'!N16="","",'03_Intangibles'!N16)</f>
        <v/>
      </c>
      <c r="H16" s="21">
        <f>IF(AND(F16="",G16=""),"",MAX(F16,G16))</f>
        <v/>
      </c>
      <c r="I16" s="21">
        <f>IF(OR(H16="",C16="No"),"",MAX(E16-H16,0))</f>
        <v/>
      </c>
      <c r="J16" s="21">
        <f>'03_Intangibles'!O16+0</f>
        <v/>
      </c>
      <c r="K16" s="21">
        <f>IF(C16="No",0,IF(I16="",J16,I16))</f>
        <v/>
      </c>
      <c r="L16" s="21">
        <f>K16-J16</f>
        <v/>
      </c>
    </row>
    <row r="17">
      <c r="A17" s="18" t="inlineStr">
        <is>
          <t>CON-02</t>
        </is>
      </c>
      <c r="B17" s="18">
        <f>'05_Amortizacion'!B17</f>
        <v/>
      </c>
      <c r="C17" s="18">
        <f>'05_Amortizacion'!C17</f>
        <v/>
      </c>
      <c r="D17" s="18">
        <f>IF(C17="No","No aplica",IF('02_Parametros'!$B$7=1,"Solo si hay indicios (PYMES 27.7)",IF(B17="Goodwill","Anual (NIC 36.10 b y 36.90)",IF(OR('05_Amortizacion'!G17="",'03_Intangibles'!F17=""),"Anual (NIC 36.10 a)","Si hay indicios (NIC 36.9)"))))</f>
        <v/>
      </c>
      <c r="E17" s="20">
        <f>'05_Amortizacion'!D17-'05_Amortizacion'!N17-'03_Intangibles'!L17</f>
        <v/>
      </c>
      <c r="F17" s="20">
        <f>IF('03_Intangibles'!M17="","",'03_Intangibles'!M17)</f>
        <v/>
      </c>
      <c r="G17" s="20">
        <f>IF('03_Intangibles'!N17="","",'03_Intangibles'!N17)</f>
        <v/>
      </c>
      <c r="H17" s="20">
        <f>IF(AND(F17="",G17=""),"",MAX(F17,G17))</f>
        <v/>
      </c>
      <c r="I17" s="20">
        <f>IF(OR(H17="",C17="No"),"",MAX(E17-H17,0))</f>
        <v/>
      </c>
      <c r="J17" s="20">
        <f>'03_Intangibles'!O17+0</f>
        <v/>
      </c>
      <c r="K17" s="20">
        <f>IF(C17="No",0,IF(I17="",J17,I17))</f>
        <v/>
      </c>
      <c r="L17" s="20">
        <f>K17-J17</f>
        <v/>
      </c>
    </row>
    <row r="18">
      <c r="A18" s="35" t="inlineStr">
        <is>
          <t>TOTAL</t>
        </is>
      </c>
      <c r="B18" s="35" t="inlineStr"/>
      <c r="C18" s="35" t="inlineStr"/>
      <c r="D18" s="35" t="inlineStr"/>
      <c r="E18" s="37" t="n"/>
      <c r="F18" s="37" t="n"/>
      <c r="G18" s="37" t="n"/>
      <c r="H18" s="37" t="n"/>
      <c r="I18" s="37" t="n"/>
      <c r="J18" s="37">
        <f>SUM(J5:J17)</f>
        <v/>
      </c>
      <c r="K18" s="37">
        <f>SUM(K5:K17)</f>
        <v/>
      </c>
      <c r="L18" s="37">
        <f>SUM(L5:L17)</f>
        <v/>
      </c>
    </row>
    <row r="20">
      <c r="A20" s="22" t="inlineStr">
        <is>
          <t>ⓘ  Cómo se calcula esta hoja</t>
        </is>
      </c>
    </row>
    <row r="21">
      <c r="A21" s="23" t="inlineStr">
        <is>
          <t>Columna</t>
        </is>
      </c>
      <c r="B21" s="23" t="inlineStr">
        <is>
          <t>Fórmula (Excel)</t>
        </is>
      </c>
      <c r="C21" s="23" t="inlineStr">
        <is>
          <t>Cómo se calcula (sencillo)</t>
        </is>
      </c>
      <c r="D21" s="23" t="inlineStr">
        <is>
          <t>Ejemplo con números reales</t>
        </is>
      </c>
      <c r="E21" s="23" t="inlineStr">
        <is>
          <t>De dónde viene</t>
        </is>
      </c>
      <c r="F21" s="23" t="inlineStr">
        <is>
          <t>Norma</t>
        </is>
      </c>
    </row>
    <row r="22">
      <c r="A22" s="24" t="inlineStr">
        <is>
          <t>Categoría</t>
        </is>
      </c>
      <c r="B22" s="25" t="inlineStr">
        <is>
          <t>'='05_Amortizacion'!B5</t>
        </is>
      </c>
      <c r="C22" s="24" t="inlineStr">
        <is>
          <t>Trae la categoría de la partida desde la hoja 05 (Amortización y vida finita / indefinida) para esta prueba.</t>
        </is>
      </c>
      <c r="D22" s="24" t="inlineStr">
        <is>
          <t>Fila 1: «Otro» → Otro</t>
        </is>
      </c>
      <c r="E22" s="24" t="inlineStr">
        <is>
          <t>hoja «Amortización y vida finita / indefinida»</t>
        </is>
      </c>
      <c r="F22" s="24" t="inlineStr">
        <is>
          <t>—</t>
        </is>
      </c>
    </row>
    <row r="23">
      <c r="A23" s="24" t="inlineStr">
        <is>
          <t>Capitalizable</t>
        </is>
      </c>
      <c r="B23" s="25" t="inlineStr">
        <is>
          <t>'='05_Amortizacion'!C5</t>
        </is>
      </c>
      <c r="C23" s="24" t="inlineStr">
        <is>
          <t>Trae de la hoja 05 (Amortización) si la partida sigue en el activo; solo las capitalizables se prueban por deterioro.</t>
        </is>
      </c>
      <c r="D23" s="24" t="inlineStr">
        <is>
          <t>Fila 1: «Sí» → Sí</t>
        </is>
      </c>
      <c r="E23" s="24" t="inlineStr">
        <is>
          <t>hoja «Amortización y vida finita / indefinida»</t>
        </is>
      </c>
      <c r="F23" s="24" t="inlineStr">
        <is>
          <t>—</t>
        </is>
      </c>
    </row>
    <row r="24">
      <c r="A24" s="24" t="inlineStr">
        <is>
          <t>Prueba exigida</t>
        </is>
      </c>
      <c r="B24" s="25" t="inlineStr">
        <is>
          <t>'=IF(C5="No","No aplica",IF('02_Parametros'!$B$7=1,"Solo si hay indicios (PYMES 27.7)",IF(B5="Goodwill","Anual (NIC 36.10 b y 36.90)",IF(OR('05_Amortizacion'!G5="",'03_Intangibles'!F5=""),"Anual (NIC 36.10 a)","Si hay indicios (NIC 36.9)"))))</t>
        </is>
      </c>
      <c r="C24" s="24" t="inlineStr">
        <is>
          <t>Indica cuándo se exige la prueba: no aplica si no es capitalizable; en PYMES solo con indicios; anual para el goodwill y para partidas sin vida aplicada o sin fecha de uso; en las demás, solo si hay indicios.</t>
        </is>
      </c>
      <c r="D24" s="24" t="inlineStr">
        <is>
          <t>Fila 1: IF(«Sí»="No"; "No aplica"; IF(0,00=1; "Solo si hay indicios (PYMES 27.7)"; IF(«Otro»="Goodwill"; "Anual (NIC 36.10 b y 36.90)"; IF(OR(60=""; «2023-01-01»=""); "Anual (NIC 36.10 a)"; "Si hay indicios (NIC 36.9)")))) → Si hay indicios (NIC 36.9)</t>
        </is>
      </c>
      <c r="E24" s="24" t="inlineStr">
        <is>
          <t>«Capitalizable» (esta hoja), «Categoría» (esta hoja), hoja «Parámetros», hoja «Amortización y vida finita / indefinida», hoja «Auxiliar de intangibles y goodwill»</t>
        </is>
      </c>
      <c r="F24" s="24" t="inlineStr">
        <is>
          <t>—</t>
        </is>
      </c>
    </row>
    <row r="25">
      <c r="A25" s="24" t="inlineStr">
        <is>
          <t>Importe en libros antes del deterioro</t>
        </is>
      </c>
      <c r="B25" s="25" t="inlineStr">
        <is>
          <t>'='05_Amortizacion'!D5-'05_Amortizacion'!N5-'03_Intangibles'!L5</t>
        </is>
      </c>
      <c r="C25" s="24" t="inlineStr">
        <is>
          <t>Parte del costo auditado de la hoja 05 (Amortización), resta la amortización acumulada recalculada y el deterioro previo de la hoja 03 (Auxiliar de intangibles y goodwill).</t>
        </is>
      </c>
      <c r="D25" s="24" t="inlineStr">
        <is>
          <t>Fila 1: 60.000,00-36.000,00-(vacío) → 24.000,00</t>
        </is>
      </c>
      <c r="E25" s="24" t="inlineStr">
        <is>
          <t>hoja «Amortización y vida finita / indefinida», hoja «Auxiliar de intangibles y goodwill»</t>
        </is>
      </c>
      <c r="F25" s="24" t="inlineStr">
        <is>
          <t>—</t>
        </is>
      </c>
    </row>
    <row r="26">
      <c r="A26" s="24" t="inlineStr">
        <is>
          <t>Valor en uso</t>
        </is>
      </c>
      <c r="B26" s="25" t="inlineStr">
        <is>
          <t>'=IF('03_Intangibles'!M5="","",'03_Intangibles'!M5)</t>
        </is>
      </c>
      <c r="C26" s="24" t="inlineStr">
        <is>
          <t>Trae el valor en uso que informó el cliente en la hoja 03 (Auxiliar de intangibles y goodwill); si no lo informó, queda en blanco.</t>
        </is>
      </c>
      <c r="D26" s="24" t="inlineStr">
        <is>
          <t>Fila 1: IF((vacío)=""; ""; (vacío)) → (en blanco)</t>
        </is>
      </c>
      <c r="E26" s="24" t="inlineStr">
        <is>
          <t>hoja «Auxiliar de intangibles y goodwill»</t>
        </is>
      </c>
      <c r="F26" s="24" t="inlineStr">
        <is>
          <t>—</t>
        </is>
      </c>
    </row>
    <row r="27">
      <c r="A27" s="24" t="inlineStr">
        <is>
          <t>VR menos costos de disposición</t>
        </is>
      </c>
      <c r="B27" s="25" t="inlineStr">
        <is>
          <t>'=IF('03_Intangibles'!N5="","",'03_Intangibles'!N5)</t>
        </is>
      </c>
      <c r="C27" s="24" t="inlineStr">
        <is>
          <t>Trae el valor razonable menos costos de disposición informado en la hoja 03 (Auxiliar de intangibles y goodwill); en blanco si falta.</t>
        </is>
      </c>
      <c r="D27" s="24" t="inlineStr">
        <is>
          <t>Fila 1: IF((vacío)=""; ""; (vacío)) → (en blanco)</t>
        </is>
      </c>
      <c r="E27" s="24" t="inlineStr">
        <is>
          <t>hoja «Auxiliar de intangibles y goodwill»</t>
        </is>
      </c>
      <c r="F27" s="24" t="inlineStr">
        <is>
          <t>—</t>
        </is>
      </c>
    </row>
    <row r="28">
      <c r="A28" s="24" t="inlineStr">
        <is>
          <t>Importe recuperable</t>
        </is>
      </c>
      <c r="B28" s="25" t="inlineStr">
        <is>
          <t>'=IF(AND(F5="",G5=""),"",MAX(F5,G5))</t>
        </is>
      </c>
      <c r="C28" s="24" t="inlineStr">
        <is>
          <t>Toma el mayor entre el valor en uso y el valor razonable menos costos de disposición; si faltan ambos, queda en blanco.</t>
        </is>
      </c>
      <c r="D28" s="24" t="inlineStr">
        <is>
          <t>Fila 1: IF(AND((vacío)=""; (vacío)=""); ""; MAX((vacío); (vacío))) → (en blanco)</t>
        </is>
      </c>
      <c r="E28" s="24" t="inlineStr">
        <is>
          <t>«Valor en uso» (esta hoja), «VR menos costos de disposición» (esta hoja)</t>
        </is>
      </c>
      <c r="F28" s="24" t="inlineStr">
        <is>
          <t>—</t>
        </is>
      </c>
    </row>
    <row r="29">
      <c r="A29" s="24" t="inlineStr">
        <is>
          <t>Deterioro calculado</t>
        </is>
      </c>
      <c r="B29" s="25" t="inlineStr">
        <is>
          <t>'=IF(OR(H5="",C5="No"),"",MAX(E5-H5,0))</t>
        </is>
      </c>
      <c r="C29" s="24" t="inlineStr">
        <is>
          <t>Si el importe en libros supera al recuperable, la diferencia es el deterioro (si no, cero). Queda en blanco cuando no hay importe recuperable o la partida no es capitalizable.</t>
        </is>
      </c>
      <c r="D29" s="24" t="inlineStr">
        <is>
          <t>Fila 1: IF(OR((vacío)=""; «Sí»="No"); ""; MAX(24.000,00-(vacío); 0)) → (en blanco)</t>
        </is>
      </c>
      <c r="E29" s="24" t="inlineStr">
        <is>
          <t>«Importe recuperable» (esta hoja), «Capitalizable» (esta hoja), «Importe en libros antes del deterioro» (esta hoja)</t>
        </is>
      </c>
      <c r="F29" s="24" t="inlineStr">
        <is>
          <t>—</t>
        </is>
      </c>
    </row>
    <row r="30">
      <c r="A30" s="24" t="inlineStr">
        <is>
          <t>Deterioro registrado</t>
        </is>
      </c>
      <c r="B30" s="25" t="inlineStr">
        <is>
          <t>'='03_Intangibles'!O5+0</t>
        </is>
      </c>
      <c r="C30" s="24" t="inlineStr">
        <is>
          <t>Trae el deterioro del año que registró el cliente en la hoja 03 (Auxiliar de intangibles y goodwill) (cero si está en blanco).</t>
        </is>
      </c>
      <c r="D30" s="24" t="inlineStr">
        <is>
          <t>Fila 1: (vacío)+0 → 0,00</t>
        </is>
      </c>
      <c r="E30" s="24" t="inlineStr">
        <is>
          <t>hoja «Auxiliar de intangibles y goodwill»</t>
        </is>
      </c>
      <c r="F30" s="24" t="inlineStr">
        <is>
          <t>—</t>
        </is>
      </c>
    </row>
    <row r="31">
      <c r="A31" s="24" t="inlineStr">
        <is>
          <t>Deterioro auditado</t>
        </is>
      </c>
      <c r="B31" s="25" t="inlineStr">
        <is>
          <t>'=IF(C5="No",0,IF(I5="",J5,I5))</t>
        </is>
      </c>
      <c r="C31" s="24" t="inlineStr">
        <is>
          <t>Usa el deterioro calculado; si no se pudo calcular (sin importe recuperable), acepta el registrado por el cliente. En partidas no capitalizables es cero.</t>
        </is>
      </c>
      <c r="D31" s="24" t="inlineStr">
        <is>
          <t>Fila 1: IF(«Sí»="No"; 0; IF((vacío)=""; 0,00; (vacío))) → 0,00</t>
        </is>
      </c>
      <c r="E31" s="24" t="inlineStr">
        <is>
          <t>«Capitalizable» (esta hoja), «Deterioro calculado» (esta hoja), «Deterioro registrado» (esta hoja)</t>
        </is>
      </c>
      <c r="F31" s="24" t="inlineStr">
        <is>
          <t>—</t>
        </is>
      </c>
    </row>
    <row r="32">
      <c r="A32" s="24" t="inlineStr">
        <is>
          <t>Diferencia</t>
        </is>
      </c>
      <c r="B32" s="25" t="inlineStr">
        <is>
          <t>'=K5-J5</t>
        </is>
      </c>
      <c r="C32" s="24" t="inlineStr">
        <is>
          <t>Resta el deterioro registrado por el cliente al deterioro auditado: lo que falta (positivo) o sobra (negativo) registrar.</t>
        </is>
      </c>
      <c r="D32" s="24" t="inlineStr">
        <is>
          <t>Fila 1: 0,00-0,00 → 0,00</t>
        </is>
      </c>
      <c r="E32" s="24" t="inlineStr">
        <is>
          <t>«Deterioro auditado» (esta hoja), «Deterioro registrado» (esta hoja)</t>
        </is>
      </c>
      <c r="F32" s="24" t="inlineStr">
        <is>
          <t>—</t>
        </is>
      </c>
    </row>
  </sheetData>
  <mergeCells count="3">
    <mergeCell ref="A20:F20"/>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K31"/>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28" customWidth="1" min="3" max="3"/>
    <col width="22" customWidth="1" min="4" max="4"/>
    <col width="19" customWidth="1" min="5" max="5"/>
    <col width="21" customWidth="1" min="6" max="6"/>
    <col width="21" customWidth="1" min="7" max="7"/>
    <col width="22" customWidth="1" min="8" max="8"/>
    <col width="20" customWidth="1" min="9" max="9"/>
    <col width="12" customWidth="1" min="10" max="10"/>
    <col width="54" customWidth="1" min="11" max="11"/>
  </cols>
  <sheetData>
    <row r="1">
      <c r="A1" s="3" t="inlineStr">
        <is>
          <t>Reversión del deterioro</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c r="G2" s="16" t="n"/>
      <c r="H2" s="16" t="n"/>
      <c r="I2" s="16" t="n"/>
      <c r="J2" s="16" t="n"/>
      <c r="K2" s="16" t="n"/>
    </row>
    <row r="4" ht="30" customHeight="1">
      <c r="A4" s="17" t="inlineStr">
        <is>
          <t>Código</t>
        </is>
      </c>
      <c r="B4" s="17" t="inlineStr">
        <is>
          <t>Categoría</t>
        </is>
      </c>
      <c r="C4" s="17" t="inlineStr">
        <is>
          <t>Deterioro acumulado previo</t>
        </is>
      </c>
      <c r="D4" s="17" t="inlineStr">
        <is>
          <t>Indicio de reversión</t>
        </is>
      </c>
      <c r="E4" s="17" t="inlineStr">
        <is>
          <t>Importe en libros</t>
        </is>
      </c>
      <c r="F4" s="17" t="inlineStr">
        <is>
          <t>Importe recuperable</t>
        </is>
      </c>
      <c r="G4" s="17" t="inlineStr">
        <is>
          <t>Reversión calculada</t>
        </is>
      </c>
      <c r="H4" s="17" t="inlineStr">
        <is>
          <t>Reversión registrada</t>
        </is>
      </c>
      <c r="I4" s="17" t="inlineStr">
        <is>
          <t>Reversión auditada</t>
        </is>
      </c>
      <c r="J4" s="17" t="inlineStr">
        <is>
          <t>Diferencia</t>
        </is>
      </c>
      <c r="K4" s="17" t="inlineStr">
        <is>
          <t>Límite: importe en libros sin deterioro (NIC 36.117)</t>
        </is>
      </c>
    </row>
    <row r="5">
      <c r="A5" s="18" t="inlineStr">
        <is>
          <t>SW-01</t>
        </is>
      </c>
      <c r="B5" s="18">
        <f>'05_Amortizacion'!B5</f>
        <v/>
      </c>
      <c r="C5" s="20">
        <f>'03_Intangibles'!L5+0</f>
        <v/>
      </c>
      <c r="D5" s="18">
        <f>'03_Intangibles'!P5&amp;""</f>
        <v/>
      </c>
      <c r="E5" s="20">
        <f>'07_Deterioro'!E5</f>
        <v/>
      </c>
      <c r="F5" s="20">
        <f>IF('07_Deterioro'!H5="","",'07_Deterioro'!H5)</f>
        <v/>
      </c>
      <c r="G5" s="20">
        <f>IF(OR(B5="Goodwill",'05_Amortizacion'!C5="No",C5=0,LEFT(D5,1)&lt;&gt;"S"),0,IF(F5="","",MAX(0,MIN(F5-E5,C5))))</f>
        <v/>
      </c>
      <c r="H5" s="20">
        <f>'03_Intangibles'!Q5+0</f>
        <v/>
      </c>
      <c r="I5" s="20">
        <f>IF(G5="",H5,G5)</f>
        <v/>
      </c>
      <c r="J5" s="20">
        <f>I5-H5</f>
        <v/>
      </c>
      <c r="K5" s="20">
        <f>E5+C5</f>
        <v/>
      </c>
    </row>
    <row r="6">
      <c r="A6" s="19" t="inlineStr">
        <is>
          <t>LIC-01</t>
        </is>
      </c>
      <c r="B6" s="19">
        <f>'05_Amortizacion'!B6</f>
        <v/>
      </c>
      <c r="C6" s="21">
        <f>'03_Intangibles'!L6+0</f>
        <v/>
      </c>
      <c r="D6" s="19">
        <f>'03_Intangibles'!P6&amp;""</f>
        <v/>
      </c>
      <c r="E6" s="21">
        <f>'07_Deterioro'!E6</f>
        <v/>
      </c>
      <c r="F6" s="21">
        <f>IF('07_Deterioro'!H6="","",'07_Deterioro'!H6)</f>
        <v/>
      </c>
      <c r="G6" s="21">
        <f>IF(OR(B6="Goodwill",'05_Amortizacion'!C6="No",C6=0,LEFT(D6,1)&lt;&gt;"S"),0,IF(F6="","",MAX(0,MIN(F6-E6,C6))))</f>
        <v/>
      </c>
      <c r="H6" s="21">
        <f>'03_Intangibles'!Q6+0</f>
        <v/>
      </c>
      <c r="I6" s="21">
        <f>IF(G6="",H6,G6)</f>
        <v/>
      </c>
      <c r="J6" s="21">
        <f>I6-H6</f>
        <v/>
      </c>
      <c r="K6" s="21">
        <f>E6+C6</f>
        <v/>
      </c>
    </row>
    <row r="7">
      <c r="A7" s="18" t="inlineStr">
        <is>
          <t>MAR-01</t>
        </is>
      </c>
      <c r="B7" s="18">
        <f>'05_Amortizacion'!B7</f>
        <v/>
      </c>
      <c r="C7" s="20">
        <f>'03_Intangibles'!L7+0</f>
        <v/>
      </c>
      <c r="D7" s="18">
        <f>'03_Intangibles'!P7&amp;""</f>
        <v/>
      </c>
      <c r="E7" s="20">
        <f>'07_Deterioro'!E7</f>
        <v/>
      </c>
      <c r="F7" s="20">
        <f>IF('07_Deterioro'!H7="","",'07_Deterioro'!H7)</f>
        <v/>
      </c>
      <c r="G7" s="20">
        <f>IF(OR(B7="Goodwill",'05_Amortizacion'!C7="No",C7=0,LEFT(D7,1)&lt;&gt;"S"),0,IF(F7="","",MAX(0,MIN(F7-E7,C7))))</f>
        <v/>
      </c>
      <c r="H7" s="20">
        <f>'03_Intangibles'!Q7+0</f>
        <v/>
      </c>
      <c r="I7" s="20">
        <f>IF(G7="",H7,G7)</f>
        <v/>
      </c>
      <c r="J7" s="20">
        <f>I7-H7</f>
        <v/>
      </c>
      <c r="K7" s="20">
        <f>E7+C7</f>
        <v/>
      </c>
    </row>
    <row r="8">
      <c r="A8" s="19" t="inlineStr">
        <is>
          <t>GW-01</t>
        </is>
      </c>
      <c r="B8" s="19">
        <f>'05_Amortizacion'!B8</f>
        <v/>
      </c>
      <c r="C8" s="21">
        <f>'03_Intangibles'!L8+0</f>
        <v/>
      </c>
      <c r="D8" s="19">
        <f>'03_Intangibles'!P8&amp;""</f>
        <v/>
      </c>
      <c r="E8" s="21">
        <f>'07_Deterioro'!E8</f>
        <v/>
      </c>
      <c r="F8" s="21">
        <f>IF('07_Deterioro'!H8="","",'07_Deterioro'!H8)</f>
        <v/>
      </c>
      <c r="G8" s="21">
        <f>IF(OR(B8="Goodwill",'05_Amortizacion'!C8="No",C8=0,LEFT(D8,1)&lt;&gt;"S"),0,IF(F8="","",MAX(0,MIN(F8-E8,C8))))</f>
        <v/>
      </c>
      <c r="H8" s="21">
        <f>'03_Intangibles'!Q8+0</f>
        <v/>
      </c>
      <c r="I8" s="21">
        <f>IF(G8="",H8,G8)</f>
        <v/>
      </c>
      <c r="J8" s="21">
        <f>I8-H8</f>
        <v/>
      </c>
      <c r="K8" s="21">
        <f>E8+C8</f>
        <v/>
      </c>
    </row>
    <row r="9">
      <c r="A9" s="18" t="inlineStr">
        <is>
          <t>INV-01</t>
        </is>
      </c>
      <c r="B9" s="18">
        <f>'05_Amortizacion'!B9</f>
        <v/>
      </c>
      <c r="C9" s="20">
        <f>'03_Intangibles'!L9+0</f>
        <v/>
      </c>
      <c r="D9" s="18">
        <f>'03_Intangibles'!P9&amp;""</f>
        <v/>
      </c>
      <c r="E9" s="20">
        <f>'07_Deterioro'!E9</f>
        <v/>
      </c>
      <c r="F9" s="20">
        <f>IF('07_Deterioro'!H9="","",'07_Deterioro'!H9)</f>
        <v/>
      </c>
      <c r="G9" s="20">
        <f>IF(OR(B9="Goodwill",'05_Amortizacion'!C9="No",C9=0,LEFT(D9,1)&lt;&gt;"S"),0,IF(F9="","",MAX(0,MIN(F9-E9,C9))))</f>
        <v/>
      </c>
      <c r="H9" s="20">
        <f>'03_Intangibles'!Q9+0</f>
        <v/>
      </c>
      <c r="I9" s="20">
        <f>IF(G9="",H9,G9)</f>
        <v/>
      </c>
      <c r="J9" s="20">
        <f>I9-H9</f>
        <v/>
      </c>
      <c r="K9" s="20">
        <f>E9+C9</f>
        <v/>
      </c>
    </row>
    <row r="10">
      <c r="A10" s="19" t="inlineStr">
        <is>
          <t>DES-01</t>
        </is>
      </c>
      <c r="B10" s="19">
        <f>'05_Amortizacion'!B10</f>
        <v/>
      </c>
      <c r="C10" s="21">
        <f>'03_Intangibles'!L10+0</f>
        <v/>
      </c>
      <c r="D10" s="19">
        <f>'03_Intangibles'!P10&amp;""</f>
        <v/>
      </c>
      <c r="E10" s="21">
        <f>'07_Deterioro'!E10</f>
        <v/>
      </c>
      <c r="F10" s="21">
        <f>IF('07_Deterioro'!H10="","",'07_Deterioro'!H10)</f>
        <v/>
      </c>
      <c r="G10" s="21">
        <f>IF(OR(B10="Goodwill",'05_Amortizacion'!C10="No",C10=0,LEFT(D10,1)&lt;&gt;"S"),0,IF(F10="","",MAX(0,MIN(F10-E10,C10))))</f>
        <v/>
      </c>
      <c r="H10" s="21">
        <f>'03_Intangibles'!Q10+0</f>
        <v/>
      </c>
      <c r="I10" s="21">
        <f>IF(G10="",H10,G10)</f>
        <v/>
      </c>
      <c r="J10" s="21">
        <f>I10-H10</f>
        <v/>
      </c>
      <c r="K10" s="21">
        <f>E10+C10</f>
        <v/>
      </c>
    </row>
    <row r="11">
      <c r="A11" s="18" t="inlineStr">
        <is>
          <t>DES-02</t>
        </is>
      </c>
      <c r="B11" s="18">
        <f>'05_Amortizacion'!B11</f>
        <v/>
      </c>
      <c r="C11" s="20">
        <f>'03_Intangibles'!L11+0</f>
        <v/>
      </c>
      <c r="D11" s="18">
        <f>'03_Intangibles'!P11&amp;""</f>
        <v/>
      </c>
      <c r="E11" s="20">
        <f>'07_Deterioro'!E11</f>
        <v/>
      </c>
      <c r="F11" s="20">
        <f>IF('07_Deterioro'!H11="","",'07_Deterioro'!H11)</f>
        <v/>
      </c>
      <c r="G11" s="20">
        <f>IF(OR(B11="Goodwill",'05_Amortizacion'!C11="No",C11=0,LEFT(D11,1)&lt;&gt;"S"),0,IF(F11="","",MAX(0,MIN(F11-E11,C11))))</f>
        <v/>
      </c>
      <c r="H11" s="20">
        <f>'03_Intangibles'!Q11+0</f>
        <v/>
      </c>
      <c r="I11" s="20">
        <f>IF(G11="",H11,G11)</f>
        <v/>
      </c>
      <c r="J11" s="20">
        <f>I11-H11</f>
        <v/>
      </c>
      <c r="K11" s="20">
        <f>E11+C11</f>
        <v/>
      </c>
    </row>
    <row r="12">
      <c r="A12" s="19" t="inlineStr">
        <is>
          <t>DES-03</t>
        </is>
      </c>
      <c r="B12" s="19">
        <f>'05_Amortizacion'!B12</f>
        <v/>
      </c>
      <c r="C12" s="21">
        <f>'03_Intangibles'!L12+0</f>
        <v/>
      </c>
      <c r="D12" s="19">
        <f>'03_Intangibles'!P12&amp;""</f>
        <v/>
      </c>
      <c r="E12" s="21">
        <f>'07_Deterioro'!E12</f>
        <v/>
      </c>
      <c r="F12" s="21">
        <f>IF('07_Deterioro'!H12="","",'07_Deterioro'!H12)</f>
        <v/>
      </c>
      <c r="G12" s="21">
        <f>IF(OR(B12="Goodwill",'05_Amortizacion'!C12="No",C12=0,LEFT(D12,1)&lt;&gt;"S"),0,IF(F12="","",MAX(0,MIN(F12-E12,C12))))</f>
        <v/>
      </c>
      <c r="H12" s="21">
        <f>'03_Intangibles'!Q12+0</f>
        <v/>
      </c>
      <c r="I12" s="21">
        <f>IF(G12="",H12,G12)</f>
        <v/>
      </c>
      <c r="J12" s="21">
        <f>I12-H12</f>
        <v/>
      </c>
      <c r="K12" s="21">
        <f>E12+C12</f>
        <v/>
      </c>
    </row>
    <row r="13">
      <c r="A13" s="18" t="inlineStr">
        <is>
          <t>PAT-01</t>
        </is>
      </c>
      <c r="B13" s="18">
        <f>'05_Amortizacion'!B13</f>
        <v/>
      </c>
      <c r="C13" s="20">
        <f>'03_Intangibles'!L13+0</f>
        <v/>
      </c>
      <c r="D13" s="18">
        <f>'03_Intangibles'!P13&amp;""</f>
        <v/>
      </c>
      <c r="E13" s="20">
        <f>'07_Deterioro'!E13</f>
        <v/>
      </c>
      <c r="F13" s="20">
        <f>IF('07_Deterioro'!H13="","",'07_Deterioro'!H13)</f>
        <v/>
      </c>
      <c r="G13" s="20">
        <f>IF(OR(B13="Goodwill",'05_Amortizacion'!C13="No",C13=0,LEFT(D13,1)&lt;&gt;"S"),0,IF(F13="","",MAX(0,MIN(F13-E13,C13))))</f>
        <v/>
      </c>
      <c r="H13" s="20">
        <f>'03_Intangibles'!Q13+0</f>
        <v/>
      </c>
      <c r="I13" s="20">
        <f>IF(G13="",H13,G13)</f>
        <v/>
      </c>
      <c r="J13" s="20">
        <f>I13-H13</f>
        <v/>
      </c>
      <c r="K13" s="20">
        <f>E13+C13</f>
        <v/>
      </c>
    </row>
    <row r="14">
      <c r="A14" s="19" t="inlineStr">
        <is>
          <t>SW-02</t>
        </is>
      </c>
      <c r="B14" s="19">
        <f>'05_Amortizacion'!B14</f>
        <v/>
      </c>
      <c r="C14" s="21">
        <f>'03_Intangibles'!L14+0</f>
        <v/>
      </c>
      <c r="D14" s="19">
        <f>'03_Intangibles'!P14&amp;""</f>
        <v/>
      </c>
      <c r="E14" s="21">
        <f>'07_Deterioro'!E14</f>
        <v/>
      </c>
      <c r="F14" s="21">
        <f>IF('07_Deterioro'!H14="","",'07_Deterioro'!H14)</f>
        <v/>
      </c>
      <c r="G14" s="21">
        <f>IF(OR(B14="Goodwill",'05_Amortizacion'!C14="No",C14=0,LEFT(D14,1)&lt;&gt;"S"),0,IF(F14="","",MAX(0,MIN(F14-E14,C14))))</f>
        <v/>
      </c>
      <c r="H14" s="21">
        <f>'03_Intangibles'!Q14+0</f>
        <v/>
      </c>
      <c r="I14" s="21">
        <f>IF(G14="",H14,G14)</f>
        <v/>
      </c>
      <c r="J14" s="21">
        <f>I14-H14</f>
        <v/>
      </c>
      <c r="K14" s="21">
        <f>E14+C14</f>
        <v/>
      </c>
    </row>
    <row r="15">
      <c r="A15" s="18" t="inlineStr">
        <is>
          <t>SW-03</t>
        </is>
      </c>
      <c r="B15" s="18">
        <f>'05_Amortizacion'!B15</f>
        <v/>
      </c>
      <c r="C15" s="20">
        <f>'03_Intangibles'!L15+0</f>
        <v/>
      </c>
      <c r="D15" s="18">
        <f>'03_Intangibles'!P15&amp;""</f>
        <v/>
      </c>
      <c r="E15" s="20">
        <f>'07_Deterioro'!E15</f>
        <v/>
      </c>
      <c r="F15" s="20">
        <f>IF('07_Deterioro'!H15="","",'07_Deterioro'!H15)</f>
        <v/>
      </c>
      <c r="G15" s="20">
        <f>IF(OR(B15="Goodwill",'05_Amortizacion'!C15="No",C15=0,LEFT(D15,1)&lt;&gt;"S"),0,IF(F15="","",MAX(0,MIN(F15-E15,C15))))</f>
        <v/>
      </c>
      <c r="H15" s="20">
        <f>'03_Intangibles'!Q15+0</f>
        <v/>
      </c>
      <c r="I15" s="20">
        <f>IF(G15="",H15,G15)</f>
        <v/>
      </c>
      <c r="J15" s="20">
        <f>I15-H15</f>
        <v/>
      </c>
      <c r="K15" s="20">
        <f>E15+C15</f>
        <v/>
      </c>
    </row>
    <row r="16">
      <c r="A16" s="19" t="inlineStr">
        <is>
          <t>CON-01</t>
        </is>
      </c>
      <c r="B16" s="19">
        <f>'05_Amortizacion'!B16</f>
        <v/>
      </c>
      <c r="C16" s="21">
        <f>'03_Intangibles'!L16+0</f>
        <v/>
      </c>
      <c r="D16" s="19">
        <f>'03_Intangibles'!P16&amp;""</f>
        <v/>
      </c>
      <c r="E16" s="21">
        <f>'07_Deterioro'!E16</f>
        <v/>
      </c>
      <c r="F16" s="21">
        <f>IF('07_Deterioro'!H16="","",'07_Deterioro'!H16)</f>
        <v/>
      </c>
      <c r="G16" s="21">
        <f>IF(OR(B16="Goodwill",'05_Amortizacion'!C16="No",C16=0,LEFT(D16,1)&lt;&gt;"S"),0,IF(F16="","",MAX(0,MIN(F16-E16,C16))))</f>
        <v/>
      </c>
      <c r="H16" s="21">
        <f>'03_Intangibles'!Q16+0</f>
        <v/>
      </c>
      <c r="I16" s="21">
        <f>IF(G16="",H16,G16)</f>
        <v/>
      </c>
      <c r="J16" s="21">
        <f>I16-H16</f>
        <v/>
      </c>
      <c r="K16" s="21">
        <f>E16+C16</f>
        <v/>
      </c>
    </row>
    <row r="17">
      <c r="A17" s="18" t="inlineStr">
        <is>
          <t>CON-02</t>
        </is>
      </c>
      <c r="B17" s="18">
        <f>'05_Amortizacion'!B17</f>
        <v/>
      </c>
      <c r="C17" s="20">
        <f>'03_Intangibles'!L17+0</f>
        <v/>
      </c>
      <c r="D17" s="18">
        <f>'03_Intangibles'!P17&amp;""</f>
        <v/>
      </c>
      <c r="E17" s="20">
        <f>'07_Deterioro'!E17</f>
        <v/>
      </c>
      <c r="F17" s="20">
        <f>IF('07_Deterioro'!H17="","",'07_Deterioro'!H17)</f>
        <v/>
      </c>
      <c r="G17" s="20">
        <f>IF(OR(B17="Goodwill",'05_Amortizacion'!C17="No",C17=0,LEFT(D17,1)&lt;&gt;"S"),0,IF(F17="","",MAX(0,MIN(F17-E17,C17))))</f>
        <v/>
      </c>
      <c r="H17" s="20">
        <f>'03_Intangibles'!Q17+0</f>
        <v/>
      </c>
      <c r="I17" s="20">
        <f>IF(G17="",H17,G17)</f>
        <v/>
      </c>
      <c r="J17" s="20">
        <f>I17-H17</f>
        <v/>
      </c>
      <c r="K17" s="20">
        <f>E17+C17</f>
        <v/>
      </c>
    </row>
    <row r="18">
      <c r="A18" s="35" t="inlineStr">
        <is>
          <t>TOTAL</t>
        </is>
      </c>
      <c r="B18" s="35" t="inlineStr"/>
      <c r="C18" s="37" t="n"/>
      <c r="D18" s="35" t="inlineStr"/>
      <c r="E18" s="37" t="n"/>
      <c r="F18" s="37" t="n"/>
      <c r="G18" s="37" t="n"/>
      <c r="H18" s="37">
        <f>SUM(H5:H17)</f>
        <v/>
      </c>
      <c r="I18" s="37">
        <f>SUM(I5:I17)</f>
        <v/>
      </c>
      <c r="J18" s="37">
        <f>SUM(J5:J17)</f>
        <v/>
      </c>
      <c r="K18" s="37" t="n"/>
    </row>
    <row r="20">
      <c r="A20" s="22" t="inlineStr">
        <is>
          <t>ⓘ  Cómo se calcula esta hoja</t>
        </is>
      </c>
    </row>
    <row r="21">
      <c r="A21" s="23" t="inlineStr">
        <is>
          <t>Columna</t>
        </is>
      </c>
      <c r="B21" s="23" t="inlineStr">
        <is>
          <t>Fórmula (Excel)</t>
        </is>
      </c>
      <c r="C21" s="23" t="inlineStr">
        <is>
          <t>Cómo se calcula (sencillo)</t>
        </is>
      </c>
      <c r="D21" s="23" t="inlineStr">
        <is>
          <t>Ejemplo con números reales</t>
        </is>
      </c>
      <c r="E21" s="23" t="inlineStr">
        <is>
          <t>De dónde viene</t>
        </is>
      </c>
      <c r="F21" s="23" t="inlineStr">
        <is>
          <t>Norma</t>
        </is>
      </c>
    </row>
    <row r="22">
      <c r="A22" s="24" t="inlineStr">
        <is>
          <t>Categoría</t>
        </is>
      </c>
      <c r="B22" s="25" t="inlineStr">
        <is>
          <t>'='05_Amortizacion'!B5</t>
        </is>
      </c>
      <c r="C22" s="24" t="inlineStr">
        <is>
          <t>Trae la categoría de la partida desde la hoja 05 (Amortización); el goodwill nunca revierte su deterioro.</t>
        </is>
      </c>
      <c r="D22" s="24" t="inlineStr">
        <is>
          <t>Fila 1: «Otro» → Otro</t>
        </is>
      </c>
      <c r="E22" s="24" t="inlineStr">
        <is>
          <t>hoja «Amortización y vida finita / indefinida»</t>
        </is>
      </c>
      <c r="F22" s="24" t="inlineStr">
        <is>
          <t>—</t>
        </is>
      </c>
    </row>
    <row r="23">
      <c r="A23" s="24" t="inlineStr">
        <is>
          <t>Deterioro acumulado previo</t>
        </is>
      </c>
      <c r="B23" s="25" t="inlineStr">
        <is>
          <t>'='03_Intangibles'!L5+0</t>
        </is>
      </c>
      <c r="C23" s="24" t="inlineStr">
        <is>
          <t>Trae el deterioro acumulado de ejercicios anteriores informado en la hoja 03 (Auxiliar de intangibles y goodwill) (cero si está en blanco).</t>
        </is>
      </c>
      <c r="D23" s="24" t="inlineStr">
        <is>
          <t>Fila 1: (vacío)+0 → 0,00</t>
        </is>
      </c>
      <c r="E23" s="24" t="inlineStr">
        <is>
          <t>hoja «Auxiliar de intangibles y goodwill»</t>
        </is>
      </c>
      <c r="F23" s="24" t="inlineStr">
        <is>
          <t>—</t>
        </is>
      </c>
    </row>
    <row r="24">
      <c r="A24" s="24" t="inlineStr">
        <is>
          <t>Indicio de reversión</t>
        </is>
      </c>
      <c r="B24" s="25" t="inlineStr">
        <is>
          <t>'='03_Intangibles'!P5&amp;""</t>
        </is>
      </c>
      <c r="C24" s="24" t="inlineStr">
        <is>
          <t>Copia la respuesta del cliente sobre si hay indicios de que el deterioro se revirtió, tomada de la hoja 03 (Auxiliar de intangibles y goodwill).</t>
        </is>
      </c>
      <c r="D24" s="24" t="inlineStr">
        <is>
          <t>Fila 1: (vacío)&amp;"" → (en blanco)</t>
        </is>
      </c>
      <c r="E24" s="24" t="inlineStr">
        <is>
          <t>hoja «Auxiliar de intangibles y goodwill»</t>
        </is>
      </c>
      <c r="F24" s="24" t="inlineStr">
        <is>
          <t>—</t>
        </is>
      </c>
    </row>
    <row r="25">
      <c r="A25" s="24" t="inlineStr">
        <is>
          <t>Importe en libros</t>
        </is>
      </c>
      <c r="B25" s="25" t="inlineStr">
        <is>
          <t>'='07_Deterioro'!E5</t>
        </is>
      </c>
      <c r="C25" s="24" t="inlineStr">
        <is>
          <t>Trae el importe en libros antes del deterioro calculado en la hoja 07 (Deterioro e importe recuperable).</t>
        </is>
      </c>
      <c r="D25" s="24" t="inlineStr">
        <is>
          <t>Fila 1: 24.000,00 → 24.000,00</t>
        </is>
      </c>
      <c r="E25" s="24" t="inlineStr">
        <is>
          <t>hoja «Deterioro e importe recuperable»</t>
        </is>
      </c>
      <c r="F25" s="24" t="inlineStr">
        <is>
          <t>—</t>
        </is>
      </c>
    </row>
    <row r="26">
      <c r="A26" s="24" t="inlineStr">
        <is>
          <t>Importe recuperable</t>
        </is>
      </c>
      <c r="B26" s="25" t="inlineStr">
        <is>
          <t>'=IF('07_Deterioro'!H5="","",'07_Deterioro'!H5)</t>
        </is>
      </c>
      <c r="C26" s="24" t="inlineStr">
        <is>
          <t>Trae el importe recuperable de la hoja 07 (Deterioro e importe recuperable); en blanco si allí no se calculó.</t>
        </is>
      </c>
      <c r="D26" s="24" t="inlineStr">
        <is>
          <t>Fila 1: IF((vacío)=""; ""; (vacío)) → (en blanco)</t>
        </is>
      </c>
      <c r="E26" s="24" t="inlineStr">
        <is>
          <t>hoja «Deterioro e importe recuperable»</t>
        </is>
      </c>
      <c r="F26" s="24" t="inlineStr">
        <is>
          <t>—</t>
        </is>
      </c>
    </row>
    <row r="27">
      <c r="A27" s="24" t="inlineStr">
        <is>
          <t>Reversión calculada</t>
        </is>
      </c>
      <c r="B27" s="25" t="inlineStr">
        <is>
          <t>'=IF(OR(B5="Goodwill",'05_Amortizacion'!C5="No",C5=0,LEFT(D5,1)&lt;&gt;"S"),0,IF(F5="","",MAX(0,MIN(F5-E5,C5))))</t>
        </is>
      </c>
      <c r="C27" s="24" t="inlineStr">
        <is>
          <t>Revierte lo que el recuperable supera al importe en libros, sin pasar del deterioro previo. Es cero en el goodwill, en partidas no capitalizables, sin deterioro previo o sin indicio «Sí»; en blanco si falta el recuperable.</t>
        </is>
      </c>
      <c r="D27" s="24" t="inlineStr">
        <is>
          <t>Fila 1: IF(OR(«Otro»="Goodwill"; «Sí»="No"; 0,00=0; LEFT((vacío); 1)&lt;&gt;"S"); 0; IF((vacío)=""; ""; MAX(0; MIN((vacío)-24.000,00; 0,00)))) → 0,00</t>
        </is>
      </c>
      <c r="E27" s="24" t="inlineStr">
        <is>
          <t>«Categoría» (esta hoja), «Deterioro acumulado previo» (esta hoja), «Indicio de reversión» (esta hoja), «Importe recuperable» (esta hoja), «Importe en libros» (esta hoja), hoja «Amortización y vida finita / indefinida»</t>
        </is>
      </c>
      <c r="F27" s="24" t="inlineStr">
        <is>
          <t>—</t>
        </is>
      </c>
    </row>
    <row r="28">
      <c r="A28" s="24" t="inlineStr">
        <is>
          <t>Reversión registrada</t>
        </is>
      </c>
      <c r="B28" s="25" t="inlineStr">
        <is>
          <t>'='03_Intangibles'!Q5+0</t>
        </is>
      </c>
      <c r="C28" s="24" t="inlineStr">
        <is>
          <t>Trae la reversión del deterioro que registró el cliente en la hoja 03 (Auxiliar de intangibles y goodwill) (cero si está en blanco).</t>
        </is>
      </c>
      <c r="D28" s="24" t="inlineStr">
        <is>
          <t>Fila 1: (vacío)+0 → 0,00</t>
        </is>
      </c>
      <c r="E28" s="24" t="inlineStr">
        <is>
          <t>hoja «Auxiliar de intangibles y goodwill»</t>
        </is>
      </c>
      <c r="F28" s="24" t="inlineStr">
        <is>
          <t>—</t>
        </is>
      </c>
    </row>
    <row r="29">
      <c r="A29" s="24" t="inlineStr">
        <is>
          <t>Reversión auditada</t>
        </is>
      </c>
      <c r="B29" s="25" t="inlineStr">
        <is>
          <t>'=IF(G5="",H5,G5)</t>
        </is>
      </c>
      <c r="C29" s="24" t="inlineStr">
        <is>
          <t>Usa la reversión calculada; si quedó en blanco por falta de importe recuperable, acepta la registrada por el cliente.</t>
        </is>
      </c>
      <c r="D29" s="24" t="inlineStr">
        <is>
          <t>Fila 1: IF(0,00=""; 0,00; 0,00) → 0,00</t>
        </is>
      </c>
      <c r="E29" s="24" t="inlineStr">
        <is>
          <t>«Reversión calculada» (esta hoja), «Reversión registrada» (esta hoja)</t>
        </is>
      </c>
      <c r="F29" s="24" t="inlineStr">
        <is>
          <t>—</t>
        </is>
      </c>
    </row>
    <row r="30">
      <c r="A30" s="24" t="inlineStr">
        <is>
          <t>Diferencia</t>
        </is>
      </c>
      <c r="B30" s="25" t="inlineStr">
        <is>
          <t>'=I5-H5</t>
        </is>
      </c>
      <c r="C30" s="24" t="inlineStr">
        <is>
          <t>Resta la reversión registrada por el cliente a la reversión auditada: positivo falta revertir, negativo sobra.</t>
        </is>
      </c>
      <c r="D30" s="24" t="inlineStr">
        <is>
          <t>Fila 1: 0,00-0,00 → 0,00</t>
        </is>
      </c>
      <c r="E30" s="24" t="inlineStr">
        <is>
          <t>«Reversión auditada» (esta hoja), «Reversión registrada» (esta hoja)</t>
        </is>
      </c>
      <c r="F30" s="24" t="inlineStr">
        <is>
          <t>—</t>
        </is>
      </c>
    </row>
    <row r="31">
      <c r="A31" s="24" t="inlineStr">
        <is>
          <t>Límite: importe en libros sin deterioro (NIC 36.117)</t>
        </is>
      </c>
      <c r="B31" s="25" t="inlineStr">
        <is>
          <t>'=E5+C5</t>
        </is>
      </c>
      <c r="C31" s="24" t="inlineStr">
        <is>
          <t>Suma el importe en libros y el deterioro acumulado previo: es el techo hasta donde puede subir el activo al revertir el deterioro.</t>
        </is>
      </c>
      <c r="D31" s="24" t="inlineStr">
        <is>
          <t>Fila 1: 24.000,00+0,00 → 24.000,00</t>
        </is>
      </c>
      <c r="E31" s="24" t="inlineStr">
        <is>
          <t>«Importe en libros» (esta hoja), «Deterioro acumulado previo» (esta hoja)</t>
        </is>
      </c>
      <c r="F31" s="24" t="inlineStr">
        <is>
          <t>—</t>
        </is>
      </c>
    </row>
  </sheetData>
  <mergeCells count="3">
    <mergeCell ref="A20:F20"/>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J24"/>
  <sheetViews>
    <sheetView showGridLines="0" workbookViewId="0">
      <pane ySplit="4" topLeftCell="A5" activePane="bottomLeft" state="frozen"/>
      <selection pane="bottomLeft" activeCell="A1" sqref="A1"/>
    </sheetView>
  </sheetViews>
  <sheetFormatPr baseColWidth="8" defaultRowHeight="15"/>
  <cols>
    <col width="12" customWidth="1" min="1" max="1"/>
    <col width="53" customWidth="1" min="2" max="2"/>
    <col width="26" customWidth="1" min="3" max="3"/>
    <col width="15" customWidth="1" min="4" max="4"/>
    <col width="18" customWidth="1" min="5" max="5"/>
  </cols>
  <sheetData>
    <row r="1">
      <c r="A1" s="3" t="inlineStr">
        <is>
          <t>Valor neto y ajuste propuesto</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row>
    <row r="4" ht="30" customHeight="1">
      <c r="A4" s="17" t="inlineStr">
        <is>
          <t>Código</t>
        </is>
      </c>
      <c r="B4" s="17" t="inlineStr">
        <is>
          <t>Descripción</t>
        </is>
      </c>
      <c r="C4" s="17" t="inlineStr">
        <is>
          <t>Neto en libros (cliente)</t>
        </is>
      </c>
      <c r="D4" s="17" t="inlineStr">
        <is>
          <t>Neto auditado</t>
        </is>
      </c>
      <c r="E4" s="17" t="inlineStr">
        <is>
          <t>Ajuste propuesto</t>
        </is>
      </c>
    </row>
    <row r="5">
      <c r="A5" s="18" t="inlineStr">
        <is>
          <t>SW-01</t>
        </is>
      </c>
      <c r="B5" s="18" t="inlineStr">
        <is>
          <t>Software ERP</t>
        </is>
      </c>
      <c r="C5" s="20">
        <f>'03_Intangibles'!G5-'03_Intangibles'!J5-'03_Intangibles'!K5-'03_Intangibles'!L5-'03_Intangibles'!O5+'03_Intangibles'!Q5</f>
        <v/>
      </c>
      <c r="D5" s="20">
        <f>IF('05_Amortizacion'!C5="No",0,'05_Amortizacion'!D5-'05_Amortizacion'!N5-'03_Intangibles'!L5-'07_Deterioro'!K5+'08_Reversion'!I5)</f>
        <v/>
      </c>
      <c r="E5" s="20">
        <f>D5-C5</f>
        <v/>
      </c>
    </row>
    <row r="6">
      <c r="A6" s="19" t="inlineStr">
        <is>
          <t>LIC-01</t>
        </is>
      </c>
      <c r="B6" s="19" t="inlineStr">
        <is>
          <t>Licencia de distribución exclusiva</t>
        </is>
      </c>
      <c r="C6" s="21">
        <f>'03_Intangibles'!G6-'03_Intangibles'!J6-'03_Intangibles'!K6-'03_Intangibles'!L6-'03_Intangibles'!O6+'03_Intangibles'!Q6</f>
        <v/>
      </c>
      <c r="D6" s="21">
        <f>IF('05_Amortizacion'!C6="No",0,'05_Amortizacion'!D6-'05_Amortizacion'!N6-'03_Intangibles'!L6-'07_Deterioro'!K6+'08_Reversion'!I6)</f>
        <v/>
      </c>
      <c r="E6" s="21">
        <f>D6-C6</f>
        <v/>
      </c>
    </row>
    <row r="7">
      <c r="A7" s="18" t="inlineStr">
        <is>
          <t>MAR-01</t>
        </is>
      </c>
      <c r="B7" s="18" t="inlineStr">
        <is>
          <t>Marca comercial adquirida</t>
        </is>
      </c>
      <c r="C7" s="20">
        <f>'03_Intangibles'!G7-'03_Intangibles'!J7-'03_Intangibles'!K7-'03_Intangibles'!L7-'03_Intangibles'!O7+'03_Intangibles'!Q7</f>
        <v/>
      </c>
      <c r="D7" s="20">
        <f>IF('05_Amortizacion'!C7="No",0,'05_Amortizacion'!D7-'05_Amortizacion'!N7-'03_Intangibles'!L7-'07_Deterioro'!K7+'08_Reversion'!I7)</f>
        <v/>
      </c>
      <c r="E7" s="20">
        <f>D7-C7</f>
        <v/>
      </c>
    </row>
    <row r="8">
      <c r="A8" s="19" t="inlineStr">
        <is>
          <t>GW-01</t>
        </is>
      </c>
      <c r="B8" s="19" t="inlineStr">
        <is>
          <t>Goodwill adquisición Distribuidora Andina</t>
        </is>
      </c>
      <c r="C8" s="21">
        <f>'03_Intangibles'!G8-'03_Intangibles'!J8-'03_Intangibles'!K8-'03_Intangibles'!L8-'03_Intangibles'!O8+'03_Intangibles'!Q8</f>
        <v/>
      </c>
      <c r="D8" s="21">
        <f>IF('05_Amortizacion'!C8="No",0,'05_Amortizacion'!D8-'05_Amortizacion'!N8-'03_Intangibles'!L8-'07_Deterioro'!K8+'08_Reversion'!I8)</f>
        <v/>
      </c>
      <c r="E8" s="21">
        <f>D8-C8</f>
        <v/>
      </c>
    </row>
    <row r="9">
      <c r="A9" s="18" t="inlineStr">
        <is>
          <t>INV-01</t>
        </is>
      </c>
      <c r="B9" s="18" t="inlineStr">
        <is>
          <t>Estudio de mercado y prototipos nuevo producto</t>
        </is>
      </c>
      <c r="C9" s="20">
        <f>'03_Intangibles'!G9-'03_Intangibles'!J9-'03_Intangibles'!K9-'03_Intangibles'!L9-'03_Intangibles'!O9+'03_Intangibles'!Q9</f>
        <v/>
      </c>
      <c r="D9" s="20">
        <f>IF('05_Amortizacion'!C9="No",0,'05_Amortizacion'!D9-'05_Amortizacion'!N9-'03_Intangibles'!L9-'07_Deterioro'!K9+'08_Reversion'!I9)</f>
        <v/>
      </c>
      <c r="E9" s="20">
        <f>D9-C9</f>
        <v/>
      </c>
    </row>
    <row r="10">
      <c r="A10" s="19" t="inlineStr">
        <is>
          <t>DES-01</t>
        </is>
      </c>
      <c r="B10" s="19" t="inlineStr">
        <is>
          <t>Aplicación móvil de pedidos</t>
        </is>
      </c>
      <c r="C10" s="21">
        <f>'03_Intangibles'!G10-'03_Intangibles'!J10-'03_Intangibles'!K10-'03_Intangibles'!L10-'03_Intangibles'!O10+'03_Intangibles'!Q10</f>
        <v/>
      </c>
      <c r="D10" s="21">
        <f>IF('05_Amortizacion'!C10="No",0,'05_Amortizacion'!D10-'05_Amortizacion'!N10-'03_Intangibles'!L10-'07_Deterioro'!K10+'08_Reversion'!I10)</f>
        <v/>
      </c>
      <c r="E10" s="21">
        <f>D10-C10</f>
        <v/>
      </c>
    </row>
    <row r="11">
      <c r="A11" s="18" t="inlineStr">
        <is>
          <t>DES-02</t>
        </is>
      </c>
      <c r="B11" s="18" t="inlineStr">
        <is>
          <t>Módulo de comercio electrónico</t>
        </is>
      </c>
      <c r="C11" s="20">
        <f>'03_Intangibles'!G11-'03_Intangibles'!J11-'03_Intangibles'!K11-'03_Intangibles'!L11-'03_Intangibles'!O11+'03_Intangibles'!Q11</f>
        <v/>
      </c>
      <c r="D11" s="20">
        <f>IF('05_Amortizacion'!C11="No",0,'05_Amortizacion'!D11-'05_Amortizacion'!N11-'03_Intangibles'!L11-'07_Deterioro'!K11+'08_Reversion'!I11)</f>
        <v/>
      </c>
      <c r="E11" s="20">
        <f>D11-C11</f>
        <v/>
      </c>
    </row>
    <row r="12">
      <c r="A12" s="19" t="inlineStr">
        <is>
          <t>DES-03</t>
        </is>
      </c>
      <c r="B12" s="19" t="inlineStr">
        <is>
          <t>Plataforma logística en desarrollo</t>
        </is>
      </c>
      <c r="C12" s="21">
        <f>'03_Intangibles'!G12-'03_Intangibles'!J12-'03_Intangibles'!K12-'03_Intangibles'!L12-'03_Intangibles'!O12+'03_Intangibles'!Q12</f>
        <v/>
      </c>
      <c r="D12" s="21">
        <f>IF('05_Amortizacion'!C12="No",0,'05_Amortizacion'!D12-'05_Amortizacion'!N12-'03_Intangibles'!L12-'07_Deterioro'!K12+'08_Reversion'!I12)</f>
        <v/>
      </c>
      <c r="E12" s="21">
        <f>D12-C12</f>
        <v/>
      </c>
    </row>
    <row r="13">
      <c r="A13" s="18" t="inlineStr">
        <is>
          <t>PAT-01</t>
        </is>
      </c>
      <c r="B13" s="18" t="inlineStr">
        <is>
          <t>Patente de proceso</t>
        </is>
      </c>
      <c r="C13" s="20">
        <f>'03_Intangibles'!G13-'03_Intangibles'!J13-'03_Intangibles'!K13-'03_Intangibles'!L13-'03_Intangibles'!O13+'03_Intangibles'!Q13</f>
        <v/>
      </c>
      <c r="D13" s="20">
        <f>IF('05_Amortizacion'!C13="No",0,'05_Amortizacion'!D13-'05_Amortizacion'!N13-'03_Intangibles'!L13-'07_Deterioro'!K13+'08_Reversion'!I13)</f>
        <v/>
      </c>
      <c r="E13" s="20">
        <f>D13-C13</f>
        <v/>
      </c>
    </row>
    <row r="14">
      <c r="A14" s="19" t="inlineStr">
        <is>
          <t>SW-02</t>
        </is>
      </c>
      <c r="B14" s="19" t="inlineStr">
        <is>
          <t>Software CRM</t>
        </is>
      </c>
      <c r="C14" s="21">
        <f>'03_Intangibles'!G14-'03_Intangibles'!J14-'03_Intangibles'!K14-'03_Intangibles'!L14-'03_Intangibles'!O14+'03_Intangibles'!Q14</f>
        <v/>
      </c>
      <c r="D14" s="21">
        <f>IF('05_Amortizacion'!C14="No",0,'05_Amortizacion'!D14-'05_Amortizacion'!N14-'03_Intangibles'!L14-'07_Deterioro'!K14+'08_Reversion'!I14)</f>
        <v/>
      </c>
      <c r="E14" s="21">
        <f>D14-C14</f>
        <v/>
      </c>
    </row>
    <row r="15">
      <c r="A15" s="18" t="inlineStr">
        <is>
          <t>SW-03</t>
        </is>
      </c>
      <c r="B15" s="18" t="inlineStr">
        <is>
          <t>Software de nómina</t>
        </is>
      </c>
      <c r="C15" s="20">
        <f>'03_Intangibles'!G15-'03_Intangibles'!J15-'03_Intangibles'!K15-'03_Intangibles'!L15-'03_Intangibles'!O15+'03_Intangibles'!Q15</f>
        <v/>
      </c>
      <c r="D15" s="20">
        <f>IF('05_Amortizacion'!C15="No",0,'05_Amortizacion'!D15-'05_Amortizacion'!N15-'03_Intangibles'!L15-'07_Deterioro'!K15+'08_Reversion'!I15)</f>
        <v/>
      </c>
      <c r="E15" s="20">
        <f>D15-C15</f>
        <v/>
      </c>
    </row>
    <row r="16">
      <c r="A16" s="19" t="inlineStr">
        <is>
          <t>CON-01</t>
        </is>
      </c>
      <c r="B16" s="19" t="inlineStr">
        <is>
          <t>Concesión de distribución regional</t>
        </is>
      </c>
      <c r="C16" s="21">
        <f>'03_Intangibles'!G16-'03_Intangibles'!J16-'03_Intangibles'!K16-'03_Intangibles'!L16-'03_Intangibles'!O16+'03_Intangibles'!Q16</f>
        <v/>
      </c>
      <c r="D16" s="21">
        <f>IF('05_Amortizacion'!C16="No",0,'05_Amortizacion'!D16-'05_Amortizacion'!N16-'03_Intangibles'!L16-'07_Deterioro'!K16+'08_Reversion'!I16)</f>
        <v/>
      </c>
      <c r="E16" s="21">
        <f>D16-C16</f>
        <v/>
      </c>
    </row>
    <row r="17">
      <c r="A17" s="18" t="inlineStr">
        <is>
          <t>CON-02</t>
        </is>
      </c>
      <c r="B17" s="18" t="inlineStr">
        <is>
          <t>Concesión de peaje (importe total fijo de ingresos)</t>
        </is>
      </c>
      <c r="C17" s="20">
        <f>'03_Intangibles'!G17-'03_Intangibles'!J17-'03_Intangibles'!K17-'03_Intangibles'!L17-'03_Intangibles'!O17+'03_Intangibles'!Q17</f>
        <v/>
      </c>
      <c r="D17" s="20">
        <f>IF('05_Amortizacion'!C17="No",0,'05_Amortizacion'!D17-'05_Amortizacion'!N17-'03_Intangibles'!L17-'07_Deterioro'!K17+'08_Reversion'!I17)</f>
        <v/>
      </c>
      <c r="E17" s="20">
        <f>D17-C17</f>
        <v/>
      </c>
    </row>
    <row r="18">
      <c r="A18" s="35" t="inlineStr">
        <is>
          <t>TOTAL</t>
        </is>
      </c>
      <c r="B18" s="35" t="inlineStr"/>
      <c r="C18" s="37">
        <f>SUM(C5:C17)</f>
        <v/>
      </c>
      <c r="D18" s="37">
        <f>SUM(D5:D17)</f>
        <v/>
      </c>
      <c r="E18" s="37">
        <f>SUM(E5:E17)</f>
        <v/>
      </c>
    </row>
    <row r="20">
      <c r="A20" s="22" t="inlineStr">
        <is>
          <t>ⓘ  Cómo se calcula esta hoja</t>
        </is>
      </c>
    </row>
    <row r="21">
      <c r="A21" s="23" t="inlineStr">
        <is>
          <t>Columna</t>
        </is>
      </c>
      <c r="B21" s="23" t="inlineStr">
        <is>
          <t>Fórmula (Excel)</t>
        </is>
      </c>
      <c r="C21" s="23" t="inlineStr">
        <is>
          <t>Cómo se calcula (sencillo)</t>
        </is>
      </c>
      <c r="D21" s="23" t="inlineStr">
        <is>
          <t>Ejemplo con números reales</t>
        </is>
      </c>
      <c r="E21" s="23" t="inlineStr">
        <is>
          <t>De dónde viene</t>
        </is>
      </c>
      <c r="F21" s="23" t="inlineStr">
        <is>
          <t>Norma</t>
        </is>
      </c>
    </row>
    <row r="22">
      <c r="A22" s="24" t="inlineStr">
        <is>
          <t>Neto en libros (cliente)</t>
        </is>
      </c>
      <c r="B22" s="25" t="inlineStr">
        <is>
          <t>'='03_Intangibles'!G5-'03_Intangibles'!J5-'03_Intangibles'!K5-'03_Intangibles'!L5-'03_Intangibles'!O5+'03_Intangibles'!Q5</t>
        </is>
      </c>
      <c r="C22" s="24" t="inlineStr">
        <is>
          <t>Parte del costo de la hoja 03 (Auxiliar de intangibles y goodwill), resta la amortización acumulada inicial, la del año, el deterioro previo y el del año, y suma la reversión registrada: es el neto según las cifras del cliente.</t>
        </is>
      </c>
      <c r="D22" s="24" t="inlineStr">
        <is>
          <t>Fila 1: 60.000,00-24.000,00-12.000,00-(vacío)-(vacío)+(vacío) → 24.000,00</t>
        </is>
      </c>
      <c r="E22" s="24" t="inlineStr">
        <is>
          <t>hoja «Auxiliar de intangibles y goodwill»</t>
        </is>
      </c>
      <c r="F22" s="24" t="inlineStr">
        <is>
          <t>—</t>
        </is>
      </c>
    </row>
    <row r="23">
      <c r="A23" s="24" t="inlineStr">
        <is>
          <t>Neto auditado</t>
        </is>
      </c>
      <c r="B23" s="25" t="inlineStr">
        <is>
          <t>'=IF('05_Amortizacion'!C5="No",0,'05_Amortizacion'!D5-'05_Amortizacion'!N5-'03_Intangibles'!L5-'07_Deterioro'!K5+'08_Reversion'!I5)</t>
        </is>
      </c>
      <c r="C23" s="24" t="inlineStr">
        <is>
          <t>Parte del costo auditado (hoja 05), resta la amortización acumulada recalculada, el deterioro previo y el deterioro auditado (hoja 07), y suma la reversión auditada (hoja 08). Si la partida no es capitalizable, es cero.</t>
        </is>
      </c>
      <c r="D23" s="24" t="inlineStr">
        <is>
          <t>Fila 1: IF(«Sí»="No"; 0; 60.000,00-36.000,00-(vacío)-0,00+0,00) → 24.000,00</t>
        </is>
      </c>
      <c r="E23" s="24" t="inlineStr">
        <is>
          <t>hoja «Amortización y vida finita / indefinida», hoja «Auxiliar de intangibles y goodwill», hoja «Deterioro e importe recuperable», hoja «Reversión del deterioro»</t>
        </is>
      </c>
      <c r="F23" s="24" t="inlineStr">
        <is>
          <t>—</t>
        </is>
      </c>
    </row>
    <row r="24">
      <c r="A24" s="24" t="inlineStr">
        <is>
          <t>Ajuste propuesto</t>
        </is>
      </c>
      <c r="B24" s="25" t="inlineStr">
        <is>
          <t>'=D5-C5</t>
        </is>
      </c>
      <c r="C24" s="24" t="inlineStr">
        <is>
          <t>Resta el neto en libros del cliente al neto auditado: positivo aumenta el activo, negativo lo disminuye.</t>
        </is>
      </c>
      <c r="D24" s="24" t="inlineStr">
        <is>
          <t>Fila 1: 24.000,00-24.000,00 → 0,00</t>
        </is>
      </c>
      <c r="E24" s="24" t="inlineStr">
        <is>
          <t>«Neto auditado» (esta hoja), «Neto en libros (cliente)» (esta hoja)</t>
        </is>
      </c>
      <c r="F24" s="24" t="inlineStr">
        <is>
          <t>—</t>
        </is>
      </c>
    </row>
  </sheetData>
  <mergeCells count="3">
    <mergeCell ref="A20:F20"/>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J18"/>
  <sheetViews>
    <sheetView showGridLines="0" workbookViewId="0">
      <pane ySplit="4" topLeftCell="A5" activePane="bottomLeft" state="frozen"/>
      <selection pane="bottomLeft" activeCell="A1" sqref="A1"/>
    </sheetView>
  </sheetViews>
  <sheetFormatPr baseColWidth="8" defaultRowHeight="15"/>
  <cols>
    <col width="32" customWidth="1" min="1" max="1"/>
    <col width="60" customWidth="1" min="2" max="2"/>
    <col width="12" customWidth="1" min="3" max="3"/>
  </cols>
  <sheetData>
    <row r="1">
      <c r="A1" s="3" t="inlineStr">
        <is>
          <t>Problemas encontrados</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row>
    <row r="4" ht="30" customHeight="1">
      <c r="A4" s="17" t="inlineStr">
        <is>
          <t>Código</t>
        </is>
      </c>
      <c r="B4" s="17" t="inlineStr">
        <is>
          <t>Descripción</t>
        </is>
      </c>
      <c r="C4" s="17" t="inlineStr">
        <is>
          <t>Importe</t>
        </is>
      </c>
    </row>
    <row r="5">
      <c r="A5" s="18" t="inlineStr">
        <is>
          <t>INVESTIGACION_CAPITALIZADA</t>
        </is>
      </c>
      <c r="B5" s="18" t="inlineStr">
        <is>
          <t>Investigación capitalizada en INV-01: 18.000,00 deben ir a gasto del ejercicio en que se incurrieron (NIC 38.54; PYMES 18.14).</t>
        </is>
      </c>
      <c r="C5" s="20" t="n">
        <v>18000</v>
      </c>
    </row>
    <row r="6">
      <c r="A6" s="19" t="inlineStr">
        <is>
          <t>DESARROLLO_NO_CUMPLE_57</t>
        </is>
      </c>
      <c r="B6" s="19" t="inlineStr">
        <is>
          <t>Desarrollo capitalizado sin cumplir los criterios de NIC 38.57 en DES-02: baja 12.000,00 (NIC 38.57, 38.68).</t>
        </is>
      </c>
      <c r="C6" s="21" t="n">
        <v>12000</v>
      </c>
    </row>
    <row r="7">
      <c r="A7" s="18" t="inlineStr">
        <is>
          <t>SIN_PRUEBA_DETERIORO</t>
        </is>
      </c>
      <c r="B7" s="18" t="inlineStr">
        <is>
          <t>Sin prueba de deterioro en DES-03 (goodwill, vida indefinida o aún no disponible para su uso): falta el valor en uso o el valor razonable menos costos de disposición; importe en libros sin probar 30.000,00 (NIC 36.10, 36.90; NIC 38.108).</t>
        </is>
      </c>
      <c r="C7" s="20" t="n">
        <v>30000</v>
      </c>
    </row>
    <row r="8">
      <c r="A8" s="19" t="inlineStr">
        <is>
          <t>SIN_REVISION_VIDA</t>
        </is>
      </c>
      <c r="B8" s="19" t="inlineStr">
        <is>
          <t>Sin revisión anual de la vida útil y el método en PAT-01 (NIC 38.104; para vida indefinida, 38.109).</t>
        </is>
      </c>
      <c r="C8" s="21" t="n">
        <v>26800</v>
      </c>
    </row>
    <row r="9">
      <c r="A9" s="18" t="inlineStr">
        <is>
          <t>METODO_INGRESOS_SIN_JUSTIFICAR</t>
        </is>
      </c>
      <c r="B9" s="18" t="inlineStr">
        <is>
          <t>Amortización basada en los ingresos ordinarios sin excepción documentada en CON-01: NIC 38.98A presume que ese método es inapropiado y solo admite dejar de aplicar la presunción en dos circunstancias: (a) que el intangible se exprese como una medida de los ingresos, es decir que el contrato especifique un importe total fijo de ingresos a generar sobre el cual se determina la amortización (NIC 38.98C), o (b) que pueda demostrarse que los ingresos y el consumo de los beneficios económicos del activo están estrechamente correlacionados. La herramienta recalculó por el método lineal (NIC 38.97): efecto en resultados -3.000,00 (amortización recalculada menos registrada). Documente la circunstancia («a» o «b») y el papel que la respalda en la columna de justificación del auxiliar, o corrija el método.</t>
        </is>
      </c>
      <c r="C9" s="20" t="n">
        <v>-3000</v>
      </c>
    </row>
    <row r="10">
      <c r="A10" s="19" t="inlineStr">
        <is>
          <t>METODO_INGRESOS_EXCEPCION</t>
        </is>
      </c>
      <c r="B10" s="19" t="inlineStr">
        <is>
          <t>Amortización basada en los ingresos con excepción documentada en CON-02 (la circunstancia invocada consta por partida en la cédula 05_Amortizacion): se aceptó la amortización registrada 25.000,00 y la herramienta no la recalcula, porque el auxiliar no informa los ingresos del ejercicio ni el importe total fijo de ingresos del contrato. Revise el papel citado en la justificación y confirme que el contrato fija ese importe total de ingresos (NIC 38.98C) o que la correlación entre los ingresos y el consumo de los beneficios está demostrada (NIC 38.98A).</t>
        </is>
      </c>
      <c r="C10" s="21" t="n">
        <v>25000</v>
      </c>
    </row>
    <row r="11">
      <c r="A11" s="18" t="inlineStr">
        <is>
          <t>DIF_AMORTIZACION</t>
        </is>
      </c>
      <c r="B11" s="18" t="inlineStr">
        <is>
          <t>La amortización recalculada difiere de la registrada en LIC-01: -2.000,00 (NIC 38.97; PYMES 18.21).</t>
        </is>
      </c>
      <c r="C11" s="20" t="n">
        <v>-2000</v>
      </c>
    </row>
    <row r="12">
      <c r="A12" s="19" t="inlineStr">
        <is>
          <t>ACUMULADA_INCONSISTENTE</t>
        </is>
      </c>
      <c r="B12" s="19" t="inlineStr">
        <is>
          <t>La amortización acumulada recalculada no es la esperada por la vida transcurrida en SW-03: 1.000,00; revise la vida útil o errores de años anteriores (NIC 8.42; PYMES 10.21).</t>
        </is>
      </c>
      <c r="C12" s="21" t="n">
        <v>1000</v>
      </c>
    </row>
    <row r="13">
      <c r="A13" s="18" t="inlineStr">
        <is>
          <t>RESIDUAL_NO_NULO</t>
        </is>
      </c>
      <c r="B13" s="18" t="inlineStr">
        <is>
          <t>Valor residual distinto de cero en PAT-01 (8.000,00): se supone nulo salvo compromiso de compra o mercado activo (NIC 38.100; PYMES 18.23).</t>
        </is>
      </c>
      <c r="C13" s="20" t="n">
        <v>8000</v>
      </c>
    </row>
    <row r="14">
      <c r="A14" s="19" t="inlineStr">
        <is>
          <t>DETERIORO_NO_RECONOCIDO</t>
        </is>
      </c>
      <c r="B14" s="19" t="inlineStr">
        <is>
          <t>Deterioro no reconocido en MAR-01: el importe recuperable es menor que el importe en libros; pérdida 10.000,00 (NIC 36.59; PYMES 27.5).</t>
        </is>
      </c>
      <c r="C14" s="21" t="n">
        <v>10000</v>
      </c>
    </row>
    <row r="15">
      <c r="A15" s="18" t="inlineStr">
        <is>
          <t>REVERSION_GOODWILL</t>
        </is>
      </c>
      <c r="B15" s="18" t="inlineStr">
        <is>
          <t>Reversión de deterioro de goodwill en GW-01 por 15.000,00: está prohibida (NIC 36.124; PYMES 27.28).</t>
        </is>
      </c>
      <c r="C15" s="20" t="n">
        <v>15000</v>
      </c>
    </row>
    <row r="16">
      <c r="A16" s="19" t="inlineStr">
        <is>
          <t>REVERSION_NO_RECONOCIDA</t>
        </is>
      </c>
      <c r="B16" s="19" t="inlineStr">
        <is>
          <t>Con indicio de reversión y recuperable mayor que el importe en libros en PAT-01: reversión pendiente 10.000,00, limitada al importe en libros sin deterioro (NIC 36.114, 36.117; PYMES 27.30).</t>
        </is>
      </c>
      <c r="C16" s="21" t="n">
        <v>10000</v>
      </c>
    </row>
    <row r="17">
      <c r="A17" s="18" t="inlineStr">
        <is>
          <t>AUXILIAR_MAYOR</t>
        </is>
      </c>
      <c r="B17" s="18" t="inlineStr">
        <is>
          <t>El auxiliar (589.050,00) no concilia con el mayor (591.050,00): diferencia -2.000,00.</t>
        </is>
      </c>
      <c r="C17" s="20" t="n">
        <v>-2000</v>
      </c>
    </row>
    <row r="18">
      <c r="A18" s="19" t="inlineStr">
        <is>
          <t>AJUSTE</t>
        </is>
      </c>
      <c r="B18" s="19" t="inlineStr">
        <is>
          <t>Los intangibles netos auditados (549.050,00) difieren del neto según el mayor (591.050,00).</t>
        </is>
      </c>
      <c r="C18" s="21" t="n">
        <v>-42000</v>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27" customWidth="1" min="1" max="1"/>
    <col width="47" customWidth="1" min="2" max="2"/>
  </cols>
  <sheetData>
    <row r="1">
      <c r="A1" s="3" t="inlineStr">
        <is>
          <t>Conclusión</t>
        </is>
      </c>
      <c r="H1" s="14" t="inlineStr">
        <is>
          <t>⟵ Inicio</t>
        </is>
      </c>
      <c r="I1" s="14" t="inlineStr">
        <is>
          <t>◀ Anterior</t>
        </is>
      </c>
      <c r="J1" s="14" t="inlineStr">
        <is>
          <t>Siguiente ▶</t>
        </is>
      </c>
    </row>
    <row r="2">
      <c r="A2" s="15" t="inlineStr">
        <is>
          <t>Activos intangibles y goodwill · Cliente de muestra S.A. · corte 2025-12-31</t>
        </is>
      </c>
      <c r="B2" s="16" t="n"/>
      <c r="C2" s="16" t="n"/>
      <c r="D2" s="16" t="n"/>
      <c r="E2" s="16" t="n"/>
      <c r="F2" s="16" t="n"/>
    </row>
    <row r="4" ht="30" customHeight="1">
      <c r="A4" s="17" t="inlineStr">
        <is>
          <t>Concepto</t>
        </is>
      </c>
      <c r="B4" s="17" t="inlineStr">
        <is>
          <t>Detalle</t>
        </is>
      </c>
    </row>
    <row r="5">
      <c r="A5" s="18" t="inlineStr">
        <is>
          <t>Conciliación con el mayor</t>
        </is>
      </c>
      <c r="B5" s="18" t="inlineStr">
        <is>
          <t>Población None · mayor None · diferencia None</t>
        </is>
      </c>
    </row>
    <row r="6">
      <c r="A6" s="19" t="inlineStr">
        <is>
          <t>Evaluación de excepciones</t>
        </is>
      </c>
      <c r="B6" s="19" t="inlineStr"/>
    </row>
    <row r="7">
      <c r="A7" s="18" t="inlineStr">
        <is>
          <t>Análisis</t>
        </is>
      </c>
      <c r="B7" s="18" t="inlineStr"/>
    </row>
    <row r="8">
      <c r="A8" s="19" t="inlineStr">
        <is>
          <t>Conclusión</t>
        </is>
      </c>
      <c r="B8" s="19"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I4"/>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7" customWidth="1" min="3" max="3"/>
    <col width="14" customWidth="1" min="4" max="4"/>
    <col width="12" customWidth="1" min="5" max="5"/>
    <col width="12" customWidth="1" min="6" max="6"/>
  </cols>
  <sheetData>
    <row r="1">
      <c r="A1" s="3" t="inlineStr">
        <is>
          <t>Control de revisión</t>
        </is>
      </c>
      <c r="H1" s="14" t="inlineStr">
        <is>
          <t>⟵ Inicio</t>
        </is>
      </c>
      <c r="I1" s="14" t="inlineStr">
        <is>
          <t>◀ Anterior</t>
        </is>
      </c>
    </row>
    <row r="2">
      <c r="A2" s="15" t="inlineStr">
        <is>
          <t>Activos intangibles y goodwill · Cliente de muestra S.A. · corte 2025-12-31</t>
        </is>
      </c>
      <c r="B2" s="16" t="n"/>
      <c r="C2" s="16" t="n"/>
      <c r="D2" s="16" t="n"/>
      <c r="E2" s="16" t="n"/>
      <c r="F2" s="16" t="n"/>
    </row>
    <row r="4" ht="30" customHeight="1">
      <c r="A4" s="17" t="inlineStr">
        <is>
          <t>Fecha</t>
        </is>
      </c>
      <c r="B4" s="17" t="inlineStr">
        <is>
          <t>Acción</t>
        </is>
      </c>
      <c r="C4" s="17" t="inlineStr">
        <is>
          <t>Estado anterior</t>
        </is>
      </c>
      <c r="D4" s="17" t="inlineStr">
        <is>
          <t>Estado nuevo</t>
        </is>
      </c>
      <c r="E4" s="17" t="inlineStr">
        <is>
          <t>Actor</t>
        </is>
      </c>
      <c r="F4" s="17" t="inlineStr">
        <is>
          <t>Comentario</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2026-09-24T04:19:49Z</dcterms:created>
  <dcterms:modified xmlns:dcterms="http://purl.org/dc/terms/" xmlns:xsi="http://www.w3.org/2001/XMLSchema-instance" xsi:type="dcterms:W3CDTF">2026-09-24T04:19:49Z</dcterms:modified>
</cp:coreProperties>
</file>