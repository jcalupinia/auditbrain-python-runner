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Inicio" sheetId="1" state="visible" r:id="rId1"/>
    <sheet xmlns:r="http://schemas.openxmlformats.org/officeDocument/2006/relationships" name="00_Caratula" sheetId="2" state="visible" r:id="rId2"/>
    <sheet xmlns:r="http://schemas.openxmlformats.org/officeDocument/2006/relationships" name="00_Programa" sheetId="3" state="visible" r:id="rId3"/>
    <sheet xmlns:r="http://schemas.openxmlformats.org/officeDocument/2006/relationships" name="00_Fuentes" sheetId="4" state="visible" r:id="rId4"/>
    <sheet xmlns:r="http://schemas.openxmlformats.org/officeDocument/2006/relationships" name="01_Resumen" sheetId="5" state="visible" r:id="rId5"/>
    <sheet xmlns:r="http://schemas.openxmlformats.org/officeDocument/2006/relationships" name="02_Parametros" sheetId="6" state="visible" r:id="rId6"/>
    <sheet xmlns:r="http://schemas.openxmlformats.org/officeDocument/2006/relationships" name="03_Evidencia_historica" sheetId="7" state="visible" r:id="rId7"/>
    <sheet xmlns:r="http://schemas.openxmlformats.org/officeDocument/2006/relationships" name="04_Matriz_deterioro" sheetId="8" state="visible" r:id="rId8"/>
    <sheet xmlns:r="http://schemas.openxmlformats.org/officeDocument/2006/relationships" name="05_Por_cliente" sheetId="9" state="visible" r:id="rId9"/>
    <sheet xmlns:r="http://schemas.openxmlformats.org/officeDocument/2006/relationships" name="06_Movimiento_provision" sheetId="10" state="visible" r:id="rId10"/>
    <sheet xmlns:r="http://schemas.openxmlformats.org/officeDocument/2006/relationships" name="07_Mayor" sheetId="11" state="visible" r:id="rId11"/>
    <sheet xmlns:r="http://schemas.openxmlformats.org/officeDocument/2006/relationships" name="08_Fiscal" sheetId="12" state="visible" r:id="rId12"/>
    <sheet xmlns:r="http://schemas.openxmlformats.org/officeDocument/2006/relationships" name="09_Impuesto_diferido" sheetId="13" state="visible" r:id="rId13"/>
    <sheet xmlns:r="http://schemas.openxmlformats.org/officeDocument/2006/relationships" name="10_Asientos" sheetId="14" state="visible" r:id="rId14"/>
    <sheet xmlns:r="http://schemas.openxmlformats.org/officeDocument/2006/relationships" name="11_Detalle" sheetId="15" state="visible" r:id="rId15"/>
    <sheet xmlns:r="http://schemas.openxmlformats.org/officeDocument/2006/relationships" name="12_Problemas" sheetId="16" state="visible" r:id="rId16"/>
    <sheet xmlns:r="http://schemas.openxmlformats.org/officeDocument/2006/relationships" name="13_Conclusion" sheetId="17" state="visible" r:id="rId17"/>
    <sheet xmlns:r="http://schemas.openxmlformats.org/officeDocument/2006/relationships" name="14_Control_Revision" sheetId="18" state="visible" r:id="rId18"/>
  </sheets>
  <definedNames>
    <definedName name="_xlnm.Print_Area" localSheetId="0">'00_Inicio'!$A$1:$L$62</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14">
    <font>
      <name val="Calibri"/>
      <family val="2"/>
      <color theme="1"/>
      <sz val="11"/>
      <scheme val="minor"/>
    </font>
    <font>
      <name val="Montserrat"/>
      <b val="1"/>
      <color rgb="00FFFFFF"/>
      <sz val="16"/>
    </font>
    <font>
      <name val="Montserrat"/>
      <b val="1"/>
      <color rgb="000A2342"/>
      <sz val="15"/>
    </font>
    <font>
      <name val="Montserrat"/>
      <b val="1"/>
      <color rgb="000D7377"/>
      <sz val="9"/>
    </font>
    <font>
      <name val="Calibri"/>
      <color rgb="001A1A1A"/>
      <sz val="9"/>
    </font>
    <font>
      <name val="Montserrat"/>
      <b val="1"/>
      <color rgb="00C7A83C"/>
      <sz val="10"/>
    </font>
    <font>
      <name val="Consolas"/>
      <b val="1"/>
      <color rgb="000A2342"/>
      <sz val="18"/>
    </font>
    <font>
      <name val="Consolas"/>
      <b val="1"/>
      <color rgb="00C0392B"/>
      <sz val="18"/>
    </font>
    <font>
      <name val="Montserrat"/>
      <b val="1"/>
      <color rgb="00FFFFFF"/>
      <sz val="10"/>
    </font>
    <font>
      <name val="Calibri"/>
      <i val="1"/>
      <color rgb="006B7280"/>
      <sz val="8"/>
    </font>
    <font>
      <name val="Calibri"/>
      <color rgb="008A94A6"/>
      <sz val="8"/>
    </font>
    <font>
      <name val="Montserrat"/>
      <b val="1"/>
      <color rgb="000A2342"/>
      <sz val="9"/>
    </font>
    <font>
      <name val="Consolas"/>
      <color rgb="001A1A1A"/>
      <sz val="9"/>
    </font>
    <font>
      <name val="Consolas"/>
      <b val="1"/>
      <color rgb="000A2342"/>
      <sz val="10"/>
    </font>
  </fonts>
  <fills count="8">
    <fill>
      <patternFill/>
    </fill>
    <fill>
      <patternFill patternType="gray125"/>
    </fill>
    <fill>
      <patternFill patternType="solid">
        <fgColor rgb="000A2342"/>
      </patternFill>
    </fill>
    <fill>
      <patternFill patternType="solid">
        <fgColor rgb="00F4F6F9"/>
      </patternFill>
    </fill>
    <fill>
      <patternFill patternType="solid">
        <fgColor rgb="000D7377"/>
      </patternFill>
    </fill>
    <fill>
      <patternFill patternType="solid">
        <fgColor rgb="00DCE6F1"/>
      </patternFill>
    </fill>
    <fill>
      <patternFill patternType="solid">
        <fgColor rgb="00F7F9FC"/>
      </patternFill>
    </fill>
    <fill>
      <patternFill patternType="solid">
        <fgColor rgb="00C7A83C"/>
      </patternFill>
    </fill>
  </fills>
  <borders count="5">
    <border>
      <left/>
      <right/>
      <top/>
      <bottom/>
      <diagonal/>
    </border>
    <border>
      <left style="thin">
        <color rgb="00B7C0CC"/>
      </left>
      <right style="thin">
        <color rgb="00B7C0CC"/>
      </right>
      <top style="thin">
        <color rgb="00B7C0CC"/>
      </top>
      <bottom style="thin">
        <color rgb="00B7C0CC"/>
      </bottom>
    </border>
    <border>
      <bottom style="medium">
        <color rgb="00C7A83C"/>
      </bottom>
    </border>
    <border>
      <bottom style="thin">
        <color rgb="00E3E8EF"/>
      </bottom>
    </border>
    <border>
      <left style="thin">
        <color rgb="00B7C0CC"/>
      </left>
      <right style="thin">
        <color rgb="00B7C0CC"/>
      </right>
      <top style="double">
        <color rgb="000A2342"/>
      </top>
      <bottom style="double">
        <color rgb="000A2342"/>
      </bottom>
    </border>
  </borders>
  <cellStyleXfs count="1">
    <xf numFmtId="0" fontId="0" fillId="0" borderId="0"/>
  </cellStyleXfs>
  <cellXfs count="41">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3" fillId="3" borderId="1" applyAlignment="1" pivotButton="0" quotePrefix="0" xfId="0">
      <alignment vertical="bottom" wrapText="1"/>
    </xf>
    <xf numFmtId="4" fontId="6" fillId="3" borderId="1" pivotButton="0" quotePrefix="0" xfId="0"/>
    <xf numFmtId="3" fontId="7" fillId="3" borderId="1" pivotButton="0" quotePrefix="0" xfId="0"/>
    <xf numFmtId="0" fontId="8" fillId="4" borderId="1" applyAlignment="1" pivotButton="0" quotePrefix="0" xfId="0">
      <alignment horizontal="center" vertical="center" wrapText="1"/>
    </xf>
    <xf numFmtId="0" fontId="9" fillId="0" borderId="0" pivotButton="0" quotePrefix="0" xfId="0"/>
    <xf numFmtId="0" fontId="10" fillId="0" borderId="0" pivotButton="0" quotePrefix="0" xfId="0"/>
    <xf numFmtId="4" fontId="10" fillId="0" borderId="0" pivotButton="0" quotePrefix="0" xfId="0"/>
    <xf numFmtId="0" fontId="11" fillId="5" borderId="1" applyAlignment="1" pivotButton="0" quotePrefix="0" xfId="0">
      <alignment horizontal="center" vertical="center" wrapText="1"/>
    </xf>
    <xf numFmtId="0" fontId="5" fillId="0" borderId="2" pivotButton="0" quotePrefix="0" xfId="0"/>
    <xf numFmtId="0" fontId="0" fillId="0" borderId="2" pivotButton="0" quotePrefix="0" xfId="0"/>
    <xf numFmtId="0" fontId="8" fillId="2" borderId="2" applyAlignment="1" pivotButton="0" quotePrefix="0" xfId="0">
      <alignment horizontal="center" vertical="center" wrapText="1"/>
    </xf>
    <xf numFmtId="0" fontId="4" fillId="0" borderId="3" applyAlignment="1" pivotButton="0" quotePrefix="0" xfId="0">
      <alignment horizontal="left" vertical="top" wrapText="1"/>
    </xf>
    <xf numFmtId="0" fontId="4" fillId="6" borderId="3" applyAlignment="1" pivotButton="0" quotePrefix="0" xfId="0">
      <alignment horizontal="left" vertical="top" wrapText="1"/>
    </xf>
    <xf numFmtId="4" fontId="12" fillId="0" borderId="3" applyAlignment="1" pivotButton="0" quotePrefix="0" xfId="0">
      <alignment horizontal="right" vertical="center"/>
    </xf>
    <xf numFmtId="4" fontId="12" fillId="6" borderId="3" applyAlignment="1" pivotButton="0" quotePrefix="0" xfId="0">
      <alignment horizontal="right" vertical="center"/>
    </xf>
    <xf numFmtId="0" fontId="5" fillId="7" borderId="0" applyAlignment="1" pivotButton="0" quotePrefix="0" xfId="0">
      <alignment horizontal="left" vertical="top" wrapText="1"/>
    </xf>
    <xf numFmtId="0" fontId="8" fillId="2" borderId="1" applyAlignment="1" pivotButton="0" quotePrefix="0" xfId="0">
      <alignment horizontal="center" vertical="center" wrapText="1"/>
    </xf>
    <xf numFmtId="0" fontId="4" fillId="3" borderId="1" applyAlignment="1" pivotButton="0" quotePrefix="0" xfId="0">
      <alignment horizontal="left" vertical="top" wrapText="1"/>
    </xf>
    <xf numFmtId="0" fontId="12" fillId="3" borderId="1" applyAlignment="1" pivotButton="0" quotePrefix="0" xfId="0">
      <alignment horizontal="left" vertical="top" wrapText="1"/>
    </xf>
    <xf numFmtId="165" fontId="4" fillId="0" borderId="3" applyAlignment="1" pivotButton="0" quotePrefix="0" xfId="0">
      <alignment horizontal="center" vertical="center" wrapText="1"/>
    </xf>
    <xf numFmtId="165" fontId="4" fillId="6" borderId="3" applyAlignment="1" pivotButton="0" quotePrefix="0" xfId="0">
      <alignment horizontal="center" vertical="center" wrapText="1"/>
    </xf>
    <xf numFmtId="0" fontId="12" fillId="6" borderId="3" applyAlignment="1" pivotButton="0" quotePrefix="0" xfId="0">
      <alignment horizontal="right" vertical="center"/>
    </xf>
    <xf numFmtId="0" fontId="12" fillId="0" borderId="3" applyAlignment="1" pivotButton="0" quotePrefix="0" xfId="0">
      <alignment horizontal="right" vertical="center"/>
    </xf>
    <xf numFmtId="3" fontId="12" fillId="0" borderId="3" applyAlignment="1" pivotButton="0" quotePrefix="0" xfId="0">
      <alignment horizontal="right" vertical="center"/>
    </xf>
    <xf numFmtId="10" fontId="12" fillId="0" borderId="3" applyAlignment="1" pivotButton="0" quotePrefix="0" xfId="0">
      <alignment horizontal="right" vertical="center"/>
    </xf>
    <xf numFmtId="3" fontId="12" fillId="6" borderId="3" applyAlignment="1" pivotButton="0" quotePrefix="0" xfId="0">
      <alignment horizontal="right" vertical="center"/>
    </xf>
    <xf numFmtId="10" fontId="12" fillId="6" borderId="3" applyAlignment="1" pivotButton="0" quotePrefix="0" xfId="0">
      <alignment horizontal="right" vertical="center"/>
    </xf>
    <xf numFmtId="0" fontId="13" fillId="5" borderId="4" applyAlignment="1" pivotButton="0" quotePrefix="0" xfId="0">
      <alignment horizontal="left" vertical="top" wrapText="1"/>
    </xf>
    <xf numFmtId="3" fontId="13" fillId="5" borderId="4" applyAlignment="1" pivotButton="0" quotePrefix="0" xfId="0">
      <alignment horizontal="right" vertical="center"/>
    </xf>
    <xf numFmtId="4" fontId="13" fillId="5" borderId="4" applyAlignment="1" pivotButton="0" quotePrefix="0" xfId="0">
      <alignment horizontal="right" vertical="center"/>
    </xf>
    <xf numFmtId="10" fontId="13" fillId="5" borderId="4" applyAlignment="1" pivotButton="0" quotePrefix="0" xfId="0">
      <alignment horizontal="right" vertical="center"/>
    </xf>
    <xf numFmtId="165" fontId="12" fillId="0" borderId="3" applyAlignment="1" pivotButton="0" quotePrefix="0" xfId="0">
      <alignment horizontal="center" vertical="center" wrapText="1"/>
    </xf>
    <xf numFmtId="165" fontId="12" fillId="6" borderId="3" applyAlignment="1" pivotButton="0" quotePrefix="0" xfId="0">
      <alignment horizontal="center" vertical="center" wrapText="1"/>
    </xf>
    <xf numFmtId="165" fontId="13" fillId="5" borderId="4"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styles" Target="styles.xml" Id="rId19"/><Relationship Type="http://schemas.openxmlformats.org/officeDocument/2006/relationships/theme" Target="theme/theme1.xml" Id="rId20"/></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Cifras del resumen (USD)</a:t>
            </a:r>
          </a:p>
        </rich>
      </tx>
    </title>
    <plotArea>
      <barChart>
        <barDir val="bar"/>
        <grouping val="clustered"/>
        <ser>
          <idx val="0"/>
          <order val="0"/>
          <tx>
            <strRef>
              <f>'00_Inicio'!O23</f>
            </strRef>
          </tx>
          <spPr>
            <a:solidFill xmlns:a="http://schemas.openxmlformats.org/drawingml/2006/main">
              <a:srgbClr val="0093A3"/>
            </a:solidFill>
            <a:ln xmlns:a="http://schemas.openxmlformats.org/drawingml/2006/main">
              <a:noFill/>
              <a:prstDash val="solid"/>
            </a:ln>
          </spPr>
          <invertIfNegative val="0"/>
          <cat>
            <numRef>
              <f>'00_Inicio'!$N$24:$N$33</f>
            </numRef>
          </cat>
          <val>
            <numRef>
              <f>'00_Inicio'!$O$24:$O$33</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Hallazgos de mayor impacto (USD)</a:t>
            </a:r>
          </a:p>
        </rich>
      </tx>
    </title>
    <plotArea>
      <barChart>
        <barDir val="bar"/>
        <grouping val="clustered"/>
        <ser>
          <idx val="0"/>
          <order val="0"/>
          <tx>
            <strRef>
              <f>'00_Inicio'!O35</f>
            </strRef>
          </tx>
          <spPr>
            <a:solidFill xmlns:a="http://schemas.openxmlformats.org/drawingml/2006/main">
              <a:srgbClr val="0093A3"/>
            </a:solidFill>
            <a:ln xmlns:a="http://schemas.openxmlformats.org/drawingml/2006/main">
              <a:noFill/>
              <a:prstDash val="solid"/>
            </a:ln>
          </spPr>
          <invertIfNegative val="0"/>
          <cat>
            <numRef>
              <f>'00_Inicio'!$N$36:$N$39</f>
            </numRef>
          </cat>
          <val>
            <numRef>
              <f>'00_Inicio'!$O$36:$O$39</f>
            </numRef>
          </val>
        </ser>
        <dLbls>
          <numFmt formatCode="#,##0.00"/>
          <showLegendKey val="0"/>
          <showVal val="1"/>
          <showCatName val="0"/>
          <showSerName val="0"/>
          <showPercent val="0"/>
        </dLbls>
        <gapWidth val="60"/>
        <axId val="10"/>
        <axId val="100"/>
      </barChart>
      <catAx>
        <axId val="10"/>
        <scaling>
          <orientation val="maxMin"/>
        </scaling>
        <delete val="0"/>
        <axPos val="l"/>
        <majorTickMark val="none"/>
        <minorTickMark val="none"/>
        <tickLblPos val="low"/>
        <crossAx val="100"/>
        <lblOffset val="100"/>
      </catAx>
      <valAx>
        <axId val="100"/>
        <scaling>
          <orientation val="minMax"/>
        </scaling>
        <delete val="0"/>
        <axPos val="l"/>
        <numFmt formatCode="#,##0" sourceLinked="0"/>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col>
      <colOff>0</colOff>
      <row>23</row>
      <rowOff>0</rowOff>
    </from>
    <ext cx="7740000" cy="3671999"/>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col>
      <colOff>0</colOff>
      <row>45</row>
      <rowOff>0</rowOff>
    </from>
    <ext cx="7740000" cy="252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Caratula'!A1" TargetMode="External" Id="rId1"/><Relationship Type="http://schemas.openxmlformats.org/officeDocument/2006/relationships/hyperlink" Target="#'00_Programa'!A1" TargetMode="External" Id="rId2"/><Relationship Type="http://schemas.openxmlformats.org/officeDocument/2006/relationships/hyperlink" Target="#'00_Fuentes'!A1" TargetMode="External" Id="rId3"/><Relationship Type="http://schemas.openxmlformats.org/officeDocument/2006/relationships/hyperlink" Target="#'01_Resumen'!A1" TargetMode="External" Id="rId4"/><Relationship Type="http://schemas.openxmlformats.org/officeDocument/2006/relationships/hyperlink" Target="#'02_Parametros'!A1" TargetMode="External" Id="rId5"/><Relationship Type="http://schemas.openxmlformats.org/officeDocument/2006/relationships/hyperlink" Target="#'03_Evidencia_historica'!A1" TargetMode="External" Id="rId6"/><Relationship Type="http://schemas.openxmlformats.org/officeDocument/2006/relationships/hyperlink" Target="#'04_Matriz_deterioro'!A1" TargetMode="External" Id="rId7"/><Relationship Type="http://schemas.openxmlformats.org/officeDocument/2006/relationships/hyperlink" Target="#'05_Por_cliente'!A1" TargetMode="External" Id="rId8"/><Relationship Type="http://schemas.openxmlformats.org/officeDocument/2006/relationships/hyperlink" Target="#'06_Movimiento_provision'!A1" TargetMode="External" Id="rId9"/><Relationship Type="http://schemas.openxmlformats.org/officeDocument/2006/relationships/hyperlink" Target="#'07_Mayor'!A1" TargetMode="External" Id="rId10"/><Relationship Type="http://schemas.openxmlformats.org/officeDocument/2006/relationships/hyperlink" Target="#'08_Fiscal'!A1" TargetMode="External" Id="rId11"/><Relationship Type="http://schemas.openxmlformats.org/officeDocument/2006/relationships/hyperlink" Target="#'09_Impuesto_diferido'!A1" TargetMode="External" Id="rId12"/><Relationship Type="http://schemas.openxmlformats.org/officeDocument/2006/relationships/hyperlink" Target="#'10_Asientos'!A1" TargetMode="External" Id="rId13"/><Relationship Type="http://schemas.openxmlformats.org/officeDocument/2006/relationships/hyperlink" Target="#'11_Detalle'!A1" TargetMode="External" Id="rId14"/><Relationship Type="http://schemas.openxmlformats.org/officeDocument/2006/relationships/hyperlink" Target="#'12_Problemas'!A1" TargetMode="External" Id="rId15"/><Relationship Type="http://schemas.openxmlformats.org/officeDocument/2006/relationships/hyperlink" Target="#'13_Conclusion'!A1" TargetMode="External" Id="rId16"/><Relationship Type="http://schemas.openxmlformats.org/officeDocument/2006/relationships/hyperlink" Target="#'14_Control_Revision'!A1" TargetMode="External" Id="rId17"/><Relationship Type="http://schemas.openxmlformats.org/officeDocument/2006/relationships/drawing" Target="/xl/drawings/drawing1.xml" Id="rId18"/></Relationships>
</file>

<file path=xl/worksheets/_rels/sheet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s>
</file>

<file path=xl/worksheets/_rels/sheet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Caratula'!A1" TargetMode="External" Id="rId2"/><Relationship Type="http://schemas.openxmlformats.org/officeDocument/2006/relationships/hyperlink" Target="#'00_Fuentes'!A1" TargetMode="External" Id="rId3"/></Relationships>
</file>

<file path=xl/worksheets/_rels/sheet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Programa'!A1" TargetMode="External" Id="rId2"/><Relationship Type="http://schemas.openxmlformats.org/officeDocument/2006/relationships/hyperlink" Target="#'01_Resumen'!A1" TargetMode="External" Id="rId3"/></Relationships>
</file>

<file path=xl/worksheets/_rels/sheet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0_Fuentes'!A1" TargetMode="External" Id="rId2"/><Relationship Type="http://schemas.openxmlformats.org/officeDocument/2006/relationships/hyperlink" Target="#'02_Parametros'!A1" TargetMode="External" Id="rId3"/></Relationships>
</file>

<file path=xl/worksheets/_rels/sheet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1_Resumen'!A1" TargetMode="External" Id="rId2"/><Relationship Type="http://schemas.openxmlformats.org/officeDocument/2006/relationships/hyperlink" Target="#'03_Evidencia_historica'!A1" TargetMode="External" Id="rId3"/></Relationships>
</file>

<file path=xl/worksheets/_rels/sheet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2_Parametros'!A1" TargetMode="External" Id="rId2"/><Relationship Type="http://schemas.openxmlformats.org/officeDocument/2006/relationships/hyperlink" Target="#'04_Matriz_deterioro'!A1" TargetMode="External" Id="rId3"/></Relationships>
</file>

<file path=xl/worksheets/_rels/sheet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3_Evidencia_historica'!A1" TargetMode="External" Id="rId2"/><Relationship Type="http://schemas.openxmlformats.org/officeDocument/2006/relationships/hyperlink" Target="#'05_Por_cliente'!A1" TargetMode="External" Id="rId3"/></Relationships>
</file>

<file path=xl/worksheets/_rels/sheet9.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4_Matriz_deterioro'!A1" TargetMode="External" Id="rId2"/><Relationship Type="http://schemas.openxmlformats.org/officeDocument/2006/relationships/hyperlink" Target="#'06_Movimiento_provision'!A1" TargetMode="External" Id="rId3"/></Relationships>
</file>

<file path=xl/worksheets/_rels/sheet10.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5_Por_cliente'!A1" TargetMode="External" Id="rId2"/><Relationship Type="http://schemas.openxmlformats.org/officeDocument/2006/relationships/hyperlink" Target="#'07_Mayor'!A1" TargetMode="External" Id="rId3"/></Relationships>
</file>

<file path=xl/worksheets/_rels/sheet11.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6_Movimiento_provision'!A1" TargetMode="External" Id="rId2"/><Relationship Type="http://schemas.openxmlformats.org/officeDocument/2006/relationships/hyperlink" Target="#'08_Fiscal'!A1" TargetMode="External" Id="rId3"/></Relationships>
</file>

<file path=xl/worksheets/_rels/sheet12.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7_Mayor'!A1" TargetMode="External" Id="rId2"/><Relationship Type="http://schemas.openxmlformats.org/officeDocument/2006/relationships/hyperlink" Target="#'09_Impuesto_diferido'!A1" TargetMode="External" Id="rId3"/></Relationships>
</file>

<file path=xl/worksheets/_rels/sheet13.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8_Fiscal'!A1" TargetMode="External" Id="rId2"/><Relationship Type="http://schemas.openxmlformats.org/officeDocument/2006/relationships/hyperlink" Target="#'10_Asientos'!A1" TargetMode="External" Id="rId3"/></Relationships>
</file>

<file path=xl/worksheets/_rels/sheet14.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09_Impuesto_diferido'!A1" TargetMode="External" Id="rId2"/><Relationship Type="http://schemas.openxmlformats.org/officeDocument/2006/relationships/hyperlink" Target="#'11_Detalle'!A1" TargetMode="External" Id="rId3"/></Relationships>
</file>

<file path=xl/worksheets/_rels/sheet15.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0_Asientos'!A1" TargetMode="External" Id="rId2"/><Relationship Type="http://schemas.openxmlformats.org/officeDocument/2006/relationships/hyperlink" Target="#'12_Problemas'!A1" TargetMode="External" Id="rId3"/></Relationships>
</file>

<file path=xl/worksheets/_rels/sheet16.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1_Detalle'!A1" TargetMode="External" Id="rId2"/><Relationship Type="http://schemas.openxmlformats.org/officeDocument/2006/relationships/hyperlink" Target="#'13_Conclusion'!A1" TargetMode="External" Id="rId3"/></Relationships>
</file>

<file path=xl/worksheets/_rels/sheet17.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2_Problemas'!A1" TargetMode="External" Id="rId2"/><Relationship Type="http://schemas.openxmlformats.org/officeDocument/2006/relationships/hyperlink" Target="#'14_Control_Revision'!A1" TargetMode="External" Id="rId3"/></Relationships>
</file>

<file path=xl/worksheets/_rels/sheet18.xml.rels><Relationships xmlns="http://schemas.openxmlformats.org/package/2006/relationships"><Relationship Type="http://schemas.openxmlformats.org/officeDocument/2006/relationships/hyperlink" Target="#'00_Inicio'!A1" TargetMode="External" Id="rId1"/><Relationship Type="http://schemas.openxmlformats.org/officeDocument/2006/relationships/hyperlink" Target="#'13_Conclusion'!A1" TargetMode="External" Id="rId2"/></Relationships>
</file>

<file path=xl/worksheets/sheet1.xml><?xml version="1.0" encoding="utf-8"?>
<worksheet xmlns="http://schemas.openxmlformats.org/spreadsheetml/2006/main">
  <sheetPr>
    <outlinePr summaryBelow="1" summaryRight="1"/>
    <pageSetUpPr fitToPage="1"/>
  </sheetPr>
  <dimension ref="B2:O39"/>
  <sheetViews>
    <sheetView showGridLines="0" workbookViewId="0">
      <selection activeCell="A1" sqref="A1"/>
    </sheetView>
  </sheetViews>
  <sheetFormatPr baseColWidth="8" defaultRowHeight="15"/>
  <cols>
    <col width="3" customWidth="1" min="1" max="1"/>
    <col width="27" customWidth="1" min="2" max="2"/>
    <col width="27" customWidth="1" min="3" max="3"/>
    <col width="27" customWidth="1" min="4" max="4"/>
    <col width="27" customWidth="1" min="5" max="5"/>
    <col width="27" customWidth="1" min="6" max="6"/>
    <col width="34" customWidth="1" min="14" max="14"/>
    <col width="16" customWidth="1" min="15" max="15"/>
  </cols>
  <sheetData>
    <row r="2">
      <c r="B2" s="1" t="inlineStr">
        <is>
          <t>AuditConsulting Auditores Cía. Ltda.  ·  AUDIT-IA</t>
        </is>
      </c>
      <c r="C2" s="2" t="n"/>
      <c r="D2" s="2" t="n"/>
      <c r="E2" s="2" t="n"/>
      <c r="F2" s="2" t="n"/>
    </row>
    <row r="3">
      <c r="B3" s="2" t="n"/>
      <c r="C3" s="2" t="n"/>
      <c r="D3" s="2" t="n"/>
      <c r="E3" s="2" t="n"/>
      <c r="F3" s="2" t="n"/>
    </row>
    <row r="4">
      <c r="B4" s="3" t="inlineStr">
        <is>
          <t>Deterioro de cuentas por cobrar · pérdidas incurridas (PYMES)</t>
        </is>
      </c>
    </row>
    <row r="6">
      <c r="B6" s="4" t="inlineStr">
        <is>
          <t>Cliente</t>
        </is>
      </c>
      <c r="C6" s="5" t="inlineStr">
        <is>
          <t>Cliente de muestra S.A.</t>
        </is>
      </c>
      <c r="D6" s="4" t="inlineStr">
        <is>
          <t>RUC</t>
        </is>
      </c>
      <c r="E6" s="5" t="inlineStr">
        <is>
          <t>1790000000001</t>
        </is>
      </c>
    </row>
    <row r="7">
      <c r="B7" s="4" t="inlineStr">
        <is>
          <t>Marco contable</t>
        </is>
      </c>
      <c r="C7" s="5" t="inlineStr">
        <is>
          <t>NIIF para las PYMES</t>
        </is>
      </c>
      <c r="D7" s="4" t="inlineStr">
        <is>
          <t>Fecha de corte</t>
        </is>
      </c>
      <c r="E7" s="5" t="inlineStr">
        <is>
          <t>2025-12-31</t>
        </is>
      </c>
    </row>
    <row r="8">
      <c r="B8" s="4" t="inlineStr">
        <is>
          <t>Preparó</t>
        </is>
      </c>
      <c r="C8" s="5" t="inlineStr">
        <is>
          <t>Ejercicio modelo</t>
        </is>
      </c>
      <c r="D8" s="4" t="inlineStr">
        <is>
          <t>Revisó</t>
        </is>
      </c>
      <c r="E8" s="5" t="inlineStr">
        <is>
          <t>Pendiente</t>
        </is>
      </c>
    </row>
    <row r="10">
      <c r="B10" s="6" t="inlineStr">
        <is>
          <t>INDICADORES CLAVE</t>
        </is>
      </c>
    </row>
    <row r="11" ht="30" customHeight="1">
      <c r="B11" s="7" t="inlineStr">
        <is>
          <t>Ajuste propuesto</t>
        </is>
      </c>
      <c r="C11" s="7" t="inlineStr">
        <is>
          <t>Pérdida incurrida recalculada</t>
        </is>
      </c>
      <c r="D11" s="7" t="inlineStr">
        <is>
          <t>Problemas encontrados</t>
        </is>
      </c>
    </row>
    <row r="12">
      <c r="B12" s="8" t="n">
        <v>14932.98</v>
      </c>
      <c r="C12" s="8" t="n">
        <v>20749.02</v>
      </c>
      <c r="D12" s="9" t="n">
        <v>7</v>
      </c>
    </row>
    <row r="15">
      <c r="B15" s="6" t="inlineStr">
        <is>
          <t>IR A LA CÉDULA</t>
        </is>
      </c>
    </row>
    <row r="16" ht="32" customHeight="1">
      <c r="B16" s="10" t="inlineStr">
        <is>
          <t>Carátula</t>
        </is>
      </c>
      <c r="C16" s="10" t="inlineStr">
        <is>
          <t>Programa</t>
        </is>
      </c>
      <c r="D16" s="10" t="inlineStr">
        <is>
          <t>Base técnica</t>
        </is>
      </c>
      <c r="E16" s="10" t="inlineStr">
        <is>
          <t>Resumen</t>
        </is>
      </c>
    </row>
    <row r="17" ht="32" customHeight="1">
      <c r="B17" s="10" t="inlineStr">
        <is>
          <t>Parámetros</t>
        </is>
      </c>
      <c r="C17" s="10" t="inlineStr">
        <is>
          <t>Evidencia histórica</t>
        </is>
      </c>
      <c r="D17" s="10" t="inlineStr">
        <is>
          <t>Matriz de deterioro</t>
        </is>
      </c>
      <c r="E17" s="10" t="inlineStr">
        <is>
          <t>Por cliente</t>
        </is>
      </c>
    </row>
    <row r="18" ht="32" customHeight="1">
      <c r="B18" s="10" t="inlineStr">
        <is>
          <t>Movimiento de la provisión</t>
        </is>
      </c>
      <c r="C18" s="10" t="inlineStr">
        <is>
          <t>Provisión según el mayor</t>
        </is>
      </c>
      <c r="D18" s="10" t="inlineStr">
        <is>
          <t>Fiscal</t>
        </is>
      </c>
      <c r="E18" s="10" t="inlineStr">
        <is>
          <t>Impuesto diferido por factura</t>
        </is>
      </c>
    </row>
    <row r="19" ht="32" customHeight="1">
      <c r="B19" s="10" t="inlineStr">
        <is>
          <t>Asientos propuestos</t>
        </is>
      </c>
      <c r="C19" s="10" t="inlineStr">
        <is>
          <t>Detalle por factura</t>
        </is>
      </c>
      <c r="D19" s="10" t="inlineStr">
        <is>
          <t>Problemas encontrados</t>
        </is>
      </c>
      <c r="E19" s="10" t="inlineStr">
        <is>
          <t>Conclusión</t>
        </is>
      </c>
    </row>
    <row r="20" ht="32" customHeight="1">
      <c r="B20" s="10" t="inlineStr">
        <is>
          <t>Control de revisión</t>
        </is>
      </c>
    </row>
    <row r="22">
      <c r="B22" s="6" t="inlineStr">
        <is>
          <t>PANORAMA</t>
        </is>
      </c>
      <c r="N22" s="11" t="inlineStr">
        <is>
          <t>Datos de los gráficos (fórmulas a las cédulas)</t>
        </is>
      </c>
    </row>
    <row r="23">
      <c r="N23" s="12" t="inlineStr">
        <is>
          <t>Cifras del resumen</t>
        </is>
      </c>
      <c r="O23" s="12" t="inlineStr">
        <is>
          <t>Importe (USD)</t>
        </is>
      </c>
    </row>
    <row r="24">
      <c r="N24" s="12">
        <f>'01_Resumen'!A5</f>
        <v/>
      </c>
      <c r="O24" s="13">
        <f>'01_Resumen'!B5</f>
        <v/>
      </c>
    </row>
    <row r="25">
      <c r="N25" s="12">
        <f>'01_Resumen'!A6</f>
        <v/>
      </c>
      <c r="O25" s="13">
        <f>'01_Resumen'!B6</f>
        <v/>
      </c>
    </row>
    <row r="26">
      <c r="N26" s="12">
        <f>'01_Resumen'!A7</f>
        <v/>
      </c>
      <c r="O26" s="13">
        <f>'01_Resumen'!B7</f>
        <v/>
      </c>
    </row>
    <row r="27">
      <c r="N27" s="12">
        <f>'01_Resumen'!A8</f>
        <v/>
      </c>
      <c r="O27" s="13">
        <f>'01_Resumen'!B8</f>
        <v/>
      </c>
    </row>
    <row r="28">
      <c r="N28" s="12">
        <f>'01_Resumen'!A9</f>
        <v/>
      </c>
      <c r="O28" s="13">
        <f>'01_Resumen'!B9</f>
        <v/>
      </c>
    </row>
    <row r="29">
      <c r="N29" s="12">
        <f>'01_Resumen'!A10</f>
        <v/>
      </c>
      <c r="O29" s="13">
        <f>'01_Resumen'!B10</f>
        <v/>
      </c>
    </row>
    <row r="30">
      <c r="N30" s="12">
        <f>'01_Resumen'!A11</f>
        <v/>
      </c>
      <c r="O30" s="13">
        <f>'01_Resumen'!B11</f>
        <v/>
      </c>
    </row>
    <row r="31">
      <c r="N31" s="12">
        <f>'01_Resumen'!A12</f>
        <v/>
      </c>
      <c r="O31" s="13">
        <f>'01_Resumen'!B12</f>
        <v/>
      </c>
    </row>
    <row r="32">
      <c r="N32" s="12">
        <f>'01_Resumen'!A13</f>
        <v/>
      </c>
      <c r="O32" s="13">
        <f>'01_Resumen'!B13</f>
        <v/>
      </c>
    </row>
    <row r="33">
      <c r="N33" s="12">
        <f>'01_Resumen'!A14</f>
        <v/>
      </c>
      <c r="O33" s="13">
        <f>'01_Resumen'!B14</f>
        <v/>
      </c>
    </row>
    <row r="35">
      <c r="N35" s="12" t="inlineStr">
        <is>
          <t>Hallazgos de mayor impacto</t>
        </is>
      </c>
      <c r="O35" s="12" t="inlineStr">
        <is>
          <t>Importe (USD)</t>
        </is>
      </c>
    </row>
    <row r="36">
      <c r="N36" s="12" t="inlineStr">
        <is>
          <t>Tramo no medible</t>
        </is>
      </c>
      <c r="O36" s="13">
        <f>SUMIFS('12_Problemas'!$C$5:$C$11,'12_Problemas'!$A$5:$A$11,"TRAMO_NO_MEDIBLE",'12_Problemas'!$C$5:$C$11,"&gt;0")-SUMIFS('12_Problemas'!$C$5:$C$11,'12_Problemas'!$A$5:$A$11,"TRAMO_NO_MEDIBLE",'12_Problemas'!$C$5:$C$11,"&lt;0")</f>
        <v/>
      </c>
    </row>
    <row r="37">
      <c r="N37" s="12" t="inlineStr">
        <is>
          <t>Evaluacion individual (×4)</t>
        </is>
      </c>
      <c r="O37" s="13">
        <f>SUMIFS('12_Problemas'!$C$5:$C$11,'12_Problemas'!$A$5:$A$11,"EVALUACION_INDIVIDUAL",'12_Problemas'!$C$5:$C$11,"&gt;0")-SUMIFS('12_Problemas'!$C$5:$C$11,'12_Problemas'!$A$5:$A$11,"EVALUACION_INDIVIDUAL",'12_Problemas'!$C$5:$C$11,"&lt;0")</f>
        <v/>
      </c>
    </row>
    <row r="38">
      <c r="N38" s="12" t="inlineStr">
        <is>
          <t>Ajuste</t>
        </is>
      </c>
      <c r="O38" s="13">
        <f>SUMIFS('12_Problemas'!$C$5:$C$11,'12_Problemas'!$A$5:$A$11,"AJUSTE",'12_Problemas'!$C$5:$C$11,"&gt;0")-SUMIFS('12_Problemas'!$C$5:$C$11,'12_Problemas'!$A$5:$A$11,"AJUSTE",'12_Problemas'!$C$5:$C$11,"&lt;0")</f>
        <v/>
      </c>
    </row>
    <row r="39">
      <c r="N39" s="12" t="inlineStr">
        <is>
          <t>No deducible</t>
        </is>
      </c>
      <c r="O39" s="13">
        <f>SUMIFS('12_Problemas'!$C$5:$C$11,'12_Problemas'!$A$5:$A$11,"NO_DEDUCIBLE",'12_Problemas'!$C$5:$C$11,"&gt;0")-SUMIFS('12_Problemas'!$C$5:$C$11,'12_Problemas'!$A$5:$A$11,"NO_DEDUCIBLE",'12_Problemas'!$C$5:$C$11,"&lt;0")</f>
        <v/>
      </c>
    </row>
  </sheetData>
  <mergeCells count="2">
    <mergeCell ref="B4:F4"/>
    <mergeCell ref="B2:F3"/>
  </mergeCells>
  <hyperlinks>
    <hyperlink xmlns:r="http://schemas.openxmlformats.org/officeDocument/2006/relationships" ref="B16" r:id="rId1"/>
    <hyperlink xmlns:r="http://schemas.openxmlformats.org/officeDocument/2006/relationships" ref="C16" r:id="rId2"/>
    <hyperlink xmlns:r="http://schemas.openxmlformats.org/officeDocument/2006/relationships" ref="D16" r:id="rId3"/>
    <hyperlink xmlns:r="http://schemas.openxmlformats.org/officeDocument/2006/relationships" ref="E16" r:id="rId4"/>
    <hyperlink xmlns:r="http://schemas.openxmlformats.org/officeDocument/2006/relationships" ref="B17" r:id="rId5"/>
    <hyperlink xmlns:r="http://schemas.openxmlformats.org/officeDocument/2006/relationships" ref="C17" r:id="rId6"/>
    <hyperlink xmlns:r="http://schemas.openxmlformats.org/officeDocument/2006/relationships" ref="D17" r:id="rId7"/>
    <hyperlink xmlns:r="http://schemas.openxmlformats.org/officeDocument/2006/relationships" ref="E17" r:id="rId8"/>
    <hyperlink xmlns:r="http://schemas.openxmlformats.org/officeDocument/2006/relationships" ref="B18" r:id="rId9"/>
    <hyperlink xmlns:r="http://schemas.openxmlformats.org/officeDocument/2006/relationships" ref="C18" r:id="rId10"/>
    <hyperlink xmlns:r="http://schemas.openxmlformats.org/officeDocument/2006/relationships" ref="D18" r:id="rId11"/>
    <hyperlink xmlns:r="http://schemas.openxmlformats.org/officeDocument/2006/relationships" ref="E18" r:id="rId12"/>
    <hyperlink xmlns:r="http://schemas.openxmlformats.org/officeDocument/2006/relationships" ref="B19" r:id="rId13"/>
    <hyperlink xmlns:r="http://schemas.openxmlformats.org/officeDocument/2006/relationships" ref="C19" r:id="rId14"/>
    <hyperlink xmlns:r="http://schemas.openxmlformats.org/officeDocument/2006/relationships" ref="D19" r:id="rId15"/>
    <hyperlink xmlns:r="http://schemas.openxmlformats.org/officeDocument/2006/relationships" ref="E19" r:id="rId16"/>
    <hyperlink xmlns:r="http://schemas.openxmlformats.org/officeDocument/2006/relationships" ref="B20" r:id="rId17"/>
  </hyperlinks>
  <printOptions horizontalCentered="1"/>
  <pageMargins left="0.75" right="0.75" top="1" bottom="1" header="0.5" footer="0.5"/>
  <pageSetup orientation="landscape" fitToHeight="0" fitToWidth="1"/>
  <headerFooter>
    <oddHeader/>
    <oddFooter>&amp;LAuditConsulting Auditores Cía. Ltda.&amp;CCliente de muestra S.A.&amp;RPágina &amp;P de &amp;N</oddFooter>
    <evenHeader/>
    <evenFooter/>
    <firstHeader/>
    <firstFooter/>
  </headerFooter>
  <drawing xmlns:r="http://schemas.openxmlformats.org/officeDocument/2006/relationships" r:id="rId18"/>
</worksheet>
</file>

<file path=xl/worksheets/sheet2.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s>
  <sheetData>
    <row r="1">
      <c r="A1" s="3" t="inlineStr">
        <is>
          <t>Carátula</t>
        </is>
      </c>
      <c r="H1" s="14" t="inlineStr">
        <is>
          <t>⟵ Inicio</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Concepto</t>
        </is>
      </c>
      <c r="B4" s="17" t="inlineStr">
        <is>
          <t>Detalle</t>
        </is>
      </c>
    </row>
    <row r="5">
      <c r="A5" s="18" t="inlineStr">
        <is>
          <t>Firma</t>
        </is>
      </c>
      <c r="B5" s="18" t="inlineStr">
        <is>
          <t>AuditConsulting Auditores Cía. Ltda.</t>
        </is>
      </c>
    </row>
    <row r="6">
      <c r="A6" s="19" t="inlineStr">
        <is>
          <t>Cliente</t>
        </is>
      </c>
      <c r="B6" s="19" t="inlineStr">
        <is>
          <t>Cliente de muestra S.A.</t>
        </is>
      </c>
    </row>
    <row r="7">
      <c r="A7" s="18" t="inlineStr">
        <is>
          <t>RUC</t>
        </is>
      </c>
      <c r="B7" s="18" t="inlineStr">
        <is>
          <t>1790000000001</t>
        </is>
      </c>
    </row>
    <row r="8">
      <c r="A8" s="19" t="inlineStr">
        <is>
          <t>Ejercicio</t>
        </is>
      </c>
      <c r="B8" s="19" t="inlineStr">
        <is>
          <t>2025</t>
        </is>
      </c>
    </row>
    <row r="9">
      <c r="A9" s="18" t="inlineStr">
        <is>
          <t>Fecha de corte</t>
        </is>
      </c>
      <c r="B9" s="18" t="inlineStr">
        <is>
          <t>2025-12-31</t>
        </is>
      </c>
    </row>
    <row r="10">
      <c r="A10" s="19" t="inlineStr">
        <is>
          <t>Marco contable</t>
        </is>
      </c>
      <c r="B10" s="19" t="inlineStr">
        <is>
          <t>NIIF para las PYMES</t>
        </is>
      </c>
    </row>
    <row r="11">
      <c r="A11" s="18" t="inlineStr">
        <is>
          <t>Herramienta</t>
        </is>
      </c>
      <c r="B11" s="18" t="inlineStr">
        <is>
          <t>Deterioro de cuentas por cobrar · pérdidas incurridas (PYMES)</t>
        </is>
      </c>
    </row>
    <row r="12">
      <c r="A12" s="19" t="inlineStr">
        <is>
          <t>Rubro</t>
        </is>
      </c>
      <c r="B12" s="19" t="inlineStr">
        <is>
          <t>Cuentas por cobrar</t>
        </is>
      </c>
    </row>
    <row r="13">
      <c r="A13" s="18" t="inlineStr">
        <is>
          <t>Motor</t>
        </is>
      </c>
      <c r="B13" s="18" t="inlineStr">
        <is>
          <t>pi-s11 1.0</t>
        </is>
      </c>
    </row>
    <row r="14">
      <c r="A14" s="19" t="inlineStr">
        <is>
          <t>Versión del papel</t>
        </is>
      </c>
      <c r="B14" s="19" t="inlineStr">
        <is>
          <t>v1</t>
        </is>
      </c>
    </row>
    <row r="15">
      <c r="A15" s="18" t="inlineStr">
        <is>
          <t>Estado</t>
        </is>
      </c>
      <c r="B15" s="18" t="inlineStr">
        <is>
          <t>MUESTRA</t>
        </is>
      </c>
    </row>
    <row r="16">
      <c r="A16" s="19" t="inlineStr">
        <is>
          <t>Preparó</t>
        </is>
      </c>
      <c r="B16" s="19" t="inlineStr">
        <is>
          <t>Ejercicio modelo</t>
        </is>
      </c>
    </row>
    <row r="17">
      <c r="A17" s="18" t="inlineStr">
        <is>
          <t>Revisó</t>
        </is>
      </c>
      <c r="B17" s="18" t="inlineStr">
        <is>
          <t>Pendiente</t>
        </is>
      </c>
    </row>
    <row r="18">
      <c r="A18" s="19" t="inlineStr">
        <is>
          <t>Aprobó</t>
        </is>
      </c>
      <c r="B18" s="19" t="inlineStr"/>
    </row>
    <row r="19">
      <c r="A19" s="18" t="inlineStr">
        <is>
          <t>Fecha de aprobación</t>
        </is>
      </c>
      <c r="B19" s="18" t="inlineStr"/>
    </row>
    <row r="20">
      <c r="A20" s="19" t="inlineStr">
        <is>
          <t>Huella de la ejecución (SHA-256)</t>
        </is>
      </c>
      <c r="B20" s="19" t="inlineStr"/>
    </row>
  </sheetData>
  <mergeCells count="2">
    <mergeCell ref="A2:F2"/>
    <mergeCell ref="A1:F1"/>
  </mergeCells>
  <hyperlinks>
    <hyperlink xmlns:r="http://schemas.openxmlformats.org/officeDocument/2006/relationships" ref="H1" r:id="rId1"/>
    <hyperlink xmlns:r="http://schemas.openxmlformats.org/officeDocument/2006/relationships" ref="J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J11"/>
  <sheetViews>
    <sheetView showGridLines="0" workbookViewId="0">
      <pane ySplit="4" topLeftCell="A5" activePane="bottomLeft" state="frozen"/>
      <selection pane="bottomLeft" activeCell="A1" sqref="A1"/>
    </sheetView>
  </sheetViews>
  <sheetFormatPr baseColWidth="8" defaultRowHeight="15"/>
  <cols>
    <col width="12" customWidth="1" min="1" max="1"/>
    <col width="40" customWidth="1" min="2" max="2"/>
    <col width="14" customWidth="1" min="3" max="3"/>
    <col width="60" customWidth="1" min="4" max="4"/>
    <col width="48" customWidth="1" min="5" max="5"/>
    <col width="60" customWidth="1" min="6" max="6"/>
    <col width="35" customWidth="1" min="7" max="7"/>
  </cols>
  <sheetData>
    <row r="1">
      <c r="A1" s="3" t="inlineStr">
        <is>
          <t>Programa</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c r="G2" s="16" t="n"/>
    </row>
    <row r="4" ht="30" customHeight="1">
      <c r="A4" s="17" t="inlineStr">
        <is>
          <t>Código</t>
        </is>
      </c>
      <c r="B4" s="17" t="inlineStr">
        <is>
          <t>Objetivo</t>
        </is>
      </c>
      <c r="C4" s="17" t="inlineStr">
        <is>
          <t>Afirmación</t>
        </is>
      </c>
      <c r="D4" s="17" t="inlineStr">
        <is>
          <t>Procedimiento</t>
        </is>
      </c>
      <c r="E4" s="17" t="inlineStr">
        <is>
          <t>Evidencia</t>
        </is>
      </c>
      <c r="F4" s="17" t="inlineStr">
        <is>
          <t>Criterio</t>
        </is>
      </c>
      <c r="G4" s="17" t="inlineStr">
        <is>
          <t>Referencia</t>
        </is>
      </c>
    </row>
    <row r="5">
      <c r="A5" s="18" t="inlineStr">
        <is>
          <t>CXCPI-01</t>
        </is>
      </c>
      <c r="B5" s="18" t="inlineStr">
        <is>
          <t>Integridad de la cartera</t>
        </is>
      </c>
      <c r="C5" s="18" t="inlineStr">
        <is>
          <t>Integridad</t>
        </is>
      </c>
      <c r="D5" s="18" t="inlineStr">
        <is>
          <t>Conciliar el anexo de cartera del ejercicio con el mayor al corte</t>
        </is>
      </c>
      <c r="E5" s="18" t="inlineStr">
        <is>
          <t>Anexo de cartera y mayor</t>
        </is>
      </c>
      <c r="F5" s="18" t="inlineStr">
        <is>
          <t>Diferencia dentro de tolerancia o explicada</t>
        </is>
      </c>
      <c r="G5" s="18" t="inlineStr">
        <is>
          <t>NIA 500 párr. 9</t>
        </is>
      </c>
    </row>
    <row r="6">
      <c r="A6" s="19" t="inlineStr">
        <is>
          <t>CXCPI-02</t>
        </is>
      </c>
      <c r="B6" s="19" t="inlineStr">
        <is>
          <t>Evidencia histórica de recuperación</t>
        </is>
      </c>
      <c r="C6" s="19" t="inlineStr">
        <is>
          <t>Valoración</t>
        </is>
      </c>
      <c r="D6" s="19" t="inlineStr">
        <is>
          <t>Emparejar las facturas de cada año con las del año siguiente y medir la no recuperación por tramo</t>
        </is>
      </c>
      <c r="E6" s="19" t="inlineStr">
        <is>
          <t>Anexos de cartera de 3 ejercicios</t>
        </is>
      </c>
      <c r="F6" s="19" t="inlineStr">
        <is>
          <t>Tasa por tramo medida, o declarada no medible con su causa</t>
        </is>
      </c>
      <c r="G6" s="19" t="inlineStr">
        <is>
          <t>Secc. 11 párr. 11.22(e) · NIA 540</t>
        </is>
      </c>
    </row>
    <row r="7">
      <c r="A7" s="18" t="inlineStr">
        <is>
          <t>CXCPI-03</t>
        </is>
      </c>
      <c r="B7" s="18" t="inlineStr">
        <is>
          <t>Evaluación individual</t>
        </is>
      </c>
      <c r="C7" s="18" t="inlineStr">
        <is>
          <t>Valoración</t>
        </is>
      </c>
      <c r="D7" s="18" t="inlineStr">
        <is>
          <t>Evaluar individualmente los clientes sobre el umbral de saldo o con mora de 361 días o más</t>
        </is>
      </c>
      <c r="E7" s="18" t="inlineStr">
        <is>
          <t>Antigüedad por cliente, gestión de cobro</t>
        </is>
      </c>
      <c r="F7" s="18" t="inlineStr">
        <is>
          <t>Tasa y plazo por cliente documentados</t>
        </is>
      </c>
      <c r="G7" s="18" t="inlineStr">
        <is>
          <t>Secc. 11 párr. 11.24</t>
        </is>
      </c>
    </row>
    <row r="8">
      <c r="A8" s="19" t="inlineStr">
        <is>
          <t>CXCPI-04</t>
        </is>
      </c>
      <c r="B8" s="19" t="inlineStr">
        <is>
          <t>Medición de la pérdida</t>
        </is>
      </c>
      <c r="C8" s="19" t="inlineStr">
        <is>
          <t>Valoración</t>
        </is>
      </c>
      <c r="D8" s="19" t="inlineStr">
        <is>
          <t>Recalcular por factura y por cliente: importe en libros − valor presente de los flujos estimados</t>
        </is>
      </c>
      <c r="E8" s="19" t="inlineStr">
        <is>
          <t>Detalle por factura</t>
        </is>
      </c>
      <c r="F8" s="19" t="inlineStr">
        <is>
          <t>Pérdida recalculada</t>
        </is>
      </c>
      <c r="G8" s="19" t="inlineStr">
        <is>
          <t>Secc. 11 párr. 11.25</t>
        </is>
      </c>
    </row>
    <row r="9">
      <c r="A9" s="18" t="inlineStr">
        <is>
          <t>CXCPI-05</t>
        </is>
      </c>
      <c r="B9" s="18" t="inlineStr">
        <is>
          <t>Movimiento de la provisión</t>
        </is>
      </c>
      <c r="C9" s="18" t="inlineStr">
        <is>
          <t>Exactitud</t>
        </is>
      </c>
      <c r="D9" s="18" t="inlineStr">
        <is>
          <t>Conciliar provisión inicial − reversiones − bajas + provisión del año con el mayor</t>
        </is>
      </c>
      <c r="E9" s="18" t="inlineStr">
        <is>
          <t>Anexo de provisión inicial, mayor</t>
        </is>
      </c>
      <c r="F9" s="18" t="inlineStr">
        <is>
          <t>Movimiento conciliado; reversiones dentro del límite</t>
        </is>
      </c>
      <c r="G9" s="18" t="inlineStr">
        <is>
          <t>Secc. 11 párr. 11.26</t>
        </is>
      </c>
    </row>
    <row r="10">
      <c r="A10" s="19" t="inlineStr">
        <is>
          <t>CXCPI-06</t>
        </is>
      </c>
      <c r="B10" s="19" t="inlineStr">
        <is>
          <t>Tratamiento fiscal e impuesto diferido</t>
        </is>
      </c>
      <c r="C10" s="19" t="inlineStr">
        <is>
          <t>Presentación</t>
        </is>
      </c>
      <c r="D10" s="19" t="inlineStr">
        <is>
          <t>Aplicar los límites de deducibilidad y medir el activo por impuesto diferido</t>
        </is>
      </c>
      <c r="E10" s="19" t="inlineStr">
        <is>
          <t>Parámetros fiscales, provisión fiscal anterior</t>
        </is>
      </c>
      <c r="F10" s="19" t="inlineStr">
        <is>
          <t>Deducible y diferido recalculados</t>
        </is>
      </c>
      <c r="G10" s="19" t="inlineStr">
        <is>
          <t>LRTI Art. 10 num. 11 · Secc. 29</t>
        </is>
      </c>
    </row>
    <row r="11">
      <c r="A11" s="18" t="inlineStr">
        <is>
          <t>CXCPI-07</t>
        </is>
      </c>
      <c r="B11" s="18" t="inlineStr">
        <is>
          <t>Cobros posteriores</t>
        </is>
      </c>
      <c r="C11" s="18" t="inlineStr">
        <is>
          <t>Valoración</t>
        </is>
      </c>
      <c r="D11" s="18" t="inlineStr">
        <is>
          <t>Cotejar cobros posteriores al cierre con las facturas deterioradas</t>
        </is>
      </c>
      <c r="E11" s="18" t="inlineStr">
        <is>
          <t>Estados de cuenta, depósitos posteriores</t>
        </is>
      </c>
      <c r="F11" s="18" t="inlineStr">
        <is>
          <t>Excepciones evaluadas</t>
        </is>
      </c>
      <c r="G11" s="18" t="inlineStr">
        <is>
          <t>NIA 560 párr. 6 · Secc. 32</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J9"/>
  <sheetViews>
    <sheetView showGridLines="0" workbookViewId="0">
      <pane ySplit="4" topLeftCell="A5" activePane="bottomLeft" state="frozen"/>
      <selection pane="bottomLeft" activeCell="A1" sqref="A1"/>
    </sheetView>
  </sheetViews>
  <sheetFormatPr baseColWidth="8" defaultRowHeight="15"/>
  <cols>
    <col width="26" customWidth="1" min="1" max="1"/>
    <col width="60" customWidth="1" min="2" max="2"/>
    <col width="18" customWidth="1" min="3" max="3"/>
    <col width="12" customWidth="1" min="4" max="4"/>
    <col width="12" customWidth="1" min="5" max="5"/>
  </cols>
  <sheetData>
    <row r="1">
      <c r="A1" s="3" t="inlineStr">
        <is>
          <t>Base técnica</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Categoría</t>
        </is>
      </c>
      <c r="B4" s="17" t="inlineStr">
        <is>
          <t>Documento</t>
        </is>
      </c>
      <c r="C4" s="17" t="inlineStr">
        <is>
          <t>Párrafos</t>
        </is>
      </c>
      <c r="D4" s="17" t="inlineStr">
        <is>
          <t>URL</t>
        </is>
      </c>
      <c r="E4" s="17" t="inlineStr">
        <is>
          <t>Verificada</t>
        </is>
      </c>
    </row>
    <row r="5">
      <c r="A5" s="18" t="inlineStr">
        <is>
          <t>NIA · NIA 540 (Revisada)</t>
        </is>
      </c>
      <c r="B5" s="18" t="inlineStr">
        <is>
          <t>La provisión es una estimación: evaluar el método (migración por tramos), los datos (anexos de 3 años), los supuestos (plazo, tasa, umbrales) y el posible sesgo.</t>
        </is>
      </c>
      <c r="C5" s="18" t="inlineStr">
        <is>
          <t>párr. 13 y 17–30</t>
        </is>
      </c>
      <c r="D5" s="18" t="inlineStr"/>
      <c r="E5" s="18" t="inlineStr"/>
    </row>
    <row r="6">
      <c r="A6" s="19" t="inlineStr">
        <is>
          <t>NIA · NIA 500</t>
        </is>
      </c>
      <c r="B6" s="19" t="inlineStr">
        <is>
          <t>Los anexos de cartera los produce la entidad: evaluar su exactitud e integridad contra el mayor antes de usarlos.</t>
        </is>
      </c>
      <c r="C6" s="19" t="inlineStr">
        <is>
          <t>párr. 9</t>
        </is>
      </c>
      <c r="D6" s="19" t="inlineStr"/>
      <c r="E6" s="19" t="inlineStr"/>
    </row>
    <row r="7">
      <c r="A7" s="18" t="inlineStr">
        <is>
          <t>NIA · NIA 505</t>
        </is>
      </c>
      <c r="B7" s="18" t="inlineStr">
        <is>
          <t>Considerar confirmaciones de saldos de clientes significativos.</t>
        </is>
      </c>
      <c r="C7" s="18" t="inlineStr">
        <is>
          <t>párr. 7</t>
        </is>
      </c>
      <c r="D7" s="18" t="inlineStr"/>
      <c r="E7" s="18" t="inlineStr"/>
    </row>
    <row r="8">
      <c r="A8" s="19" t="inlineStr">
        <is>
          <t>NIA · NIA 560</t>
        </is>
      </c>
      <c r="B8" s="19" t="inlineStr">
        <is>
          <t>Revisar cobros posteriores al cierre como evidencia de recuperabilidad.</t>
        </is>
      </c>
      <c r="C8" s="19" t="inlineStr">
        <is>
          <t>párr. 6</t>
        </is>
      </c>
      <c r="D8" s="19" t="inlineStr"/>
      <c r="E8" s="19" t="inlineStr"/>
    </row>
    <row r="9">
      <c r="A9" s="18" t="inlineStr">
        <is>
          <t>NIA · NIA 330</t>
        </is>
      </c>
      <c r="B9" s="18" t="inlineStr">
        <is>
          <t>Procedimientos sustantivos sobre la valoración de la cartera, saldo material.</t>
        </is>
      </c>
      <c r="C9" s="18" t="inlineStr">
        <is>
          <t>párr. 18</t>
        </is>
      </c>
      <c r="D9" s="18" t="inlineStr"/>
      <c r="E9" s="18"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J18"/>
  <sheetViews>
    <sheetView showGridLines="0" workbookViewId="0">
      <pane ySplit="4" topLeftCell="A5" activePane="bottomLeft" state="frozen"/>
      <selection pane="bottomLeft" activeCell="A1" sqref="A1"/>
    </sheetView>
  </sheetViews>
  <sheetFormatPr baseColWidth="8" defaultRowHeight="15"/>
  <cols>
    <col width="36" customWidth="1" min="1" max="1"/>
    <col width="12" customWidth="1" min="2" max="2"/>
  </cols>
  <sheetData>
    <row r="1">
      <c r="A1" s="3" t="inlineStr">
        <is>
          <t>Resumen</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Concepto</t>
        </is>
      </c>
      <c r="B4" s="17" t="inlineStr">
        <is>
          <t>Importe</t>
        </is>
      </c>
    </row>
    <row r="5">
      <c r="A5" s="18" t="inlineStr">
        <is>
          <t>Cartera al corte</t>
        </is>
      </c>
      <c r="B5" s="20">
        <f>'08_Fiscal'!$B$5</f>
        <v/>
      </c>
    </row>
    <row r="6">
      <c r="A6" s="19" t="inlineStr">
        <is>
          <t>Pérdida incurrida recalculada</t>
        </is>
      </c>
      <c r="B6" s="21">
        <f>'08_Fiscal'!$B$7</f>
        <v/>
      </c>
    </row>
    <row r="7">
      <c r="A7" s="18" t="inlineStr">
        <is>
          <t>Provisión registrada (mayor)</t>
        </is>
      </c>
      <c r="B7" s="20">
        <f>'07_Mayor'!F7</f>
        <v/>
      </c>
    </row>
    <row r="8">
      <c r="A8" s="19" t="inlineStr">
        <is>
          <t>Ajuste propuesto</t>
        </is>
      </c>
      <c r="B8" s="21">
        <f>B6-B7</f>
        <v/>
      </c>
    </row>
    <row r="9">
      <c r="A9" s="18" t="inlineStr">
        <is>
          <t>Reversión de la provisión anterior</t>
        </is>
      </c>
      <c r="B9" s="20">
        <f>'06_Movimiento_provision'!D19</f>
        <v/>
      </c>
    </row>
    <row r="10">
      <c r="A10" s="19" t="inlineStr">
        <is>
          <t>Bajas y castigos</t>
        </is>
      </c>
      <c r="B10" s="21">
        <f>'06_Movimiento_provision'!E19</f>
        <v/>
      </c>
    </row>
    <row r="11">
      <c r="A11" s="18" t="inlineStr">
        <is>
          <t>Gasto deducible</t>
        </is>
      </c>
      <c r="B11" s="20">
        <f>'08_Fiscal'!$B$14</f>
        <v/>
      </c>
    </row>
    <row r="12">
      <c r="A12" s="19" t="inlineStr">
        <is>
          <t>Gasto no deducible</t>
        </is>
      </c>
      <c r="B12" s="21">
        <f>'08_Fiscal'!$B$15</f>
        <v/>
      </c>
    </row>
    <row r="13">
      <c r="A13" s="18" t="inlineStr">
        <is>
          <t>Activo por impuesto diferido</t>
        </is>
      </c>
      <c r="B13" s="20">
        <f>'08_Fiscal'!$B$18</f>
        <v/>
      </c>
    </row>
    <row r="14">
      <c r="A14" s="19" t="inlineStr">
        <is>
          <t>Movimiento del diferido</t>
        </is>
      </c>
      <c r="B14" s="21">
        <f>'08_Fiscal'!$B$20</f>
        <v/>
      </c>
    </row>
    <row r="16">
      <c r="A16" s="22" t="inlineStr">
        <is>
          <t>ⓘ  Cómo se calcula esta hoja</t>
        </is>
      </c>
    </row>
    <row r="17">
      <c r="A17" s="23" t="inlineStr">
        <is>
          <t>Columna</t>
        </is>
      </c>
      <c r="B17" s="23" t="inlineStr">
        <is>
          <t>Fórmula (Excel)</t>
        </is>
      </c>
      <c r="C17" s="23" t="inlineStr">
        <is>
          <t>Cómo se calcula (sencillo)</t>
        </is>
      </c>
      <c r="D17" s="23" t="inlineStr">
        <is>
          <t>Ejemplo con números reales</t>
        </is>
      </c>
      <c r="E17" s="23" t="inlineStr">
        <is>
          <t>De dónde viene</t>
        </is>
      </c>
      <c r="F17" s="23" t="inlineStr">
        <is>
          <t>Norma</t>
        </is>
      </c>
    </row>
    <row r="18">
      <c r="A18" s="24" t="inlineStr">
        <is>
          <t>Importe</t>
        </is>
      </c>
      <c r="B18" s="25" t="inlineStr">
        <is>
          <t>'='08_Fiscal'!$B$5</t>
        </is>
      </c>
      <c r="C18" s="24" t="inlineStr">
        <is>
          <t>Trae cada importe de la hoja donde se calculó: cartera, pérdida, gasto deducible y no deducible y diferido de la hoja 08 (Fiscal); provisión registrada del último año de la hoja 07 (Provisión según el mayor); reversión y bajas de los totales de la hoja 06 (Movimiento de la provisión). El ajuste propuesto es la pérdida recalculada menos la provisión registrada.</t>
        </is>
      </c>
      <c r="D18" s="24" t="inlineStr">
        <is>
          <t>Fila 1: 167.059,86 → 167.059,86</t>
        </is>
      </c>
      <c r="E18" s="24" t="inlineStr">
        <is>
          <t>hoja «Fiscal»</t>
        </is>
      </c>
      <c r="F18" s="24" t="inlineStr">
        <is>
          <t>—</t>
        </is>
      </c>
    </row>
  </sheetData>
  <mergeCells count="3">
    <mergeCell ref="A2:F2"/>
    <mergeCell ref="A16:F16"/>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J16"/>
  <sheetViews>
    <sheetView showGridLines="0" workbookViewId="0">
      <pane ySplit="4" topLeftCell="A5" activePane="bottomLeft" state="frozen"/>
      <selection pane="bottomLeft" activeCell="A1" sqref="A1"/>
    </sheetView>
  </sheetViews>
  <sheetFormatPr baseColWidth="8" defaultRowHeight="15"/>
  <cols>
    <col width="38" customWidth="1" min="1" max="1"/>
    <col width="12" customWidth="1" min="2" max="2"/>
    <col width="60" customWidth="1" min="3" max="3"/>
  </cols>
  <sheetData>
    <row r="1">
      <c r="A1" s="3" t="inlineStr">
        <is>
          <t>Parámetros</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Parámetro</t>
        </is>
      </c>
      <c r="B4" s="17" t="inlineStr">
        <is>
          <t>Valor</t>
        </is>
      </c>
      <c r="C4" s="17" t="inlineStr">
        <is>
          <t>Sustento</t>
        </is>
      </c>
    </row>
    <row r="5">
      <c r="A5" s="18" t="inlineStr">
        <is>
          <t>Corte del ejercicio corriente</t>
        </is>
      </c>
      <c r="B5" s="26" t="n">
        <v>46022</v>
      </c>
      <c r="C5" s="18" t="inlineStr">
        <is>
          <t>Ficha del encargo</t>
        </is>
      </c>
    </row>
    <row r="6">
      <c r="A6" s="19" t="inlineStr">
        <is>
          <t>Corte del ejercicio anterior</t>
        </is>
      </c>
      <c r="B6" s="27" t="n">
        <v>45657</v>
      </c>
      <c r="C6" s="19" t="inlineStr">
        <is>
          <t>Fin del mes de la última emisión del anexo</t>
        </is>
      </c>
    </row>
    <row r="7">
      <c r="A7" s="18" t="inlineStr">
        <is>
          <t>Corte de dos ejercicios antes</t>
        </is>
      </c>
      <c r="B7" s="26" t="n">
        <v>45291</v>
      </c>
      <c r="C7" s="18" t="inlineStr">
        <is>
          <t>Fin del mes de la última emisión del anexo</t>
        </is>
      </c>
    </row>
    <row r="8">
      <c r="A8" s="19" t="inlineStr">
        <is>
          <t>Tasa efectiva para descontar (%)</t>
        </is>
      </c>
      <c r="B8" s="28" t="n">
        <v>0</v>
      </c>
      <c r="C8" s="19" t="inlineStr">
        <is>
          <t>Secc. 11 párr. 11.13 y 11.25</t>
        </is>
      </c>
    </row>
    <row r="9">
      <c r="A9" s="18" t="inlineStr">
        <is>
          <t>Plazo esperado de cobro (meses)</t>
        </is>
      </c>
      <c r="B9" s="29" t="n">
        <v>12</v>
      </c>
      <c r="C9" s="18" t="inlineStr">
        <is>
          <t>Juicio del auditor</t>
        </is>
      </c>
    </row>
    <row r="10">
      <c r="A10" s="19" t="inlineStr">
        <is>
          <t>Umbral de mora grave (días)</t>
        </is>
      </c>
      <c r="B10" s="28" t="n">
        <v>361</v>
      </c>
      <c r="C10" s="19" t="inlineStr">
        <is>
          <t>Secc. 11 párr. 11.24</t>
        </is>
      </c>
    </row>
    <row r="11">
      <c r="A11" s="18" t="inlineStr">
        <is>
          <t>Umbral de saldo significativo</t>
        </is>
      </c>
      <c r="B11" s="29" t="n">
        <v>0</v>
      </c>
      <c r="C11" s="18" t="inlineStr">
        <is>
          <t>Secc. 11 párr. 11.24 (0 = desactivado)</t>
        </is>
      </c>
    </row>
    <row r="12">
      <c r="A12" s="19" t="inlineStr">
        <is>
          <t>Límite anual deducible (%)</t>
        </is>
      </c>
      <c r="B12" s="28" t="n">
        <v>1</v>
      </c>
      <c r="C12" s="19" t="inlineStr">
        <is>
          <t>LRTI Art. 10 num. 11</t>
        </is>
      </c>
    </row>
    <row r="13">
      <c r="A13" s="18" t="inlineStr">
        <is>
          <t>Límite acumulado (%)</t>
        </is>
      </c>
      <c r="B13" s="29" t="n">
        <v>10</v>
      </c>
      <c r="C13" s="18" t="inlineStr">
        <is>
          <t>LRTI Art. 10 num. 11</t>
        </is>
      </c>
    </row>
    <row r="14">
      <c r="A14" s="19" t="inlineStr">
        <is>
          <t>Tasa del impuesto (%)</t>
        </is>
      </c>
      <c r="B14" s="28" t="n">
        <v>25</v>
      </c>
      <c r="C14" s="19" t="inlineStr">
        <is>
          <t>Tarifa del contribuyente</t>
        </is>
      </c>
    </row>
    <row r="15">
      <c r="A15" s="18" t="inlineStr">
        <is>
          <t>Provisión fiscal acumulada anterior</t>
        </is>
      </c>
      <c r="B15" s="18" t="n"/>
      <c r="C15" s="18" t="inlineStr">
        <is>
          <t>En blanco: mínimo entre la provisión anterior y el límite acumulado</t>
        </is>
      </c>
    </row>
    <row r="16">
      <c r="A16" s="19" t="inlineStr">
        <is>
          <t>Activo por impuesto diferido inicial</t>
        </is>
      </c>
      <c r="B16" s="19" t="n"/>
      <c r="C16" s="19" t="inlineStr">
        <is>
          <t>En blanco: el del anexo de provisión inicial</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J19"/>
  <sheetViews>
    <sheetView showGridLines="0" workbookViewId="0">
      <pane ySplit="4" topLeftCell="A5" activePane="bottomLeft" state="frozen"/>
      <selection pane="bottomLeft" activeCell="A1" sqref="A1"/>
    </sheetView>
  </sheetViews>
  <sheetFormatPr baseColWidth="8" defaultRowHeight="15"/>
  <cols>
    <col width="12" customWidth="1" min="1" max="1"/>
    <col width="24" customWidth="1" min="2" max="2"/>
    <col width="12" customWidth="1" min="3" max="3"/>
    <col width="13" customWidth="1" min="4" max="4"/>
    <col width="15" customWidth="1" min="5" max="5"/>
    <col width="29" customWidth="1" min="6" max="6"/>
    <col width="21" customWidth="1" min="7" max="7"/>
    <col width="12" customWidth="1" min="8" max="8"/>
  </cols>
  <sheetData>
    <row r="1">
      <c r="A1" s="3" t="inlineStr">
        <is>
          <t>Evidencia histórica</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c r="G2" s="16" t="n"/>
      <c r="H2" s="16" t="n"/>
    </row>
    <row r="4" ht="30" customHeight="1">
      <c r="A4" s="17" t="inlineStr">
        <is>
          <t>Ventana</t>
        </is>
      </c>
      <c r="B4" s="17" t="inlineStr">
        <is>
          <t>Tramo</t>
        </is>
      </c>
      <c r="C4" s="17" t="inlineStr">
        <is>
          <t>Documentos</t>
        </is>
      </c>
      <c r="D4" s="17" t="inlineStr">
        <is>
          <t>Emparejados</t>
        </is>
      </c>
      <c r="E4" s="17" t="inlineStr">
        <is>
          <t>Saldo inicial</t>
        </is>
      </c>
      <c r="F4" s="17" t="inlineStr">
        <is>
          <t>Sigue vivo al año siguiente</t>
        </is>
      </c>
      <c r="G4" s="17" t="inlineStr">
        <is>
          <t>No recuperación</t>
        </is>
      </c>
      <c r="H4" s="17" t="inlineStr">
        <is>
          <t>Usable</t>
        </is>
      </c>
    </row>
    <row r="5">
      <c r="A5" s="18" t="inlineStr">
        <is>
          <t>a1 → a2</t>
        </is>
      </c>
      <c r="B5" s="18" t="inlineStr">
        <is>
          <t>Corriente / por vencer</t>
        </is>
      </c>
      <c r="C5" s="30" t="n">
        <v>5</v>
      </c>
      <c r="D5" s="30" t="n">
        <v>0</v>
      </c>
      <c r="E5" s="20" t="n">
        <v>125487.31</v>
      </c>
      <c r="F5" s="20" t="n">
        <v>0</v>
      </c>
      <c r="G5" s="31">
        <f>IF(E5=0,"",F5/E5)</f>
        <v/>
      </c>
      <c r="H5" s="18" t="inlineStr">
        <is>
          <t>Sí</t>
        </is>
      </c>
    </row>
    <row r="6">
      <c r="A6" s="19" t="inlineStr">
        <is>
          <t>a1 → a2</t>
        </is>
      </c>
      <c r="B6" s="19" t="inlineStr">
        <is>
          <t>1 a 30 días</t>
        </is>
      </c>
      <c r="C6" s="32" t="n">
        <v>1</v>
      </c>
      <c r="D6" s="32" t="n">
        <v>0</v>
      </c>
      <c r="E6" s="21" t="n">
        <v>27240.87</v>
      </c>
      <c r="F6" s="21" t="n">
        <v>0</v>
      </c>
      <c r="G6" s="33">
        <f>IF(E6=0,"",F6/E6)</f>
        <v/>
      </c>
      <c r="H6" s="19" t="inlineStr">
        <is>
          <t>Sí</t>
        </is>
      </c>
    </row>
    <row r="7">
      <c r="A7" s="18" t="inlineStr">
        <is>
          <t>a1 → a2</t>
        </is>
      </c>
      <c r="B7" s="18" t="inlineStr">
        <is>
          <t>91 a 180 días</t>
        </is>
      </c>
      <c r="C7" s="30" t="n">
        <v>2</v>
      </c>
      <c r="D7" s="30" t="n">
        <v>2</v>
      </c>
      <c r="E7" s="20" t="n">
        <v>18224.27</v>
      </c>
      <c r="F7" s="20" t="n">
        <v>3644.85</v>
      </c>
      <c r="G7" s="31">
        <f>IF(E7=0,"",F7/E7)</f>
        <v/>
      </c>
      <c r="H7" s="18" t="inlineStr">
        <is>
          <t>Sí</t>
        </is>
      </c>
    </row>
    <row r="8">
      <c r="A8" s="19" t="inlineStr">
        <is>
          <t>a1 → a2</t>
        </is>
      </c>
      <c r="B8" s="19" t="inlineStr">
        <is>
          <t>61 a 90 días</t>
        </is>
      </c>
      <c r="C8" s="32" t="n">
        <v>1</v>
      </c>
      <c r="D8" s="32" t="n">
        <v>1</v>
      </c>
      <c r="E8" s="21" t="n">
        <v>10197.94</v>
      </c>
      <c r="F8" s="21" t="n">
        <v>4985.66</v>
      </c>
      <c r="G8" s="33">
        <f>IF(E8=0,"",F8/E8)</f>
        <v/>
      </c>
      <c r="H8" s="19" t="inlineStr">
        <is>
          <t>Sí</t>
        </is>
      </c>
    </row>
    <row r="9">
      <c r="A9" s="18" t="inlineStr">
        <is>
          <t>a1 → a2</t>
        </is>
      </c>
      <c r="B9" s="18" t="inlineStr">
        <is>
          <t>181 a 360 días</t>
        </is>
      </c>
      <c r="C9" s="30" t="n">
        <v>2</v>
      </c>
      <c r="D9" s="30" t="n">
        <v>2</v>
      </c>
      <c r="E9" s="20" t="n">
        <v>31477.43</v>
      </c>
      <c r="F9" s="20" t="n">
        <v>11941.29</v>
      </c>
      <c r="G9" s="31">
        <f>IF(E9=0,"",F9/E9)</f>
        <v/>
      </c>
      <c r="H9" s="18" t="inlineStr">
        <is>
          <t>Sí</t>
        </is>
      </c>
    </row>
    <row r="10">
      <c r="A10" s="19" t="inlineStr">
        <is>
          <t>a2 → a3</t>
        </is>
      </c>
      <c r="B10" s="19" t="inlineStr">
        <is>
          <t>361 a 730 días</t>
        </is>
      </c>
      <c r="C10" s="32" t="n">
        <v>5</v>
      </c>
      <c r="D10" s="32" t="n">
        <v>2</v>
      </c>
      <c r="E10" s="21" t="n">
        <v>20571.8</v>
      </c>
      <c r="F10" s="21" t="n">
        <v>6609.14</v>
      </c>
      <c r="G10" s="33">
        <f>IF(E10=0,"",F10/E10)</f>
        <v/>
      </c>
      <c r="H10" s="19" t="inlineStr">
        <is>
          <t>Sí</t>
        </is>
      </c>
    </row>
    <row r="11">
      <c r="A11" s="18" t="inlineStr">
        <is>
          <t>a2 → a3</t>
        </is>
      </c>
      <c r="B11" s="18" t="inlineStr">
        <is>
          <t>Corriente / por vencer</t>
        </is>
      </c>
      <c r="C11" s="30" t="n">
        <v>3</v>
      </c>
      <c r="D11" s="30" t="n">
        <v>0</v>
      </c>
      <c r="E11" s="20" t="n">
        <v>46175.33</v>
      </c>
      <c r="F11" s="20" t="n">
        <v>0</v>
      </c>
      <c r="G11" s="31">
        <f>IF(E11=0,"",F11/E11)</f>
        <v/>
      </c>
      <c r="H11" s="18" t="inlineStr">
        <is>
          <t>Sí</t>
        </is>
      </c>
    </row>
    <row r="12">
      <c r="A12" s="19" t="inlineStr">
        <is>
          <t>a2 → a3</t>
        </is>
      </c>
      <c r="B12" s="19" t="inlineStr">
        <is>
          <t>1 a 30 días</t>
        </is>
      </c>
      <c r="C12" s="32" t="n">
        <v>1</v>
      </c>
      <c r="D12" s="32" t="n">
        <v>0</v>
      </c>
      <c r="E12" s="21" t="n">
        <v>10702.09</v>
      </c>
      <c r="F12" s="21" t="n">
        <v>0</v>
      </c>
      <c r="G12" s="33">
        <f>IF(E12=0,"",F12/E12)</f>
        <v/>
      </c>
      <c r="H12" s="19" t="inlineStr">
        <is>
          <t>Sí</t>
        </is>
      </c>
    </row>
    <row r="13">
      <c r="A13" s="18" t="inlineStr">
        <is>
          <t>a2 → a3</t>
        </is>
      </c>
      <c r="B13" s="18" t="inlineStr">
        <is>
          <t>31 a 60 días</t>
        </is>
      </c>
      <c r="C13" s="30" t="n">
        <v>4</v>
      </c>
      <c r="D13" s="30" t="n">
        <v>2</v>
      </c>
      <c r="E13" s="20" t="n">
        <v>34052.04</v>
      </c>
      <c r="F13" s="20" t="n">
        <v>5956.67</v>
      </c>
      <c r="G13" s="31">
        <f>IF(E13=0,"",F13/E13)</f>
        <v/>
      </c>
      <c r="H13" s="18" t="inlineStr">
        <is>
          <t>Sí</t>
        </is>
      </c>
    </row>
    <row r="14">
      <c r="A14" s="19" t="inlineStr">
        <is>
          <t>a2 → a3</t>
        </is>
      </c>
      <c r="B14" s="19" t="inlineStr">
        <is>
          <t>181 a 360 días</t>
        </is>
      </c>
      <c r="C14" s="32" t="n">
        <v>3</v>
      </c>
      <c r="D14" s="32" t="n">
        <v>3</v>
      </c>
      <c r="E14" s="21" t="n">
        <v>39258.89</v>
      </c>
      <c r="F14" s="21" t="n">
        <v>17207</v>
      </c>
      <c r="G14" s="33">
        <f>IF(E14=0,"",F14/E14)</f>
        <v/>
      </c>
      <c r="H14" s="19" t="inlineStr">
        <is>
          <t>Sí</t>
        </is>
      </c>
    </row>
    <row r="15">
      <c r="A15" s="18" t="inlineStr">
        <is>
          <t>a2 → a3</t>
        </is>
      </c>
      <c r="B15" s="18" t="inlineStr">
        <is>
          <t>61 a 90 días</t>
        </is>
      </c>
      <c r="C15" s="30" t="n">
        <v>1</v>
      </c>
      <c r="D15" s="30" t="n">
        <v>1</v>
      </c>
      <c r="E15" s="20" t="n">
        <v>8935.07</v>
      </c>
      <c r="F15" s="20" t="n">
        <v>1787.01</v>
      </c>
      <c r="G15" s="31">
        <f>IF(E15=0,"",F15/E15)</f>
        <v/>
      </c>
      <c r="H15" s="18" t="inlineStr">
        <is>
          <t>Sí</t>
        </is>
      </c>
    </row>
    <row r="17">
      <c r="A17" s="22" t="inlineStr">
        <is>
          <t>ⓘ  Cómo se calcula esta hoja</t>
        </is>
      </c>
    </row>
    <row r="18">
      <c r="A18" s="23" t="inlineStr">
        <is>
          <t>Columna</t>
        </is>
      </c>
      <c r="B18" s="23" t="inlineStr">
        <is>
          <t>Fórmula (Excel)</t>
        </is>
      </c>
      <c r="C18" s="23" t="inlineStr">
        <is>
          <t>Cómo se calcula (sencillo)</t>
        </is>
      </c>
      <c r="D18" s="23" t="inlineStr">
        <is>
          <t>Ejemplo con números reales</t>
        </is>
      </c>
      <c r="E18" s="23" t="inlineStr">
        <is>
          <t>De dónde viene</t>
        </is>
      </c>
      <c r="F18" s="23" t="inlineStr">
        <is>
          <t>Norma</t>
        </is>
      </c>
    </row>
    <row r="19">
      <c r="A19" s="24" t="inlineStr">
        <is>
          <t>No recuperación</t>
        </is>
      </c>
      <c r="B19" s="25" t="inlineStr">
        <is>
          <t>'=IF(E5=0,"",F5/E5)</t>
        </is>
      </c>
      <c r="C19" s="24" t="inlineStr">
        <is>
          <t>Divide el saldo del tramo que seguía sin cobrarse al año siguiente para su saldo inicial en esa ventana: es la parte que no se recuperó. Si el saldo inicial es cero, queda en blanco.</t>
        </is>
      </c>
      <c r="D19" s="24" t="inlineStr">
        <is>
          <t>Fila 1: IF(125.487,31=0; ""; 0,00/125.487,31) → 0,00 %</t>
        </is>
      </c>
      <c r="E19" s="24" t="inlineStr">
        <is>
          <t>«Saldo inicial» (esta hoja), «Sigue vivo al año siguiente» (esta hoja)</t>
        </is>
      </c>
      <c r="F19" s="24" t="inlineStr">
        <is>
          <t>—</t>
        </is>
      </c>
    </row>
  </sheetData>
  <mergeCells count="3">
    <mergeCell ref="A2:F2"/>
    <mergeCell ref="A1:F1"/>
    <mergeCell ref="A17:F17"/>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J20"/>
  <sheetViews>
    <sheetView showGridLines="0" workbookViewId="0">
      <pane ySplit="4" topLeftCell="A5" activePane="bottomLeft" state="frozen"/>
      <selection pane="bottomLeft" activeCell="A1" sqref="A1"/>
    </sheetView>
  </sheetViews>
  <sheetFormatPr baseColWidth="8" defaultRowHeight="15"/>
  <cols>
    <col width="24" customWidth="1" min="1" max="1"/>
    <col width="12" customWidth="1" min="2" max="2"/>
    <col width="12" customWidth="1" min="3" max="3"/>
    <col width="21" customWidth="1" min="4" max="4"/>
    <col width="37" customWidth="1" min="5" max="5"/>
    <col width="12" customWidth="1" min="6" max="6"/>
    <col width="60" customWidth="1" min="7" max="7"/>
  </cols>
  <sheetData>
    <row r="1">
      <c r="A1" s="3" t="inlineStr">
        <is>
          <t>Matriz de deterioro</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c r="G2" s="16" t="n"/>
    </row>
    <row r="4" ht="30" customHeight="1">
      <c r="A4" s="17" t="inlineStr">
        <is>
          <t>Tramo</t>
        </is>
      </c>
      <c r="B4" s="17" t="inlineStr">
        <is>
          <t>Documentos</t>
        </is>
      </c>
      <c r="C4" s="17" t="inlineStr">
        <is>
          <t>Saldo</t>
        </is>
      </c>
      <c r="D4" s="17" t="inlineStr">
        <is>
          <t>Tasa aplicada</t>
        </is>
      </c>
      <c r="E4" s="17" t="inlineStr">
        <is>
          <t>Origen</t>
        </is>
      </c>
      <c r="F4" s="17" t="inlineStr">
        <is>
          <t>Pérdida</t>
        </is>
      </c>
      <c r="G4" s="17" t="inlineStr">
        <is>
          <t>Base de la tasa</t>
        </is>
      </c>
    </row>
    <row r="5">
      <c r="A5" s="18" t="inlineStr">
        <is>
          <t>Corriente / por vencer</t>
        </is>
      </c>
      <c r="B5" s="30">
        <f>COUNTIF('11_Detalle'!$F$5:$F$24,A5)</f>
        <v/>
      </c>
      <c r="C5" s="20">
        <f>SUMIF('11_Detalle'!$F$5:$F$24,A5,'11_Detalle'!$G$5:$G$24)</f>
        <v/>
      </c>
      <c r="D5" s="31" t="n">
        <v>0</v>
      </c>
      <c r="E5" s="18" t="inlineStr">
        <is>
          <t>Sección 11 — sin evidencia objetiva</t>
        </is>
      </c>
      <c r="F5" s="20">
        <f>SUMIF('11_Detalle'!$F$5:$F$24,A5,'11_Detalle'!$J$5:$J$24)</f>
        <v/>
      </c>
      <c r="G5" s="18" t="inlineStr">
        <is>
          <t>Cartera al día sin evento de pérdida: la Sección 11 no admite provisión general.</t>
        </is>
      </c>
    </row>
    <row r="6">
      <c r="A6" s="19" t="inlineStr">
        <is>
          <t>1 a 30 días</t>
        </is>
      </c>
      <c r="B6" s="32">
        <f>COUNTIF('11_Detalle'!$F$5:$F$24,A6)</f>
        <v/>
      </c>
      <c r="C6" s="21">
        <f>SUMIF('11_Detalle'!$F$5:$F$24,A6,'11_Detalle'!$G$5:$G$24)</f>
        <v/>
      </c>
      <c r="D6" s="33" t="n"/>
      <c r="E6" s="19" t="inlineStr">
        <is>
          <t>No medible</t>
        </is>
      </c>
      <c r="F6" s="21">
        <f>SUMIF('11_Detalle'!$F$5:$F$24,A6,'11_Detalle'!$J$5:$J$24)</f>
        <v/>
      </c>
      <c r="G6" s="19" t="inlineStr">
        <is>
          <t>Ningún documento del tramo se localizó en el ejercicio siguiente: falta la medición, no el cobro.</t>
        </is>
      </c>
    </row>
    <row r="7">
      <c r="A7" s="18" t="inlineStr">
        <is>
          <t>31 a 60 días</t>
        </is>
      </c>
      <c r="B7" s="30">
        <f>COUNTIF('11_Detalle'!$F$5:$F$24,A7)</f>
        <v/>
      </c>
      <c r="C7" s="20">
        <f>SUMIF('11_Detalle'!$F$5:$F$24,A7,'11_Detalle'!$G$5:$G$24)</f>
        <v/>
      </c>
      <c r="D7" s="31">
        <f>SUMIFS('03_Evidencia_historica'!$F:$F,'03_Evidencia_historica'!$B:$B,A7,'03_Evidencia_historica'!$H:$H,"Sí")/SUMIFS('03_Evidencia_historica'!$E:$E,'03_Evidencia_historica'!$B:$B,A7,'03_Evidencia_historica'!$H:$H,"Sí")</f>
        <v/>
      </c>
      <c r="E7" s="18" t="inlineStr">
        <is>
          <t>Migración observada</t>
        </is>
      </c>
      <c r="F7" s="20">
        <f>SUMIF('11_Detalle'!$F$5:$F$24,A7,'11_Detalle'!$J$5:$J$24)</f>
        <v/>
      </c>
      <c r="G7" s="18" t="inlineStr">
        <is>
          <t>De 34.052,04 en este tramo, 5.956,67 seguían vivos un año después (2 de 4 documentos; 2 ventana(s) anual(es)).</t>
        </is>
      </c>
    </row>
    <row r="8">
      <c r="A8" s="19" t="inlineStr">
        <is>
          <t>61 a 90 días</t>
        </is>
      </c>
      <c r="B8" s="32">
        <f>COUNTIF('11_Detalle'!$F$5:$F$24,A8)</f>
        <v/>
      </c>
      <c r="C8" s="21">
        <f>SUMIF('11_Detalle'!$F$5:$F$24,A8,'11_Detalle'!$G$5:$G$24)</f>
        <v/>
      </c>
      <c r="D8" s="33">
        <f>SUMIFS('03_Evidencia_historica'!$F:$F,'03_Evidencia_historica'!$B:$B,A8,'03_Evidencia_historica'!$H:$H,"Sí")/SUMIFS('03_Evidencia_historica'!$E:$E,'03_Evidencia_historica'!$B:$B,A8,'03_Evidencia_historica'!$H:$H,"Sí")</f>
        <v/>
      </c>
      <c r="E8" s="19" t="inlineStr">
        <is>
          <t>Migración observada</t>
        </is>
      </c>
      <c r="F8" s="21">
        <f>SUMIF('11_Detalle'!$F$5:$F$24,A8,'11_Detalle'!$J$5:$J$24)</f>
        <v/>
      </c>
      <c r="G8" s="19" t="inlineStr">
        <is>
          <t>De 19.133,01 en este tramo, 6.772,67 seguían vivos un año después (2 de 2 documentos; 2 ventana(s) anual(es)).</t>
        </is>
      </c>
    </row>
    <row r="9">
      <c r="A9" s="18" t="inlineStr">
        <is>
          <t>91 a 180 días</t>
        </is>
      </c>
      <c r="B9" s="30">
        <f>COUNTIF('11_Detalle'!$F$5:$F$24,A9)</f>
        <v/>
      </c>
      <c r="C9" s="20">
        <f>SUMIF('11_Detalle'!$F$5:$F$24,A9,'11_Detalle'!$G$5:$G$24)</f>
        <v/>
      </c>
      <c r="D9" s="31">
        <f>SUMIFS('03_Evidencia_historica'!$F:$F,'03_Evidencia_historica'!$B:$B,A9,'03_Evidencia_historica'!$H:$H,"Sí")/SUMIFS('03_Evidencia_historica'!$E:$E,'03_Evidencia_historica'!$B:$B,A9,'03_Evidencia_historica'!$H:$H,"Sí")</f>
        <v/>
      </c>
      <c r="E9" s="18" t="inlineStr">
        <is>
          <t>Migración observada</t>
        </is>
      </c>
      <c r="F9" s="20">
        <f>SUMIF('11_Detalle'!$F$5:$F$24,A9,'11_Detalle'!$J$5:$J$24)</f>
        <v/>
      </c>
      <c r="G9" s="18" t="inlineStr">
        <is>
          <t>De 18.224,27 en este tramo, 3.644,85 seguían vivos un año después (2 de 2 documentos; 2 ventana(s) anual(es)).</t>
        </is>
      </c>
    </row>
    <row r="10">
      <c r="A10" s="19" t="inlineStr">
        <is>
          <t>181 a 360 días</t>
        </is>
      </c>
      <c r="B10" s="32">
        <f>COUNTIF('11_Detalle'!$F$5:$F$24,A10)</f>
        <v/>
      </c>
      <c r="C10" s="21">
        <f>SUMIF('11_Detalle'!$F$5:$F$24,A10,'11_Detalle'!$G$5:$G$24)</f>
        <v/>
      </c>
      <c r="D10" s="33">
        <f>SUMIFS('03_Evidencia_historica'!$F:$F,'03_Evidencia_historica'!$B:$B,A10,'03_Evidencia_historica'!$H:$H,"Sí")/SUMIFS('03_Evidencia_historica'!$E:$E,'03_Evidencia_historica'!$B:$B,A10,'03_Evidencia_historica'!$H:$H,"Sí")</f>
        <v/>
      </c>
      <c r="E10" s="19" t="inlineStr">
        <is>
          <t>Migración observada</t>
        </is>
      </c>
      <c r="F10" s="21">
        <f>SUMIF('11_Detalle'!$F$5:$F$24,A10,'11_Detalle'!$J$5:$J$24)</f>
        <v/>
      </c>
      <c r="G10" s="19" t="inlineStr">
        <is>
          <t>De 70.736,32 en este tramo, 29.148,29 seguían vivos un año después (5 de 5 documentos; 2 ventana(s) anual(es)).</t>
        </is>
      </c>
    </row>
    <row r="11">
      <c r="A11" s="18" t="inlineStr">
        <is>
          <t>361 a 730 días</t>
        </is>
      </c>
      <c r="B11" s="30">
        <f>COUNTIF('11_Detalle'!$F$5:$F$24,A11)</f>
        <v/>
      </c>
      <c r="C11" s="20">
        <f>SUMIF('11_Detalle'!$F$5:$F$24,A11,'11_Detalle'!$G$5:$G$24)</f>
        <v/>
      </c>
      <c r="D11" s="31">
        <f>SUMIFS('03_Evidencia_historica'!$F:$F,'03_Evidencia_historica'!$B:$B,A11,'03_Evidencia_historica'!$H:$H,"Sí")/SUMIFS('03_Evidencia_historica'!$E:$E,'03_Evidencia_historica'!$B:$B,A11,'03_Evidencia_historica'!$H:$H,"Sí")</f>
        <v/>
      </c>
      <c r="E11" s="18" t="inlineStr">
        <is>
          <t>Migración observada</t>
        </is>
      </c>
      <c r="F11" s="20">
        <f>SUMIF('11_Detalle'!$F$5:$F$24,A11,'11_Detalle'!$J$5:$J$24)</f>
        <v/>
      </c>
      <c r="G11" s="18" t="inlineStr">
        <is>
          <t>De 20.571,80 en este tramo, 6.609,14 seguían vivos un año después (2 de 5 documentos; 2 ventana(s) anual(es)).</t>
        </is>
      </c>
    </row>
    <row r="12">
      <c r="A12" s="19" t="inlineStr">
        <is>
          <t>Más de 730 días</t>
        </is>
      </c>
      <c r="B12" s="32">
        <f>COUNTIF('11_Detalle'!$F$5:$F$24,A12)</f>
        <v/>
      </c>
      <c r="C12" s="21">
        <f>SUMIF('11_Detalle'!$F$5:$F$24,A12,'11_Detalle'!$G$5:$G$24)</f>
        <v/>
      </c>
      <c r="D12" s="33" t="n">
        <v>1</v>
      </c>
      <c r="E12" s="19" t="inlineStr">
        <is>
          <t>Evidencia objetiva del tramo</t>
        </is>
      </c>
      <c r="F12" s="21">
        <f>SUMIF('11_Detalle'!$F$5:$F$24,A12,'11_Detalle'!$J$5:$J$24)</f>
        <v/>
      </c>
      <c r="G12" s="19" t="inlineStr">
        <is>
          <t>Pérdida total del remanente: 2 documentos de más de 730 días sin evidencia de recuperación (Sección 11: incumplimiento sostenido).</t>
        </is>
      </c>
    </row>
    <row r="13">
      <c r="A13" s="34" t="inlineStr">
        <is>
          <t>TOTAL</t>
        </is>
      </c>
      <c r="B13" s="35">
        <f>SUM(B5:B12)</f>
        <v/>
      </c>
      <c r="C13" s="36">
        <f>SUM(C5:C12)</f>
        <v/>
      </c>
      <c r="D13" s="37" t="n"/>
      <c r="E13" s="34" t="inlineStr"/>
      <c r="F13" s="36">
        <f>SUM(F5:F12)</f>
        <v/>
      </c>
      <c r="G13" s="34" t="inlineStr"/>
    </row>
    <row r="15">
      <c r="A15" s="22" t="inlineStr">
        <is>
          <t>ⓘ  Cómo se calcula esta hoja</t>
        </is>
      </c>
    </row>
    <row r="16">
      <c r="A16" s="23" t="inlineStr">
        <is>
          <t>Columna</t>
        </is>
      </c>
      <c r="B16" s="23" t="inlineStr">
        <is>
          <t>Fórmula (Excel)</t>
        </is>
      </c>
      <c r="C16" s="23" t="inlineStr">
        <is>
          <t>Cómo se calcula (sencillo)</t>
        </is>
      </c>
      <c r="D16" s="23" t="inlineStr">
        <is>
          <t>Ejemplo con números reales</t>
        </is>
      </c>
      <c r="E16" s="23" t="inlineStr">
        <is>
          <t>De dónde viene</t>
        </is>
      </c>
      <c r="F16" s="23" t="inlineStr">
        <is>
          <t>Norma</t>
        </is>
      </c>
    </row>
    <row r="17">
      <c r="A17" s="24" t="inlineStr">
        <is>
          <t>Documentos</t>
        </is>
      </c>
      <c r="B17" s="25" t="inlineStr">
        <is>
          <t>'=COUNTIF('11_Detalle'!$F$5:$F$24,A5)</t>
        </is>
      </c>
      <c r="C17" s="24" t="inlineStr">
        <is>
          <t>Cuenta cuántas facturas del detalle (hoja 11, Detalle por factura) caen en este tramo de mora.</t>
        </is>
      </c>
      <c r="D17" s="24" t="inlineStr">
        <is>
          <t>Fila 1: COUNTIF([«Tramo» de «Detalle por factura», 20 filas]; «Corriente / por vencer») → 5</t>
        </is>
      </c>
      <c r="E17" s="24" t="inlineStr">
        <is>
          <t>«Tramo» (esta hoja), hoja «Detalle por factura»</t>
        </is>
      </c>
      <c r="F17" s="24" t="inlineStr">
        <is>
          <t>—</t>
        </is>
      </c>
    </row>
    <row r="18">
      <c r="A18" s="24" t="inlineStr">
        <is>
          <t>Saldo</t>
        </is>
      </c>
      <c r="B18" s="25" t="inlineStr">
        <is>
          <t>'=SUMIF('11_Detalle'!$F$5:$F$24,A5,'11_Detalle'!$G$5:$G$24)</t>
        </is>
      </c>
      <c r="C18" s="24" t="inlineStr">
        <is>
          <t>Suma el saldo de todas las facturas del detalle (hoja 11, Detalle por factura) que caen en este tramo.</t>
        </is>
      </c>
      <c r="D18" s="24" t="inlineStr">
        <is>
          <t>Fila 1: SUMIF([«Tramo» de «Detalle por factura», 20 filas]; «Corriente / por vencer»; [«Saldo» de «Detalle por factura», 20 filas]) → 90.377,19</t>
        </is>
      </c>
      <c r="E18" s="24" t="inlineStr">
        <is>
          <t>«Tramo» (esta hoja), hoja «Detalle por factura»</t>
        </is>
      </c>
      <c r="F18" s="24" t="inlineStr">
        <is>
          <t>—</t>
        </is>
      </c>
    </row>
    <row r="19">
      <c r="A19" s="24" t="inlineStr">
        <is>
          <t>Tasa aplicada</t>
        </is>
      </c>
      <c r="B19" s="25" t="inlineStr">
        <is>
          <t>'=SUMIFS('03_Evidencia_historica'!$F:$F,'03_Evidencia_historica'!$B:$B,A7,'03_Evidencia_historica'!$H:$H,"Sí")/SUMIFS('03_Evidencia_historica'!$E:$E,'03_Evidencia_historica'!$B:$B,A7,'03_Evidencia_historica'!$H:$H,"Sí")</t>
        </is>
      </c>
      <c r="C19" s="24" t="inlineStr">
        <is>
          <t>Si el auditor fijó la tasa del tramo, la toma de la hoja 02 (Parámetros) y la divide para 100; si viene de la migración observada, divide el saldo que siguió vivo para el saldo inicial del tramo, sumando solo las ventanas marcadas «Sí» como usables en la hoja 03 (Evidencia histórica).</t>
        </is>
      </c>
      <c r="D19" s="24" t="inlineStr">
        <is>
          <t>Fila 3: SUMIFS([«Sigue vivo al año siguiente» de «Evidencia histórica», columna completa]; [«Tramo» de «Evidencia histórica», columna completa]; «31 a 60 días»; [«Usable» de «Evidencia histórica», columna completa]; "Sí")/SUMIFS([«Saldo inicial» de «Evidencia histórica», columna completa]; [«Tramo» de «Evidencia histórica», columna completa]; «31 a 60 días»; [«Usable» de «Evidencia histórica», columna completa]; "Sí") → 17,49 %</t>
        </is>
      </c>
      <c r="E19" s="24" t="inlineStr">
        <is>
          <t>«Tramo» (esta hoja)</t>
        </is>
      </c>
      <c r="F19" s="24" t="inlineStr">
        <is>
          <t>—</t>
        </is>
      </c>
    </row>
    <row r="20">
      <c r="A20" s="24" t="inlineStr">
        <is>
          <t>Pérdida</t>
        </is>
      </c>
      <c r="B20" s="25" t="inlineStr">
        <is>
          <t>'=SUMIF('11_Detalle'!$F$5:$F$24,A5,'11_Detalle'!$J$5:$J$24)</t>
        </is>
      </c>
      <c r="C20" s="24" t="inlineStr">
        <is>
          <t>Suma la pérdida calculada factura por factura en la hoja 11 (Detalle por factura) para las facturas de este tramo.</t>
        </is>
      </c>
      <c r="D20" s="24" t="inlineStr">
        <is>
          <t>Fila 1: SUMIF([«Tramo» de «Detalle por factura», 20 filas]; «Corriente / por vencer»; [«Pérdida» de «Detalle por factura», 20 filas]) → 0,00</t>
        </is>
      </c>
      <c r="E20" s="24" t="inlineStr">
        <is>
          <t>«Tramo» (esta hoja), hoja «Detalle por factura»</t>
        </is>
      </c>
      <c r="F20" s="24" t="inlineStr">
        <is>
          <t>—</t>
        </is>
      </c>
    </row>
  </sheetData>
  <mergeCells count="3">
    <mergeCell ref="A2:F2"/>
    <mergeCell ref="A1:F1"/>
    <mergeCell ref="A15:F15"/>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J19"/>
  <sheetViews>
    <sheetView showGridLines="0" workbookViewId="0">
      <pane ySplit="4" topLeftCell="A5" activePane="bottomLeft" state="frozen"/>
      <selection pane="bottomLeft" activeCell="A1" sqref="A1"/>
    </sheetView>
  </sheetViews>
  <sheetFormatPr baseColWidth="8" defaultRowHeight="15"/>
  <cols>
    <col width="35" customWidth="1" min="1" max="1"/>
    <col width="15" customWidth="1" min="2" max="2"/>
    <col width="12" customWidth="1" min="3" max="3"/>
    <col width="12" customWidth="1" min="4" max="4"/>
    <col width="12" customWidth="1" min="5" max="5"/>
    <col width="12" customWidth="1" min="6" max="6"/>
    <col width="20" customWidth="1" min="7" max="7"/>
    <col width="21" customWidth="1" min="8" max="8"/>
    <col width="12" customWidth="1" min="9" max="9"/>
    <col width="12" customWidth="1" min="10" max="10"/>
  </cols>
  <sheetData>
    <row r="1">
      <c r="A1" s="3" t="inlineStr">
        <is>
          <t>Por cliente</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c r="G2" s="16" t="n"/>
      <c r="H2" s="16" t="n"/>
      <c r="I2" s="16" t="n"/>
      <c r="J2" s="16" t="n"/>
    </row>
    <row r="4" ht="30" customHeight="1">
      <c r="A4" s="17" t="inlineStr">
        <is>
          <t>Cliente</t>
        </is>
      </c>
      <c r="B4" s="17" t="inlineStr">
        <is>
          <t>RUC</t>
        </is>
      </c>
      <c r="C4" s="17" t="inlineStr">
        <is>
          <t>Documentos</t>
        </is>
      </c>
      <c r="D4" s="17" t="inlineStr">
        <is>
          <t>Saldo</t>
        </is>
      </c>
      <c r="E4" s="17" t="inlineStr">
        <is>
          <t>Corriente</t>
        </is>
      </c>
      <c r="F4" s="17" t="inlineStr">
        <is>
          <t>Vencido</t>
        </is>
      </c>
      <c r="G4" s="17" t="inlineStr">
        <is>
          <t>Mora máxima (días)</t>
        </is>
      </c>
      <c r="H4" s="17" t="inlineStr">
        <is>
          <t>Tasa ponderada</t>
        </is>
      </c>
      <c r="I4" s="17" t="inlineStr">
        <is>
          <t>Pérdida</t>
        </is>
      </c>
      <c r="J4" s="17" t="inlineStr">
        <is>
          <t>Evaluación</t>
        </is>
      </c>
    </row>
    <row r="5">
      <c r="A5" s="18" t="inlineStr">
        <is>
          <t>Vialidad Norte S.A.</t>
        </is>
      </c>
      <c r="B5" s="18" t="inlineStr">
        <is>
          <t>1090044556001</t>
        </is>
      </c>
      <c r="C5" s="30">
        <f>COUNTIF('11_Detalle'!$B$5:$B$24,A5)</f>
        <v/>
      </c>
      <c r="D5" s="20">
        <f>SUMIF('11_Detalle'!$B$5:$B$24,A5,'11_Detalle'!$G$5:$G$24)</f>
        <v/>
      </c>
      <c r="E5" s="20">
        <f>SUMIFS('11_Detalle'!$G$5:$G$24,'11_Detalle'!$B$5:$B$24,A5,'11_Detalle'!$E$5:$E$24,"&lt;=0")</f>
        <v/>
      </c>
      <c r="F5" s="20">
        <f>D5-E5</f>
        <v/>
      </c>
      <c r="G5" s="30" t="n">
        <v>819</v>
      </c>
      <c r="H5" s="31" t="n">
        <v>0.3009217874133741</v>
      </c>
      <c r="I5" s="20">
        <f>IF(H5="","",D5*(1-(1-H5)/(1+'02_Parametros'!$B$8/100)^('02_Parametros'!$B$9/12)))</f>
        <v/>
      </c>
      <c r="J5" s="18" t="inlineStr">
        <is>
          <t>Antigüedad</t>
        </is>
      </c>
    </row>
    <row r="6">
      <c r="A6" s="19" t="inlineStr">
        <is>
          <t>Obras Civiles Pacífico S.A.</t>
        </is>
      </c>
      <c r="B6" s="19" t="inlineStr">
        <is>
          <t>1390066778001</t>
        </is>
      </c>
      <c r="C6" s="32">
        <f>COUNTIF('11_Detalle'!$B$5:$B$24,A6)</f>
        <v/>
      </c>
      <c r="D6" s="21">
        <f>SUMIF('11_Detalle'!$B$5:$B$24,A6,'11_Detalle'!$G$5:$G$24)</f>
        <v/>
      </c>
      <c r="E6" s="21">
        <f>SUMIFS('11_Detalle'!$G$5:$G$24,'11_Detalle'!$B$5:$B$24,A6,'11_Detalle'!$E$5:$E$24,"&lt;=0")</f>
        <v/>
      </c>
      <c r="F6" s="21">
        <f>D6-E6</f>
        <v/>
      </c>
      <c r="G6" s="32" t="n">
        <v>971</v>
      </c>
      <c r="H6" s="33" t="n">
        <v>0.359728198319773</v>
      </c>
      <c r="I6" s="21">
        <f>IF(H6="","",D6*(1-(1-H6)/(1+'02_Parametros'!$B$8/100)^('02_Parametros'!$B$9/12)))</f>
        <v/>
      </c>
      <c r="J6" s="19" t="inlineStr">
        <is>
          <t>Antigüedad</t>
        </is>
      </c>
    </row>
    <row r="7">
      <c r="A7" s="18" t="inlineStr">
        <is>
          <t>Hidrosur Cía. Ltda.</t>
        </is>
      </c>
      <c r="B7" s="18" t="inlineStr">
        <is>
          <t>0190055667001</t>
        </is>
      </c>
      <c r="C7" s="30">
        <f>COUNTIF('11_Detalle'!$B$5:$B$24,A7)</f>
        <v/>
      </c>
      <c r="D7" s="20">
        <f>SUMIF('11_Detalle'!$B$5:$B$24,A7,'11_Detalle'!$G$5:$G$24)</f>
        <v/>
      </c>
      <c r="E7" s="20">
        <f>SUMIFS('11_Detalle'!$G$5:$G$24,'11_Detalle'!$B$5:$B$24,A7,'11_Detalle'!$E$5:$E$24,"&lt;=0")</f>
        <v/>
      </c>
      <c r="F7" s="20">
        <f>D7-E7</f>
        <v/>
      </c>
      <c r="G7" s="30" t="n">
        <v>451</v>
      </c>
      <c r="H7" s="31" t="n">
        <v>0.07347439407664494</v>
      </c>
      <c r="I7" s="20">
        <f>IF(H7="","",D7*(1-(1-H7)/(1+'02_Parametros'!$B$8/100)^('02_Parametros'!$B$9/12)))</f>
        <v/>
      </c>
      <c r="J7" s="18" t="inlineStr">
        <is>
          <t>Antigüedad</t>
        </is>
      </c>
    </row>
    <row r="8">
      <c r="A8" s="19" t="inlineStr">
        <is>
          <t>Minera Austral S.A.</t>
        </is>
      </c>
      <c r="B8" s="19" t="inlineStr">
        <is>
          <t>1790033445001</t>
        </is>
      </c>
      <c r="C8" s="32">
        <f>COUNTIF('11_Detalle'!$B$5:$B$24,A8)</f>
        <v/>
      </c>
      <c r="D8" s="21">
        <f>SUMIF('11_Detalle'!$B$5:$B$24,A8,'11_Detalle'!$G$5:$G$24)</f>
        <v/>
      </c>
      <c r="E8" s="21">
        <f>SUMIFS('11_Detalle'!$G$5:$G$24,'11_Detalle'!$B$5:$B$24,A8,'11_Detalle'!$E$5:$E$24,"&lt;=0")</f>
        <v/>
      </c>
      <c r="F8" s="21">
        <f>D8-E8</f>
        <v/>
      </c>
      <c r="G8" s="32" t="n">
        <v>635</v>
      </c>
      <c r="H8" s="33" t="n">
        <v>0.09126936545045039</v>
      </c>
      <c r="I8" s="21">
        <f>IF(H8="","",D8*(1-(1-H8)/(1+'02_Parametros'!$B$8/100)^('02_Parametros'!$B$9/12)))</f>
        <v/>
      </c>
      <c r="J8" s="19" t="inlineStr">
        <is>
          <t>Antigüedad</t>
        </is>
      </c>
    </row>
    <row r="9">
      <c r="A9" s="18" t="inlineStr">
        <is>
          <t>Constructora Andina S.A.</t>
        </is>
      </c>
      <c r="B9" s="18" t="inlineStr">
        <is>
          <t>1790011223001</t>
        </is>
      </c>
      <c r="C9" s="30">
        <f>COUNTIF('11_Detalle'!$B$5:$B$24,A9)</f>
        <v/>
      </c>
      <c r="D9" s="20">
        <f>SUMIF('11_Detalle'!$B$5:$B$24,A9,'11_Detalle'!$G$5:$G$24)</f>
        <v/>
      </c>
      <c r="E9" s="20">
        <f>SUMIFS('11_Detalle'!$G$5:$G$24,'11_Detalle'!$B$5:$B$24,A9,'11_Detalle'!$E$5:$E$24,"&lt;=0")</f>
        <v/>
      </c>
      <c r="F9" s="20">
        <f>D9-E9</f>
        <v/>
      </c>
      <c r="G9" s="30" t="n">
        <v>0</v>
      </c>
      <c r="H9" s="31" t="n">
        <v>0</v>
      </c>
      <c r="I9" s="20">
        <f>IF(H9="","",D9*(1-(1-H9)/(1+'02_Parametros'!$B$8/100)^('02_Parametros'!$B$9/12)))</f>
        <v/>
      </c>
      <c r="J9" s="18" t="inlineStr">
        <is>
          <t>Colectiva</t>
        </is>
      </c>
    </row>
    <row r="10">
      <c r="A10" s="19" t="inlineStr">
        <is>
          <t>Agroexport del Litoral Cía. Ltda.</t>
        </is>
      </c>
      <c r="B10" s="19" t="inlineStr">
        <is>
          <t>0990022334001</t>
        </is>
      </c>
      <c r="C10" s="32">
        <f>COUNTIF('11_Detalle'!$B$5:$B$24,A10)</f>
        <v/>
      </c>
      <c r="D10" s="21">
        <f>SUMIF('11_Detalle'!$B$5:$B$24,A10,'11_Detalle'!$G$5:$G$24)</f>
        <v/>
      </c>
      <c r="E10" s="21">
        <f>SUMIFS('11_Detalle'!$G$5:$G$24,'11_Detalle'!$B$5:$B$24,A10,'11_Detalle'!$E$5:$E$24,"&lt;=0")</f>
        <v/>
      </c>
      <c r="F10" s="21">
        <f>D10-E10</f>
        <v/>
      </c>
      <c r="G10" s="32" t="n">
        <v>24</v>
      </c>
      <c r="H10" s="33" t="n"/>
      <c r="I10" s="21">
        <f>IF(H10="","",D10*(1-(1-H10)/(1+'02_Parametros'!$B$8/100)^('02_Parametros'!$B$9/12)))</f>
        <v/>
      </c>
      <c r="J10" s="19" t="inlineStr">
        <is>
          <t>Colectiva</t>
        </is>
      </c>
    </row>
    <row r="11">
      <c r="A11" s="34" t="inlineStr">
        <is>
          <t>TOTAL</t>
        </is>
      </c>
      <c r="B11" s="34" t="inlineStr"/>
      <c r="C11" s="35">
        <f>SUM(C5:C10)</f>
        <v/>
      </c>
      <c r="D11" s="36">
        <f>SUM(D5:D10)</f>
        <v/>
      </c>
      <c r="E11" s="36">
        <f>SUM(E5:E10)</f>
        <v/>
      </c>
      <c r="F11" s="36">
        <f>SUM(F5:F10)</f>
        <v/>
      </c>
      <c r="G11" s="35" t="n"/>
      <c r="H11" s="37" t="n"/>
      <c r="I11" s="36">
        <f>SUM(I5:I10)</f>
        <v/>
      </c>
      <c r="J11" s="34" t="inlineStr"/>
    </row>
    <row r="13">
      <c r="A13" s="22" t="inlineStr">
        <is>
          <t>ⓘ  Cómo se calcula esta hoja</t>
        </is>
      </c>
    </row>
    <row r="14">
      <c r="A14" s="23" t="inlineStr">
        <is>
          <t>Columna</t>
        </is>
      </c>
      <c r="B14" s="23" t="inlineStr">
        <is>
          <t>Fórmula (Excel)</t>
        </is>
      </c>
      <c r="C14" s="23" t="inlineStr">
        <is>
          <t>Cómo se calcula (sencillo)</t>
        </is>
      </c>
      <c r="D14" s="23" t="inlineStr">
        <is>
          <t>Ejemplo con números reales</t>
        </is>
      </c>
      <c r="E14" s="23" t="inlineStr">
        <is>
          <t>De dónde viene</t>
        </is>
      </c>
      <c r="F14" s="23" t="inlineStr">
        <is>
          <t>Norma</t>
        </is>
      </c>
    </row>
    <row r="15">
      <c r="A15" s="24" t="inlineStr">
        <is>
          <t>Documentos</t>
        </is>
      </c>
      <c r="B15" s="25" t="inlineStr">
        <is>
          <t>'=COUNTIF('11_Detalle'!$B$5:$B$24,A5)</t>
        </is>
      </c>
      <c r="C15" s="24" t="inlineStr">
        <is>
          <t>Cuenta cuántas facturas del cliente hay en el detalle de la hoja 11 (Detalle por factura).</t>
        </is>
      </c>
      <c r="D15" s="24" t="inlineStr">
        <is>
          <t>Fila 1: COUNTIF([«Cliente» de «Detalle por factura», 20 filas]; «Vialidad Norte S.A.») → 6</t>
        </is>
      </c>
      <c r="E15" s="24" t="inlineStr">
        <is>
          <t>«Cliente» (esta hoja), hoja «Detalle por factura»</t>
        </is>
      </c>
      <c r="F15" s="24" t="inlineStr">
        <is>
          <t>—</t>
        </is>
      </c>
    </row>
    <row r="16">
      <c r="A16" s="24" t="inlineStr">
        <is>
          <t>Saldo</t>
        </is>
      </c>
      <c r="B16" s="25" t="inlineStr">
        <is>
          <t>'=SUMIF('11_Detalle'!$B$5:$B$24,A5,'11_Detalle'!$G$5:$G$24)</t>
        </is>
      </c>
      <c r="C16" s="24" t="inlineStr">
        <is>
          <t>Suma el saldo de todas las facturas del cliente que figuran en la hoja 11 (Detalle por factura).</t>
        </is>
      </c>
      <c r="D16" s="24" t="inlineStr">
        <is>
          <t>Fila 1: SUMIF([«Cliente» de «Detalle por factura», 20 filas]; «Vialidad Norte S.A.»; [«Saldo» de «Detalle por factura», 20 filas]) → 30.793,99</t>
        </is>
      </c>
      <c r="E16" s="24" t="inlineStr">
        <is>
          <t>«Cliente» (esta hoja), hoja «Detalle por factura»</t>
        </is>
      </c>
      <c r="F16" s="24" t="inlineStr">
        <is>
          <t>—</t>
        </is>
      </c>
    </row>
    <row r="17">
      <c r="A17" s="24" t="inlineStr">
        <is>
          <t>Corriente</t>
        </is>
      </c>
      <c r="B17" s="25" t="inlineStr">
        <is>
          <t>'=SUMIFS('11_Detalle'!$G$5:$G$24,'11_Detalle'!$B$5:$B$24,A5,'11_Detalle'!$E$5:$E$24,"&lt;=0")</t>
        </is>
      </c>
      <c r="C17" s="24" t="inlineStr">
        <is>
          <t>Suma el saldo de las facturas del cliente que al corte no están vencidas (días de mora cero o negativos) según la hoja 11 (Detalle por factura).</t>
        </is>
      </c>
      <c r="D17" s="24" t="inlineStr">
        <is>
          <t>Fila 1: SUMIFS([«Saldo» de «Detalle por factura», 20 filas]; [«Cliente» de «Detalle por factura», 20 filas]; «Vialidad Norte S.A.»; [«Días de mora» de «Detalle por factura», 20 filas]; "&lt;=0") → 7.754,65</t>
        </is>
      </c>
      <c r="E17" s="24" t="inlineStr">
        <is>
          <t>«Cliente» (esta hoja), hoja «Detalle por factura»</t>
        </is>
      </c>
      <c r="F17" s="24" t="inlineStr">
        <is>
          <t>—</t>
        </is>
      </c>
    </row>
    <row r="18">
      <c r="A18" s="24" t="inlineStr">
        <is>
          <t>Vencido</t>
        </is>
      </c>
      <c r="B18" s="25" t="inlineStr">
        <is>
          <t>'=D5-E5</t>
        </is>
      </c>
      <c r="C18" s="24" t="inlineStr">
        <is>
          <t>Resta al saldo total del cliente la parte corriente: lo que queda es la cartera ya vencida del cliente.</t>
        </is>
      </c>
      <c r="D18" s="24" t="inlineStr">
        <is>
          <t>Fila 1: 30.793,99-7.754,65 → 23.039,34</t>
        </is>
      </c>
      <c r="E18" s="24" t="inlineStr">
        <is>
          <t>«Saldo» (esta hoja), «Corriente» (esta hoja)</t>
        </is>
      </c>
      <c r="F18" s="24" t="inlineStr">
        <is>
          <t>—</t>
        </is>
      </c>
    </row>
    <row r="19">
      <c r="A19" s="24" t="inlineStr">
        <is>
          <t>Pérdida</t>
        </is>
      </c>
      <c r="B19" s="25" t="inlineStr">
        <is>
          <t>'=IF(H5="","",D5*(1-(1-H5)/(1+'02_Parametros'!$B$8/100)^('02_Parametros'!$B$9/12)))</t>
        </is>
      </c>
      <c r="C19" s="24" t="inlineStr">
        <is>
          <t>Aplica la tasa ponderada del cliente: al saldo le resta el valor presente de la parte que se espera cobrar, descontada con la tasa y el plazo de la hoja 02 (Parámetros). Sin tasa ponderada, queda en blanco.</t>
        </is>
      </c>
      <c r="D19" s="24" t="inlineStr">
        <is>
          <t>Fila 1: IF(30,09 %=""; ""; 30.793,99*(1-(1-30,09 %)/(1+0,00/100)^(12,00/12))) → 9.266,58</t>
        </is>
      </c>
      <c r="E19" s="24" t="inlineStr">
        <is>
          <t>«Tasa ponderada» (esta hoja), «Saldo» (esta hoja), hoja «Parámetros»</t>
        </is>
      </c>
      <c r="F19" s="24" t="inlineStr">
        <is>
          <t>—</t>
        </is>
      </c>
    </row>
  </sheetData>
  <mergeCells count="3">
    <mergeCell ref="A13:F13"/>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29" customWidth="1" min="1" max="1"/>
    <col width="19" customWidth="1" min="2" max="2"/>
    <col width="19" customWidth="1" min="3" max="3"/>
    <col width="12" customWidth="1" min="4" max="4"/>
    <col width="12" customWidth="1" min="5" max="5"/>
    <col width="19" customWidth="1" min="6" max="6"/>
    <col width="13" customWidth="1" min="7" max="7"/>
    <col width="15" customWidth="1" min="8" max="8"/>
  </cols>
  <sheetData>
    <row r="1">
      <c r="A1" s="3" t="inlineStr">
        <is>
          <t>Movimiento de la provisión</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c r="G2" s="16" t="n"/>
      <c r="H2" s="16" t="n"/>
    </row>
    <row r="4" ht="30" customHeight="1">
      <c r="A4" s="17" t="inlineStr">
        <is>
          <t>Cliente</t>
        </is>
      </c>
      <c r="B4" s="17" t="inlineStr">
        <is>
          <t>Factura</t>
        </is>
      </c>
      <c r="C4" s="17" t="inlineStr">
        <is>
          <t>Provisión inicial</t>
        </is>
      </c>
      <c r="D4" s="17" t="inlineStr">
        <is>
          <t>Reversión</t>
        </is>
      </c>
      <c r="E4" s="17" t="inlineStr">
        <is>
          <t>Bajas</t>
        </is>
      </c>
      <c r="F4" s="17" t="inlineStr">
        <is>
          <t>Provisión del año</t>
        </is>
      </c>
      <c r="G4" s="17" t="inlineStr">
        <is>
          <t>Saldo final</t>
        </is>
      </c>
      <c r="H4" s="17" t="inlineStr">
        <is>
          <t>Tipo</t>
        </is>
      </c>
    </row>
    <row r="5">
      <c r="A5" s="18" t="inlineStr">
        <is>
          <t>Obras Civiles Pacífico S.A.</t>
        </is>
      </c>
      <c r="B5" s="18" t="inlineStr">
        <is>
          <t>001-001-000001011</t>
        </is>
      </c>
      <c r="C5" s="20" t="n">
        <v>3821.78</v>
      </c>
      <c r="D5" s="20" t="n">
        <v>3821.78</v>
      </c>
      <c r="E5" s="20" t="n">
        <v>0</v>
      </c>
      <c r="F5" s="20">
        <f>SUMIF('11_Detalle'!$A$5:$A$24,B5,'11_Detalle'!$J$5:$J$24)</f>
        <v/>
      </c>
      <c r="G5" s="20">
        <f>C5-D5-E5+F5</f>
        <v/>
      </c>
      <c r="H5" s="18" t="inlineStr">
        <is>
          <t>Con deterioro</t>
        </is>
      </c>
    </row>
    <row r="6">
      <c r="A6" s="19" t="inlineStr">
        <is>
          <t>Vialidad Norte S.A.</t>
        </is>
      </c>
      <c r="B6" s="19" t="inlineStr">
        <is>
          <t>001-001-000001009</t>
        </is>
      </c>
      <c r="C6" s="21" t="n">
        <v>1994.26</v>
      </c>
      <c r="D6" s="21" t="n">
        <v>1994.26</v>
      </c>
      <c r="E6" s="21" t="n">
        <v>0</v>
      </c>
      <c r="F6" s="21">
        <f>SUMIF('11_Detalle'!$A$5:$A$24,B6,'11_Detalle'!$J$5:$J$24)</f>
        <v/>
      </c>
      <c r="G6" s="21">
        <f>C6-D6-E6+F6</f>
        <v/>
      </c>
      <c r="H6" s="19" t="inlineStr">
        <is>
          <t>Con deterioro</t>
        </is>
      </c>
    </row>
    <row r="7">
      <c r="A7" s="18" t="inlineStr">
        <is>
          <t>Minera Austral S.A.</t>
        </is>
      </c>
      <c r="B7" s="18" t="inlineStr">
        <is>
          <t>001-001-000001021</t>
        </is>
      </c>
      <c r="C7" s="20" t="n">
        <v>0</v>
      </c>
      <c r="D7" s="20" t="n">
        <v>0</v>
      </c>
      <c r="E7" s="20" t="n">
        <v>0</v>
      </c>
      <c r="F7" s="20">
        <f>SUMIF('11_Detalle'!$A$5:$A$24,B7,'11_Detalle'!$J$5:$J$24)</f>
        <v/>
      </c>
      <c r="G7" s="20">
        <f>C7-D7-E7+F7</f>
        <v/>
      </c>
      <c r="H7" s="18" t="inlineStr">
        <is>
          <t>Con deterioro</t>
        </is>
      </c>
    </row>
    <row r="8">
      <c r="A8" s="19" t="inlineStr">
        <is>
          <t>Vialidad Norte S.A.</t>
        </is>
      </c>
      <c r="B8" s="19" t="inlineStr">
        <is>
          <t>001-001-000001022</t>
        </is>
      </c>
      <c r="C8" s="21" t="n">
        <v>0</v>
      </c>
      <c r="D8" s="21" t="n">
        <v>0</v>
      </c>
      <c r="E8" s="21" t="n">
        <v>0</v>
      </c>
      <c r="F8" s="21">
        <f>SUMIF('11_Detalle'!$A$5:$A$24,B8,'11_Detalle'!$J$5:$J$24)</f>
        <v/>
      </c>
      <c r="G8" s="21">
        <f>C8-D8-E8+F8</f>
        <v/>
      </c>
      <c r="H8" s="19" t="inlineStr">
        <is>
          <t>Con deterioro</t>
        </is>
      </c>
    </row>
    <row r="9">
      <c r="A9" s="18" t="inlineStr">
        <is>
          <t>Vialidad Norte S.A.</t>
        </is>
      </c>
      <c r="B9" s="18" t="inlineStr">
        <is>
          <t>001-001-000001028</t>
        </is>
      </c>
      <c r="C9" s="20" t="n">
        <v>0</v>
      </c>
      <c r="D9" s="20" t="n">
        <v>0</v>
      </c>
      <c r="E9" s="20" t="n">
        <v>0</v>
      </c>
      <c r="F9" s="20">
        <f>SUMIF('11_Detalle'!$A$5:$A$24,B9,'11_Detalle'!$J$5:$J$24)</f>
        <v/>
      </c>
      <c r="G9" s="20">
        <f>C9-D9-E9+F9</f>
        <v/>
      </c>
      <c r="H9" s="18" t="inlineStr">
        <is>
          <t>Con deterioro</t>
        </is>
      </c>
    </row>
    <row r="10">
      <c r="A10" s="19" t="inlineStr">
        <is>
          <t>Hidrosur Cía. Ltda.</t>
        </is>
      </c>
      <c r="B10" s="19" t="inlineStr">
        <is>
          <t>001-001-000001023</t>
        </is>
      </c>
      <c r="C10" s="21" t="n">
        <v>0</v>
      </c>
      <c r="D10" s="21" t="n">
        <v>0</v>
      </c>
      <c r="E10" s="21" t="n">
        <v>0</v>
      </c>
      <c r="F10" s="21">
        <f>SUMIF('11_Detalle'!$A$5:$A$24,B10,'11_Detalle'!$J$5:$J$24)</f>
        <v/>
      </c>
      <c r="G10" s="21">
        <f>C10-D10-E10+F10</f>
        <v/>
      </c>
      <c r="H10" s="19" t="inlineStr">
        <is>
          <t>Con deterioro</t>
        </is>
      </c>
    </row>
    <row r="11">
      <c r="A11" s="18" t="inlineStr">
        <is>
          <t>Minera Austral S.A.</t>
        </is>
      </c>
      <c r="B11" s="18" t="inlineStr">
        <is>
          <t>001-001-000001027</t>
        </is>
      </c>
      <c r="C11" s="20" t="n">
        <v>0</v>
      </c>
      <c r="D11" s="20" t="n">
        <v>0</v>
      </c>
      <c r="E11" s="20" t="n">
        <v>0</v>
      </c>
      <c r="F11" s="20">
        <f>SUMIF('11_Detalle'!$A$5:$A$24,B11,'11_Detalle'!$J$5:$J$24)</f>
        <v/>
      </c>
      <c r="G11" s="20">
        <f>C11-D11-E11+F11</f>
        <v/>
      </c>
      <c r="H11" s="18" t="inlineStr">
        <is>
          <t>Con deterioro</t>
        </is>
      </c>
    </row>
    <row r="12">
      <c r="A12" s="19" t="inlineStr">
        <is>
          <t>Obras Civiles Pacífico S.A.</t>
        </is>
      </c>
      <c r="B12" s="19" t="inlineStr">
        <is>
          <t>001-001-000001024</t>
        </is>
      </c>
      <c r="C12" s="21" t="n">
        <v>0</v>
      </c>
      <c r="D12" s="21" t="n">
        <v>0</v>
      </c>
      <c r="E12" s="21" t="n">
        <v>0</v>
      </c>
      <c r="F12" s="21">
        <f>SUMIF('11_Detalle'!$A$5:$A$24,B12,'11_Detalle'!$J$5:$J$24)</f>
        <v/>
      </c>
      <c r="G12" s="21">
        <f>C12-D12-E12+F12</f>
        <v/>
      </c>
      <c r="H12" s="19" t="inlineStr">
        <is>
          <t>Con deterioro</t>
        </is>
      </c>
    </row>
    <row r="13">
      <c r="A13" s="18" t="inlineStr">
        <is>
          <t>Vialidad Norte S.A.</t>
        </is>
      </c>
      <c r="B13" s="18" t="inlineStr">
        <is>
          <t>001-001-000001041</t>
        </is>
      </c>
      <c r="C13" s="20" t="n">
        <v>0</v>
      </c>
      <c r="D13" s="20" t="n">
        <v>0</v>
      </c>
      <c r="E13" s="20" t="n">
        <v>0</v>
      </c>
      <c r="F13" s="20">
        <f>SUMIF('11_Detalle'!$A$5:$A$24,B13,'11_Detalle'!$J$5:$J$24)</f>
        <v/>
      </c>
      <c r="G13" s="20">
        <f>C13-D13-E13+F13</f>
        <v/>
      </c>
      <c r="H13" s="18" t="inlineStr">
        <is>
          <t>Con deterioro</t>
        </is>
      </c>
    </row>
    <row r="14">
      <c r="A14" s="19" t="inlineStr">
        <is>
          <t>Vialidad Norte S.A.</t>
        </is>
      </c>
      <c r="B14" s="19" t="inlineStr">
        <is>
          <t>001-001-000001035</t>
        </is>
      </c>
      <c r="C14" s="21" t="n">
        <v>0</v>
      </c>
      <c r="D14" s="21" t="n">
        <v>0</v>
      </c>
      <c r="E14" s="21" t="n">
        <v>0</v>
      </c>
      <c r="F14" s="21">
        <f>SUMIF('11_Detalle'!$A$5:$A$24,B14,'11_Detalle'!$J$5:$J$24)</f>
        <v/>
      </c>
      <c r="G14" s="21">
        <f>C14-D14-E14+F14</f>
        <v/>
      </c>
      <c r="H14" s="19" t="inlineStr">
        <is>
          <t>Con deterioro</t>
        </is>
      </c>
    </row>
    <row r="15">
      <c r="A15" s="18" t="inlineStr">
        <is>
          <t>Hidrosur Cía. Ltda.</t>
        </is>
      </c>
      <c r="B15" s="18" t="inlineStr">
        <is>
          <t>001-001-000001036</t>
        </is>
      </c>
      <c r="C15" s="20" t="n">
        <v>0</v>
      </c>
      <c r="D15" s="20" t="n">
        <v>0</v>
      </c>
      <c r="E15" s="20" t="n">
        <v>0</v>
      </c>
      <c r="F15" s="20">
        <f>SUMIF('11_Detalle'!$A$5:$A$24,B15,'11_Detalle'!$J$5:$J$24)</f>
        <v/>
      </c>
      <c r="G15" s="20">
        <f>C15-D15-E15+F15</f>
        <v/>
      </c>
      <c r="H15" s="18" t="inlineStr">
        <is>
          <t>Con deterioro</t>
        </is>
      </c>
    </row>
    <row r="16">
      <c r="A16" s="19" t="inlineStr">
        <is>
          <t>Obras Civiles Pacífico S.A.</t>
        </is>
      </c>
      <c r="B16" s="19" t="inlineStr">
        <is>
          <t>001-001-000001037</t>
        </is>
      </c>
      <c r="C16" s="21" t="n">
        <v>0</v>
      </c>
      <c r="D16" s="21" t="n">
        <v>0</v>
      </c>
      <c r="E16" s="21" t="n">
        <v>0</v>
      </c>
      <c r="F16" s="21">
        <f>SUMIF('11_Detalle'!$A$5:$A$24,B16,'11_Detalle'!$J$5:$J$24)</f>
        <v/>
      </c>
      <c r="G16" s="21">
        <f>C16-D16-E16+F16</f>
        <v/>
      </c>
      <c r="H16" s="19" t="inlineStr">
        <is>
          <t>Con deterioro</t>
        </is>
      </c>
    </row>
    <row r="17">
      <c r="A17" s="18" t="inlineStr">
        <is>
          <t>Minera Austral S.A.</t>
        </is>
      </c>
      <c r="B17" s="18" t="inlineStr">
        <is>
          <t>001-001-000001040</t>
        </is>
      </c>
      <c r="C17" s="20" t="n">
        <v>0</v>
      </c>
      <c r="D17" s="20" t="n">
        <v>0</v>
      </c>
      <c r="E17" s="20" t="n">
        <v>0</v>
      </c>
      <c r="F17" s="20">
        <f>SUMIF('11_Detalle'!$A$5:$A$24,B17,'11_Detalle'!$J$5:$J$24)</f>
        <v/>
      </c>
      <c r="G17" s="20">
        <f>C17-D17-E17+F17</f>
        <v/>
      </c>
      <c r="H17" s="18" t="inlineStr">
        <is>
          <t>Con deterioro</t>
        </is>
      </c>
    </row>
    <row r="18">
      <c r="A18" s="19" t="inlineStr">
        <is>
          <t>Hidrosur Cía. Ltda.</t>
        </is>
      </c>
      <c r="B18" s="19" t="inlineStr">
        <is>
          <t>001-001-000001042</t>
        </is>
      </c>
      <c r="C18" s="21" t="n">
        <v>0</v>
      </c>
      <c r="D18" s="21" t="n">
        <v>0</v>
      </c>
      <c r="E18" s="21" t="n">
        <v>0</v>
      </c>
      <c r="F18" s="21">
        <f>SUMIF('11_Detalle'!$A$5:$A$24,B18,'11_Detalle'!$J$5:$J$24)</f>
        <v/>
      </c>
      <c r="G18" s="21">
        <f>C18-D18-E18+F18</f>
        <v/>
      </c>
      <c r="H18" s="19" t="inlineStr">
        <is>
          <t>Con deterioro</t>
        </is>
      </c>
    </row>
    <row r="19">
      <c r="A19" s="34" t="inlineStr">
        <is>
          <t>TOTAL</t>
        </is>
      </c>
      <c r="B19" s="34" t="inlineStr"/>
      <c r="C19" s="36">
        <f>SUM(C5:C18)</f>
        <v/>
      </c>
      <c r="D19" s="36">
        <f>SUM(D5:D18)</f>
        <v/>
      </c>
      <c r="E19" s="36">
        <f>SUM(E5:E18)</f>
        <v/>
      </c>
      <c r="F19" s="36">
        <f>SUM(F5:F18)</f>
        <v/>
      </c>
      <c r="G19" s="36">
        <f>SUM(G5:G18)</f>
        <v/>
      </c>
      <c r="H19" s="34" t="inlineStr"/>
    </row>
    <row r="21">
      <c r="A21" s="22" t="inlineStr">
        <is>
          <t>ⓘ  Cómo se calcula esta hoja</t>
        </is>
      </c>
    </row>
    <row r="22">
      <c r="A22" s="23" t="inlineStr">
        <is>
          <t>Columna</t>
        </is>
      </c>
      <c r="B22" s="23" t="inlineStr">
        <is>
          <t>Fórmula (Excel)</t>
        </is>
      </c>
      <c r="C22" s="23" t="inlineStr">
        <is>
          <t>Cómo se calcula (sencillo)</t>
        </is>
      </c>
      <c r="D22" s="23" t="inlineStr">
        <is>
          <t>Ejemplo con números reales</t>
        </is>
      </c>
      <c r="E22" s="23" t="inlineStr">
        <is>
          <t>De dónde viene</t>
        </is>
      </c>
      <c r="F22" s="23" t="inlineStr">
        <is>
          <t>Norma</t>
        </is>
      </c>
    </row>
    <row r="23">
      <c r="A23" s="24" t="inlineStr">
        <is>
          <t>Provisión del año</t>
        </is>
      </c>
      <c r="B23" s="25" t="inlineStr">
        <is>
          <t>'=SUMIF('11_Detalle'!$A$5:$A$24,B5,'11_Detalle'!$J$5:$J$24)</t>
        </is>
      </c>
      <c r="C23" s="24" t="inlineStr">
        <is>
          <t>Trae la pérdida recalculada de esta misma factura desde la hoja 11 (Detalle por factura); es la provisión que debería constituirse en el año.</t>
        </is>
      </c>
      <c r="D23" s="24" t="inlineStr">
        <is>
          <t>Fila 1: SUMIF([«Factura» de «Detalle por factura», 20 filas]; «001-001-000001011»; [«Pérdida» de «Detalle por factura», 20 filas]) → 4.342,93</t>
        </is>
      </c>
      <c r="E23" s="24" t="inlineStr">
        <is>
          <t>«Factura» (esta hoja), hoja «Detalle por factura»</t>
        </is>
      </c>
      <c r="F23" s="24" t="inlineStr">
        <is>
          <t>—</t>
        </is>
      </c>
    </row>
    <row r="24">
      <c r="A24" s="24" t="inlineStr">
        <is>
          <t>Saldo final</t>
        </is>
      </c>
      <c r="B24" s="25" t="inlineStr">
        <is>
          <t>'=C5-D5-E5+F5</t>
        </is>
      </c>
      <c r="C24" s="24" t="inlineStr">
        <is>
          <t>Parte de la provisión inicial, resta la reversión y las bajas del año y suma la provisión del año: es el saldo que debería quedar en la provisión de la factura.</t>
        </is>
      </c>
      <c r="D24" s="24" t="inlineStr">
        <is>
          <t>Fila 1: 3.821,78-3.821,78-0,00+4.342,93 → 4.342,93</t>
        </is>
      </c>
      <c r="E24" s="24" t="inlineStr">
        <is>
          <t>«Provisión inicial» (esta hoja), «Reversión» (esta hoja), «Bajas» (esta hoja), «Provisión del año» (esta hoja)</t>
        </is>
      </c>
      <c r="F24" s="24" t="inlineStr">
        <is>
          <t>—</t>
        </is>
      </c>
    </row>
  </sheetData>
  <mergeCells count="3">
    <mergeCell ref="A2:F2"/>
    <mergeCell ref="A21:F21"/>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1.xml><?xml version="1.0" encoding="utf-8"?>
<worksheet xmlns="http://schemas.openxmlformats.org/spreadsheetml/2006/main">
  <sheetPr>
    <outlinePr summaryBelow="1" summaryRight="1"/>
    <pageSetUpPr fitToPage="1"/>
  </sheetPr>
  <dimension ref="A1:J11"/>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6" customWidth="1" min="5" max="5"/>
    <col width="12" customWidth="1" min="6" max="6"/>
  </cols>
  <sheetData>
    <row r="1">
      <c r="A1" s="3" t="inlineStr">
        <is>
          <t>Provisión según el mayor</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Año</t>
        </is>
      </c>
      <c r="B4" s="17" t="inlineStr">
        <is>
          <t>Inicial</t>
        </is>
      </c>
      <c r="C4" s="17" t="inlineStr">
        <is>
          <t>Gasto</t>
        </is>
      </c>
      <c r="D4" s="17" t="inlineStr">
        <is>
          <t>Castigos</t>
        </is>
      </c>
      <c r="E4" s="17" t="inlineStr">
        <is>
          <t>Recuperaciones</t>
        </is>
      </c>
      <c r="F4" s="17" t="inlineStr">
        <is>
          <t>Final</t>
        </is>
      </c>
    </row>
    <row r="5">
      <c r="A5" s="18" t="inlineStr">
        <is>
          <t>2023</t>
        </is>
      </c>
      <c r="B5" s="20" t="n">
        <v>2442.74</v>
      </c>
      <c r="C5" s="20" t="n">
        <v>1628.49</v>
      </c>
      <c r="D5" s="20" t="n">
        <v>0</v>
      </c>
      <c r="E5" s="20" t="n">
        <v>0</v>
      </c>
      <c r="F5" s="20">
        <f>B5+C5-D5+E5</f>
        <v/>
      </c>
    </row>
    <row r="6">
      <c r="A6" s="19" t="inlineStr">
        <is>
          <t>2024</t>
        </is>
      </c>
      <c r="B6" s="21" t="n">
        <v>4071.23</v>
      </c>
      <c r="C6" s="21" t="n">
        <v>1744.81</v>
      </c>
      <c r="D6" s="21" t="n">
        <v>0</v>
      </c>
      <c r="E6" s="21" t="n">
        <v>0</v>
      </c>
      <c r="F6" s="21">
        <f>B6+C6-D6+E6</f>
        <v/>
      </c>
    </row>
    <row r="7">
      <c r="A7" s="18" t="inlineStr">
        <is>
          <t>2025</t>
        </is>
      </c>
      <c r="B7" s="20" t="n">
        <v>5816.04</v>
      </c>
      <c r="C7" s="20" t="n">
        <v>0</v>
      </c>
      <c r="D7" s="20" t="n">
        <v>0</v>
      </c>
      <c r="E7" s="20" t="n">
        <v>0</v>
      </c>
      <c r="F7" s="20">
        <f>B7+C7-D7+E7</f>
        <v/>
      </c>
    </row>
    <row r="9">
      <c r="A9" s="22" t="inlineStr">
        <is>
          <t>ⓘ  Cómo se calcula esta hoja</t>
        </is>
      </c>
    </row>
    <row r="10">
      <c r="A10" s="23" t="inlineStr">
        <is>
          <t>Columna</t>
        </is>
      </c>
      <c r="B10" s="23" t="inlineStr">
        <is>
          <t>Fórmula (Excel)</t>
        </is>
      </c>
      <c r="C10" s="23" t="inlineStr">
        <is>
          <t>Cómo se calcula (sencillo)</t>
        </is>
      </c>
      <c r="D10" s="23" t="inlineStr">
        <is>
          <t>Ejemplo con números reales</t>
        </is>
      </c>
      <c r="E10" s="23" t="inlineStr">
        <is>
          <t>De dónde viene</t>
        </is>
      </c>
      <c r="F10" s="23" t="inlineStr">
        <is>
          <t>Norma</t>
        </is>
      </c>
    </row>
    <row r="11">
      <c r="A11" s="24" t="inlineStr">
        <is>
          <t>Final</t>
        </is>
      </c>
      <c r="B11" s="25" t="inlineStr">
        <is>
          <t>'=B5+C5-D5+E5</t>
        </is>
      </c>
      <c r="C11" s="24" t="inlineStr">
        <is>
          <t>Parte del saldo inicial del mayor, suma el gasto del año, resta los castigos y suma las recuperaciones: es el saldo de la provisión al cierre de ese año.</t>
        </is>
      </c>
      <c r="D11" s="24" t="inlineStr">
        <is>
          <t>Fila 1: 2.442,74+1.628,49-0,00+0,00 → 4.071,23</t>
        </is>
      </c>
      <c r="E11" s="24" t="inlineStr">
        <is>
          <t>«Inicial» (esta hoja), «Gasto» (esta hoja), «Castigos» (esta hoja), «Recuperaciones» (esta hoja)</t>
        </is>
      </c>
      <c r="F11" s="24" t="inlineStr">
        <is>
          <t>—</t>
        </is>
      </c>
    </row>
  </sheetData>
  <mergeCells count="3">
    <mergeCell ref="A2:F2"/>
    <mergeCell ref="A1:F1"/>
    <mergeCell ref="A9:F9"/>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2.xml><?xml version="1.0" encoding="utf-8"?>
<worksheet xmlns="http://schemas.openxmlformats.org/spreadsheetml/2006/main">
  <sheetPr>
    <outlinePr summaryBelow="1" summaryRight="1"/>
    <pageSetUpPr fitToPage="1"/>
  </sheetPr>
  <dimension ref="A1:J24"/>
  <sheetViews>
    <sheetView showGridLines="0" workbookViewId="0">
      <pane ySplit="4" topLeftCell="A5" activePane="bottomLeft" state="frozen"/>
      <selection pane="bottomLeft" activeCell="A1" sqref="A1"/>
    </sheetView>
  </sheetViews>
  <sheetFormatPr baseColWidth="8" defaultRowHeight="15"/>
  <cols>
    <col width="59" customWidth="1" min="1" max="1"/>
    <col width="12" customWidth="1" min="2" max="2"/>
  </cols>
  <sheetData>
    <row r="1">
      <c r="A1" s="3" t="inlineStr">
        <is>
          <t>Fiscal</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Concepto</t>
        </is>
      </c>
      <c r="B4" s="17" t="inlineStr">
        <is>
          <t>Importe</t>
        </is>
      </c>
    </row>
    <row r="5">
      <c r="A5" s="18" t="inlineStr">
        <is>
          <t>Cartera total al corte</t>
        </is>
      </c>
      <c r="B5" s="20">
        <f>SUM('11_Detalle'!$G$5:$G$24)</f>
        <v/>
      </c>
    </row>
    <row r="6">
      <c r="A6" s="19" t="inlineStr">
        <is>
          <t>Cartera corriente (créditos del ejercicio)</t>
        </is>
      </c>
      <c r="B6" s="21">
        <f>SUMIF('11_Detalle'!$E$5:$E$24,"&lt;=0",'11_Detalle'!$G$5:$G$24)</f>
        <v/>
      </c>
    </row>
    <row r="7">
      <c r="A7" s="18" t="inlineStr">
        <is>
          <t>Pérdida incurrida recalculada</t>
        </is>
      </c>
      <c r="B7" s="20">
        <f>SUM('11_Detalle'!$J$5:$J$24)</f>
        <v/>
      </c>
    </row>
    <row r="8">
      <c r="A8" s="19" t="inlineStr">
        <is>
          <t>Provisión del ejercicio anterior (mayor)</t>
        </is>
      </c>
      <c r="B8" s="21">
        <f>'07_Mayor'!F6</f>
        <v/>
      </c>
    </row>
    <row r="9">
      <c r="A9" s="18" t="inlineStr">
        <is>
          <t>Gasto del ejercicio</t>
        </is>
      </c>
      <c r="B9" s="20">
        <f>'08_Fiscal'!$B$7-'08_Fiscal'!$B$8</f>
        <v/>
      </c>
    </row>
    <row r="10">
      <c r="A10" s="19" t="inlineStr">
        <is>
          <t>Límite anual (% sobre la cartera corriente)</t>
        </is>
      </c>
      <c r="B10" s="21">
        <f>'08_Fiscal'!$B$6*'02_Parametros'!$B$12/100</f>
        <v/>
      </c>
    </row>
    <row r="11">
      <c r="A11" s="18" t="inlineStr">
        <is>
          <t>Límite acumulado (% sobre la cartera total)</t>
        </is>
      </c>
      <c r="B11" s="20">
        <f>'08_Fiscal'!$B$5*'02_Parametros'!$B$13/100</f>
        <v/>
      </c>
    </row>
    <row r="12">
      <c r="A12" s="19" t="inlineStr">
        <is>
          <t>Provisión fiscal acumulada anterior (estimada)</t>
        </is>
      </c>
      <c r="B12" s="21">
        <f>MIN('08_Fiscal'!$B$8,'08_Fiscal'!$B$11)</f>
        <v/>
      </c>
    </row>
    <row r="13">
      <c r="A13" s="18" t="inlineStr">
        <is>
          <t>Margen acumulado disponible</t>
        </is>
      </c>
      <c r="B13" s="20">
        <f>MAX('08_Fiscal'!$B$11-'08_Fiscal'!$B$12,0)</f>
        <v/>
      </c>
    </row>
    <row r="14">
      <c r="A14" s="19" t="inlineStr">
        <is>
          <t>Gasto deducible</t>
        </is>
      </c>
      <c r="B14" s="21">
        <f>MAX(MIN(MAX('08_Fiscal'!$B$9,0),'08_Fiscal'!$B$10,'08_Fiscal'!$B$13),0)</f>
        <v/>
      </c>
    </row>
    <row r="15">
      <c r="A15" s="18" t="inlineStr">
        <is>
          <t>Gasto no deducible</t>
        </is>
      </c>
      <c r="B15" s="20">
        <f>MAX(MAX('08_Fiscal'!$B$9,0)-'08_Fiscal'!$B$14,0)</f>
        <v/>
      </c>
    </row>
    <row r="16">
      <c r="A16" s="19" t="inlineStr">
        <is>
          <t>Provisión fiscal acumulada al cierre</t>
        </is>
      </c>
      <c r="B16" s="21">
        <f>'08_Fiscal'!$B$12+'08_Fiscal'!$B$14</f>
        <v/>
      </c>
    </row>
    <row r="17">
      <c r="A17" s="18" t="inlineStr">
        <is>
          <t>Diferencia temporaria acumulada al cierre</t>
        </is>
      </c>
      <c r="B17" s="20">
        <f>MAX('08_Fiscal'!$B$7-'08_Fiscal'!$B$16,0)</f>
        <v/>
      </c>
    </row>
    <row r="18">
      <c r="A18" s="19" t="inlineStr">
        <is>
          <t>Activo por impuesto diferido al cierre</t>
        </is>
      </c>
      <c r="B18" s="21">
        <f>'08_Fiscal'!$B$17*'02_Parametros'!$B$14/100</f>
        <v/>
      </c>
    </row>
    <row r="19">
      <c r="A19" s="18" t="inlineStr">
        <is>
          <t>Activo por impuesto diferido inicial (anexo de provisión)</t>
        </is>
      </c>
      <c r="B19" s="20" t="n">
        <v>1454.02</v>
      </c>
    </row>
    <row r="20">
      <c r="A20" s="19" t="inlineStr">
        <is>
          <t>Movimiento del diferido</t>
        </is>
      </c>
      <c r="B20" s="21">
        <f>'08_Fiscal'!$B$18-'08_Fiscal'!$B$19</f>
        <v/>
      </c>
    </row>
    <row r="22">
      <c r="A22" s="22" t="inlineStr">
        <is>
          <t>ⓘ  Cómo se calcula esta hoja</t>
        </is>
      </c>
    </row>
    <row r="23">
      <c r="A23" s="23" t="inlineStr">
        <is>
          <t>Columna</t>
        </is>
      </c>
      <c r="B23" s="23" t="inlineStr">
        <is>
          <t>Fórmula (Excel)</t>
        </is>
      </c>
      <c r="C23" s="23" t="inlineStr">
        <is>
          <t>Cómo se calcula (sencillo)</t>
        </is>
      </c>
      <c r="D23" s="23" t="inlineStr">
        <is>
          <t>Ejemplo con números reales</t>
        </is>
      </c>
      <c r="E23" s="23" t="inlineStr">
        <is>
          <t>De dónde viene</t>
        </is>
      </c>
      <c r="F23" s="23" t="inlineStr">
        <is>
          <t>Norma</t>
        </is>
      </c>
    </row>
    <row r="24">
      <c r="A24" s="24" t="inlineStr">
        <is>
          <t>Importe</t>
        </is>
      </c>
      <c r="B24" s="25" t="inlineStr">
        <is>
          <t>'=SUM('11_Detalle'!$G$5:$G$24)</t>
        </is>
      </c>
      <c r="C24" s="24" t="inlineStr">
        <is>
          <t>Cada concepto tiene su propio cálculo: la cartera, la parte corriente y la pérdida se suman del detalle de la hoja 11; la provisión anterior viene de la hoja 07 (Provisión según el mayor); los límites y el diferido aplican los porcentajes de la hoja 02 (Parámetros); el resto combina las filas anteriores de esta hoja (gasto, margen, parte deducible y no deducible).</t>
        </is>
      </c>
      <c r="D24" s="24" t="inlineStr">
        <is>
          <t>Fila 1: SUM([«Saldo» de «Detalle por factura», 20 filas]) → 167.059,86</t>
        </is>
      </c>
      <c r="E24" s="24" t="inlineStr">
        <is>
          <t>hoja «Detalle por factura»</t>
        </is>
      </c>
      <c r="F24" s="24" t="inlineStr">
        <is>
          <t>—</t>
        </is>
      </c>
    </row>
  </sheetData>
  <mergeCells count="3">
    <mergeCell ref="A2:F2"/>
    <mergeCell ref="A22:F2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3.xml><?xml version="1.0" encoding="utf-8"?>
<worksheet xmlns="http://schemas.openxmlformats.org/spreadsheetml/2006/main">
  <sheetPr>
    <outlinePr summaryBelow="1" summaryRight="1"/>
    <pageSetUpPr fitToPage="1"/>
  </sheetPr>
  <dimension ref="A1:J27"/>
  <sheetViews>
    <sheetView showGridLines="0" workbookViewId="0">
      <pane ySplit="4" topLeftCell="A5" activePane="bottomLeft" state="frozen"/>
      <selection pane="bottomLeft" activeCell="A1" sqref="A1"/>
    </sheetView>
  </sheetViews>
  <sheetFormatPr baseColWidth="8" defaultRowHeight="15"/>
  <cols>
    <col width="29" customWidth="1" min="1" max="1"/>
    <col width="19" customWidth="1" min="2" max="2"/>
    <col width="12" customWidth="1" min="3" max="3"/>
    <col width="12" customWidth="1" min="4" max="4"/>
    <col width="14" customWidth="1" min="5" max="5"/>
    <col width="18" customWidth="1" min="6" max="6"/>
    <col width="12" customWidth="1" min="7" max="7"/>
    <col width="16" customWidth="1" min="8" max="8"/>
    <col width="16" customWidth="1" min="9" max="9"/>
  </cols>
  <sheetData>
    <row r="1">
      <c r="A1" s="3" t="inlineStr">
        <is>
          <t>Impuesto diferido por factura</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c r="G2" s="16" t="n"/>
      <c r="H2" s="16" t="n"/>
      <c r="I2" s="16" t="n"/>
    </row>
    <row r="4" ht="30" customHeight="1">
      <c r="A4" s="17" t="inlineStr">
        <is>
          <t>Cliente</t>
        </is>
      </c>
      <c r="B4" s="17" t="inlineStr">
        <is>
          <t>Factura</t>
        </is>
      </c>
      <c r="C4" s="17" t="inlineStr">
        <is>
          <t>Deterioro</t>
        </is>
      </c>
      <c r="D4" s="17" t="inlineStr">
        <is>
          <t>Deducible</t>
        </is>
      </c>
      <c r="E4" s="17" t="inlineStr">
        <is>
          <t>No deducible</t>
        </is>
      </c>
      <c r="F4" s="17" t="inlineStr">
        <is>
          <t>Diferido inicial</t>
        </is>
      </c>
      <c r="G4" s="17" t="inlineStr">
        <is>
          <t>Reversión</t>
        </is>
      </c>
      <c r="H4" s="17" t="inlineStr">
        <is>
          <t>Diferido nuevo</t>
        </is>
      </c>
      <c r="I4" s="17" t="inlineStr">
        <is>
          <t>Diferido final</t>
        </is>
      </c>
    </row>
    <row r="5">
      <c r="A5" s="18" t="inlineStr">
        <is>
          <t>Obras Civiles Pacífico S.A.</t>
        </is>
      </c>
      <c r="B5" s="18" t="inlineStr">
        <is>
          <t>001-001-000001011</t>
        </is>
      </c>
      <c r="C5" s="20">
        <f>SUMIF('11_Detalle'!$A$5:$A$24,B5,'11_Detalle'!$J$5:$J$24)</f>
        <v/>
      </c>
      <c r="D5" s="20">
        <f>IF($C$19=0,0,C5*MIN('08_Fiscal'!$B$16,$C$19)/$C$19)</f>
        <v/>
      </c>
      <c r="E5" s="20">
        <f>C5-D5</f>
        <v/>
      </c>
      <c r="F5" s="20" t="n">
        <v>955.45</v>
      </c>
      <c r="G5" s="20" t="n">
        <v>955.45</v>
      </c>
      <c r="H5" s="20">
        <f>E5*'02_Parametros'!$B$14/100</f>
        <v/>
      </c>
      <c r="I5" s="20">
        <f>F5-G5+H5</f>
        <v/>
      </c>
    </row>
    <row r="6">
      <c r="A6" s="19" t="inlineStr">
        <is>
          <t>Vialidad Norte S.A.</t>
        </is>
      </c>
      <c r="B6" s="19" t="inlineStr">
        <is>
          <t>001-001-000001009</t>
        </is>
      </c>
      <c r="C6" s="21">
        <f>SUMIF('11_Detalle'!$A$5:$A$24,B6,'11_Detalle'!$J$5:$J$24)</f>
        <v/>
      </c>
      <c r="D6" s="21">
        <f>IF($C$19=0,0,C6*MIN('08_Fiscal'!$B$16,$C$19)/$C$19)</f>
        <v/>
      </c>
      <c r="E6" s="21">
        <f>C6-D6</f>
        <v/>
      </c>
      <c r="F6" s="21" t="n">
        <v>498.57</v>
      </c>
      <c r="G6" s="21" t="n">
        <v>498.57</v>
      </c>
      <c r="H6" s="21">
        <f>E6*'02_Parametros'!$B$14/100</f>
        <v/>
      </c>
      <c r="I6" s="21">
        <f>F6-G6+H6</f>
        <v/>
      </c>
    </row>
    <row r="7">
      <c r="A7" s="18" t="inlineStr">
        <is>
          <t>Minera Austral S.A.</t>
        </is>
      </c>
      <c r="B7" s="18" t="inlineStr">
        <is>
          <t>001-001-000001021</t>
        </is>
      </c>
      <c r="C7" s="20">
        <f>SUMIF('11_Detalle'!$A$5:$A$24,B7,'11_Detalle'!$J$5:$J$24)</f>
        <v/>
      </c>
      <c r="D7" s="20">
        <f>IF($C$19=0,0,C7*MIN('08_Fiscal'!$B$16,$C$19)/$C$19)</f>
        <v/>
      </c>
      <c r="E7" s="20">
        <f>C7-D7</f>
        <v/>
      </c>
      <c r="F7" s="20" t="n">
        <v>0</v>
      </c>
      <c r="G7" s="20" t="n">
        <v>0</v>
      </c>
      <c r="H7" s="20">
        <f>E7*'02_Parametros'!$B$14/100</f>
        <v/>
      </c>
      <c r="I7" s="20">
        <f>F7-G7+H7</f>
        <v/>
      </c>
    </row>
    <row r="8">
      <c r="A8" s="19" t="inlineStr">
        <is>
          <t>Vialidad Norte S.A.</t>
        </is>
      </c>
      <c r="B8" s="19" t="inlineStr">
        <is>
          <t>001-001-000001022</t>
        </is>
      </c>
      <c r="C8" s="21">
        <f>SUMIF('11_Detalle'!$A$5:$A$24,B8,'11_Detalle'!$J$5:$J$24)</f>
        <v/>
      </c>
      <c r="D8" s="21">
        <f>IF($C$19=0,0,C8*MIN('08_Fiscal'!$B$16,$C$19)/$C$19)</f>
        <v/>
      </c>
      <c r="E8" s="21">
        <f>C8-D8</f>
        <v/>
      </c>
      <c r="F8" s="21" t="n">
        <v>0</v>
      </c>
      <c r="G8" s="21" t="n">
        <v>0</v>
      </c>
      <c r="H8" s="21">
        <f>E8*'02_Parametros'!$B$14/100</f>
        <v/>
      </c>
      <c r="I8" s="21">
        <f>F8-G8+H8</f>
        <v/>
      </c>
    </row>
    <row r="9">
      <c r="A9" s="18" t="inlineStr">
        <is>
          <t>Vialidad Norte S.A.</t>
        </is>
      </c>
      <c r="B9" s="18" t="inlineStr">
        <is>
          <t>001-001-000001028</t>
        </is>
      </c>
      <c r="C9" s="20">
        <f>SUMIF('11_Detalle'!$A$5:$A$24,B9,'11_Detalle'!$J$5:$J$24)</f>
        <v/>
      </c>
      <c r="D9" s="20">
        <f>IF($C$19=0,0,C9*MIN('08_Fiscal'!$B$16,$C$19)/$C$19)</f>
        <v/>
      </c>
      <c r="E9" s="20">
        <f>C9-D9</f>
        <v/>
      </c>
      <c r="F9" s="20" t="n">
        <v>0</v>
      </c>
      <c r="G9" s="20" t="n">
        <v>0</v>
      </c>
      <c r="H9" s="20">
        <f>E9*'02_Parametros'!$B$14/100</f>
        <v/>
      </c>
      <c r="I9" s="20">
        <f>F9-G9+H9</f>
        <v/>
      </c>
    </row>
    <row r="10">
      <c r="A10" s="19" t="inlineStr">
        <is>
          <t>Hidrosur Cía. Ltda.</t>
        </is>
      </c>
      <c r="B10" s="19" t="inlineStr">
        <is>
          <t>001-001-000001023</t>
        </is>
      </c>
      <c r="C10" s="21">
        <f>SUMIF('11_Detalle'!$A$5:$A$24,B10,'11_Detalle'!$J$5:$J$24)</f>
        <v/>
      </c>
      <c r="D10" s="21">
        <f>IF($C$19=0,0,C10*MIN('08_Fiscal'!$B$16,$C$19)/$C$19)</f>
        <v/>
      </c>
      <c r="E10" s="21">
        <f>C10-D10</f>
        <v/>
      </c>
      <c r="F10" s="21" t="n">
        <v>0</v>
      </c>
      <c r="G10" s="21" t="n">
        <v>0</v>
      </c>
      <c r="H10" s="21">
        <f>E10*'02_Parametros'!$B$14/100</f>
        <v/>
      </c>
      <c r="I10" s="21">
        <f>F10-G10+H10</f>
        <v/>
      </c>
    </row>
    <row r="11">
      <c r="A11" s="18" t="inlineStr">
        <is>
          <t>Minera Austral S.A.</t>
        </is>
      </c>
      <c r="B11" s="18" t="inlineStr">
        <is>
          <t>001-001-000001027</t>
        </is>
      </c>
      <c r="C11" s="20">
        <f>SUMIF('11_Detalle'!$A$5:$A$24,B11,'11_Detalle'!$J$5:$J$24)</f>
        <v/>
      </c>
      <c r="D11" s="20">
        <f>IF($C$19=0,0,C11*MIN('08_Fiscal'!$B$16,$C$19)/$C$19)</f>
        <v/>
      </c>
      <c r="E11" s="20">
        <f>C11-D11</f>
        <v/>
      </c>
      <c r="F11" s="20" t="n">
        <v>0</v>
      </c>
      <c r="G11" s="20" t="n">
        <v>0</v>
      </c>
      <c r="H11" s="20">
        <f>E11*'02_Parametros'!$B$14/100</f>
        <v/>
      </c>
      <c r="I11" s="20">
        <f>F11-G11+H11</f>
        <v/>
      </c>
    </row>
    <row r="12">
      <c r="A12" s="19" t="inlineStr">
        <is>
          <t>Obras Civiles Pacífico S.A.</t>
        </is>
      </c>
      <c r="B12" s="19" t="inlineStr">
        <is>
          <t>001-001-000001024</t>
        </is>
      </c>
      <c r="C12" s="21">
        <f>SUMIF('11_Detalle'!$A$5:$A$24,B12,'11_Detalle'!$J$5:$J$24)</f>
        <v/>
      </c>
      <c r="D12" s="21">
        <f>IF($C$19=0,0,C12*MIN('08_Fiscal'!$B$16,$C$19)/$C$19)</f>
        <v/>
      </c>
      <c r="E12" s="21">
        <f>C12-D12</f>
        <v/>
      </c>
      <c r="F12" s="21" t="n">
        <v>0</v>
      </c>
      <c r="G12" s="21" t="n">
        <v>0</v>
      </c>
      <c r="H12" s="21">
        <f>E12*'02_Parametros'!$B$14/100</f>
        <v/>
      </c>
      <c r="I12" s="21">
        <f>F12-G12+H12</f>
        <v/>
      </c>
    </row>
    <row r="13">
      <c r="A13" s="18" t="inlineStr">
        <is>
          <t>Vialidad Norte S.A.</t>
        </is>
      </c>
      <c r="B13" s="18" t="inlineStr">
        <is>
          <t>001-001-000001041</t>
        </is>
      </c>
      <c r="C13" s="20">
        <f>SUMIF('11_Detalle'!$A$5:$A$24,B13,'11_Detalle'!$J$5:$J$24)</f>
        <v/>
      </c>
      <c r="D13" s="20">
        <f>IF($C$19=0,0,C13*MIN('08_Fiscal'!$B$16,$C$19)/$C$19)</f>
        <v/>
      </c>
      <c r="E13" s="20">
        <f>C13-D13</f>
        <v/>
      </c>
      <c r="F13" s="20" t="n">
        <v>0</v>
      </c>
      <c r="G13" s="20" t="n">
        <v>0</v>
      </c>
      <c r="H13" s="20">
        <f>E13*'02_Parametros'!$B$14/100</f>
        <v/>
      </c>
      <c r="I13" s="20">
        <f>F13-G13+H13</f>
        <v/>
      </c>
    </row>
    <row r="14">
      <c r="A14" s="19" t="inlineStr">
        <is>
          <t>Vialidad Norte S.A.</t>
        </is>
      </c>
      <c r="B14" s="19" t="inlineStr">
        <is>
          <t>001-001-000001035</t>
        </is>
      </c>
      <c r="C14" s="21">
        <f>SUMIF('11_Detalle'!$A$5:$A$24,B14,'11_Detalle'!$J$5:$J$24)</f>
        <v/>
      </c>
      <c r="D14" s="21">
        <f>IF($C$19=0,0,C14*MIN('08_Fiscal'!$B$16,$C$19)/$C$19)</f>
        <v/>
      </c>
      <c r="E14" s="21">
        <f>C14-D14</f>
        <v/>
      </c>
      <c r="F14" s="21" t="n">
        <v>0</v>
      </c>
      <c r="G14" s="21" t="n">
        <v>0</v>
      </c>
      <c r="H14" s="21">
        <f>E14*'02_Parametros'!$B$14/100</f>
        <v/>
      </c>
      <c r="I14" s="21">
        <f>F14-G14+H14</f>
        <v/>
      </c>
    </row>
    <row r="15">
      <c r="A15" s="18" t="inlineStr">
        <is>
          <t>Hidrosur Cía. Ltda.</t>
        </is>
      </c>
      <c r="B15" s="18" t="inlineStr">
        <is>
          <t>001-001-000001036</t>
        </is>
      </c>
      <c r="C15" s="20">
        <f>SUMIF('11_Detalle'!$A$5:$A$24,B15,'11_Detalle'!$J$5:$J$24)</f>
        <v/>
      </c>
      <c r="D15" s="20">
        <f>IF($C$19=0,0,C15*MIN('08_Fiscal'!$B$16,$C$19)/$C$19)</f>
        <v/>
      </c>
      <c r="E15" s="20">
        <f>C15-D15</f>
        <v/>
      </c>
      <c r="F15" s="20" t="n">
        <v>0</v>
      </c>
      <c r="G15" s="20" t="n">
        <v>0</v>
      </c>
      <c r="H15" s="20">
        <f>E15*'02_Parametros'!$B$14/100</f>
        <v/>
      </c>
      <c r="I15" s="20">
        <f>F15-G15+H15</f>
        <v/>
      </c>
    </row>
    <row r="16">
      <c r="A16" s="19" t="inlineStr">
        <is>
          <t>Obras Civiles Pacífico S.A.</t>
        </is>
      </c>
      <c r="B16" s="19" t="inlineStr">
        <is>
          <t>001-001-000001037</t>
        </is>
      </c>
      <c r="C16" s="21">
        <f>SUMIF('11_Detalle'!$A$5:$A$24,B16,'11_Detalle'!$J$5:$J$24)</f>
        <v/>
      </c>
      <c r="D16" s="21">
        <f>IF($C$19=0,0,C16*MIN('08_Fiscal'!$B$16,$C$19)/$C$19)</f>
        <v/>
      </c>
      <c r="E16" s="21">
        <f>C16-D16</f>
        <v/>
      </c>
      <c r="F16" s="21" t="n">
        <v>0</v>
      </c>
      <c r="G16" s="21" t="n">
        <v>0</v>
      </c>
      <c r="H16" s="21">
        <f>E16*'02_Parametros'!$B$14/100</f>
        <v/>
      </c>
      <c r="I16" s="21">
        <f>F16-G16+H16</f>
        <v/>
      </c>
    </row>
    <row r="17">
      <c r="A17" s="18" t="inlineStr">
        <is>
          <t>Minera Austral S.A.</t>
        </is>
      </c>
      <c r="B17" s="18" t="inlineStr">
        <is>
          <t>001-001-000001040</t>
        </is>
      </c>
      <c r="C17" s="20">
        <f>SUMIF('11_Detalle'!$A$5:$A$24,B17,'11_Detalle'!$J$5:$J$24)</f>
        <v/>
      </c>
      <c r="D17" s="20">
        <f>IF($C$19=0,0,C17*MIN('08_Fiscal'!$B$16,$C$19)/$C$19)</f>
        <v/>
      </c>
      <c r="E17" s="20">
        <f>C17-D17</f>
        <v/>
      </c>
      <c r="F17" s="20" t="n">
        <v>0</v>
      </c>
      <c r="G17" s="20" t="n">
        <v>0</v>
      </c>
      <c r="H17" s="20">
        <f>E17*'02_Parametros'!$B$14/100</f>
        <v/>
      </c>
      <c r="I17" s="20">
        <f>F17-G17+H17</f>
        <v/>
      </c>
    </row>
    <row r="18">
      <c r="A18" s="19" t="inlineStr">
        <is>
          <t>Hidrosur Cía. Ltda.</t>
        </is>
      </c>
      <c r="B18" s="19" t="inlineStr">
        <is>
          <t>001-001-000001042</t>
        </is>
      </c>
      <c r="C18" s="21">
        <f>SUMIF('11_Detalle'!$A$5:$A$24,B18,'11_Detalle'!$J$5:$J$24)</f>
        <v/>
      </c>
      <c r="D18" s="21">
        <f>IF($C$19=0,0,C18*MIN('08_Fiscal'!$B$16,$C$19)/$C$19)</f>
        <v/>
      </c>
      <c r="E18" s="21">
        <f>C18-D18</f>
        <v/>
      </c>
      <c r="F18" s="21" t="n">
        <v>0</v>
      </c>
      <c r="G18" s="21" t="n">
        <v>0</v>
      </c>
      <c r="H18" s="21">
        <f>E18*'02_Parametros'!$B$14/100</f>
        <v/>
      </c>
      <c r="I18" s="21">
        <f>F18-G18+H18</f>
        <v/>
      </c>
    </row>
    <row r="19">
      <c r="A19" s="34" t="inlineStr">
        <is>
          <t>TOTAL</t>
        </is>
      </c>
      <c r="B19" s="34" t="inlineStr"/>
      <c r="C19" s="36">
        <f>SUM(C5:C18)</f>
        <v/>
      </c>
      <c r="D19" s="36">
        <f>SUM(D5:D18)</f>
        <v/>
      </c>
      <c r="E19" s="36">
        <f>SUM(E5:E18)</f>
        <v/>
      </c>
      <c r="F19" s="36">
        <f>SUM(F5:F18)</f>
        <v/>
      </c>
      <c r="G19" s="36">
        <f>SUM(G5:G18)</f>
        <v/>
      </c>
      <c r="H19" s="36">
        <f>SUM(H5:H18)</f>
        <v/>
      </c>
      <c r="I19" s="36">
        <f>SUM(I5:I18)</f>
        <v/>
      </c>
    </row>
    <row r="21">
      <c r="A21" s="22" t="inlineStr">
        <is>
          <t>ⓘ  Cómo se calcula esta hoja</t>
        </is>
      </c>
    </row>
    <row r="22">
      <c r="A22" s="23" t="inlineStr">
        <is>
          <t>Columna</t>
        </is>
      </c>
      <c r="B22" s="23" t="inlineStr">
        <is>
          <t>Fórmula (Excel)</t>
        </is>
      </c>
      <c r="C22" s="23" t="inlineStr">
        <is>
          <t>Cómo se calcula (sencillo)</t>
        </is>
      </c>
      <c r="D22" s="23" t="inlineStr">
        <is>
          <t>Ejemplo con números reales</t>
        </is>
      </c>
      <c r="E22" s="23" t="inlineStr">
        <is>
          <t>De dónde viene</t>
        </is>
      </c>
      <c r="F22" s="23" t="inlineStr">
        <is>
          <t>Norma</t>
        </is>
      </c>
    </row>
    <row r="23">
      <c r="A23" s="24" t="inlineStr">
        <is>
          <t>Deterioro</t>
        </is>
      </c>
      <c r="B23" s="25" t="inlineStr">
        <is>
          <t>'=SUMIF('11_Detalle'!$A$5:$A$24,B5,'11_Detalle'!$J$5:$J$24)</t>
        </is>
      </c>
      <c r="C23" s="24" t="inlineStr">
        <is>
          <t>Trae la pérdida recalculada de esta factura desde la hoja 11 (Detalle por factura).</t>
        </is>
      </c>
      <c r="D23" s="24" t="inlineStr">
        <is>
          <t>Fila 1: SUMIF([«Factura» de «Detalle por factura», 20 filas]; «001-001-000001011»; [«Pérdida» de «Detalle por factura», 20 filas]) → 4.342,93</t>
        </is>
      </c>
      <c r="E23" s="24" t="inlineStr">
        <is>
          <t>«Factura» (esta hoja), hoja «Detalle por factura»</t>
        </is>
      </c>
      <c r="F23" s="24" t="inlineStr">
        <is>
          <t>—</t>
        </is>
      </c>
    </row>
    <row r="24">
      <c r="A24" s="24" t="inlineStr">
        <is>
          <t>Deducible</t>
        </is>
      </c>
      <c r="B24" s="25" t="inlineStr">
        <is>
          <t>'=IF($C$19=0,0,C5*MIN('08_Fiscal'!$B$16,$C$19)/$C$19)</t>
        </is>
      </c>
      <c r="C24" s="24" t="inlineStr">
        <is>
          <t>Reparte la provisión fiscal acumulada al cierre (hoja 08, Fiscal) entre las facturas en proporción a su deterioro, sin pasar del deterioro total; si no hay deterioro, es cero.</t>
        </is>
      </c>
      <c r="D24" s="24" t="inlineStr">
        <is>
          <t>Fila 1: IF(20.749,02=0; 0; 4.342,93*MIN(6.719,81; 20.749,02)/20.749,02) → 1.406,51</t>
        </is>
      </c>
      <c r="E24" s="24" t="inlineStr">
        <is>
          <t>«Deterioro» (esta hoja), hoja «Fiscal»</t>
        </is>
      </c>
      <c r="F24" s="24" t="inlineStr">
        <is>
          <t>—</t>
        </is>
      </c>
    </row>
    <row r="25">
      <c r="A25" s="24" t="inlineStr">
        <is>
          <t>No deducible</t>
        </is>
      </c>
      <c r="B25" s="25" t="inlineStr">
        <is>
          <t>'=C5-D5</t>
        </is>
      </c>
      <c r="C25" s="24" t="inlineStr">
        <is>
          <t>Resta al deterioro de la factura su parte deducible: lo que queda no se acepta como gasto fiscal.</t>
        </is>
      </c>
      <c r="D25" s="24" t="inlineStr">
        <is>
          <t>Fila 1: 4.342,93-1.406,51 → 2.936,42</t>
        </is>
      </c>
      <c r="E25" s="24" t="inlineStr">
        <is>
          <t>«Deterioro» (esta hoja), «Deducible» (esta hoja)</t>
        </is>
      </c>
      <c r="F25" s="24" t="inlineStr">
        <is>
          <t>—</t>
        </is>
      </c>
    </row>
    <row r="26">
      <c r="A26" s="24" t="inlineStr">
        <is>
          <t>Diferido nuevo</t>
        </is>
      </c>
      <c r="B26" s="25" t="inlineStr">
        <is>
          <t>'=E5*'02_Parametros'!$B$14/100</t>
        </is>
      </c>
      <c r="C26" s="24" t="inlineStr">
        <is>
          <t>Multiplica la parte no deducible por la tasa del impuesto de la hoja 02 (Parámetros): es el activo por impuesto diferido que genera la factura.</t>
        </is>
      </c>
      <c r="D26" s="24" t="inlineStr">
        <is>
          <t>Fila 1: 2.936,42*25,00/100 → 734,11</t>
        </is>
      </c>
      <c r="E26" s="24" t="inlineStr">
        <is>
          <t>«No deducible» (esta hoja), hoja «Parámetros»</t>
        </is>
      </c>
      <c r="F26" s="24" t="inlineStr">
        <is>
          <t>—</t>
        </is>
      </c>
    </row>
    <row r="27">
      <c r="A27" s="24" t="inlineStr">
        <is>
          <t>Diferido final</t>
        </is>
      </c>
      <c r="B27" s="25" t="inlineStr">
        <is>
          <t>'=F5-G5+H5</t>
        </is>
      </c>
      <c r="C27" s="24" t="inlineStr">
        <is>
          <t>Parte del diferido inicial, resta su reversión y suma el diferido nuevo: es el activo por impuesto diferido que queda al cierre para la factura.</t>
        </is>
      </c>
      <c r="D27" s="24" t="inlineStr">
        <is>
          <t>Fila 1: 955,45-955,45+734,11 → 734,11</t>
        </is>
      </c>
      <c r="E27" s="24" t="inlineStr">
        <is>
          <t>«Diferido inicial» (esta hoja), «Reversión» (esta hoja), «Diferido nuevo» (esta hoja)</t>
        </is>
      </c>
      <c r="F27" s="24" t="inlineStr">
        <is>
          <t>—</t>
        </is>
      </c>
    </row>
  </sheetData>
  <mergeCells count="3">
    <mergeCell ref="A2:F2"/>
    <mergeCell ref="A21:F21"/>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4.xml><?xml version="1.0" encoding="utf-8"?>
<worksheet xmlns="http://schemas.openxmlformats.org/spreadsheetml/2006/main">
  <sheetPr>
    <outlinePr summaryBelow="1" summaryRight="1"/>
    <pageSetUpPr fitToPage="1"/>
  </sheetPr>
  <dimension ref="A1:J17"/>
  <sheetViews>
    <sheetView showGridLines="0" workbookViewId="0">
      <pane ySplit="4" topLeftCell="A5" activePane="bottomLeft" state="frozen"/>
      <selection pane="bottomLeft" activeCell="A1" sqref="A1"/>
    </sheetView>
  </sheetViews>
  <sheetFormatPr baseColWidth="8" defaultRowHeight="15"/>
  <cols>
    <col width="55" customWidth="1" min="1" max="1"/>
    <col width="59" customWidth="1" min="2" max="2"/>
    <col width="12" customWidth="1" min="3" max="3"/>
    <col width="12" customWidth="1" min="4" max="4"/>
  </cols>
  <sheetData>
    <row r="1">
      <c r="A1" s="3" t="inlineStr">
        <is>
          <t>Asientos propuestos</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Asiento</t>
        </is>
      </c>
      <c r="B4" s="17" t="inlineStr">
        <is>
          <t>Cuenta</t>
        </is>
      </c>
      <c r="C4" s="17" t="inlineStr">
        <is>
          <t>Debe</t>
        </is>
      </c>
      <c r="D4" s="17" t="inlineStr">
        <is>
          <t>Haber</t>
        </is>
      </c>
    </row>
    <row r="5">
      <c r="A5" s="18" t="inlineStr">
        <is>
          <t>1 · Gasto por deterioro de cuentas por cobrar</t>
        </is>
      </c>
      <c r="B5" s="18" t="inlineStr">
        <is>
          <t>Gasto por deterioro de cuentas incobrables</t>
        </is>
      </c>
      <c r="C5" s="20">
        <f>'06_Movimiento_provision'!F19</f>
        <v/>
      </c>
      <c r="D5" s="20" t="n"/>
    </row>
    <row r="6">
      <c r="A6" s="19" t="inlineStr"/>
      <c r="B6" s="19" t="inlineStr">
        <is>
          <t>(-) Provisión de deterioro de cuentas por cobrar</t>
        </is>
      </c>
      <c r="C6" s="21" t="n"/>
      <c r="D6" s="21">
        <f>'06_Movimiento_provision'!F19</f>
        <v/>
      </c>
    </row>
    <row r="7">
      <c r="A7" s="18" t="inlineStr">
        <is>
          <t>1b · Reversión de la provisión del ejercicio anterior</t>
        </is>
      </c>
      <c r="B7" s="18" t="inlineStr">
        <is>
          <t>(-) Provisión de deterioro de cuentas por cobrar</t>
        </is>
      </c>
      <c r="C7" s="20">
        <f>'06_Movimiento_provision'!D19</f>
        <v/>
      </c>
      <c r="D7" s="20" t="n"/>
    </row>
    <row r="8">
      <c r="A8" s="19" t="inlineStr"/>
      <c r="B8" s="19" t="inlineStr">
        <is>
          <t>Ingreso por reversión de deterioro de cuentas incobrables</t>
        </is>
      </c>
      <c r="C8" s="21" t="n"/>
      <c r="D8" s="21">
        <f>'06_Movimiento_provision'!D19</f>
        <v/>
      </c>
    </row>
    <row r="9">
      <c r="A9" s="18" t="inlineStr">
        <is>
          <t>2 · Activo por impuesto diferido: reconocimiento</t>
        </is>
      </c>
      <c r="B9" s="18" t="inlineStr">
        <is>
          <t>Activo por impuesto diferido</t>
        </is>
      </c>
      <c r="C9" s="20">
        <f>'09_Impuesto_diferido'!H19</f>
        <v/>
      </c>
      <c r="D9" s="20" t="n"/>
    </row>
    <row r="10">
      <c r="A10" s="19" t="inlineStr"/>
      <c r="B10" s="19" t="inlineStr">
        <is>
          <t>Ingreso por impuesto a la renta diferido</t>
        </is>
      </c>
      <c r="C10" s="21" t="n"/>
      <c r="D10" s="21">
        <f>'09_Impuesto_diferido'!H19</f>
        <v/>
      </c>
    </row>
    <row r="11">
      <c r="A11" s="18" t="inlineStr">
        <is>
          <t>3 · Activo por impuesto diferido: reversión</t>
        </is>
      </c>
      <c r="B11" s="18" t="inlineStr">
        <is>
          <t>Gasto por impuesto a la renta diferido</t>
        </is>
      </c>
      <c r="C11" s="20">
        <f>'09_Impuesto_diferido'!G19</f>
        <v/>
      </c>
      <c r="D11" s="20" t="n"/>
    </row>
    <row r="12">
      <c r="A12" s="19" t="inlineStr"/>
      <c r="B12" s="19" t="inlineStr">
        <is>
          <t>Activo por impuesto diferido</t>
        </is>
      </c>
      <c r="C12" s="21" t="n"/>
      <c r="D12" s="21">
        <f>'09_Impuesto_diferido'!G19</f>
        <v/>
      </c>
    </row>
    <row r="14">
      <c r="A14" s="22" t="inlineStr">
        <is>
          <t>ⓘ  Cómo se calcula esta hoja</t>
        </is>
      </c>
    </row>
    <row r="15">
      <c r="A15" s="23" t="inlineStr">
        <is>
          <t>Columna</t>
        </is>
      </c>
      <c r="B15" s="23" t="inlineStr">
        <is>
          <t>Fórmula (Excel)</t>
        </is>
      </c>
      <c r="C15" s="23" t="inlineStr">
        <is>
          <t>Cómo se calcula (sencillo)</t>
        </is>
      </c>
      <c r="D15" s="23" t="inlineStr">
        <is>
          <t>Ejemplo con números reales</t>
        </is>
      </c>
      <c r="E15" s="23" t="inlineStr">
        <is>
          <t>De dónde viene</t>
        </is>
      </c>
      <c r="F15" s="23" t="inlineStr">
        <is>
          <t>Norma</t>
        </is>
      </c>
    </row>
    <row r="16">
      <c r="A16" s="24" t="inlineStr">
        <is>
          <t>Debe</t>
        </is>
      </c>
      <c r="B16" s="25" t="inlineStr">
        <is>
          <t>'='06_Movimiento_provision'!F19</t>
        </is>
      </c>
      <c r="C16" s="24" t="inlineStr">
        <is>
          <t>Toma el importe del asiento del total de su cédula: provisión del año, reversión o bajas de la hoja 06 (Movimiento de la provisión); diferido nuevo o su reversión de la hoja 09 (Impuesto diferido por factura).</t>
        </is>
      </c>
      <c r="D16" s="24" t="inlineStr">
        <is>
          <t>Fila 1: 20.749,02 → 20.749,02</t>
        </is>
      </c>
      <c r="E16" s="24" t="inlineStr">
        <is>
          <t>hoja «Movimiento de la provisión»</t>
        </is>
      </c>
      <c r="F16" s="24" t="inlineStr">
        <is>
          <t>—</t>
        </is>
      </c>
    </row>
    <row r="17">
      <c r="A17" s="24" t="inlineStr">
        <is>
          <t>Haber</t>
        </is>
      </c>
      <c r="B17" s="25" t="inlineStr">
        <is>
          <t>'='06_Movimiento_provision'!F19</t>
        </is>
      </c>
      <c r="C17" s="24" t="inlineStr">
        <is>
          <t>Lleva a la contrapartida el mismo importe del asiento, tomado del total de la hoja 06 (Movimiento de la provisión) o de la hoja 09 (Impuesto diferido por factura), para que debe y haber cuadren.</t>
        </is>
      </c>
      <c r="D17" s="24" t="inlineStr">
        <is>
          <t>Fila 2: 20.749,02 → 20.749,02</t>
        </is>
      </c>
      <c r="E17" s="24" t="inlineStr">
        <is>
          <t>hoja «Movimiento de la provisión»</t>
        </is>
      </c>
      <c r="F17" s="24" t="inlineStr">
        <is>
          <t>—</t>
        </is>
      </c>
    </row>
  </sheetData>
  <mergeCells count="3">
    <mergeCell ref="A2:F2"/>
    <mergeCell ref="A14:F14"/>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5.xml><?xml version="1.0" encoding="utf-8"?>
<worksheet xmlns="http://schemas.openxmlformats.org/spreadsheetml/2006/main">
  <sheetPr>
    <outlinePr summaryBelow="1" summaryRight="1"/>
    <pageSetUpPr fitToPage="1"/>
  </sheetPr>
  <dimension ref="A1:K33"/>
  <sheetViews>
    <sheetView showGridLines="0" workbookViewId="0">
      <pane ySplit="4" topLeftCell="A5" activePane="bottomLeft" state="frozen"/>
      <selection pane="bottomLeft" activeCell="A1" sqref="A1"/>
    </sheetView>
  </sheetViews>
  <sheetFormatPr baseColWidth="8" defaultRowHeight="15"/>
  <cols>
    <col width="19" customWidth="1" min="1" max="1"/>
    <col width="35" customWidth="1" min="2" max="2"/>
    <col width="12" customWidth="1" min="3" max="3"/>
    <col width="13" customWidth="1" min="4" max="4"/>
    <col width="14" customWidth="1" min="5" max="5"/>
    <col width="24" customWidth="1" min="6" max="6"/>
    <col width="12" customWidth="1" min="7" max="7"/>
    <col width="12" customWidth="1" min="8" max="8"/>
    <col width="16" customWidth="1" min="9" max="9"/>
    <col width="12" customWidth="1" min="10" max="10"/>
    <col width="19" customWidth="1" min="11" max="11"/>
  </cols>
  <sheetData>
    <row r="1">
      <c r="A1" s="3" t="inlineStr">
        <is>
          <t>Detalle por factura</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c r="G2" s="16" t="n"/>
      <c r="H2" s="16" t="n"/>
      <c r="I2" s="16" t="n"/>
      <c r="J2" s="16" t="n"/>
      <c r="K2" s="16" t="n"/>
    </row>
    <row r="4" ht="30" customHeight="1">
      <c r="A4" s="17" t="inlineStr">
        <is>
          <t>Factura</t>
        </is>
      </c>
      <c r="B4" s="17" t="inlineStr">
        <is>
          <t>Cliente</t>
        </is>
      </c>
      <c r="C4" s="17" t="inlineStr">
        <is>
          <t>Emisión</t>
        </is>
      </c>
      <c r="D4" s="17" t="inlineStr">
        <is>
          <t>Vencimiento</t>
        </is>
      </c>
      <c r="E4" s="17" t="inlineStr">
        <is>
          <t>Días de mora</t>
        </is>
      </c>
      <c r="F4" s="17" t="inlineStr">
        <is>
          <t>Tramo</t>
        </is>
      </c>
      <c r="G4" s="17" t="inlineStr">
        <is>
          <t>Saldo</t>
        </is>
      </c>
      <c r="H4" s="17" t="inlineStr">
        <is>
          <t>Tasa</t>
        </is>
      </c>
      <c r="I4" s="17" t="inlineStr">
        <is>
          <t>Valor presente</t>
        </is>
      </c>
      <c r="J4" s="17" t="inlineStr">
        <is>
          <t>Pérdida</t>
        </is>
      </c>
      <c r="K4" s="17" t="inlineStr">
        <is>
          <t>Provisión inicial</t>
        </is>
      </c>
    </row>
    <row r="5">
      <c r="A5" s="18" t="inlineStr">
        <is>
          <t>001-001-000001011</t>
        </is>
      </c>
      <c r="B5" s="18" t="inlineStr">
        <is>
          <t>Obras Civiles Pacífico S.A.</t>
        </is>
      </c>
      <c r="C5" s="38" t="n">
        <v>44991</v>
      </c>
      <c r="D5" s="38" t="n">
        <v>45051</v>
      </c>
      <c r="E5" s="30">
        <f>IF(D5="","",'02_Parametros'!$B$5-D5)</f>
        <v/>
      </c>
      <c r="F5" s="18">
        <f>IF(E5="","",IF(E5&lt;=0,"Corriente / por vencer",IF(E5&lt;=30,"1 a 30 días",IF(E5&lt;=60,"31 a 60 días",IF(E5&lt;=90,"61 a 90 días",IF(E5&lt;=180,"91 a 180 días",IF(E5&lt;=360,"181 a 360 días",IF(E5&lt;=730,"361 a 730 días","Más de 730 días"))))))))</f>
        <v/>
      </c>
      <c r="G5" s="20" t="n">
        <v>4342.93</v>
      </c>
      <c r="H5" s="31">
        <f>IF(F5="","",IF(INDEX('04_Matriz_deterioro'!$D$5:$D$12,MATCH(F5,'04_Matriz_deterioro'!$A$5:$A$12,0))="","",INDEX('04_Matriz_deterioro'!$D$5:$D$12,MATCH(F5,'04_Matriz_deterioro'!$A$5:$A$12,0))))</f>
        <v/>
      </c>
      <c r="I5" s="20">
        <f>IF(H5="","",G5*(1-H5)/(1+'02_Parametros'!$B$8/100)^('02_Parametros'!$B$9/12))</f>
        <v/>
      </c>
      <c r="J5" s="20">
        <f>IF(I5="","",MAX(G5-I5,0))</f>
        <v/>
      </c>
      <c r="K5" s="20" t="n">
        <v>3821.78</v>
      </c>
    </row>
    <row r="6">
      <c r="A6" s="19" t="inlineStr">
        <is>
          <t>001-001-000001009</t>
        </is>
      </c>
      <c r="B6" s="19" t="inlineStr">
        <is>
          <t>Vialidad Norte S.A.</t>
        </is>
      </c>
      <c r="C6" s="39" t="n">
        <v>45173</v>
      </c>
      <c r="D6" s="39" t="n">
        <v>45203</v>
      </c>
      <c r="E6" s="32">
        <f>IF(D6="","",'02_Parametros'!$B$5-D6)</f>
        <v/>
      </c>
      <c r="F6" s="19">
        <f>IF(E6="","",IF(E6&lt;=0,"Corriente / por vencer",IF(E6&lt;=30,"1 a 30 días",IF(E6&lt;=60,"31 a 60 días",IF(E6&lt;=90,"61 a 90 días",IF(E6&lt;=180,"91 a 180 días",IF(E6&lt;=360,"181 a 360 días",IF(E6&lt;=730,"361 a 730 días","Más de 730 días"))))))))</f>
        <v/>
      </c>
      <c r="G6" s="21" t="n">
        <v>2266.21</v>
      </c>
      <c r="H6" s="33">
        <f>IF(F6="","",IF(INDEX('04_Matriz_deterioro'!$D$5:$D$12,MATCH(F6,'04_Matriz_deterioro'!$A$5:$A$12,0))="","",INDEX('04_Matriz_deterioro'!$D$5:$D$12,MATCH(F6,'04_Matriz_deterioro'!$A$5:$A$12,0))))</f>
        <v/>
      </c>
      <c r="I6" s="21">
        <f>IF(H6="","",G6*(1-H6)/(1+'02_Parametros'!$B$8/100)^('02_Parametros'!$B$9/12))</f>
        <v/>
      </c>
      <c r="J6" s="21">
        <f>IF(I6="","",MAX(G6-I6,0))</f>
        <v/>
      </c>
      <c r="K6" s="21" t="n">
        <v>1994.26</v>
      </c>
    </row>
    <row r="7">
      <c r="A7" s="18" t="inlineStr">
        <is>
          <t>001-001-000001021</t>
        </is>
      </c>
      <c r="B7" s="18" t="inlineStr">
        <is>
          <t>Minera Austral S.A.</t>
        </is>
      </c>
      <c r="C7" s="38" t="n">
        <v>45327</v>
      </c>
      <c r="D7" s="38" t="n">
        <v>45387</v>
      </c>
      <c r="E7" s="30">
        <f>IF(D7="","",'02_Parametros'!$B$5-D7)</f>
        <v/>
      </c>
      <c r="F7" s="18">
        <f>IF(E7="","",IF(E7&lt;=0,"Corriente / por vencer",IF(E7&lt;=30,"1 a 30 días",IF(E7&lt;=60,"31 a 60 días",IF(E7&lt;=90,"61 a 90 días",IF(E7&lt;=180,"91 a 180 días",IF(E7&lt;=360,"181 a 360 días",IF(E7&lt;=730,"361 a 730 días","Más de 730 días"))))))))</f>
        <v/>
      </c>
      <c r="G7" s="20" t="n">
        <v>1375.09</v>
      </c>
      <c r="H7" s="31">
        <f>IF(F7="","",IF(INDEX('04_Matriz_deterioro'!$D$5:$D$12,MATCH(F7,'04_Matriz_deterioro'!$A$5:$A$12,0))="","",INDEX('04_Matriz_deterioro'!$D$5:$D$12,MATCH(F7,'04_Matriz_deterioro'!$A$5:$A$12,0))))</f>
        <v/>
      </c>
      <c r="I7" s="20">
        <f>IF(H7="","",G7*(1-H7)/(1+'02_Parametros'!$B$8/100)^('02_Parametros'!$B$9/12))</f>
        <v/>
      </c>
      <c r="J7" s="20">
        <f>IF(I7="","",MAX(G7-I7,0))</f>
        <v/>
      </c>
      <c r="K7" s="20" t="n">
        <v>0</v>
      </c>
    </row>
    <row r="8">
      <c r="A8" s="19" t="inlineStr">
        <is>
          <t>001-001-000001022</t>
        </is>
      </c>
      <c r="B8" s="19" t="inlineStr">
        <is>
          <t>Vialidad Norte S.A.</t>
        </is>
      </c>
      <c r="C8" s="39" t="n">
        <v>45334</v>
      </c>
      <c r="D8" s="39" t="n">
        <v>45394</v>
      </c>
      <c r="E8" s="32">
        <f>IF(D8="","",'02_Parametros'!$B$5-D8)</f>
        <v/>
      </c>
      <c r="F8" s="19">
        <f>IF(E8="","",IF(E8&lt;=0,"Corriente / por vencer",IF(E8&lt;=30,"1 a 30 días",IF(E8&lt;=60,"31 a 60 días",IF(E8&lt;=90,"61 a 90 días",IF(E8&lt;=180,"91 a 180 días",IF(E8&lt;=360,"181 a 360 días",IF(E8&lt;=730,"361 a 730 días","Más de 730 días"))))))))</f>
        <v/>
      </c>
      <c r="G8" s="21" t="n">
        <v>7172.35</v>
      </c>
      <c r="H8" s="33">
        <f>IF(F8="","",IF(INDEX('04_Matriz_deterioro'!$D$5:$D$12,MATCH(F8,'04_Matriz_deterioro'!$A$5:$A$12,0))="","",INDEX('04_Matriz_deterioro'!$D$5:$D$12,MATCH(F8,'04_Matriz_deterioro'!$A$5:$A$12,0))))</f>
        <v/>
      </c>
      <c r="I8" s="21">
        <f>IF(H8="","",G8*(1-H8)/(1+'02_Parametros'!$B$8/100)^('02_Parametros'!$B$9/12))</f>
        <v/>
      </c>
      <c r="J8" s="21">
        <f>IF(I8="","",MAX(G8-I8,0))</f>
        <v/>
      </c>
      <c r="K8" s="21" t="n">
        <v>0</v>
      </c>
    </row>
    <row r="9">
      <c r="A9" s="18" t="inlineStr">
        <is>
          <t>001-001-000001028</t>
        </is>
      </c>
      <c r="B9" s="18" t="inlineStr">
        <is>
          <t>Vialidad Norte S.A.</t>
        </is>
      </c>
      <c r="C9" s="38" t="n">
        <v>45375</v>
      </c>
      <c r="D9" s="38" t="n">
        <v>45435</v>
      </c>
      <c r="E9" s="30">
        <f>IF(D9="","",'02_Parametros'!$B$5-D9)</f>
        <v/>
      </c>
      <c r="F9" s="18">
        <f>IF(E9="","",IF(E9&lt;=0,"Corriente / por vencer",IF(E9&lt;=30,"1 a 30 días",IF(E9&lt;=60,"31 a 60 días",IF(E9&lt;=90,"61 a 90 días",IF(E9&lt;=180,"91 a 180 días",IF(E9&lt;=360,"181 a 360 días",IF(E9&lt;=730,"361 a 730 días","Más de 730 días"))))))))</f>
        <v/>
      </c>
      <c r="G9" s="20" t="n">
        <v>8659.559999999999</v>
      </c>
      <c r="H9" s="31">
        <f>IF(F9="","",IF(INDEX('04_Matriz_deterioro'!$D$5:$D$12,MATCH(F9,'04_Matriz_deterioro'!$A$5:$A$12,0))="","",INDEX('04_Matriz_deterioro'!$D$5:$D$12,MATCH(F9,'04_Matriz_deterioro'!$A$5:$A$12,0))))</f>
        <v/>
      </c>
      <c r="I9" s="20">
        <f>IF(H9="","",G9*(1-H9)/(1+'02_Parametros'!$B$8/100)^('02_Parametros'!$B$9/12))</f>
        <v/>
      </c>
      <c r="J9" s="20">
        <f>IF(I9="","",MAX(G9-I9,0))</f>
        <v/>
      </c>
      <c r="K9" s="20" t="n">
        <v>0</v>
      </c>
    </row>
    <row r="10">
      <c r="A10" s="19" t="inlineStr">
        <is>
          <t>001-001-000001023</t>
        </is>
      </c>
      <c r="B10" s="19" t="inlineStr">
        <is>
          <t>Hidrosur Cía. Ltda.</t>
        </is>
      </c>
      <c r="C10" s="39" t="n">
        <v>45526</v>
      </c>
      <c r="D10" s="39" t="n">
        <v>45571</v>
      </c>
      <c r="E10" s="32">
        <f>IF(D10="","",'02_Parametros'!$B$5-D10)</f>
        <v/>
      </c>
      <c r="F10" s="19">
        <f>IF(E10="","",IF(E10&lt;=0,"Corriente / por vencer",IF(E10&lt;=30,"1 a 30 días",IF(E10&lt;=60,"31 a 60 días",IF(E10&lt;=90,"61 a 90 días",IF(E10&lt;=180,"91 a 180 días",IF(E10&lt;=360,"181 a 360 días",IF(E10&lt;=730,"361 a 730 días","Más de 730 días"))))))))</f>
        <v/>
      </c>
      <c r="G10" s="21" t="n">
        <v>1787.01</v>
      </c>
      <c r="H10" s="33">
        <f>IF(F10="","",IF(INDEX('04_Matriz_deterioro'!$D$5:$D$12,MATCH(F10,'04_Matriz_deterioro'!$A$5:$A$12,0))="","",INDEX('04_Matriz_deterioro'!$D$5:$D$12,MATCH(F10,'04_Matriz_deterioro'!$A$5:$A$12,0))))</f>
        <v/>
      </c>
      <c r="I10" s="21">
        <f>IF(H10="","",G10*(1-H10)/(1+'02_Parametros'!$B$8/100)^('02_Parametros'!$B$9/12))</f>
        <v/>
      </c>
      <c r="J10" s="21">
        <f>IF(I10="","",MAX(G10-I10,0))</f>
        <v/>
      </c>
      <c r="K10" s="21" t="n">
        <v>0</v>
      </c>
    </row>
    <row r="11">
      <c r="A11" s="18" t="inlineStr">
        <is>
          <t>001-001-000001027</t>
        </is>
      </c>
      <c r="B11" s="18" t="inlineStr">
        <is>
          <t>Minera Austral S.A.</t>
        </is>
      </c>
      <c r="C11" s="38" t="n">
        <v>45551</v>
      </c>
      <c r="D11" s="38" t="n">
        <v>45611</v>
      </c>
      <c r="E11" s="30">
        <f>IF(D11="","",'02_Parametros'!$B$5-D11)</f>
        <v/>
      </c>
      <c r="F11" s="18">
        <f>IF(E11="","",IF(E11&lt;=0,"Corriente / por vencer",IF(E11&lt;=30,"1 a 30 días",IF(E11&lt;=60,"31 a 60 días",IF(E11&lt;=90,"61 a 90 días",IF(E11&lt;=180,"91 a 180 días",IF(E11&lt;=360,"181 a 360 días",IF(E11&lt;=730,"361 a 730 días","Más de 730 días"))))))))</f>
        <v/>
      </c>
      <c r="G11" s="20" t="n">
        <v>442.06</v>
      </c>
      <c r="H11" s="31">
        <f>IF(F11="","",IF(INDEX('04_Matriz_deterioro'!$D$5:$D$12,MATCH(F11,'04_Matriz_deterioro'!$A$5:$A$12,0))="","",INDEX('04_Matriz_deterioro'!$D$5:$D$12,MATCH(F11,'04_Matriz_deterioro'!$A$5:$A$12,0))))</f>
        <v/>
      </c>
      <c r="I11" s="20">
        <f>IF(H11="","",G11*(1-H11)/(1+'02_Parametros'!$B$8/100)^('02_Parametros'!$B$9/12))</f>
        <v/>
      </c>
      <c r="J11" s="20">
        <f>IF(I11="","",MAX(G11-I11,0))</f>
        <v/>
      </c>
      <c r="K11" s="20" t="n">
        <v>0</v>
      </c>
    </row>
    <row r="12">
      <c r="A12" s="19" t="inlineStr">
        <is>
          <t>001-001-000001024</t>
        </is>
      </c>
      <c r="B12" s="19" t="inlineStr">
        <is>
          <t>Obras Civiles Pacífico S.A.</t>
        </is>
      </c>
      <c r="C12" s="39" t="n">
        <v>45561</v>
      </c>
      <c r="D12" s="39" t="n">
        <v>45621</v>
      </c>
      <c r="E12" s="32">
        <f>IF(D12="","",'02_Parametros'!$B$5-D12)</f>
        <v/>
      </c>
      <c r="F12" s="19">
        <f>IF(E12="","",IF(E12&lt;=0,"Corriente / por vencer",IF(E12&lt;=30,"1 a 30 días",IF(E12&lt;=60,"31 a 60 días",IF(E12&lt;=90,"61 a 90 días",IF(E12&lt;=180,"91 a 180 días",IF(E12&lt;=360,"181 a 360 días",IF(E12&lt;=730,"361 a 730 días","Más de 730 días"))))))))</f>
        <v/>
      </c>
      <c r="G12" s="21" t="n">
        <v>5514.61</v>
      </c>
      <c r="H12" s="33">
        <f>IF(F12="","",IF(INDEX('04_Matriz_deterioro'!$D$5:$D$12,MATCH(F12,'04_Matriz_deterioro'!$A$5:$A$12,0))="","",INDEX('04_Matriz_deterioro'!$D$5:$D$12,MATCH(F12,'04_Matriz_deterioro'!$A$5:$A$12,0))))</f>
        <v/>
      </c>
      <c r="I12" s="21">
        <f>IF(H12="","",G12*(1-H12)/(1+'02_Parametros'!$B$8/100)^('02_Parametros'!$B$9/12))</f>
        <v/>
      </c>
      <c r="J12" s="21">
        <f>IF(I12="","",MAX(G12-I12,0))</f>
        <v/>
      </c>
      <c r="K12" s="21" t="n">
        <v>0</v>
      </c>
    </row>
    <row r="13">
      <c r="A13" s="18" t="inlineStr">
        <is>
          <t>001-001-000001041</t>
        </is>
      </c>
      <c r="B13" s="18" t="inlineStr">
        <is>
          <t>Vialidad Norte S.A.</t>
        </is>
      </c>
      <c r="C13" s="38" t="n">
        <v>45691</v>
      </c>
      <c r="D13" s="38" t="n">
        <v>45781</v>
      </c>
      <c r="E13" s="30">
        <f>IF(D13="","",'02_Parametros'!$B$5-D13)</f>
        <v/>
      </c>
      <c r="F13" s="18">
        <f>IF(E13="","",IF(E13&lt;=0,"Corriente / por vencer",IF(E13&lt;=30,"1 a 30 días",IF(E13&lt;=60,"31 a 60 días",IF(E13&lt;=90,"61 a 90 días",IF(E13&lt;=180,"91 a 180 días",IF(E13&lt;=360,"181 a 360 días",IF(E13&lt;=730,"361 a 730 días","Más de 730 días"))))))))</f>
        <v/>
      </c>
      <c r="G13" s="20" t="n">
        <v>2839.34</v>
      </c>
      <c r="H13" s="31">
        <f>IF(F13="","",IF(INDEX('04_Matriz_deterioro'!$D$5:$D$12,MATCH(F13,'04_Matriz_deterioro'!$A$5:$A$12,0))="","",INDEX('04_Matriz_deterioro'!$D$5:$D$12,MATCH(F13,'04_Matriz_deterioro'!$A$5:$A$12,0))))</f>
        <v/>
      </c>
      <c r="I13" s="20">
        <f>IF(H13="","",G13*(1-H13)/(1+'02_Parametros'!$B$8/100)^('02_Parametros'!$B$9/12))</f>
        <v/>
      </c>
      <c r="J13" s="20">
        <f>IF(I13="","",MAX(G13-I13,0))</f>
        <v/>
      </c>
      <c r="K13" s="20" t="n">
        <v>0</v>
      </c>
    </row>
    <row r="14">
      <c r="A14" s="19" t="inlineStr">
        <is>
          <t>001-001-000001035</t>
        </is>
      </c>
      <c r="B14" s="19" t="inlineStr">
        <is>
          <t>Vialidad Norte S.A.</t>
        </is>
      </c>
      <c r="C14" s="39" t="n">
        <v>45905</v>
      </c>
      <c r="D14" s="39" t="n">
        <v>45935</v>
      </c>
      <c r="E14" s="32">
        <f>IF(D14="","",'02_Parametros'!$B$5-D14)</f>
        <v/>
      </c>
      <c r="F14" s="19">
        <f>IF(E14="","",IF(E14&lt;=0,"Corriente / por vencer",IF(E14&lt;=30,"1 a 30 días",IF(E14&lt;=60,"31 a 60 días",IF(E14&lt;=90,"61 a 90 días",IF(E14&lt;=180,"91 a 180 días",IF(E14&lt;=360,"181 a 360 días",IF(E14&lt;=730,"361 a 730 días","Más de 730 días"))))))))</f>
        <v/>
      </c>
      <c r="G14" s="21" t="n">
        <v>2101.88</v>
      </c>
      <c r="H14" s="33">
        <f>IF(F14="","",IF(INDEX('04_Matriz_deterioro'!$D$5:$D$12,MATCH(F14,'04_Matriz_deterioro'!$A$5:$A$12,0))="","",INDEX('04_Matriz_deterioro'!$D$5:$D$12,MATCH(F14,'04_Matriz_deterioro'!$A$5:$A$12,0))))</f>
        <v/>
      </c>
      <c r="I14" s="21">
        <f>IF(H14="","",G14*(1-H14)/(1+'02_Parametros'!$B$8/100)^('02_Parametros'!$B$9/12))</f>
        <v/>
      </c>
      <c r="J14" s="21">
        <f>IF(I14="","",MAX(G14-I14,0))</f>
        <v/>
      </c>
      <c r="K14" s="21" t="n">
        <v>0</v>
      </c>
    </row>
    <row r="15">
      <c r="A15" s="18" t="inlineStr">
        <is>
          <t>001-001-000001036</t>
        </is>
      </c>
      <c r="B15" s="18" t="inlineStr">
        <is>
          <t>Hidrosur Cía. Ltda.</t>
        </is>
      </c>
      <c r="C15" s="38" t="n">
        <v>45851</v>
      </c>
      <c r="D15" s="38" t="n">
        <v>45941</v>
      </c>
      <c r="E15" s="30">
        <f>IF(D15="","",'02_Parametros'!$B$5-D15)</f>
        <v/>
      </c>
      <c r="F15" s="18">
        <f>IF(E15="","",IF(E15&lt;=0,"Corriente / por vencer",IF(E15&lt;=30,"1 a 30 días",IF(E15&lt;=60,"31 a 60 días",IF(E15&lt;=90,"61 a 90 días",IF(E15&lt;=180,"91 a 180 días",IF(E15&lt;=360,"181 a 360 días",IF(E15&lt;=730,"361 a 730 días","Más de 730 días"))))))))</f>
        <v/>
      </c>
      <c r="G15" s="20" t="n">
        <v>5870.86</v>
      </c>
      <c r="H15" s="31">
        <f>IF(F15="","",IF(INDEX('04_Matriz_deterioro'!$D$5:$D$12,MATCH(F15,'04_Matriz_deterioro'!$A$5:$A$12,0))="","",INDEX('04_Matriz_deterioro'!$D$5:$D$12,MATCH(F15,'04_Matriz_deterioro'!$A$5:$A$12,0))))</f>
        <v/>
      </c>
      <c r="I15" s="20">
        <f>IF(H15="","",G15*(1-H15)/(1+'02_Parametros'!$B$8/100)^('02_Parametros'!$B$9/12))</f>
        <v/>
      </c>
      <c r="J15" s="20">
        <f>IF(I15="","",MAX(G15-I15,0))</f>
        <v/>
      </c>
      <c r="K15" s="20" t="n">
        <v>0</v>
      </c>
    </row>
    <row r="16">
      <c r="A16" s="19" t="inlineStr">
        <is>
          <t>001-001-000001037</t>
        </is>
      </c>
      <c r="B16" s="19" t="inlineStr">
        <is>
          <t>Obras Civiles Pacífico S.A.</t>
        </is>
      </c>
      <c r="C16" s="39" t="n">
        <v>45856</v>
      </c>
      <c r="D16" s="39" t="n">
        <v>45946</v>
      </c>
      <c r="E16" s="32">
        <f>IF(D16="","",'02_Parametros'!$B$5-D16)</f>
        <v/>
      </c>
      <c r="F16" s="19">
        <f>IF(E16="","",IF(E16&lt;=0,"Corriente / por vencer",IF(E16&lt;=30,"1 a 30 días",IF(E16&lt;=60,"31 a 60 días",IF(E16&lt;=90,"61 a 90 días",IF(E16&lt;=180,"91 a 180 días",IF(E16&lt;=360,"181 a 360 días",IF(E16&lt;=730,"361 a 730 días","Más de 730 días"))))))))</f>
        <v/>
      </c>
      <c r="G16" s="21" t="n">
        <v>1277.27</v>
      </c>
      <c r="H16" s="33">
        <f>IF(F16="","",IF(INDEX('04_Matriz_deterioro'!$D$5:$D$12,MATCH(F16,'04_Matriz_deterioro'!$A$5:$A$12,0))="","",INDEX('04_Matriz_deterioro'!$D$5:$D$12,MATCH(F16,'04_Matriz_deterioro'!$A$5:$A$12,0))))</f>
        <v/>
      </c>
      <c r="I16" s="21">
        <f>IF(H16="","",G16*(1-H16)/(1+'02_Parametros'!$B$8/100)^('02_Parametros'!$B$9/12))</f>
        <v/>
      </c>
      <c r="J16" s="21">
        <f>IF(I16="","",MAX(G16-I16,0))</f>
        <v/>
      </c>
      <c r="K16" s="21" t="n">
        <v>0</v>
      </c>
    </row>
    <row r="17">
      <c r="A17" s="18" t="inlineStr">
        <is>
          <t>001-001-000001040</t>
        </is>
      </c>
      <c r="B17" s="18" t="inlineStr">
        <is>
          <t>Minera Austral S.A.</t>
        </is>
      </c>
      <c r="C17" s="38" t="n">
        <v>45862</v>
      </c>
      <c r="D17" s="38" t="n">
        <v>45952</v>
      </c>
      <c r="E17" s="30">
        <f>IF(D17="","",'02_Parametros'!$B$5-D17)</f>
        <v/>
      </c>
      <c r="F17" s="18">
        <f>IF(E17="","",IF(E17&lt;=0,"Corriente / por vencer",IF(E17&lt;=30,"1 a 30 días",IF(E17&lt;=60,"31 a 60 días",IF(E17&lt;=90,"61 a 90 días",IF(E17&lt;=180,"91 a 180 días",IF(E17&lt;=360,"181 a 360 días",IF(E17&lt;=730,"361 a 730 días","Más de 730 días"))))))))</f>
        <v/>
      </c>
      <c r="G17" s="20" t="n">
        <v>4403.3</v>
      </c>
      <c r="H17" s="31">
        <f>IF(F17="","",IF(INDEX('04_Matriz_deterioro'!$D$5:$D$12,MATCH(F17,'04_Matriz_deterioro'!$A$5:$A$12,0))="","",INDEX('04_Matriz_deterioro'!$D$5:$D$12,MATCH(F17,'04_Matriz_deterioro'!$A$5:$A$12,0))))</f>
        <v/>
      </c>
      <c r="I17" s="20">
        <f>IF(H17="","",G17*(1-H17)/(1+'02_Parametros'!$B$8/100)^('02_Parametros'!$B$9/12))</f>
        <v/>
      </c>
      <c r="J17" s="20">
        <f>IF(I17="","",MAX(G17-I17,0))</f>
        <v/>
      </c>
      <c r="K17" s="20" t="n">
        <v>0</v>
      </c>
    </row>
    <row r="18">
      <c r="A18" s="19" t="inlineStr">
        <is>
          <t>001-001-000001042</t>
        </is>
      </c>
      <c r="B18" s="19" t="inlineStr">
        <is>
          <t>Hidrosur Cía. Ltda.</t>
        </is>
      </c>
      <c r="C18" s="39" t="n">
        <v>45897</v>
      </c>
      <c r="D18" s="39" t="n">
        <v>45987</v>
      </c>
      <c r="E18" s="32">
        <f>IF(D18="","",'02_Parametros'!$B$5-D18)</f>
        <v/>
      </c>
      <c r="F18" s="19">
        <f>IF(E18="","",IF(E18&lt;=0,"Corriente / por vencer",IF(E18&lt;=30,"1 a 30 días",IF(E18&lt;=60,"31 a 60 días",IF(E18&lt;=90,"61 a 90 días",IF(E18&lt;=180,"91 a 180 días",IF(E18&lt;=360,"181 a 360 días",IF(E18&lt;=730,"361 a 730 días","Más de 730 días"))))))))</f>
        <v/>
      </c>
      <c r="G18" s="21" t="n">
        <v>691.42</v>
      </c>
      <c r="H18" s="33">
        <f>IF(F18="","",IF(INDEX('04_Matriz_deterioro'!$D$5:$D$12,MATCH(F18,'04_Matriz_deterioro'!$A$5:$A$12,0))="","",INDEX('04_Matriz_deterioro'!$D$5:$D$12,MATCH(F18,'04_Matriz_deterioro'!$A$5:$A$12,0))))</f>
        <v/>
      </c>
      <c r="I18" s="21">
        <f>IF(H18="","",G18*(1-H18)/(1+'02_Parametros'!$B$8/100)^('02_Parametros'!$B$9/12))</f>
        <v/>
      </c>
      <c r="J18" s="21">
        <f>IF(I18="","",MAX(G18-I18,0))</f>
        <v/>
      </c>
      <c r="K18" s="21" t="n">
        <v>0</v>
      </c>
    </row>
    <row r="19">
      <c r="A19" s="18" t="inlineStr">
        <is>
          <t>001-001-000001033</t>
        </is>
      </c>
      <c r="B19" s="18" t="inlineStr">
        <is>
          <t>Agroexport del Litoral Cía. Ltda.</t>
        </is>
      </c>
      <c r="C19" s="38" t="n">
        <v>45968</v>
      </c>
      <c r="D19" s="38" t="n">
        <v>45998</v>
      </c>
      <c r="E19" s="30">
        <f>IF(D19="","",'02_Parametros'!$B$5-D19)</f>
        <v/>
      </c>
      <c r="F19" s="18">
        <f>IF(E19="","",IF(E19&lt;=0,"Corriente / por vencer",IF(E19&lt;=30,"1 a 30 días",IF(E19&lt;=60,"31 a 60 días",IF(E19&lt;=90,"61 a 90 días",IF(E19&lt;=180,"91 a 180 días",IF(E19&lt;=360,"181 a 360 días",IF(E19&lt;=730,"361 a 730 días","Más de 730 días"))))))))</f>
        <v/>
      </c>
      <c r="G19" s="20" t="n">
        <v>27938.78</v>
      </c>
      <c r="H19" s="31">
        <f>IF(F19="","",IF(INDEX('04_Matriz_deterioro'!$D$5:$D$12,MATCH(F19,'04_Matriz_deterioro'!$A$5:$A$12,0))="","",INDEX('04_Matriz_deterioro'!$D$5:$D$12,MATCH(F19,'04_Matriz_deterioro'!$A$5:$A$12,0))))</f>
        <v/>
      </c>
      <c r="I19" s="20">
        <f>IF(H19="","",G19*(1-H19)/(1+'02_Parametros'!$B$8/100)^('02_Parametros'!$B$9/12))</f>
        <v/>
      </c>
      <c r="J19" s="20">
        <f>IF(I19="","",MAX(G19-I19,0))</f>
        <v/>
      </c>
      <c r="K19" s="20" t="n">
        <v>0</v>
      </c>
    </row>
    <row r="20">
      <c r="A20" s="19" t="inlineStr">
        <is>
          <t>001-001-000001029</t>
        </is>
      </c>
      <c r="B20" s="19" t="inlineStr">
        <is>
          <t>Vialidad Norte S.A.</t>
        </is>
      </c>
      <c r="C20" s="39" t="n">
        <v>45993</v>
      </c>
      <c r="D20" s="39" t="n">
        <v>46023</v>
      </c>
      <c r="E20" s="32">
        <f>IF(D20="","",'02_Parametros'!$B$5-D20)</f>
        <v/>
      </c>
      <c r="F20" s="19">
        <f>IF(E20="","",IF(E20&lt;=0,"Corriente / por vencer",IF(E20&lt;=30,"1 a 30 días",IF(E20&lt;=60,"31 a 60 días",IF(E20&lt;=90,"61 a 90 días",IF(E20&lt;=180,"91 a 180 días",IF(E20&lt;=360,"181 a 360 días",IF(E20&lt;=730,"361 a 730 días","Más de 730 días"))))))))</f>
        <v/>
      </c>
      <c r="G20" s="21" t="n">
        <v>7754.65</v>
      </c>
      <c r="H20" s="33">
        <f>IF(F20="","",IF(INDEX('04_Matriz_deterioro'!$D$5:$D$12,MATCH(F20,'04_Matriz_deterioro'!$A$5:$A$12,0))="","",INDEX('04_Matriz_deterioro'!$D$5:$D$12,MATCH(F20,'04_Matriz_deterioro'!$A$5:$A$12,0))))</f>
        <v/>
      </c>
      <c r="I20" s="21">
        <f>IF(H20="","",G20*(1-H20)/(1+'02_Parametros'!$B$8/100)^('02_Parametros'!$B$9/12))</f>
        <v/>
      </c>
      <c r="J20" s="21">
        <f>IF(I20="","",MAX(G20-I20,0))</f>
        <v/>
      </c>
      <c r="K20" s="21" t="n">
        <v>0</v>
      </c>
    </row>
    <row r="21">
      <c r="A21" s="18" t="inlineStr">
        <is>
          <t>001-001-000001031</t>
        </is>
      </c>
      <c r="B21" s="18" t="inlineStr">
        <is>
          <t>Obras Civiles Pacífico S.A.</t>
        </is>
      </c>
      <c r="C21" s="38" t="n">
        <v>45996</v>
      </c>
      <c r="D21" s="38" t="n">
        <v>46026</v>
      </c>
      <c r="E21" s="30">
        <f>IF(D21="","",'02_Parametros'!$B$5-D21)</f>
        <v/>
      </c>
      <c r="F21" s="18">
        <f>IF(E21="","",IF(E21&lt;=0,"Corriente / por vencer",IF(E21&lt;=30,"1 a 30 días",IF(E21&lt;=60,"31 a 60 días",IF(E21&lt;=90,"61 a 90 días",IF(E21&lt;=180,"91 a 180 días",IF(E21&lt;=360,"181 a 360 días",IF(E21&lt;=730,"361 a 730 días","Más de 730 días"))))))))</f>
        <v/>
      </c>
      <c r="G21" s="20" t="n">
        <v>7119.93</v>
      </c>
      <c r="H21" s="31">
        <f>IF(F21="","",IF(INDEX('04_Matriz_deterioro'!$D$5:$D$12,MATCH(F21,'04_Matriz_deterioro'!$A$5:$A$12,0))="","",INDEX('04_Matriz_deterioro'!$D$5:$D$12,MATCH(F21,'04_Matriz_deterioro'!$A$5:$A$12,0))))</f>
        <v/>
      </c>
      <c r="I21" s="20">
        <f>IF(H21="","",G21*(1-H21)/(1+'02_Parametros'!$B$8/100)^('02_Parametros'!$B$9/12))</f>
        <v/>
      </c>
      <c r="J21" s="20">
        <f>IF(I21="","",MAX(G21-I21,0))</f>
        <v/>
      </c>
      <c r="K21" s="20" t="n">
        <v>0</v>
      </c>
    </row>
    <row r="22">
      <c r="A22" s="19" t="inlineStr">
        <is>
          <t>001-001-000001030</t>
        </is>
      </c>
      <c r="B22" s="19" t="inlineStr">
        <is>
          <t>Hidrosur Cía. Ltda.</t>
        </is>
      </c>
      <c r="C22" s="39" t="n">
        <v>45989</v>
      </c>
      <c r="D22" s="39" t="n">
        <v>46034</v>
      </c>
      <c r="E22" s="32">
        <f>IF(D22="","",'02_Parametros'!$B$5-D22)</f>
        <v/>
      </c>
      <c r="F22" s="19">
        <f>IF(E22="","",IF(E22&lt;=0,"Corriente / por vencer",IF(E22&lt;=30,"1 a 30 días",IF(E22&lt;=60,"31 a 60 días",IF(E22&lt;=90,"61 a 90 días",IF(E22&lt;=180,"91 a 180 días",IF(E22&lt;=360,"181 a 360 días",IF(E22&lt;=730,"361 a 730 días","Más de 730 días"))))))))</f>
        <v/>
      </c>
      <c r="G22" s="21" t="n">
        <v>29394.77</v>
      </c>
      <c r="H22" s="33">
        <f>IF(F22="","",IF(INDEX('04_Matriz_deterioro'!$D$5:$D$12,MATCH(F22,'04_Matriz_deterioro'!$A$5:$A$12,0))="","",INDEX('04_Matriz_deterioro'!$D$5:$D$12,MATCH(F22,'04_Matriz_deterioro'!$A$5:$A$12,0))))</f>
        <v/>
      </c>
      <c r="I22" s="21">
        <f>IF(H22="","",G22*(1-H22)/(1+'02_Parametros'!$B$8/100)^('02_Parametros'!$B$9/12))</f>
        <v/>
      </c>
      <c r="J22" s="21">
        <f>IF(I22="","",MAX(G22-I22,0))</f>
        <v/>
      </c>
      <c r="K22" s="21" t="n">
        <v>0</v>
      </c>
    </row>
    <row r="23">
      <c r="A23" s="18" t="inlineStr">
        <is>
          <t>001-001-000001032</t>
        </is>
      </c>
      <c r="B23" s="18" t="inlineStr">
        <is>
          <t>Constructora Andina S.A.</t>
        </is>
      </c>
      <c r="C23" s="38" t="n">
        <v>46004</v>
      </c>
      <c r="D23" s="38" t="n">
        <v>46049</v>
      </c>
      <c r="E23" s="30">
        <f>IF(D23="","",'02_Parametros'!$B$5-D23)</f>
        <v/>
      </c>
      <c r="F23" s="18">
        <f>IF(E23="","",IF(E23&lt;=0,"Corriente / por vencer",IF(E23&lt;=30,"1 a 30 días",IF(E23&lt;=60,"31 a 60 días",IF(E23&lt;=90,"61 a 90 días",IF(E23&lt;=180,"91 a 180 días",IF(E23&lt;=360,"181 a 360 días",IF(E23&lt;=730,"361 a 730 días","Más de 730 días"))))))))</f>
        <v/>
      </c>
      <c r="G23" s="20" t="n">
        <v>28854.13</v>
      </c>
      <c r="H23" s="31">
        <f>IF(F23="","",IF(INDEX('04_Matriz_deterioro'!$D$5:$D$12,MATCH(F23,'04_Matriz_deterioro'!$A$5:$A$12,0))="","",INDEX('04_Matriz_deterioro'!$D$5:$D$12,MATCH(F23,'04_Matriz_deterioro'!$A$5:$A$12,0))))</f>
        <v/>
      </c>
      <c r="I23" s="20">
        <f>IF(H23="","",G23*(1-H23)/(1+'02_Parametros'!$B$8/100)^('02_Parametros'!$B$9/12))</f>
        <v/>
      </c>
      <c r="J23" s="20">
        <f>IF(I23="","",MAX(G23-I23,0))</f>
        <v/>
      </c>
      <c r="K23" s="20" t="n">
        <v>0</v>
      </c>
    </row>
    <row r="24">
      <c r="A24" s="19" t="inlineStr">
        <is>
          <t>001-001-000001034</t>
        </is>
      </c>
      <c r="B24" s="19" t="inlineStr">
        <is>
          <t>Minera Austral S.A.</t>
        </is>
      </c>
      <c r="C24" s="39" t="n">
        <v>45996</v>
      </c>
      <c r="D24" s="39" t="n">
        <v>46056</v>
      </c>
      <c r="E24" s="32">
        <f>IF(D24="","",'02_Parametros'!$B$5-D24)</f>
        <v/>
      </c>
      <c r="F24" s="19">
        <f>IF(E24="","",IF(E24&lt;=0,"Corriente / por vencer",IF(E24&lt;=30,"1 a 30 días",IF(E24&lt;=60,"31 a 60 días",IF(E24&lt;=90,"61 a 90 días",IF(E24&lt;=180,"91 a 180 días",IF(E24&lt;=360,"181 a 360 días",IF(E24&lt;=730,"361 a 730 días","Más de 730 días"))))))))</f>
        <v/>
      </c>
      <c r="G24" s="21" t="n">
        <v>17253.71</v>
      </c>
      <c r="H24" s="33">
        <f>IF(F24="","",IF(INDEX('04_Matriz_deterioro'!$D$5:$D$12,MATCH(F24,'04_Matriz_deterioro'!$A$5:$A$12,0))="","",INDEX('04_Matriz_deterioro'!$D$5:$D$12,MATCH(F24,'04_Matriz_deterioro'!$A$5:$A$12,0))))</f>
        <v/>
      </c>
      <c r="I24" s="21">
        <f>IF(H24="","",G24*(1-H24)/(1+'02_Parametros'!$B$8/100)^('02_Parametros'!$B$9/12))</f>
        <v/>
      </c>
      <c r="J24" s="21">
        <f>IF(I24="","",MAX(G24-I24,0))</f>
        <v/>
      </c>
      <c r="K24" s="21" t="n">
        <v>0</v>
      </c>
    </row>
    <row r="25">
      <c r="A25" s="34" t="inlineStr">
        <is>
          <t>TOTAL</t>
        </is>
      </c>
      <c r="B25" s="34" t="inlineStr"/>
      <c r="C25" s="40" t="inlineStr"/>
      <c r="D25" s="40" t="inlineStr"/>
      <c r="E25" s="35" t="n"/>
      <c r="F25" s="34" t="inlineStr"/>
      <c r="G25" s="36">
        <f>SUM(G5:G24)</f>
        <v/>
      </c>
      <c r="H25" s="37" t="n"/>
      <c r="I25" s="36">
        <f>SUM(I5:I24)</f>
        <v/>
      </c>
      <c r="J25" s="36">
        <f>SUM(J5:J24)</f>
        <v/>
      </c>
      <c r="K25" s="36">
        <f>SUM(K5:K24)</f>
        <v/>
      </c>
    </row>
    <row r="27">
      <c r="A27" s="22" t="inlineStr">
        <is>
          <t>ⓘ  Cómo se calcula esta hoja</t>
        </is>
      </c>
    </row>
    <row r="28">
      <c r="A28" s="23" t="inlineStr">
        <is>
          <t>Columna</t>
        </is>
      </c>
      <c r="B28" s="23" t="inlineStr">
        <is>
          <t>Fórmula (Excel)</t>
        </is>
      </c>
      <c r="C28" s="23" t="inlineStr">
        <is>
          <t>Cómo se calcula (sencillo)</t>
        </is>
      </c>
      <c r="D28" s="23" t="inlineStr">
        <is>
          <t>Ejemplo con números reales</t>
        </is>
      </c>
      <c r="E28" s="23" t="inlineStr">
        <is>
          <t>De dónde viene</t>
        </is>
      </c>
      <c r="F28" s="23" t="inlineStr">
        <is>
          <t>Norma</t>
        </is>
      </c>
    </row>
    <row r="29">
      <c r="A29" s="24" t="inlineStr">
        <is>
          <t>Días de mora</t>
        </is>
      </c>
      <c r="B29" s="25" t="inlineStr">
        <is>
          <t>'=IF(D5="","",'02_Parametros'!$B$5-D5)</t>
        </is>
      </c>
      <c r="C29" s="24" t="inlineStr">
        <is>
          <t>Resta la fecha de vencimiento de la fecha de corte de la hoja 02 (Parámetros); si la factura no tiene vencimiento, queda en blanco. Cero o negativo significa que aún no vence.</t>
        </is>
      </c>
      <c r="D29" s="24" t="inlineStr">
        <is>
          <t>Fila 1: IF(«2023-05-05»=""; ""; «2025-12-31»-«2023-05-05») → 971</t>
        </is>
      </c>
      <c r="E29" s="24" t="inlineStr">
        <is>
          <t>«Vencimiento» (esta hoja), hoja «Parámetros»</t>
        </is>
      </c>
      <c r="F29" s="24" t="inlineStr">
        <is>
          <t>—</t>
        </is>
      </c>
    </row>
    <row r="30">
      <c r="A30" s="24" t="inlineStr">
        <is>
          <t>Tramo</t>
        </is>
      </c>
      <c r="B30" s="25" t="inlineStr">
        <is>
          <t>'=IF(E5="","",IF(E5&lt;=0,"Corriente / por vencer",IF(E5&lt;=30,"1 a 30 días",IF(E5&lt;=60,"31 a 60 días",IF(E5&lt;=90,"61 a 90 días",IF(E5&lt;=180,"91 a 180 días",IF(E5&lt;=360,"181 a 360 días",IF(E5&lt;=730,"361 a 730 días","Más de 730 días"))))))))</t>
        </is>
      </c>
      <c r="C30" s="24" t="inlineStr">
        <is>
          <t>Clasifica la factura por sus días de mora: corriente/por vencer si no tiene mora, luego 1 a 30, 31 a 60, 61 a 90, 91 a 180, 181 a 360, 361 a 730 y más de 730 días. Sin días de mora queda en blanco.</t>
        </is>
      </c>
      <c r="D30" s="24" t="inlineStr">
        <is>
          <t>Fila 1: IF(971=""; ""; IF(971&lt;=0; "Corriente / por vencer"; IF(971&lt;=30; "1 a 30 días"; IF(971&lt;=60; "31 a 60 días"; IF(971&lt;=90; "61 a 90 días"; IF(971&lt;=180; "91 a 180 días"; IF(971&lt;=360; "181 a 360 días"; IF(971&lt;=730; "361 a 730 días"; "Más de 730 días")))))))) → Más de 730 días</t>
        </is>
      </c>
      <c r="E30" s="24" t="inlineStr">
        <is>
          <t>«Días de mora» (esta hoja)</t>
        </is>
      </c>
      <c r="F30" s="24" t="inlineStr">
        <is>
          <t>—</t>
        </is>
      </c>
    </row>
    <row r="31">
      <c r="A31" s="24" t="inlineStr">
        <is>
          <t>Tasa</t>
        </is>
      </c>
      <c r="B31" s="25" t="inlineStr">
        <is>
          <t>'=IF(F5="","",IF(INDEX('04_Matriz_deterioro'!$D$5:$D$12,MATCH(F5,'04_Matriz_deterioro'!$A$5:$A$12,0))="","",INDEX('04_Matriz_deterioro'!$D$5:$D$12,MATCH(F5,'04_Matriz_deterioro'!$A$5:$A$12,0))))</t>
        </is>
      </c>
      <c r="C31" s="24" t="inlineStr">
        <is>
          <t>Busca la tasa aplicada al tramo de esta factura en la hoja 04 (Matriz de deterioro). Si la factura no tiene tramo o el tramo no tiene tasa medible, queda en blanco.</t>
        </is>
      </c>
      <c r="D31" s="24" t="inlineStr">
        <is>
          <t>Fila 1: IF(«Más de 730 días»=""; ""; IF(INDEX([«Tasa aplicada» de «Matriz de deterioro», 8 filas]; MATCH(«Más de 730 días»; [«Tramo» de «Matriz de deterioro», 8 filas]; 0))=""; ""; INDEX([«Tasa aplicada» de «Matriz de deterioro», 8 filas]; MATCH(«Más de 730 días»; [«Tramo» de «Matriz de deterioro», 8 filas]; 0)))) → 100,00 %</t>
        </is>
      </c>
      <c r="E31" s="24" t="inlineStr">
        <is>
          <t>«Tramo» (esta hoja), hoja «Matriz de deterioro»</t>
        </is>
      </c>
      <c r="F31" s="24" t="inlineStr">
        <is>
          <t>—</t>
        </is>
      </c>
    </row>
    <row r="32">
      <c r="A32" s="24" t="inlineStr">
        <is>
          <t>Valor presente</t>
        </is>
      </c>
      <c r="B32" s="25" t="inlineStr">
        <is>
          <t>'=IF(H5="","",G5*(1-H5)/(1+'02_Parametros'!$B$8/100)^('02_Parametros'!$B$9/12))</t>
        </is>
      </c>
      <c r="C32" s="24" t="inlineStr">
        <is>
          <t>Toma la parte del saldo que se espera cobrar (saldo por uno menos la tasa) y la descuenta con la tasa y el plazo de cobro de la hoja 02 (Parámetros). Sin tasa, queda en blanco.</t>
        </is>
      </c>
      <c r="D32" s="24" t="inlineStr">
        <is>
          <t>Fila 1: IF(100,00 %=""; ""; 4.342,93*(1-100,00 %)/(1+0,00/100)^(12,00/12)) → 0,00</t>
        </is>
      </c>
      <c r="E32" s="24" t="inlineStr">
        <is>
          <t>«Tasa» (esta hoja), «Saldo» (esta hoja), hoja «Parámetros»</t>
        </is>
      </c>
      <c r="F32" s="24" t="inlineStr">
        <is>
          <t>—</t>
        </is>
      </c>
    </row>
    <row r="33">
      <c r="A33" s="24" t="inlineStr">
        <is>
          <t>Pérdida</t>
        </is>
      </c>
      <c r="B33" s="25" t="inlineStr">
        <is>
          <t>'=IF(I5="","",MAX(G5-I5,0))</t>
        </is>
      </c>
      <c r="C33" s="24" t="inlineStr">
        <is>
          <t>Resta al saldo el valor presente de lo que se espera cobrar; nunca es negativa. Si no hay valor presente, queda en blanco.</t>
        </is>
      </c>
      <c r="D33" s="24" t="inlineStr">
        <is>
          <t>Fila 1: IF(0,00=""; ""; MAX(4.342,93-0,00; 0)) → 4.342,93</t>
        </is>
      </c>
      <c r="E33" s="24" t="inlineStr">
        <is>
          <t>«Valor presente» (esta hoja), «Saldo» (esta hoja)</t>
        </is>
      </c>
      <c r="F33" s="24" t="inlineStr">
        <is>
          <t>—</t>
        </is>
      </c>
    </row>
  </sheetData>
  <mergeCells count="3">
    <mergeCell ref="A2:F2"/>
    <mergeCell ref="A1:F1"/>
    <mergeCell ref="A27:F27"/>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6.xml><?xml version="1.0" encoding="utf-8"?>
<worksheet xmlns="http://schemas.openxmlformats.org/spreadsheetml/2006/main">
  <sheetPr>
    <outlinePr summaryBelow="1" summaryRight="1"/>
    <pageSetUpPr fitToPage="1"/>
  </sheetPr>
  <dimension ref="A1:J11"/>
  <sheetViews>
    <sheetView showGridLines="0" workbookViewId="0">
      <pane ySplit="4" topLeftCell="A5" activePane="bottomLeft" state="frozen"/>
      <selection pane="bottomLeft" activeCell="A1" sqref="A1"/>
    </sheetView>
  </sheetViews>
  <sheetFormatPr baseColWidth="8" defaultRowHeight="15"/>
  <cols>
    <col width="23" customWidth="1" min="1" max="1"/>
    <col width="60" customWidth="1" min="2" max="2"/>
    <col width="12" customWidth="1" min="3" max="3"/>
  </cols>
  <sheetData>
    <row r="1">
      <c r="A1" s="3" t="inlineStr">
        <is>
          <t>Problemas encontrados</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Código</t>
        </is>
      </c>
      <c r="B4" s="17" t="inlineStr">
        <is>
          <t>Descripción</t>
        </is>
      </c>
      <c r="C4" s="17" t="inlineStr">
        <is>
          <t>Importe</t>
        </is>
      </c>
    </row>
    <row r="5">
      <c r="A5" s="18" t="inlineStr">
        <is>
          <t>TRAMO_NO_MEDIBLE</t>
        </is>
      </c>
      <c r="B5" s="18" t="inlineStr">
        <is>
          <t>Tramo «1 a 30 días» sin tasa medible (27.938,78): fije la tasa con evidencia.</t>
        </is>
      </c>
      <c r="C5" s="20" t="n">
        <v>27938.78</v>
      </c>
    </row>
    <row r="6">
      <c r="A6" s="19" t="inlineStr">
        <is>
          <t>EVALUACION_INDIVIDUAL</t>
        </is>
      </c>
      <c r="B6" s="19" t="inlineStr">
        <is>
          <t>Vialidad Norte S.A.: antigüedad (mora máxima 819 días); evalúe individualmente (11.24).</t>
        </is>
      </c>
      <c r="C6" s="21" t="n">
        <v>9266.58</v>
      </c>
    </row>
    <row r="7">
      <c r="A7" s="18" t="inlineStr">
        <is>
          <t>EVALUACION_INDIVIDUAL</t>
        </is>
      </c>
      <c r="B7" s="18" t="inlineStr">
        <is>
          <t>Obras Civiles Pacífico S.A.: antigüedad (mora máxima 971 días); evalúe individualmente (11.24).</t>
        </is>
      </c>
      <c r="C7" s="20" t="n">
        <v>6566.74</v>
      </c>
    </row>
    <row r="8">
      <c r="A8" s="19" t="inlineStr">
        <is>
          <t>EVALUACION_INDIVIDUAL</t>
        </is>
      </c>
      <c r="B8" s="19" t="inlineStr">
        <is>
          <t>Hidrosur Cía. Ltda.: antigüedad (mora máxima 451 días); evalúe individualmente (11.24).</t>
        </is>
      </c>
      <c r="C8" s="21" t="n">
        <v>2773.22</v>
      </c>
    </row>
    <row r="9">
      <c r="A9" s="18" t="inlineStr">
        <is>
          <t>EVALUACION_INDIVIDUAL</t>
        </is>
      </c>
      <c r="B9" s="18" t="inlineStr">
        <is>
          <t>Minera Austral S.A.: antigüedad (mora máxima 635 días); evalúe individualmente (11.24).</t>
        </is>
      </c>
      <c r="C9" s="20" t="n">
        <v>2142.47</v>
      </c>
    </row>
    <row r="10">
      <c r="A10" s="19" t="inlineStr">
        <is>
          <t>AJUSTE</t>
        </is>
      </c>
      <c r="B10" s="19" t="inlineStr">
        <is>
          <t>La pérdida recalculada (20.749,02) difiere de la provisión registrada según el mayor (5.816,04).</t>
        </is>
      </c>
      <c r="C10" s="21" t="n">
        <v>14932.98</v>
      </c>
    </row>
    <row r="11">
      <c r="A11" s="18" t="inlineStr">
        <is>
          <t>NO_DEDUCIBLE</t>
        </is>
      </c>
      <c r="B11" s="18" t="inlineStr">
        <is>
          <t>Gasto no deducible del ejercicio: 14.029,21 (límites LRTI).</t>
        </is>
      </c>
      <c r="C11" s="20" t="n">
        <v>14029.21</v>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7.xml><?xml version="1.0" encoding="utf-8"?>
<worksheet xmlns="http://schemas.openxmlformats.org/spreadsheetml/2006/main">
  <sheetPr>
    <outlinePr summaryBelow="1" summaryRight="1"/>
    <pageSetUpPr fitToPage="1"/>
  </sheetPr>
  <dimension ref="A1:J8"/>
  <sheetViews>
    <sheetView showGridLines="0" workbookViewId="0">
      <pane ySplit="4" topLeftCell="A5" activePane="bottomLeft" state="frozen"/>
      <selection pane="bottomLeft" activeCell="A1" sqref="A1"/>
    </sheetView>
  </sheetViews>
  <sheetFormatPr baseColWidth="8" defaultRowHeight="15"/>
  <cols>
    <col width="27" customWidth="1" min="1" max="1"/>
    <col width="47" customWidth="1" min="2" max="2"/>
  </cols>
  <sheetData>
    <row r="1">
      <c r="A1" s="3" t="inlineStr">
        <is>
          <t>Conclusión</t>
        </is>
      </c>
      <c r="H1" s="14" t="inlineStr">
        <is>
          <t>⟵ Inicio</t>
        </is>
      </c>
      <c r="I1" s="14" t="inlineStr">
        <is>
          <t>◀ Anterior</t>
        </is>
      </c>
      <c r="J1" s="14" t="inlineStr">
        <is>
          <t>Siguiente ▶</t>
        </is>
      </c>
    </row>
    <row r="2">
      <c r="A2" s="15" t="inlineStr">
        <is>
          <t>Deterioro de cuentas por cobrar · pérdidas incurridas (PYMES) · Cliente de muestra S.A. · corte 2025-12-31</t>
        </is>
      </c>
      <c r="B2" s="16" t="n"/>
      <c r="C2" s="16" t="n"/>
      <c r="D2" s="16" t="n"/>
      <c r="E2" s="16" t="n"/>
      <c r="F2" s="16" t="n"/>
    </row>
    <row r="4" ht="30" customHeight="1">
      <c r="A4" s="17" t="inlineStr">
        <is>
          <t>Concepto</t>
        </is>
      </c>
      <c r="B4" s="17" t="inlineStr">
        <is>
          <t>Detalle</t>
        </is>
      </c>
    </row>
    <row r="5">
      <c r="A5" s="18" t="inlineStr">
        <is>
          <t>Conciliación con el mayor</t>
        </is>
      </c>
      <c r="B5" s="18" t="inlineStr">
        <is>
          <t>Población None · mayor None · diferencia None</t>
        </is>
      </c>
    </row>
    <row r="6">
      <c r="A6" s="19" t="inlineStr">
        <is>
          <t>Evaluación de excepciones</t>
        </is>
      </c>
      <c r="B6" s="19" t="inlineStr"/>
    </row>
    <row r="7">
      <c r="A7" s="18" t="inlineStr">
        <is>
          <t>Análisis</t>
        </is>
      </c>
      <c r="B7" s="18" t="inlineStr"/>
    </row>
    <row r="8">
      <c r="A8" s="19" t="inlineStr">
        <is>
          <t>Conclusión</t>
        </is>
      </c>
      <c r="B8" s="19" t="inlineStr"/>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 xmlns:r="http://schemas.openxmlformats.org/officeDocument/2006/relationships" ref="J1" r:id="rId3"/>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xl/worksheets/sheet18.xml><?xml version="1.0" encoding="utf-8"?>
<worksheet xmlns="http://schemas.openxmlformats.org/spreadsheetml/2006/main">
  <sheetPr>
    <outlinePr summaryBelow="1" summaryRight="1"/>
    <pageSetUpPr fitToPage="1"/>
  </sheetPr>
  <dimension ref="A1:I4"/>
  <sheetViews>
    <sheetView showGridLines="0" workbookViewId="0">
      <pane ySplit="4" topLeftCell="A5" activePane="bottomLeft" state="frozen"/>
      <selection pane="bottomLeft" activeCell="A1" sqref="A1"/>
    </sheetView>
  </sheetViews>
  <sheetFormatPr baseColWidth="8" defaultRowHeight="15"/>
  <cols>
    <col width="12" customWidth="1" min="1" max="1"/>
    <col width="12" customWidth="1" min="2" max="2"/>
    <col width="17" customWidth="1" min="3" max="3"/>
    <col width="14" customWidth="1" min="4" max="4"/>
    <col width="12" customWidth="1" min="5" max="5"/>
    <col width="12" customWidth="1" min="6" max="6"/>
  </cols>
  <sheetData>
    <row r="1">
      <c r="A1" s="3" t="inlineStr">
        <is>
          <t>Control de revisión</t>
        </is>
      </c>
      <c r="H1" s="14" t="inlineStr">
        <is>
          <t>⟵ Inicio</t>
        </is>
      </c>
      <c r="I1" s="14" t="inlineStr">
        <is>
          <t>◀ Anterior</t>
        </is>
      </c>
    </row>
    <row r="2">
      <c r="A2" s="15" t="inlineStr">
        <is>
          <t>Deterioro de cuentas por cobrar · pérdidas incurridas (PYMES) · Cliente de muestra S.A. · corte 2025-12-31</t>
        </is>
      </c>
      <c r="B2" s="16" t="n"/>
      <c r="C2" s="16" t="n"/>
      <c r="D2" s="16" t="n"/>
      <c r="E2" s="16" t="n"/>
      <c r="F2" s="16" t="n"/>
    </row>
    <row r="4" ht="30" customHeight="1">
      <c r="A4" s="17" t="inlineStr">
        <is>
          <t>Fecha</t>
        </is>
      </c>
      <c r="B4" s="17" t="inlineStr">
        <is>
          <t>Acción</t>
        </is>
      </c>
      <c r="C4" s="17" t="inlineStr">
        <is>
          <t>Estado anterior</t>
        </is>
      </c>
      <c r="D4" s="17" t="inlineStr">
        <is>
          <t>Estado nuevo</t>
        </is>
      </c>
      <c r="E4" s="17" t="inlineStr">
        <is>
          <t>Actor</t>
        </is>
      </c>
      <c r="F4" s="17" t="inlineStr">
        <is>
          <t>Comentario</t>
        </is>
      </c>
    </row>
  </sheetData>
  <mergeCells count="2">
    <mergeCell ref="A2:F2"/>
    <mergeCell ref="A1:F1"/>
  </mergeCells>
  <hyperlinks>
    <hyperlink xmlns:r="http://schemas.openxmlformats.org/officeDocument/2006/relationships" ref="H1" r:id="rId1"/>
    <hyperlink xmlns:r="http://schemas.openxmlformats.org/officeDocument/2006/relationships" ref="I1" r:id="rId2"/>
  </hyperlinks>
  <pageMargins left="0.75" right="0.75" top="1" bottom="1" header="0.5" footer="0.5"/>
  <pageSetup orientation="landscape" fitToHeight="0" fitToWidth="1"/>
  <headerFooter>
    <oddHeader/>
    <oddFooter>&amp;LAuditConsulting Auditores Cía. Ltda.&amp;C&amp;RPágina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2026-09-24T04:19:09Z</dcterms:created>
  <dcterms:modified xmlns:dcterms="http://purl.org/dc/terms/" xmlns:xsi="http://www.w3.org/2001/XMLSchema-instance" xsi:type="dcterms:W3CDTF">2026-09-24T04:19:09Z</dcterms:modified>
</cp:coreProperties>
</file>