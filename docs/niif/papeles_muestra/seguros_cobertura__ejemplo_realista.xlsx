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icio" sheetId="1" state="visible" r:id="rId1"/>
    <sheet xmlns:r="http://schemas.openxmlformats.org/officeDocument/2006/relationships" name="00_Caratula" sheetId="2" state="visible" r:id="rId2"/>
    <sheet xmlns:r="http://schemas.openxmlformats.org/officeDocument/2006/relationships" name="00_Programa" sheetId="3" state="visible" r:id="rId3"/>
    <sheet xmlns:r="http://schemas.openxmlformats.org/officeDocument/2006/relationships" name="00_Fuentes" sheetId="4" state="visible" r:id="rId4"/>
    <sheet xmlns:r="http://schemas.openxmlformats.org/officeDocument/2006/relationships" name="01_Resumen" sheetId="5" state="visible" r:id="rId5"/>
    <sheet xmlns:r="http://schemas.openxmlformats.org/officeDocument/2006/relationships" name="02_Parametros" sheetId="6" state="visible" r:id="rId6"/>
    <sheet xmlns:r="http://schemas.openxmlformats.org/officeDocument/2006/relationships" name="03_Activos" sheetId="7" state="visible" r:id="rId7"/>
    <sheet xmlns:r="http://schemas.openxmlformats.org/officeDocument/2006/relationships" name="04_Polizas" sheetId="8" state="visible" r:id="rId8"/>
    <sheet xmlns:r="http://schemas.openxmlformats.org/officeDocument/2006/relationships" name="05_Vigencia" sheetId="9" state="visible" r:id="rId9"/>
    <sheet xmlns:r="http://schemas.openxmlformats.org/officeDocument/2006/relationships" name="06_Cobertura_activo" sheetId="10" state="visible" r:id="rId10"/>
    <sheet xmlns:r="http://schemas.openxmlformats.org/officeDocument/2006/relationships" name="07_Cobertura_poliza" sheetId="11" state="visible" r:id="rId11"/>
    <sheet xmlns:r="http://schemas.openxmlformats.org/officeDocument/2006/relationships" name="08_Deducibles_exposicion" sheetId="12" state="visible" r:id="rId12"/>
    <sheet xmlns:r="http://schemas.openxmlformats.org/officeDocument/2006/relationships" name="09_Sin_cobertura" sheetId="13" state="visible" r:id="rId13"/>
    <sheet xmlns:r="http://schemas.openxmlformats.org/officeDocument/2006/relationships" name="10_Prima_anticipada" sheetId="14" state="visible" r:id="rId14"/>
    <sheet xmlns:r="http://schemas.openxmlformats.org/officeDocument/2006/relationships" name="11_Siniestros" sheetId="15" state="visible" r:id="rId15"/>
    <sheet xmlns:r="http://schemas.openxmlformats.org/officeDocument/2006/relationships" name="12_Conclusion" sheetId="16" state="visible" r:id="rId16"/>
    <sheet xmlns:r="http://schemas.openxmlformats.org/officeDocument/2006/relationships" name="13_Ajustes" sheetId="17" state="visible" r:id="rId17"/>
    <sheet xmlns:r="http://schemas.openxmlformats.org/officeDocument/2006/relationships" name="14_Problemas" sheetId="18" state="visible" r:id="rId18"/>
    <sheet xmlns:r="http://schemas.openxmlformats.org/officeDocument/2006/relationships" name="13_Conclusion" sheetId="19" state="visible" r:id="rId19"/>
    <sheet xmlns:r="http://schemas.openxmlformats.org/officeDocument/2006/relationships" name="14_Control_Revision" sheetId="20" state="visible" r:id="rId20"/>
  </sheets>
  <definedNames>
    <definedName name="_xlnm.Print_Area" localSheetId="0">'00_Inicio'!$A$1:$L$69</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4">
    <font>
      <name val="Calibri"/>
      <family val="2"/>
      <color theme="1"/>
      <sz val="11"/>
      <scheme val="minor"/>
    </font>
    <font>
      <name val="Montserrat"/>
      <b val="1"/>
      <color rgb="00FFFFFF"/>
      <sz val="16"/>
    </font>
    <font>
      <name val="Montserrat"/>
      <b val="1"/>
      <color rgb="000A2342"/>
      <sz val="15"/>
    </font>
    <font>
      <name val="Montserrat"/>
      <b val="1"/>
      <color rgb="000D7377"/>
      <sz val="9"/>
    </font>
    <font>
      <name val="Calibri"/>
      <color rgb="001A1A1A"/>
      <sz val="9"/>
    </font>
    <font>
      <name val="Montserrat"/>
      <b val="1"/>
      <color rgb="00C7A83C"/>
      <sz val="10"/>
    </font>
    <font>
      <name val="Consolas"/>
      <b val="1"/>
      <color rgb="000A2342"/>
      <sz val="18"/>
    </font>
    <font>
      <name val="Consolas"/>
      <b val="1"/>
      <color rgb="00C0392B"/>
      <sz val="18"/>
    </font>
    <font>
      <name val="Montserrat"/>
      <b val="1"/>
      <color rgb="00FFFFFF"/>
      <sz val="10"/>
    </font>
    <font>
      <name val="Calibri"/>
      <i val="1"/>
      <color rgb="006B7280"/>
      <sz val="8"/>
    </font>
    <font>
      <name val="Calibri"/>
      <color rgb="008A94A6"/>
      <sz val="8"/>
    </font>
    <font>
      <name val="Montserrat"/>
      <b val="1"/>
      <color rgb="000A2342"/>
      <sz val="9"/>
    </font>
    <font>
      <name val="Consolas"/>
      <color rgb="001A1A1A"/>
      <sz val="9"/>
    </font>
    <font>
      <name val="Consolas"/>
      <b val="1"/>
      <color rgb="000A2342"/>
      <sz val="10"/>
    </font>
  </fonts>
  <fills count="8">
    <fill>
      <patternFill/>
    </fill>
    <fill>
      <patternFill patternType="gray125"/>
    </fill>
    <fill>
      <patternFill patternType="solid">
        <fgColor rgb="000A2342"/>
      </patternFill>
    </fill>
    <fill>
      <patternFill patternType="solid">
        <fgColor rgb="00F4F6F9"/>
      </patternFill>
    </fill>
    <fill>
      <patternFill patternType="solid">
        <fgColor rgb="000D7377"/>
      </patternFill>
    </fill>
    <fill>
      <patternFill patternType="solid">
        <fgColor rgb="00DCE6F1"/>
      </patternFill>
    </fill>
    <fill>
      <patternFill patternType="solid">
        <fgColor rgb="00F7F9FC"/>
      </patternFill>
    </fill>
    <fill>
      <patternFill patternType="solid">
        <fgColor rgb="00C7A83C"/>
      </patternFill>
    </fill>
  </fills>
  <borders count="5">
    <border>
      <left/>
      <right/>
      <top/>
      <bottom/>
      <diagonal/>
    </border>
    <border>
      <left style="thin">
        <color rgb="00B7C0CC"/>
      </left>
      <right style="thin">
        <color rgb="00B7C0CC"/>
      </right>
      <top style="thin">
        <color rgb="00B7C0CC"/>
      </top>
      <bottom style="thin">
        <color rgb="00B7C0CC"/>
      </bottom>
    </border>
    <border>
      <bottom style="medium">
        <color rgb="00C7A83C"/>
      </bottom>
    </border>
    <border>
      <bottom style="thin">
        <color rgb="00E3E8EF"/>
      </bottom>
    </border>
    <border>
      <left style="thin">
        <color rgb="00B7C0CC"/>
      </left>
      <right style="thin">
        <color rgb="00B7C0CC"/>
      </right>
      <top style="double">
        <color rgb="000A2342"/>
      </top>
      <bottom style="double">
        <color rgb="000A2342"/>
      </bottom>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3" borderId="1" applyAlignment="1" pivotButton="0" quotePrefix="0" xfId="0">
      <alignment vertical="bottom" wrapText="1"/>
    </xf>
    <xf numFmtId="4" fontId="6" fillId="3" borderId="1" pivotButton="0" quotePrefix="0" xfId="0"/>
    <xf numFmtId="3" fontId="7" fillId="3" borderId="1" pivotButton="0" quotePrefix="0" xfId="0"/>
    <xf numFmtId="0" fontId="8" fillId="4" borderId="1" applyAlignment="1" pivotButton="0" quotePrefix="0" xfId="0">
      <alignment horizontal="center" vertical="center" wrapText="1"/>
    </xf>
    <xf numFmtId="0" fontId="9" fillId="0" borderId="0" pivotButton="0" quotePrefix="0" xfId="0"/>
    <xf numFmtId="0" fontId="10" fillId="0" borderId="0" pivotButton="0" quotePrefix="0" xfId="0"/>
    <xf numFmtId="4" fontId="10" fillId="0" borderId="0" pivotButton="0" quotePrefix="0" xfId="0"/>
    <xf numFmtId="0" fontId="11" fillId="5" borderId="1" applyAlignment="1" pivotButton="0" quotePrefix="0" xfId="0">
      <alignment horizontal="center" vertical="center" wrapText="1"/>
    </xf>
    <xf numFmtId="0" fontId="5" fillId="0" borderId="2" pivotButton="0" quotePrefix="0" xfId="0"/>
    <xf numFmtId="0" fontId="0" fillId="0" borderId="2" pivotButton="0" quotePrefix="0" xfId="0"/>
    <xf numFmtId="0" fontId="8" fillId="2" borderId="2" applyAlignment="1" pivotButton="0" quotePrefix="0" xfId="0">
      <alignment horizontal="center" vertical="center" wrapText="1"/>
    </xf>
    <xf numFmtId="0" fontId="4" fillId="0" borderId="3" applyAlignment="1" pivotButton="0" quotePrefix="0" xfId="0">
      <alignment horizontal="left" vertical="top" wrapText="1"/>
    </xf>
    <xf numFmtId="0" fontId="4" fillId="6" borderId="3" applyAlignment="1" pivotButton="0" quotePrefix="0" xfId="0">
      <alignment horizontal="left" vertical="top" wrapText="1"/>
    </xf>
    <xf numFmtId="4" fontId="12" fillId="0" borderId="3" applyAlignment="1" pivotButton="0" quotePrefix="0" xfId="0">
      <alignment horizontal="right" vertical="center"/>
    </xf>
    <xf numFmtId="4" fontId="12" fillId="6" borderId="3" applyAlignment="1" pivotButton="0" quotePrefix="0" xfId="0">
      <alignment horizontal="right" vertical="center"/>
    </xf>
    <xf numFmtId="0" fontId="5" fillId="7" borderId="0" applyAlignment="1" pivotButton="0" quotePrefix="0" xfId="0">
      <alignment horizontal="left" vertical="top" wrapText="1"/>
    </xf>
    <xf numFmtId="0" fontId="8" fillId="2" borderId="1" applyAlignment="1" pivotButton="0" quotePrefix="0" xfId="0">
      <alignment horizontal="center" vertical="center" wrapText="1"/>
    </xf>
    <xf numFmtId="0" fontId="4" fillId="3" borderId="1" applyAlignment="1" pivotButton="0" quotePrefix="0" xfId="0">
      <alignment horizontal="left" vertical="top" wrapText="1"/>
    </xf>
    <xf numFmtId="0" fontId="12" fillId="3" borderId="1" applyAlignment="1" pivotButton="0" quotePrefix="0" xfId="0">
      <alignment horizontal="left" vertical="top" wrapText="1"/>
    </xf>
    <xf numFmtId="165" fontId="4" fillId="0" borderId="3" applyAlignment="1" pivotButton="0" quotePrefix="0" xfId="0">
      <alignment horizontal="center" vertical="center" wrapText="1"/>
    </xf>
    <xf numFmtId="0" fontId="12" fillId="6" borderId="3" applyAlignment="1" pivotButton="0" quotePrefix="0" xfId="0">
      <alignment horizontal="right" vertical="center"/>
    </xf>
    <xf numFmtId="0" fontId="12" fillId="0" borderId="3" applyAlignment="1" pivotButton="0" quotePrefix="0" xfId="0">
      <alignment horizontal="right" vertical="center"/>
    </xf>
    <xf numFmtId="0" fontId="13" fillId="5" borderId="4" applyAlignment="1" pivotButton="0" quotePrefix="0" xfId="0">
      <alignment horizontal="left" vertical="top" wrapText="1"/>
    </xf>
    <xf numFmtId="4" fontId="13" fillId="5" borderId="4" applyAlignment="1" pivotButton="0" quotePrefix="0" xfId="0">
      <alignment horizontal="right" vertical="center"/>
    </xf>
    <xf numFmtId="165" fontId="12" fillId="0" borderId="3" applyAlignment="1" pivotButton="0" quotePrefix="0" xfId="0">
      <alignment horizontal="center" vertical="center" wrapText="1"/>
    </xf>
    <xf numFmtId="165" fontId="12" fillId="6" borderId="3" applyAlignment="1" pivotButton="0" quotePrefix="0" xfId="0">
      <alignment horizontal="center" vertical="center" wrapText="1"/>
    </xf>
    <xf numFmtId="3" fontId="12" fillId="0" borderId="3" applyAlignment="1" pivotButton="0" quotePrefix="0" xfId="0">
      <alignment horizontal="right" vertical="center"/>
    </xf>
    <xf numFmtId="3" fontId="12" fillId="6" borderId="3" applyAlignment="1" pivotButton="0" quotePrefix="0" xfId="0">
      <alignment horizontal="right" vertical="center"/>
    </xf>
    <xf numFmtId="10" fontId="12" fillId="0" borderId="3" applyAlignment="1" pivotButton="0" quotePrefix="0" xfId="0">
      <alignment horizontal="right" vertical="center"/>
    </xf>
    <xf numFmtId="10" fontId="12" fillId="6" borderId="3" applyAlignment="1" pivotButton="0" quotePrefix="0" xfId="0">
      <alignment horizontal="right" vertical="center"/>
    </xf>
    <xf numFmtId="10" fontId="13" fillId="5" borderId="4" applyAlignment="1" pivotButton="0" quotePrefix="0" xfId="0">
      <alignment horizontal="right" vertical="center"/>
    </xf>
    <xf numFmtId="3" fontId="13" fillId="5" borderId="4"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Cifras del resumen (USD)</a:t>
            </a:r>
          </a:p>
        </rich>
      </tx>
    </title>
    <plotArea>
      <barChart>
        <barDir val="bar"/>
        <grouping val="clustered"/>
        <ser>
          <idx val="0"/>
          <order val="0"/>
          <tx>
            <strRef>
              <f>'00_Inicio'!O23</f>
            </strRef>
          </tx>
          <spPr>
            <a:solidFill xmlns:a="http://schemas.openxmlformats.org/drawingml/2006/main">
              <a:srgbClr val="0093A3"/>
            </a:solidFill>
            <a:ln xmlns:a="http://schemas.openxmlformats.org/drawingml/2006/main">
              <a:noFill/>
              <a:prstDash val="solid"/>
            </a:ln>
          </spPr>
          <invertIfNegative val="0"/>
          <cat>
            <numRef>
              <f>'00_Inicio'!$N$24:$N$36</f>
            </numRef>
          </cat>
          <val>
            <numRef>
              <f>'00_Inicio'!$O$24:$O$36</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Hallazgos de mayor impacto (USD)</a:t>
            </a:r>
          </a:p>
        </rich>
      </tx>
    </title>
    <plotArea>
      <barChart>
        <barDir val="bar"/>
        <grouping val="clustered"/>
        <ser>
          <idx val="0"/>
          <order val="0"/>
          <tx>
            <strRef>
              <f>'00_Inicio'!O38</f>
            </strRef>
          </tx>
          <spPr>
            <a:solidFill xmlns:a="http://schemas.openxmlformats.org/drawingml/2006/main">
              <a:srgbClr val="0093A3"/>
            </a:solidFill>
            <a:ln xmlns:a="http://schemas.openxmlformats.org/drawingml/2006/main">
              <a:noFill/>
              <a:prstDash val="solid"/>
            </a:ln>
          </spPr>
          <invertIfNegative val="0"/>
          <cat>
            <numRef>
              <f>'00_Inicio'!$N$39:$N$46</f>
            </numRef>
          </cat>
          <val>
            <numRef>
              <f>'00_Inicio'!$O$39:$O$46</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23</row>
      <rowOff>0</rowOff>
    </from>
    <ext cx="7740000" cy="44496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49</row>
      <rowOff>0</rowOff>
    </from>
    <ext cx="7740000" cy="31536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Caratula'!A1" TargetMode="External" Id="rId1"/><Relationship Type="http://schemas.openxmlformats.org/officeDocument/2006/relationships/hyperlink" Target="#'00_Programa'!A1" TargetMode="External" Id="rId2"/><Relationship Type="http://schemas.openxmlformats.org/officeDocument/2006/relationships/hyperlink" Target="#'00_Fuentes'!A1" TargetMode="External" Id="rId3"/><Relationship Type="http://schemas.openxmlformats.org/officeDocument/2006/relationships/hyperlink" Target="#'01_Resumen'!A1" TargetMode="External" Id="rId4"/><Relationship Type="http://schemas.openxmlformats.org/officeDocument/2006/relationships/hyperlink" Target="#'02_Parametros'!A1" TargetMode="External" Id="rId5"/><Relationship Type="http://schemas.openxmlformats.org/officeDocument/2006/relationships/hyperlink" Target="#'03_Activos'!A1" TargetMode="External" Id="rId6"/><Relationship Type="http://schemas.openxmlformats.org/officeDocument/2006/relationships/hyperlink" Target="#'04_Polizas'!A1" TargetMode="External" Id="rId7"/><Relationship Type="http://schemas.openxmlformats.org/officeDocument/2006/relationships/hyperlink" Target="#'05_Vigencia'!A1" TargetMode="External" Id="rId8"/><Relationship Type="http://schemas.openxmlformats.org/officeDocument/2006/relationships/hyperlink" Target="#'06_Cobertura_activo'!A1" TargetMode="External" Id="rId9"/><Relationship Type="http://schemas.openxmlformats.org/officeDocument/2006/relationships/hyperlink" Target="#'07_Cobertura_poliza'!A1" TargetMode="External" Id="rId10"/><Relationship Type="http://schemas.openxmlformats.org/officeDocument/2006/relationships/hyperlink" Target="#'08_Deducibles_exposicion'!A1" TargetMode="External" Id="rId11"/><Relationship Type="http://schemas.openxmlformats.org/officeDocument/2006/relationships/hyperlink" Target="#'09_Sin_cobertura'!A1" TargetMode="External" Id="rId12"/><Relationship Type="http://schemas.openxmlformats.org/officeDocument/2006/relationships/hyperlink" Target="#'10_Prima_anticipada'!A1" TargetMode="External" Id="rId13"/><Relationship Type="http://schemas.openxmlformats.org/officeDocument/2006/relationships/hyperlink" Target="#'11_Siniestros'!A1" TargetMode="External" Id="rId14"/><Relationship Type="http://schemas.openxmlformats.org/officeDocument/2006/relationships/hyperlink" Target="#'12_Conclusion'!A1" TargetMode="External" Id="rId15"/><Relationship Type="http://schemas.openxmlformats.org/officeDocument/2006/relationships/hyperlink" Target="#'13_Ajustes'!A1" TargetMode="External" Id="rId16"/><Relationship Type="http://schemas.openxmlformats.org/officeDocument/2006/relationships/hyperlink" Target="#'14_Problemas'!A1" TargetMode="External" Id="rId17"/><Relationship Type="http://schemas.openxmlformats.org/officeDocument/2006/relationships/hyperlink" Target="#'13_Conclusion'!A1" TargetMode="External" Id="rId18"/><Relationship Type="http://schemas.openxmlformats.org/officeDocument/2006/relationships/hyperlink" Target="#'14_Control_Revision'!A1" TargetMode="External" Id="rId19"/><Relationship Type="http://schemas.openxmlformats.org/officeDocument/2006/relationships/drawing" Target="/xl/drawings/drawing1.xml" Id="rId20"/></Relationships>
</file>

<file path=xl/worksheets/_rels/sheet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s>
</file>

<file path=xl/worksheets/_rels/sheet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Caratula'!A1" TargetMode="External" Id="rId2"/><Relationship Type="http://schemas.openxmlformats.org/officeDocument/2006/relationships/hyperlink" Target="#'00_Fuentes'!A1" TargetMode="External" Id="rId3"/></Relationships>
</file>

<file path=xl/worksheets/_rels/sheet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 Type="http://schemas.openxmlformats.org/officeDocument/2006/relationships/hyperlink" Target="#'01_Resumen'!A1" TargetMode="External" Id="rId3"/></Relationships>
</file>

<file path=xl/worksheets/_rels/sheet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Fuentes'!A1" TargetMode="External" Id="rId2"/><Relationship Type="http://schemas.openxmlformats.org/officeDocument/2006/relationships/hyperlink" Target="#'02_Parametros'!A1" TargetMode="External" Id="rId3"/></Relationships>
</file>

<file path=xl/worksheets/_rels/sheet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1_Resumen'!A1" TargetMode="External" Id="rId2"/><Relationship Type="http://schemas.openxmlformats.org/officeDocument/2006/relationships/hyperlink" Target="#'03_Activos'!A1" TargetMode="External" Id="rId3"/></Relationships>
</file>

<file path=xl/worksheets/_rels/sheet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2_Parametros'!A1" TargetMode="External" Id="rId2"/><Relationship Type="http://schemas.openxmlformats.org/officeDocument/2006/relationships/hyperlink" Target="#'04_Polizas'!A1" TargetMode="External" Id="rId3"/></Relationships>
</file>

<file path=xl/worksheets/_rels/sheet8.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3_Activos'!A1" TargetMode="External" Id="rId2"/><Relationship Type="http://schemas.openxmlformats.org/officeDocument/2006/relationships/hyperlink" Target="#'05_Vigencia'!A1" TargetMode="External" Id="rId3"/></Relationships>
</file>

<file path=xl/worksheets/_rels/sheet9.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4_Polizas'!A1" TargetMode="External" Id="rId2"/><Relationship Type="http://schemas.openxmlformats.org/officeDocument/2006/relationships/hyperlink" Target="#'06_Cobertura_activo'!A1" TargetMode="External" Id="rId3"/></Relationships>
</file>

<file path=xl/worksheets/_rels/sheet10.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5_Vigencia'!A1" TargetMode="External" Id="rId2"/><Relationship Type="http://schemas.openxmlformats.org/officeDocument/2006/relationships/hyperlink" Target="#'07_Cobertura_poliza'!A1" TargetMode="External" Id="rId3"/></Relationships>
</file>

<file path=xl/worksheets/_rels/sheet11.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6_Cobertura_activo'!A1" TargetMode="External" Id="rId2"/><Relationship Type="http://schemas.openxmlformats.org/officeDocument/2006/relationships/hyperlink" Target="#'08_Deducibles_exposicion'!A1" TargetMode="External" Id="rId3"/></Relationships>
</file>

<file path=xl/worksheets/_rels/sheet1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7_Cobertura_poliza'!A1" TargetMode="External" Id="rId2"/><Relationship Type="http://schemas.openxmlformats.org/officeDocument/2006/relationships/hyperlink" Target="#'09_Sin_cobertura'!A1" TargetMode="External" Id="rId3"/></Relationships>
</file>

<file path=xl/worksheets/_rels/sheet1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8_Deducibles_exposicion'!A1" TargetMode="External" Id="rId2"/><Relationship Type="http://schemas.openxmlformats.org/officeDocument/2006/relationships/hyperlink" Target="#'10_Prima_anticipada'!A1" TargetMode="External" Id="rId3"/></Relationships>
</file>

<file path=xl/worksheets/_rels/sheet1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9_Sin_cobertura'!A1" TargetMode="External" Id="rId2"/><Relationship Type="http://schemas.openxmlformats.org/officeDocument/2006/relationships/hyperlink" Target="#'11_Siniestros'!A1" TargetMode="External" Id="rId3"/></Relationships>
</file>

<file path=xl/worksheets/_rels/sheet1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0_Prima_anticipada'!A1" TargetMode="External" Id="rId2"/><Relationship Type="http://schemas.openxmlformats.org/officeDocument/2006/relationships/hyperlink" Target="#'12_Conclusion'!A1" TargetMode="External" Id="rId3"/></Relationships>
</file>

<file path=xl/worksheets/_rels/sheet1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1_Siniestros'!A1" TargetMode="External" Id="rId2"/><Relationship Type="http://schemas.openxmlformats.org/officeDocument/2006/relationships/hyperlink" Target="#'13_Ajustes'!A1" TargetMode="External" Id="rId3"/></Relationships>
</file>

<file path=xl/worksheets/_rels/sheet1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2_Conclusion'!A1" TargetMode="External" Id="rId2"/><Relationship Type="http://schemas.openxmlformats.org/officeDocument/2006/relationships/hyperlink" Target="#'14_Problemas'!A1" TargetMode="External" Id="rId3"/></Relationships>
</file>

<file path=xl/worksheets/_rels/sheet18.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3_Ajustes'!A1" TargetMode="External" Id="rId2"/><Relationship Type="http://schemas.openxmlformats.org/officeDocument/2006/relationships/hyperlink" Target="#'13_Conclusion'!A1" TargetMode="External" Id="rId3"/></Relationships>
</file>

<file path=xl/worksheets/_rels/sheet19.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4_Problemas'!A1" TargetMode="External" Id="rId2"/><Relationship Type="http://schemas.openxmlformats.org/officeDocument/2006/relationships/hyperlink" Target="#'14_Control_Revision'!A1" TargetMode="External" Id="rId3"/></Relationships>
</file>

<file path=xl/worksheets/_rels/sheet20.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3_Conclusion'!A1" TargetMode="External" Id="rId2"/></Relationships>
</file>

<file path=xl/worksheets/sheet1.xml><?xml version="1.0" encoding="utf-8"?>
<worksheet xmlns="http://schemas.openxmlformats.org/spreadsheetml/2006/main">
  <sheetPr>
    <outlinePr summaryBelow="1" summaryRight="1"/>
    <pageSetUpPr fitToPage="1"/>
  </sheetPr>
  <dimension ref="B2:O46"/>
  <sheetViews>
    <sheetView showGridLines="0" workbookViewId="0">
      <selection activeCell="A1" sqref="A1"/>
    </sheetView>
  </sheetViews>
  <sheetFormatPr baseColWidth="8" defaultRowHeight="15"/>
  <cols>
    <col width="3" customWidth="1" min="1" max="1"/>
    <col width="27" customWidth="1" min="2" max="2"/>
    <col width="27" customWidth="1" min="3" max="3"/>
    <col width="27" customWidth="1" min="4" max="4"/>
    <col width="27" customWidth="1" min="5" max="5"/>
    <col width="27" customWidth="1" min="6" max="6"/>
    <col width="34" customWidth="1" min="14" max="14"/>
    <col width="16" customWidth="1" min="15" max="15"/>
  </cols>
  <sheetData>
    <row r="2">
      <c r="B2" s="1" t="inlineStr">
        <is>
          <t>AuditConsulting Auditores Cía. Ltda.  ·  AUDIT-IA</t>
        </is>
      </c>
      <c r="C2" s="2" t="n"/>
      <c r="D2" s="2" t="n"/>
      <c r="E2" s="2" t="n"/>
      <c r="F2" s="2" t="n"/>
    </row>
    <row r="3">
      <c r="B3" s="2" t="n"/>
      <c r="C3" s="2" t="n"/>
      <c r="D3" s="2" t="n"/>
      <c r="E3" s="2" t="n"/>
      <c r="F3" s="2" t="n"/>
    </row>
    <row r="4">
      <c r="B4" s="3" t="inlineStr">
        <is>
          <t>Cobertura de seguros de activos</t>
        </is>
      </c>
    </row>
    <row r="6">
      <c r="B6" s="4" t="inlineStr">
        <is>
          <t>Cliente</t>
        </is>
      </c>
      <c r="C6" s="5" t="inlineStr">
        <is>
          <t>Cliente de muestra S.A.</t>
        </is>
      </c>
      <c r="D6" s="4" t="inlineStr">
        <is>
          <t>RUC</t>
        </is>
      </c>
      <c r="E6" s="5" t="inlineStr">
        <is>
          <t>1790000000001</t>
        </is>
      </c>
    </row>
    <row r="7">
      <c r="B7" s="4" t="inlineStr">
        <is>
          <t>Marco contable</t>
        </is>
      </c>
      <c r="C7" s="5" t="inlineStr">
        <is>
          <t>NIIF completas</t>
        </is>
      </c>
      <c r="D7" s="4" t="inlineStr">
        <is>
          <t>Fecha de corte</t>
        </is>
      </c>
      <c r="E7" s="5" t="inlineStr">
        <is>
          <t>2025-12-31</t>
        </is>
      </c>
    </row>
    <row r="8">
      <c r="B8" s="4" t="inlineStr">
        <is>
          <t>Preparó</t>
        </is>
      </c>
      <c r="C8" s="5" t="inlineStr">
        <is>
          <t>Ejercicio modelo</t>
        </is>
      </c>
      <c r="D8" s="4" t="inlineStr">
        <is>
          <t>Revisó</t>
        </is>
      </c>
      <c r="E8" s="5" t="inlineStr">
        <is>
          <t>Pendiente</t>
        </is>
      </c>
    </row>
    <row r="10">
      <c r="B10" s="6" t="inlineStr">
        <is>
          <t>INDICADORES CLAVE</t>
        </is>
      </c>
    </row>
    <row r="11" ht="30" customHeight="1">
      <c r="B11" s="7" t="inlineStr">
        <is>
          <t>Ajuste propuesto en resultados (prima anticipada)</t>
        </is>
      </c>
      <c r="C11" s="7" t="inlineStr">
        <is>
          <t>Problemas encontrados</t>
        </is>
      </c>
    </row>
    <row r="12">
      <c r="B12" s="8" t="n">
        <v>-1600</v>
      </c>
      <c r="C12" s="9" t="n">
        <v>21</v>
      </c>
    </row>
    <row r="15">
      <c r="B15" s="6" t="inlineStr">
        <is>
          <t>IR A LA CÉDULA</t>
        </is>
      </c>
    </row>
    <row r="16" ht="32" customHeight="1">
      <c r="B16" s="10" t="inlineStr">
        <is>
          <t>Carátula</t>
        </is>
      </c>
      <c r="C16" s="10" t="inlineStr">
        <is>
          <t>Programa</t>
        </is>
      </c>
      <c r="D16" s="10" t="inlineStr">
        <is>
          <t>Base técnica</t>
        </is>
      </c>
      <c r="E16" s="10" t="inlineStr">
        <is>
          <t>Resumen</t>
        </is>
      </c>
    </row>
    <row r="17" ht="32" customHeight="1">
      <c r="B17" s="10" t="inlineStr">
        <is>
          <t>Parámetros</t>
        </is>
      </c>
      <c r="C17" s="10" t="inlineStr">
        <is>
          <t>Activos asegurables (datos del cliente)</t>
        </is>
      </c>
      <c r="D17" s="10" t="inlineStr">
        <is>
          <t>Pólizas (datos del cliente)</t>
        </is>
      </c>
      <c r="E17" s="10" t="inlineStr">
        <is>
          <t>Vigencia de pólizas al corte</t>
        </is>
      </c>
    </row>
    <row r="18" ht="32" customHeight="1">
      <c r="B18" s="10" t="inlineStr">
        <is>
          <t>Universo y cobertura por activo</t>
        </is>
      </c>
      <c r="C18" s="10" t="inlineStr">
        <is>
          <t>Cobertura por póliza (infraseguro)</t>
        </is>
      </c>
      <c r="D18" s="10" t="inlineStr">
        <is>
          <t>Deducibles y exposición máxima</t>
        </is>
      </c>
      <c r="E18" s="10" t="inlineStr">
        <is>
          <t>Activos sin cobertura</t>
        </is>
      </c>
    </row>
    <row r="19" ht="32" customHeight="1">
      <c r="B19" s="10" t="inlineStr">
        <is>
          <t>Prima pagada por anticipado</t>
        </is>
      </c>
      <c r="C19" s="10" t="inlineStr">
        <is>
          <t>Siniestros pendientes y revelación</t>
        </is>
      </c>
      <c r="D19" s="10" t="inlineStr">
        <is>
          <t>Indicadores y conclusión</t>
        </is>
      </c>
      <c r="E19" s="10" t="inlineStr">
        <is>
          <t>Ajustes propuestos y conciliación</t>
        </is>
      </c>
    </row>
    <row r="20" ht="32" customHeight="1">
      <c r="B20" s="10" t="inlineStr">
        <is>
          <t>Problemas encontrados</t>
        </is>
      </c>
      <c r="C20" s="10" t="inlineStr">
        <is>
          <t>Conclusión</t>
        </is>
      </c>
      <c r="D20" s="10" t="inlineStr">
        <is>
          <t>Control de revisión</t>
        </is>
      </c>
    </row>
    <row r="22">
      <c r="B22" s="6" t="inlineStr">
        <is>
          <t>PANORAMA</t>
        </is>
      </c>
      <c r="N22" s="11" t="inlineStr">
        <is>
          <t>Datos de los gráficos (fórmulas a las cédulas)</t>
        </is>
      </c>
    </row>
    <row r="23">
      <c r="N23" s="12" t="inlineStr">
        <is>
          <t>Cifras del resumen</t>
        </is>
      </c>
      <c r="O23" s="12" t="inlineStr">
        <is>
          <t>Importe (USD)</t>
        </is>
      </c>
    </row>
    <row r="24">
      <c r="N24" s="12">
        <f>'01_Resumen'!A5</f>
        <v/>
      </c>
      <c r="O24" s="13">
        <f>'01_Resumen'!B5</f>
        <v/>
      </c>
    </row>
    <row r="25">
      <c r="N25" s="12">
        <f>'01_Resumen'!A6</f>
        <v/>
      </c>
      <c r="O25" s="13">
        <f>'01_Resumen'!B6</f>
        <v/>
      </c>
    </row>
    <row r="26">
      <c r="N26" s="12">
        <f>'01_Resumen'!A8</f>
        <v/>
      </c>
      <c r="O26" s="13">
        <f>'01_Resumen'!B8</f>
        <v/>
      </c>
    </row>
    <row r="27">
      <c r="N27" s="12">
        <f>'01_Resumen'!A9</f>
        <v/>
      </c>
      <c r="O27" s="13">
        <f>'01_Resumen'!B9</f>
        <v/>
      </c>
    </row>
    <row r="28">
      <c r="N28" s="12">
        <f>'01_Resumen'!A10</f>
        <v/>
      </c>
      <c r="O28" s="13">
        <f>'01_Resumen'!B10</f>
        <v/>
      </c>
    </row>
    <row r="29">
      <c r="N29" s="12">
        <f>'01_Resumen'!A11</f>
        <v/>
      </c>
      <c r="O29" s="13">
        <f>'01_Resumen'!B11</f>
        <v/>
      </c>
    </row>
    <row r="30">
      <c r="N30" s="12">
        <f>'01_Resumen'!A12</f>
        <v/>
      </c>
      <c r="O30" s="13">
        <f>'01_Resumen'!B12</f>
        <v/>
      </c>
    </row>
    <row r="31">
      <c r="N31" s="12">
        <f>'01_Resumen'!A13</f>
        <v/>
      </c>
      <c r="O31" s="13">
        <f>'01_Resumen'!B13</f>
        <v/>
      </c>
    </row>
    <row r="32">
      <c r="N32" s="12">
        <f>'01_Resumen'!A14</f>
        <v/>
      </c>
      <c r="O32" s="13">
        <f>'01_Resumen'!B14</f>
        <v/>
      </c>
    </row>
    <row r="33">
      <c r="N33" s="12">
        <f>'01_Resumen'!A15</f>
        <v/>
      </c>
      <c r="O33" s="13">
        <f>'01_Resumen'!B15</f>
        <v/>
      </c>
    </row>
    <row r="34">
      <c r="N34" s="12">
        <f>'01_Resumen'!A16</f>
        <v/>
      </c>
      <c r="O34" s="13">
        <f>'01_Resumen'!B16</f>
        <v/>
      </c>
    </row>
    <row r="35">
      <c r="N35" s="12">
        <f>'01_Resumen'!A17</f>
        <v/>
      </c>
      <c r="O35" s="13">
        <f>'01_Resumen'!B17</f>
        <v/>
      </c>
    </row>
    <row r="36">
      <c r="N36" s="12">
        <f>'01_Resumen'!A18</f>
        <v/>
      </c>
      <c r="O36" s="13">
        <f>'01_Resumen'!B18</f>
        <v/>
      </c>
    </row>
    <row r="38">
      <c r="N38" s="12" t="inlineStr">
        <is>
          <t>Hallazgos de mayor impacto</t>
        </is>
      </c>
      <c r="O38" s="12" t="inlineStr">
        <is>
          <t>Importe (USD)</t>
        </is>
      </c>
    </row>
    <row r="39">
      <c r="N39" s="12" t="inlineStr">
        <is>
          <t>Infraseguro (×3)</t>
        </is>
      </c>
      <c r="O39" s="13">
        <f>SUMIFS('14_Problemas'!$C$5:$C$25,'14_Problemas'!$A$5:$A$25,"INFRASEGURO",'14_Problemas'!$C$5:$C$25,"&gt;0")-SUMIFS('14_Problemas'!$C$5:$C$25,'14_Problemas'!$A$5:$A$25,"INFRASEGURO",'14_Problemas'!$C$5:$C$25,"&lt;0")</f>
        <v/>
      </c>
    </row>
    <row r="40">
      <c r="N40" s="12" t="inlineStr">
        <is>
          <t>Infraseguro poliza</t>
        </is>
      </c>
      <c r="O40" s="13">
        <f>SUMIFS('14_Problemas'!$C$5:$C$25,'14_Problemas'!$A$5:$A$25,"INFRASEGURO_POLIZA",'14_Problemas'!$C$5:$C$25,"&gt;0")-SUMIFS('14_Problemas'!$C$5:$C$25,'14_Problemas'!$A$5:$A$25,"INFRASEGURO_POLIZA",'14_Problemas'!$C$5:$C$25,"&lt;0")</f>
        <v/>
      </c>
    </row>
    <row r="41">
      <c r="N41" s="12" t="inlineStr">
        <is>
          <t>Activo sin cobertura (×5)</t>
        </is>
      </c>
      <c r="O41" s="13">
        <f>SUMIFS('14_Problemas'!$C$5:$C$25,'14_Problemas'!$A$5:$A$25,"ACTIVO_SIN_COBERTURA",'14_Problemas'!$C$5:$C$25,"&gt;0")-SUMIFS('14_Problemas'!$C$5:$C$25,'14_Problemas'!$A$5:$A$25,"ACTIVO_SIN_COBERTURA",'14_Problemas'!$C$5:$C$25,"&lt;0")</f>
        <v/>
      </c>
    </row>
    <row r="42">
      <c r="N42" s="12" t="inlineStr">
        <is>
          <t>Poliza por vencer</t>
        </is>
      </c>
      <c r="O42" s="13">
        <f>SUMIFS('14_Problemas'!$C$5:$C$25,'14_Problemas'!$A$5:$A$25,"POLIZA_POR_VENCER",'14_Problemas'!$C$5:$C$25,"&gt;0")-SUMIFS('14_Problemas'!$C$5:$C$25,'14_Problemas'!$A$5:$A$25,"POLIZA_POR_VENCER",'14_Problemas'!$C$5:$C$25,"&lt;0")</f>
        <v/>
      </c>
    </row>
    <row r="43">
      <c r="N43" s="12" t="inlineStr">
        <is>
          <t>Exposicion maxima</t>
        </is>
      </c>
      <c r="O43" s="13">
        <f>SUMIFS('14_Problemas'!$C$5:$C$25,'14_Problemas'!$A$5:$A$25,"EXPOSICION_MAXIMA",'14_Problemas'!$C$5:$C$25,"&gt;0")-SUMIFS('14_Problemas'!$C$5:$C$25,'14_Problemas'!$A$5:$A$25,"EXPOSICION_MAXIMA",'14_Problemas'!$C$5:$C$25,"&lt;0")</f>
        <v/>
      </c>
    </row>
    <row r="44">
      <c r="N44" s="12" t="inlineStr">
        <is>
          <t>Poliza no iniciada</t>
        </is>
      </c>
      <c r="O44" s="13">
        <f>SUMIFS('14_Problemas'!$C$5:$C$25,'14_Problemas'!$A$5:$A$25,"POLIZA_NO_INICIADA",'14_Problemas'!$C$5:$C$25,"&gt;0")-SUMIFS('14_Problemas'!$C$5:$C$25,'14_Problemas'!$A$5:$A$25,"POLIZA_NO_INICIADA",'14_Problemas'!$C$5:$C$25,"&lt;0")</f>
        <v/>
      </c>
    </row>
    <row r="45">
      <c r="N45" s="12" t="inlineStr">
        <is>
          <t>Poliza vencida</t>
        </is>
      </c>
      <c r="O45" s="13">
        <f>SUMIFS('14_Problemas'!$C$5:$C$25,'14_Problemas'!$A$5:$A$25,"POLIZA_VENCIDA",'14_Problemas'!$C$5:$C$25,"&gt;0")-SUMIFS('14_Problemas'!$C$5:$C$25,'14_Problemas'!$A$5:$A$25,"POLIZA_VENCIDA",'14_Problemas'!$C$5:$C$25,"&lt;0")</f>
        <v/>
      </c>
    </row>
    <row r="46">
      <c r="N46" s="12" t="inlineStr">
        <is>
          <t>Otros (6 tipos)</t>
        </is>
      </c>
      <c r="O46" s="13">
        <f>SUMIF('14_Problemas'!$C$5:$C$25,"&gt;0")-SUMIF('14_Problemas'!$C$5:$C$25,"&lt;0")-((SUMIFS('14_Problemas'!$C$5:$C$25,'14_Problemas'!$A$5:$A$25,"INFRASEGURO",'14_Problemas'!$C$5:$C$25,"&gt;0")-SUMIFS('14_Problemas'!$C$5:$C$25,'14_Problemas'!$A$5:$A$25,"INFRASEGURO",'14_Problemas'!$C$5:$C$25,"&lt;0"))+(SUMIFS('14_Problemas'!$C$5:$C$25,'14_Problemas'!$A$5:$A$25,"INFRASEGURO_POLIZA",'14_Problemas'!$C$5:$C$25,"&gt;0")-SUMIFS('14_Problemas'!$C$5:$C$25,'14_Problemas'!$A$5:$A$25,"INFRASEGURO_POLIZA",'14_Problemas'!$C$5:$C$25,"&lt;0"))+(SUMIFS('14_Problemas'!$C$5:$C$25,'14_Problemas'!$A$5:$A$25,"ACTIVO_SIN_COBERTURA",'14_Problemas'!$C$5:$C$25,"&gt;0")-SUMIFS('14_Problemas'!$C$5:$C$25,'14_Problemas'!$A$5:$A$25,"ACTIVO_SIN_COBERTURA",'14_Problemas'!$C$5:$C$25,"&lt;0"))+(SUMIFS('14_Problemas'!$C$5:$C$25,'14_Problemas'!$A$5:$A$25,"POLIZA_POR_VENCER",'14_Problemas'!$C$5:$C$25,"&gt;0")-SUMIFS('14_Problemas'!$C$5:$C$25,'14_Problemas'!$A$5:$A$25,"POLIZA_POR_VENCER",'14_Problemas'!$C$5:$C$25,"&lt;0"))+(SUMIFS('14_Problemas'!$C$5:$C$25,'14_Problemas'!$A$5:$A$25,"EXPOSICION_MAXIMA",'14_Problemas'!$C$5:$C$25,"&gt;0")-SUMIFS('14_Problemas'!$C$5:$C$25,'14_Problemas'!$A$5:$A$25,"EXPOSICION_MAXIMA",'14_Problemas'!$C$5:$C$25,"&lt;0"))+(SUMIFS('14_Problemas'!$C$5:$C$25,'14_Problemas'!$A$5:$A$25,"POLIZA_NO_INICIADA",'14_Problemas'!$C$5:$C$25,"&gt;0")-SUMIFS('14_Problemas'!$C$5:$C$25,'14_Problemas'!$A$5:$A$25,"POLIZA_NO_INICIADA",'14_Problemas'!$C$5:$C$25,"&lt;0"))+(SUMIFS('14_Problemas'!$C$5:$C$25,'14_Problemas'!$A$5:$A$25,"POLIZA_VENCIDA",'14_Problemas'!$C$5:$C$25,"&gt;0")-SUMIFS('14_Problemas'!$C$5:$C$25,'14_Problemas'!$A$5:$A$25,"POLIZA_VENCIDA",'14_Problemas'!$C$5:$C$25,"&lt;0")))</f>
        <v/>
      </c>
    </row>
  </sheetData>
  <mergeCells count="2">
    <mergeCell ref="B4:F4"/>
    <mergeCell ref="B2:F3"/>
  </mergeCells>
  <hyperlinks>
    <hyperlink xmlns:r="http://schemas.openxmlformats.org/officeDocument/2006/relationships" ref="B16" r:id="rId1"/>
    <hyperlink xmlns:r="http://schemas.openxmlformats.org/officeDocument/2006/relationships" ref="C16" r:id="rId2"/>
    <hyperlink xmlns:r="http://schemas.openxmlformats.org/officeDocument/2006/relationships" ref="D16" r:id="rId3"/>
    <hyperlink xmlns:r="http://schemas.openxmlformats.org/officeDocument/2006/relationships" ref="E16" r:id="rId4"/>
    <hyperlink xmlns:r="http://schemas.openxmlformats.org/officeDocument/2006/relationships" ref="B17" r:id="rId5"/>
    <hyperlink xmlns:r="http://schemas.openxmlformats.org/officeDocument/2006/relationships" ref="C17" r:id="rId6"/>
    <hyperlink xmlns:r="http://schemas.openxmlformats.org/officeDocument/2006/relationships" ref="D17" r:id="rId7"/>
    <hyperlink xmlns:r="http://schemas.openxmlformats.org/officeDocument/2006/relationships" ref="E17" r:id="rId8"/>
    <hyperlink xmlns:r="http://schemas.openxmlformats.org/officeDocument/2006/relationships" ref="B18" r:id="rId9"/>
    <hyperlink xmlns:r="http://schemas.openxmlformats.org/officeDocument/2006/relationships" ref="C18" r:id="rId10"/>
    <hyperlink xmlns:r="http://schemas.openxmlformats.org/officeDocument/2006/relationships" ref="D18" r:id="rId11"/>
    <hyperlink xmlns:r="http://schemas.openxmlformats.org/officeDocument/2006/relationships" ref="E18" r:id="rId12"/>
    <hyperlink xmlns:r="http://schemas.openxmlformats.org/officeDocument/2006/relationships" ref="B19" r:id="rId13"/>
    <hyperlink xmlns:r="http://schemas.openxmlformats.org/officeDocument/2006/relationships" ref="C19" r:id="rId14"/>
    <hyperlink xmlns:r="http://schemas.openxmlformats.org/officeDocument/2006/relationships" ref="D19" r:id="rId15"/>
    <hyperlink xmlns:r="http://schemas.openxmlformats.org/officeDocument/2006/relationships" ref="E19" r:id="rId16"/>
    <hyperlink xmlns:r="http://schemas.openxmlformats.org/officeDocument/2006/relationships" ref="B20" r:id="rId17"/>
    <hyperlink xmlns:r="http://schemas.openxmlformats.org/officeDocument/2006/relationships" ref="C20" r:id="rId18"/>
    <hyperlink xmlns:r="http://schemas.openxmlformats.org/officeDocument/2006/relationships" ref="D20" r:id="rId19"/>
  </hyperlinks>
  <printOptions horizontalCentered="1"/>
  <pageMargins left="0.75" right="0.75" top="1" bottom="1" header="0.5" footer="0.5"/>
  <pageSetup orientation="landscape" fitToHeight="0" fitToWidth="1"/>
  <headerFooter>
    <oddHeader/>
    <oddFooter>&amp;LAuditConsulting Auditores Cía. Ltda.&amp;CCliente de muestra S.A.&amp;RPágina &amp;P de &amp;N</oddFooter>
    <evenHeader/>
    <evenFooter/>
    <firstHeader/>
    <firstFooter/>
  </headerFooter>
  <drawing xmlns:r="http://schemas.openxmlformats.org/officeDocument/2006/relationships" r:id="rId20"/>
</worksheet>
</file>

<file path=xl/worksheets/sheet2.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34" customWidth="1" min="1" max="1"/>
    <col width="38" customWidth="1" min="2" max="2"/>
  </cols>
  <sheetData>
    <row r="1">
      <c r="A1" s="3" t="inlineStr">
        <is>
          <t>Carátula</t>
        </is>
      </c>
      <c r="H1" s="14" t="inlineStr">
        <is>
          <t>⟵ Inicio</t>
        </is>
      </c>
      <c r="J1" s="14" t="inlineStr">
        <is>
          <t>Siguiente ▶</t>
        </is>
      </c>
    </row>
    <row r="2">
      <c r="A2" s="15" t="inlineStr">
        <is>
          <t>Cobertura de seguros de activos · Cliente de muestra S.A. · corte 2025-12-31</t>
        </is>
      </c>
      <c r="B2" s="16" t="n"/>
      <c r="C2" s="16" t="n"/>
      <c r="D2" s="16" t="n"/>
      <c r="E2" s="16" t="n"/>
      <c r="F2" s="16" t="n"/>
    </row>
    <row r="4" ht="30" customHeight="1">
      <c r="A4" s="17" t="inlineStr">
        <is>
          <t>Concepto</t>
        </is>
      </c>
      <c r="B4" s="17" t="inlineStr">
        <is>
          <t>Detalle</t>
        </is>
      </c>
    </row>
    <row r="5">
      <c r="A5" s="18" t="inlineStr">
        <is>
          <t>Firma</t>
        </is>
      </c>
      <c r="B5" s="18" t="inlineStr">
        <is>
          <t>AuditConsulting Auditores Cía. Ltda.</t>
        </is>
      </c>
    </row>
    <row r="6">
      <c r="A6" s="19" t="inlineStr">
        <is>
          <t>Cliente</t>
        </is>
      </c>
      <c r="B6" s="19" t="inlineStr">
        <is>
          <t>Cliente de muestra S.A.</t>
        </is>
      </c>
    </row>
    <row r="7">
      <c r="A7" s="18" t="inlineStr">
        <is>
          <t>RUC</t>
        </is>
      </c>
      <c r="B7" s="18" t="inlineStr">
        <is>
          <t>1790000000001</t>
        </is>
      </c>
    </row>
    <row r="8">
      <c r="A8" s="19" t="inlineStr">
        <is>
          <t>Ejercicio</t>
        </is>
      </c>
      <c r="B8" s="19" t="inlineStr">
        <is>
          <t>2025</t>
        </is>
      </c>
    </row>
    <row r="9">
      <c r="A9" s="18" t="inlineStr">
        <is>
          <t>Fecha de corte</t>
        </is>
      </c>
      <c r="B9" s="18" t="inlineStr">
        <is>
          <t>2025-12-31</t>
        </is>
      </c>
    </row>
    <row r="10">
      <c r="A10" s="19" t="inlineStr">
        <is>
          <t>Marco contable</t>
        </is>
      </c>
      <c r="B10" s="19" t="inlineStr">
        <is>
          <t>NIIF completas</t>
        </is>
      </c>
    </row>
    <row r="11">
      <c r="A11" s="18" t="inlineStr">
        <is>
          <t>Herramienta</t>
        </is>
      </c>
      <c r="B11" s="18" t="inlineStr">
        <is>
          <t>Cobertura de seguros de activos</t>
        </is>
      </c>
    </row>
    <row r="12">
      <c r="A12" s="19" t="inlineStr">
        <is>
          <t>Rubro</t>
        </is>
      </c>
      <c r="B12" s="19" t="inlineStr">
        <is>
          <t>Seguros</t>
        </is>
      </c>
    </row>
    <row r="13">
      <c r="A13" s="18" t="inlineStr">
        <is>
          <t>Motor</t>
        </is>
      </c>
      <c r="B13" s="18" t="inlineStr">
        <is>
          <t>seguros_cobertura 1.0</t>
        </is>
      </c>
    </row>
    <row r="14">
      <c r="A14" s="19" t="inlineStr">
        <is>
          <t>Versión del papel</t>
        </is>
      </c>
      <c r="B14" s="19" t="inlineStr">
        <is>
          <t>v1</t>
        </is>
      </c>
    </row>
    <row r="15">
      <c r="A15" s="18" t="inlineStr">
        <is>
          <t>Estado</t>
        </is>
      </c>
      <c r="B15" s="18" t="inlineStr">
        <is>
          <t>MUESTRA</t>
        </is>
      </c>
    </row>
    <row r="16">
      <c r="A16" s="19" t="inlineStr">
        <is>
          <t>Preparó</t>
        </is>
      </c>
      <c r="B16" s="19" t="inlineStr">
        <is>
          <t>Ejercicio modelo</t>
        </is>
      </c>
    </row>
    <row r="17">
      <c r="A17" s="18" t="inlineStr">
        <is>
          <t>Revisó</t>
        </is>
      </c>
      <c r="B17" s="18" t="inlineStr">
        <is>
          <t>Pendiente</t>
        </is>
      </c>
    </row>
    <row r="18">
      <c r="A18" s="19" t="inlineStr">
        <is>
          <t>Aprobó</t>
        </is>
      </c>
      <c r="B18" s="19" t="inlineStr"/>
    </row>
    <row r="19">
      <c r="A19" s="18" t="inlineStr">
        <is>
          <t>Fecha de aprobación</t>
        </is>
      </c>
      <c r="B19" s="18" t="inlineStr"/>
    </row>
    <row r="20">
      <c r="A20" s="19" t="inlineStr">
        <is>
          <t>Huella de la ejecución (SHA-256)</t>
        </is>
      </c>
      <c r="B20" s="19" t="inlineStr"/>
    </row>
  </sheetData>
  <mergeCells count="2">
    <mergeCell ref="A2:F2"/>
    <mergeCell ref="A1:F1"/>
  </mergeCells>
  <hyperlinks>
    <hyperlink xmlns:r="http://schemas.openxmlformats.org/officeDocument/2006/relationships" ref="H1" r:id="rId1"/>
    <hyperlink xmlns:r="http://schemas.openxmlformats.org/officeDocument/2006/relationships" ref="J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1"/>
  <sheetViews>
    <sheetView showGridLines="0" workbookViewId="0">
      <pane ySplit="4" topLeftCell="A5" activePane="bottomLeft" state="frozen"/>
      <selection pane="bottomLeft" activeCell="A1" sqref="A1"/>
    </sheetView>
  </sheetViews>
  <sheetFormatPr baseColWidth="8" defaultRowHeight="15"/>
  <cols>
    <col width="12" customWidth="1" min="1" max="1"/>
    <col width="49" customWidth="1" min="2" max="2"/>
    <col width="27" customWidth="1" min="3" max="3"/>
    <col width="60" customWidth="1" min="4" max="4"/>
    <col width="60" customWidth="1" min="5" max="5"/>
    <col width="60" customWidth="1" min="6" max="6"/>
    <col width="60" customWidth="1" min="7" max="7"/>
  </cols>
  <sheetData>
    <row r="1">
      <c r="A1" s="3" t="inlineStr">
        <is>
          <t>Programa</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c r="G2" s="16" t="n"/>
    </row>
    <row r="4" ht="30" customHeight="1">
      <c r="A4" s="17" t="inlineStr">
        <is>
          <t>Código</t>
        </is>
      </c>
      <c r="B4" s="17" t="inlineStr">
        <is>
          <t>Objetivo</t>
        </is>
      </c>
      <c r="C4" s="17" t="inlineStr">
        <is>
          <t>Afirmación</t>
        </is>
      </c>
      <c r="D4" s="17" t="inlineStr">
        <is>
          <t>Procedimiento</t>
        </is>
      </c>
      <c r="E4" s="17" t="inlineStr">
        <is>
          <t>Evidencia</t>
        </is>
      </c>
      <c r="F4" s="17" t="inlineStr">
        <is>
          <t>Criterio</t>
        </is>
      </c>
      <c r="G4" s="17" t="inlineStr">
        <is>
          <t>Referencia</t>
        </is>
      </c>
    </row>
    <row r="5">
      <c r="A5" s="18" t="inlineStr">
        <is>
          <t>INS-01</t>
        </is>
      </c>
      <c r="B5" s="18" t="inlineStr">
        <is>
          <t>Universo de activos vs pólizas</t>
        </is>
      </c>
      <c r="C5" s="18" t="inlineStr">
        <is>
          <t>Integridad (riesgo)</t>
        </is>
      </c>
      <c r="D5" s="18" t="inlineStr">
        <is>
          <t>Cruzar el maestro de activos con el detalle de pólizas</t>
        </is>
      </c>
      <c r="E5" s="18" t="inlineStr">
        <is>
          <t>Maestro de activos, pólizas y endosos</t>
        </is>
      </c>
      <c r="F5" s="18" t="inlineStr">
        <is>
          <t>Todo activo significativo con póliza vigente</t>
        </is>
      </c>
      <c r="G5" s="18" t="inlineStr">
        <is>
          <t>NIA 315 · NIA 330</t>
        </is>
      </c>
    </row>
    <row r="6">
      <c r="A6" s="19" t="inlineStr">
        <is>
          <t>INS-02</t>
        </is>
      </c>
      <c r="B6" s="19" t="inlineStr">
        <is>
          <t>Vigencia</t>
        </is>
      </c>
      <c r="C6" s="19" t="inlineStr">
        <is>
          <t>Riesgo operativo</t>
        </is>
      </c>
      <c r="D6" s="19" t="inlineStr">
        <is>
          <t>Comparar la vigencia de cada póliza con la fecha de corte y alertar las próximas a vencer</t>
        </is>
      </c>
      <c r="E6" s="19" t="inlineStr">
        <is>
          <t>Pólizas y renovaciones</t>
        </is>
      </c>
      <c r="F6" s="19" t="inlineStr">
        <is>
          <t>Póliza vigente al corte</t>
        </is>
      </c>
      <c r="G6" s="19" t="inlineStr">
        <is>
          <t>NIA 330 · NIA 570</t>
        </is>
      </c>
    </row>
    <row r="7">
      <c r="A7" s="18" t="inlineStr">
        <is>
          <t>INS-03</t>
        </is>
      </c>
      <c r="B7" s="18" t="inlineStr">
        <is>
          <t>Suma asegurada e infraseguro</t>
        </is>
      </c>
      <c r="C7" s="18" t="inlineStr">
        <is>
          <t>Riesgo de pérdida</t>
        </is>
      </c>
      <c r="D7" s="18" t="inlineStr">
        <is>
          <t>Calcular el % de cobertura por activo y por póliza y aplicar la regla proporcional</t>
        </is>
      </c>
      <c r="E7" s="18" t="inlineStr">
        <is>
          <t>Tasaciones, valores de reposición</t>
        </is>
      </c>
      <c r="F7" s="18" t="inlineStr">
        <is>
          <t>Cobertura ≥ mínimo definido</t>
        </is>
      </c>
      <c r="G7" s="18" t="inlineStr">
        <is>
          <t>Especificación MÓDULO 09 · NIA 315</t>
        </is>
      </c>
    </row>
    <row r="8">
      <c r="A8" s="19" t="inlineStr">
        <is>
          <t>INS-04</t>
        </is>
      </c>
      <c r="B8" s="19" t="inlineStr">
        <is>
          <t>Sobreseguro y deducibles</t>
        </is>
      </c>
      <c r="C8" s="19" t="inlineStr">
        <is>
          <t>Riesgo</t>
        </is>
      </c>
      <c r="D8" s="19" t="inlineStr">
        <is>
          <t>Identificar sumas sobre el valor real y calcular el deducible ante pérdida total</t>
        </is>
      </c>
      <c r="E8" s="19" t="inlineStr">
        <is>
          <t>Condiciones particulares de la póliza</t>
        </is>
      </c>
      <c r="F8" s="19" t="inlineStr">
        <is>
          <t>Sumas razonables frente al valor asegurable</t>
        </is>
      </c>
      <c r="G8" s="19" t="inlineStr">
        <is>
          <t>Especificación MÓDULO 09</t>
        </is>
      </c>
    </row>
    <row r="9">
      <c r="A9" s="18" t="inlineStr">
        <is>
          <t>INS-05</t>
        </is>
      </c>
      <c r="B9" s="18" t="inlineStr">
        <is>
          <t>Exposición máxima</t>
        </is>
      </c>
      <c r="C9" s="18" t="inlineStr">
        <is>
          <t>Continuidad operativa</t>
        </is>
      </c>
      <c r="D9" s="18" t="inlineStr">
        <is>
          <t>Determinar la mayor pérdida total no cubierta y evaluar su efecto</t>
        </is>
      </c>
      <c r="E9" s="18" t="inlineStr">
        <is>
          <t>Cédula de exposición</t>
        </is>
      </c>
      <c r="F9" s="18" t="inlineStr">
        <is>
          <t>Exposición informada al encargado del gobierno</t>
        </is>
      </c>
      <c r="G9" s="18" t="inlineStr">
        <is>
          <t>NIA 570 párr. 25 · NIA 260 párr. 16</t>
        </is>
      </c>
    </row>
    <row r="10">
      <c r="A10" s="19" t="inlineStr">
        <is>
          <t>INS-06</t>
        </is>
      </c>
      <c r="B10" s="19" t="inlineStr">
        <is>
          <t>Prima pagada por anticipado</t>
        </is>
      </c>
      <c r="C10" s="19" t="inlineStr">
        <is>
          <t>Valoración / Corte</t>
        </is>
      </c>
      <c r="D10" s="19" t="inlineStr">
        <is>
          <t>Recalcular la prima por devengar al corte y conciliar con el mayor</t>
        </is>
      </c>
      <c r="E10" s="19" t="inlineStr">
        <is>
          <t>Pólizas, facturas de prima, mayor</t>
        </is>
      </c>
      <c r="F10" s="19" t="inlineStr">
        <is>
          <t>Diferencia dentro de tolerancia</t>
        </is>
      </c>
      <c r="G10" s="19" t="inlineStr">
        <is>
          <t>NIC 1.27–28 · PYMES 2.36 (2015) / 3.16A (2025)</t>
        </is>
      </c>
    </row>
    <row r="11">
      <c r="A11" s="18" t="inlineStr">
        <is>
          <t>INS-07</t>
        </is>
      </c>
      <c r="B11" s="18" t="inlineStr">
        <is>
          <t>Siniestros pendientes: tratamiento y revelación</t>
        </is>
      </c>
      <c r="C11" s="18" t="inlineStr">
        <is>
          <t>Presentación y revelación</t>
        </is>
      </c>
      <c r="D11" s="18" t="inlineStr">
        <is>
          <t>Clasificar cada siniestro (daño a activo propio o reclamo de terceros), verificar si el cobro es exigible al corte y revisar su revelación</t>
        </is>
      </c>
      <c r="E11" s="18" t="inlineStr">
        <is>
          <t>Reclamos, cartas de la aseguradora, liquidaciones de siniestro, notas</t>
        </is>
      </c>
      <c r="F11" s="18" t="inlineStr">
        <is>
          <t>Daño a activo propio: compensación en resultados cuando es exigible (NIC 16.65–66 / PYMES 17.25), separada del deterioro (NIC 36.12 e); si no es exigible, activo contingente. Reclamo de terceros: reembolso solo si es prácticamente seguro (NIC 37.53)</t>
        </is>
      </c>
      <c r="G11" s="18" t="inlineStr">
        <is>
          <t>NIC 16.65–66 · NIC 36.12 e) · NIC 37.31–35, 53, 86, 89 · PYMES 17.25 y 21 · NIA 501 · NIA 560</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9"/>
  <sheetViews>
    <sheetView showGridLines="0" workbookViewId="0">
      <pane ySplit="4" topLeftCell="A5" activePane="bottomLeft" state="frozen"/>
      <selection pane="bottomLeft" activeCell="A1" sqref="A1"/>
    </sheetView>
  </sheetViews>
  <sheetFormatPr baseColWidth="8" defaultRowHeight="15"/>
  <cols>
    <col width="31" customWidth="1" min="1" max="1"/>
    <col width="60" customWidth="1" min="2" max="2"/>
    <col width="35" customWidth="1" min="3" max="3"/>
    <col width="12" customWidth="1" min="4" max="4"/>
    <col width="12" customWidth="1" min="5" max="5"/>
  </cols>
  <sheetData>
    <row r="1">
      <c r="A1" s="3" t="inlineStr">
        <is>
          <t>Base técnica</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row>
    <row r="4" ht="30" customHeight="1">
      <c r="A4" s="17" t="inlineStr">
        <is>
          <t>Categoría</t>
        </is>
      </c>
      <c r="B4" s="17" t="inlineStr">
        <is>
          <t>Documento</t>
        </is>
      </c>
      <c r="C4" s="17" t="inlineStr">
        <is>
          <t>Párrafos</t>
        </is>
      </c>
      <c r="D4" s="17" t="inlineStr">
        <is>
          <t>URL</t>
        </is>
      </c>
      <c r="E4" s="17" t="inlineStr">
        <is>
          <t>Verificada</t>
        </is>
      </c>
    </row>
    <row r="5">
      <c r="A5" s="18" t="inlineStr">
        <is>
          <t>NIA · NIA 315 (Revisada 2019)</t>
        </is>
      </c>
      <c r="B5" s="18" t="inlineStr">
        <is>
          <t>Entender el entorno y los riesgos: pérdida de activos no asegurados como factor de riesgo.</t>
        </is>
      </c>
      <c r="C5" s="18" t="inlineStr">
        <is>
          <t>párr. 19 y 28</t>
        </is>
      </c>
      <c r="D5" s="18" t="inlineStr"/>
      <c r="E5" s="18" t="inlineStr"/>
    </row>
    <row r="6">
      <c r="A6" s="19" t="inlineStr">
        <is>
          <t>NIA · NIA 330</t>
        </is>
      </c>
      <c r="B6" s="19" t="inlineStr">
        <is>
          <t>Respuestas a los riesgos valorados; evidencia sobre la cobertura.</t>
        </is>
      </c>
      <c r="C6" s="19" t="inlineStr">
        <is>
          <t>párr. 6 y 18</t>
        </is>
      </c>
      <c r="D6" s="19" t="inlineStr"/>
      <c r="E6" s="19" t="inlineStr"/>
    </row>
    <row r="7">
      <c r="A7" s="18" t="inlineStr">
        <is>
          <t>NIA · NIA 570 (Revisada)</t>
        </is>
      </c>
      <c r="B7" s="18" t="inlineStr">
        <is>
          <t>Empresa en marcha: pérdida no asegurada de activos clave. La NIA 570 (Revisada 2024) rige para períodos desde el 15-12-2026.</t>
        </is>
      </c>
      <c r="C7" s="18" t="inlineStr">
        <is>
          <t>párr. 10–16</t>
        </is>
      </c>
      <c r="D7" s="18" t="inlineStr"/>
      <c r="E7" s="18" t="inlineStr"/>
    </row>
    <row r="8">
      <c r="A8" s="19" t="inlineStr">
        <is>
          <t>NIA · NIA 500</t>
        </is>
      </c>
      <c r="B8" s="19" t="inlineStr">
        <is>
          <t>Exactitud e integridad del maestro de activos y del detalle de pólizas.</t>
        </is>
      </c>
      <c r="C8" s="19" t="inlineStr">
        <is>
          <t>párr. 9</t>
        </is>
      </c>
      <c r="D8" s="19" t="inlineStr"/>
      <c r="E8" s="19" t="inlineStr"/>
    </row>
    <row r="9">
      <c r="A9" s="18" t="inlineStr">
        <is>
          <t>NIA · NIA 501 / NIA 560</t>
        </is>
      </c>
      <c r="B9" s="18" t="inlineStr">
        <is>
          <t>Litigios y reclamaciones (siniestros) y hechos posteriores al cierre.</t>
        </is>
      </c>
      <c r="C9" s="18" t="inlineStr">
        <is>
          <t>NIA 501 párr. 9 / NIA 560 párr. 6</t>
        </is>
      </c>
      <c r="D9" s="18" t="inlineStr"/>
      <c r="E9" s="18"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22"/>
  <sheetViews>
    <sheetView showGridLines="0" workbookViewId="0">
      <pane ySplit="4" topLeftCell="A5" activePane="bottomLeft" state="frozen"/>
      <selection pane="bottomLeft" activeCell="A1" sqref="A1"/>
    </sheetView>
  </sheetViews>
  <sheetFormatPr baseColWidth="8" defaultRowHeight="15"/>
  <cols>
    <col width="60" customWidth="1" min="1" max="1"/>
    <col width="20" customWidth="1" min="2" max="2"/>
  </cols>
  <sheetData>
    <row r="1">
      <c r="A1" s="3" t="inlineStr">
        <is>
          <t>Resumen</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row>
    <row r="4" ht="30" customHeight="1">
      <c r="A4" s="17" t="inlineStr">
        <is>
          <t>Concepto</t>
        </is>
      </c>
      <c r="B4" s="17" t="inlineStr">
        <is>
          <t>Importe</t>
        </is>
      </c>
    </row>
    <row r="5">
      <c r="A5" s="18" t="inlineStr">
        <is>
          <t>Valor de referencia de los activos</t>
        </is>
      </c>
      <c r="B5" s="20">
        <f>'12_Conclusion'!B5</f>
        <v/>
      </c>
    </row>
    <row r="6">
      <c r="A6" s="19" t="inlineStr">
        <is>
          <t>Suma asegurada vigente al corte</t>
        </is>
      </c>
      <c r="B6" s="21">
        <f>'12_Conclusion'!B6</f>
        <v/>
      </c>
    </row>
    <row r="7">
      <c r="A7" s="18" t="inlineStr">
        <is>
          <t>Cobertura global (%)</t>
        </is>
      </c>
      <c r="B7" s="20">
        <f>'12_Conclusion'!C7*100</f>
        <v/>
      </c>
    </row>
    <row r="8">
      <c r="A8" s="19" t="inlineStr">
        <is>
          <t>Déficit de cobertura (exposición no asegurada)</t>
        </is>
      </c>
      <c r="B8" s="21">
        <f>'12_Conclusion'!B8</f>
        <v/>
      </c>
    </row>
    <row r="9">
      <c r="A9" s="18" t="inlineStr">
        <is>
          <t>Activos sin cobertura: valor en libros</t>
        </is>
      </c>
      <c r="B9" s="20">
        <f>'12_Conclusion'!B9</f>
        <v/>
      </c>
    </row>
    <row r="10">
      <c r="A10" s="19" t="inlineStr">
        <is>
          <t>Activos sin cobertura: valor de referencia</t>
        </is>
      </c>
      <c r="B10" s="21">
        <f>'12_Conclusion'!B10</f>
        <v/>
      </c>
    </row>
    <row r="11">
      <c r="A11" s="18" t="inlineStr">
        <is>
          <t>Sobreseguro (suma sobre el valor de referencia)</t>
        </is>
      </c>
      <c r="B11" s="20">
        <f>'12_Conclusion'!B12</f>
        <v/>
      </c>
    </row>
    <row r="12">
      <c r="A12" s="19" t="inlineStr">
        <is>
          <t>Exposición máxima (pérdida total no cubierta del activo mayor)</t>
        </is>
      </c>
      <c r="B12" s="21">
        <f>'12_Conclusion'!B13</f>
        <v/>
      </c>
    </row>
    <row r="13">
      <c r="A13" s="18" t="inlineStr">
        <is>
          <t>Siniestros pendientes sin revelación</t>
        </is>
      </c>
      <c r="B13" s="20">
        <f>'12_Conclusion'!B16</f>
        <v/>
      </c>
    </row>
    <row r="14">
      <c r="A14" s="19" t="inlineStr">
        <is>
          <t>Compensaciones de seguro exigibles a reconocer en resultados</t>
        </is>
      </c>
      <c r="B14" s="21">
        <f>'12_Conclusion'!B17</f>
        <v/>
      </c>
    </row>
    <row r="15">
      <c r="A15" s="18" t="inlineStr">
        <is>
          <t>Prima pagada por anticipado registrada</t>
        </is>
      </c>
      <c r="B15" s="20">
        <f>'13_Ajustes'!B5</f>
        <v/>
      </c>
    </row>
    <row r="16">
      <c r="A16" s="19" t="inlineStr">
        <is>
          <t>Prima pagada por anticipado recalculada</t>
        </is>
      </c>
      <c r="B16" s="21">
        <f>'13_Ajustes'!B6</f>
        <v/>
      </c>
    </row>
    <row r="17">
      <c r="A17" s="18" t="inlineStr">
        <is>
          <t>Diferencia detalle − mayor (prima anticipada)</t>
        </is>
      </c>
      <c r="B17" s="20">
        <f>'13_Ajustes'!B10</f>
        <v/>
      </c>
    </row>
    <row r="18">
      <c r="A18" s="19" t="inlineStr">
        <is>
          <t>Ajuste propuesto en resultados (prima anticipada)</t>
        </is>
      </c>
      <c r="B18" s="21">
        <f>'13_Ajustes'!B8</f>
        <v/>
      </c>
    </row>
    <row r="20">
      <c r="A20" s="22" t="inlineStr">
        <is>
          <t>ⓘ  Cómo se calcula esta hoja</t>
        </is>
      </c>
    </row>
    <row r="21">
      <c r="A21" s="23" t="inlineStr">
        <is>
          <t>Columna</t>
        </is>
      </c>
      <c r="B21" s="23" t="inlineStr">
        <is>
          <t>Fórmula (Excel)</t>
        </is>
      </c>
      <c r="C21" s="23" t="inlineStr">
        <is>
          <t>Cómo se calcula (sencillo)</t>
        </is>
      </c>
      <c r="D21" s="23" t="inlineStr">
        <is>
          <t>Ejemplo con números reales</t>
        </is>
      </c>
      <c r="E21" s="23" t="inlineStr">
        <is>
          <t>De dónde viene</t>
        </is>
      </c>
      <c r="F21" s="23" t="inlineStr">
        <is>
          <t>Norma</t>
        </is>
      </c>
    </row>
    <row r="22">
      <c r="A22" s="24" t="inlineStr">
        <is>
          <t>Importe</t>
        </is>
      </c>
      <c r="B22" s="25" t="inlineStr">
        <is>
          <t>'='12_Conclusion'!B5</t>
        </is>
      </c>
      <c r="C22" s="24" t="inlineStr">
        <is>
          <t>Trae cada importe de la hoja que lo calcula, concepto por concepto: los indicadores de cobertura, siniestros y exposición salen de la hoja 12 (Indicadores y conclusión) y los de prima anticipada y el ajuste, de la hoja 13 (Ajustes propuestos y conciliación). La cobertura global se muestra multiplicada por 100 (en %).</t>
        </is>
      </c>
      <c r="D22" s="24" t="inlineStr">
        <is>
          <t>Fila 1: 1.499.000,00 → 1.499.000,00</t>
        </is>
      </c>
      <c r="E22" s="24" t="inlineStr">
        <is>
          <t>hoja «Indicadores y conclusión»</t>
        </is>
      </c>
      <c r="F22" s="24" t="inlineStr">
        <is>
          <t>—</t>
        </is>
      </c>
    </row>
  </sheetData>
  <mergeCells count="3">
    <mergeCell ref="A20:F20"/>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12"/>
  <sheetViews>
    <sheetView showGridLines="0" workbookViewId="0">
      <pane ySplit="4" topLeftCell="A5" activePane="bottomLeft" state="frozen"/>
      <selection pane="bottomLeft" activeCell="A1" sqref="A1"/>
    </sheetView>
  </sheetViews>
  <sheetFormatPr baseColWidth="8" defaultRowHeight="15"/>
  <cols>
    <col width="39" customWidth="1" min="1" max="1"/>
    <col width="16" customWidth="1" min="2" max="2"/>
    <col width="60" customWidth="1" min="3" max="3"/>
  </cols>
  <sheetData>
    <row r="1">
      <c r="A1" s="3" t="inlineStr">
        <is>
          <t>Parámetros</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row>
    <row r="4" ht="30" customHeight="1">
      <c r="A4" s="17" t="inlineStr">
        <is>
          <t>Parámetro</t>
        </is>
      </c>
      <c r="B4" s="17" t="inlineStr">
        <is>
          <t>Valor</t>
        </is>
      </c>
      <c r="C4" s="17" t="inlineStr">
        <is>
          <t>Sustento</t>
        </is>
      </c>
    </row>
    <row r="5">
      <c r="A5" s="18" t="inlineStr">
        <is>
          <t>Corte del ejercicio</t>
        </is>
      </c>
      <c r="B5" s="26" t="n">
        <v>46022</v>
      </c>
      <c r="C5" s="18" t="inlineStr">
        <is>
          <t>Ficha del encargo</t>
        </is>
      </c>
    </row>
    <row r="6">
      <c r="A6" s="19" t="inlineStr">
        <is>
          <t>Marco contable</t>
        </is>
      </c>
      <c r="B6" s="19" t="inlineStr">
        <is>
          <t>NIIF completas</t>
        </is>
      </c>
      <c r="C6" s="19" t="inlineStr">
        <is>
          <t>Mismo tratamiento en NIIF completas y PYMES: prueba de riesgo, no medición NIIF</t>
        </is>
      </c>
    </row>
    <row r="7">
      <c r="A7" s="18" t="inlineStr">
        <is>
          <t>Edición PYMES</t>
        </is>
      </c>
      <c r="B7" s="18" t="inlineStr"/>
      <c r="C7" s="18" t="inlineStr">
        <is>
          <t>2025: devengo en 3.16A (antes 2.36); la tercera edición rige desde el 1-1-2027</t>
        </is>
      </c>
    </row>
    <row r="8">
      <c r="A8" s="19" t="inlineStr">
        <is>
          <t>Cobertura mínima (%)</t>
        </is>
      </c>
      <c r="B8" s="27" t="n">
        <v>80</v>
      </c>
      <c r="C8" s="19" t="inlineStr">
        <is>
          <t>Juicio del auditor / política de seguros de la entidad</t>
        </is>
      </c>
    </row>
    <row r="9">
      <c r="A9" s="18" t="inlineStr">
        <is>
          <t>Sobreseguro desde (%)</t>
        </is>
      </c>
      <c r="B9" s="28" t="n">
        <v>120</v>
      </c>
      <c r="C9" s="18" t="inlineStr">
        <is>
          <t>Juicio del auditor</t>
        </is>
      </c>
    </row>
    <row r="10">
      <c r="A10" s="19" t="inlineStr">
        <is>
          <t>Alerta por vencer (días)</t>
        </is>
      </c>
      <c r="B10" s="27" t="n">
        <v>30</v>
      </c>
      <c r="C10" s="19" t="inlineStr">
        <is>
          <t>Juicio del auditor</t>
        </is>
      </c>
    </row>
    <row r="11">
      <c r="A11" s="18" t="inlineStr">
        <is>
          <t>Tolerancia (importe)</t>
        </is>
      </c>
      <c r="B11" s="28" t="n">
        <v>1</v>
      </c>
      <c r="C11" s="18" t="inlineStr">
        <is>
          <t>Materialidad de ejecución</t>
        </is>
      </c>
    </row>
    <row r="12">
      <c r="A12" s="19" t="inlineStr">
        <is>
          <t>Mayor: seguros pagados por anticipado</t>
        </is>
      </c>
      <c r="B12" s="27" t="n">
        <v>8000</v>
      </c>
      <c r="C12" s="19" t="inlineStr">
        <is>
          <t>Mayor contable</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17"/>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19" customWidth="1" min="3" max="3"/>
    <col width="17" customWidth="1" min="4" max="4"/>
    <col width="21" customWidth="1" min="5" max="5"/>
    <col width="12" customWidth="1" min="6" max="6"/>
    <col width="15" customWidth="1" min="7" max="7"/>
    <col width="13" customWidth="1" min="8" max="8"/>
  </cols>
  <sheetData>
    <row r="1">
      <c r="A1" s="3" t="inlineStr">
        <is>
          <t>Activos asegurables (datos del cliente)</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c r="G2" s="16" t="n"/>
      <c r="H2" s="16" t="n"/>
    </row>
    <row r="4" ht="30" customHeight="1">
      <c r="A4" s="17" t="inlineStr">
        <is>
          <t>Código</t>
        </is>
      </c>
      <c r="B4" s="17" t="inlineStr">
        <is>
          <t>Descripción</t>
        </is>
      </c>
      <c r="C4" s="17" t="inlineStr">
        <is>
          <t>Clase</t>
        </is>
      </c>
      <c r="D4" s="17" t="inlineStr">
        <is>
          <t>Valor en libros</t>
        </is>
      </c>
      <c r="E4" s="17" t="inlineStr">
        <is>
          <t>Valor de referencia</t>
        </is>
      </c>
      <c r="F4" s="17" t="inlineStr">
        <is>
          <t>Póliza</t>
        </is>
      </c>
      <c r="G4" s="17" t="inlineStr">
        <is>
          <t>Suma asignada</t>
        </is>
      </c>
      <c r="H4" s="17" t="inlineStr">
        <is>
          <t>Deducible %</t>
        </is>
      </c>
    </row>
    <row r="5">
      <c r="A5" s="18" t="inlineStr">
        <is>
          <t>EDIF-01</t>
        </is>
      </c>
      <c r="B5" s="18" t="inlineStr">
        <is>
          <t>Edificio administrativo</t>
        </is>
      </c>
      <c r="C5" s="18" t="inlineStr">
        <is>
          <t>Edificios</t>
        </is>
      </c>
      <c r="D5" s="20" t="n">
        <v>437500</v>
      </c>
      <c r="E5" s="20" t="n">
        <v>650000</v>
      </c>
      <c r="F5" s="18" t="inlineStr">
        <is>
          <t>POL-01</t>
        </is>
      </c>
      <c r="G5" s="20" t="n"/>
      <c r="H5" s="20" t="n">
        <v>2</v>
      </c>
    </row>
    <row r="6">
      <c r="A6" s="19" t="inlineStr">
        <is>
          <t>BOD-01</t>
        </is>
      </c>
      <c r="B6" s="19" t="inlineStr">
        <is>
          <t>Bodega central</t>
        </is>
      </c>
      <c r="C6" s="19" t="inlineStr">
        <is>
          <t>Edificios</t>
        </is>
      </c>
      <c r="D6" s="21" t="n">
        <v>180000</v>
      </c>
      <c r="E6" s="21" t="n">
        <v>300000</v>
      </c>
      <c r="F6" s="19" t="inlineStr">
        <is>
          <t>POL-01</t>
        </is>
      </c>
      <c r="G6" s="21" t="n"/>
      <c r="H6" s="21" t="n">
        <v>2</v>
      </c>
    </row>
    <row r="7">
      <c r="A7" s="18" t="inlineStr">
        <is>
          <t>MAQ-01</t>
        </is>
      </c>
      <c r="B7" s="18" t="inlineStr">
        <is>
          <t>Línea de envasado</t>
        </is>
      </c>
      <c r="C7" s="18" t="inlineStr">
        <is>
          <t>Maquinaria</t>
        </is>
      </c>
      <c r="D7" s="20" t="n">
        <v>40000</v>
      </c>
      <c r="E7" s="20" t="n">
        <v>160000</v>
      </c>
      <c r="F7" s="18" t="inlineStr">
        <is>
          <t>POL-04</t>
        </is>
      </c>
      <c r="G7" s="20" t="n">
        <v>160000</v>
      </c>
      <c r="H7" s="20" t="n">
        <v>10</v>
      </c>
    </row>
    <row r="8">
      <c r="A8" s="19" t="inlineStr">
        <is>
          <t>MAQ-02</t>
        </is>
      </c>
      <c r="B8" s="19" t="inlineStr">
        <is>
          <t>Compresor industrial</t>
        </is>
      </c>
      <c r="C8" s="19" t="inlineStr">
        <is>
          <t>Maquinaria</t>
        </is>
      </c>
      <c r="D8" s="21" t="n">
        <v>25000</v>
      </c>
      <c r="E8" s="21" t="n">
        <v>60000</v>
      </c>
      <c r="F8" s="19" t="inlineStr">
        <is>
          <t>POL-04</t>
        </is>
      </c>
      <c r="G8" s="21" t="n">
        <v>40000</v>
      </c>
      <c r="H8" s="21" t="n">
        <v>10</v>
      </c>
    </row>
    <row r="9">
      <c r="A9" s="18" t="inlineStr">
        <is>
          <t>VEH-01</t>
        </is>
      </c>
      <c r="B9" s="18" t="inlineStr">
        <is>
          <t>Camioneta 4x4</t>
        </is>
      </c>
      <c r="C9" s="18" t="inlineStr">
        <is>
          <t>Vehículos</t>
        </is>
      </c>
      <c r="D9" s="20" t="n">
        <v>21600</v>
      </c>
      <c r="E9" s="20" t="n">
        <v>35000</v>
      </c>
      <c r="F9" s="18" t="inlineStr">
        <is>
          <t>POL-02</t>
        </is>
      </c>
      <c r="G9" s="20" t="n">
        <v>35000</v>
      </c>
      <c r="H9" s="20" t="n">
        <v>5</v>
      </c>
    </row>
    <row r="10">
      <c r="A10" s="19" t="inlineStr">
        <is>
          <t>VEH-02</t>
        </is>
      </c>
      <c r="B10" s="19" t="inlineStr">
        <is>
          <t>Camión de reparto</t>
        </is>
      </c>
      <c r="C10" s="19" t="inlineStr">
        <is>
          <t>Vehículos</t>
        </is>
      </c>
      <c r="D10" s="21" t="n">
        <v>60000</v>
      </c>
      <c r="E10" s="21" t="n">
        <v>70000</v>
      </c>
      <c r="F10" s="19" t="inlineStr">
        <is>
          <t>POL-02</t>
        </is>
      </c>
      <c r="G10" s="21" t="n">
        <v>95000</v>
      </c>
      <c r="H10" s="21" t="n">
        <v>5</v>
      </c>
    </row>
    <row r="11">
      <c r="A11" s="18" t="inlineStr">
        <is>
          <t>VEH-03</t>
        </is>
      </c>
      <c r="B11" s="18" t="inlineStr">
        <is>
          <t>Furgoneta</t>
        </is>
      </c>
      <c r="C11" s="18" t="inlineStr">
        <is>
          <t>Vehículos</t>
        </is>
      </c>
      <c r="D11" s="20" t="n">
        <v>12000</v>
      </c>
      <c r="E11" s="20" t="n"/>
      <c r="F11" s="18" t="inlineStr">
        <is>
          <t>POL-02</t>
        </is>
      </c>
      <c r="G11" s="20" t="n">
        <v>20000</v>
      </c>
      <c r="H11" s="20" t="n">
        <v>5</v>
      </c>
    </row>
    <row r="12">
      <c r="A12" s="19" t="inlineStr">
        <is>
          <t>EQC-01</t>
        </is>
      </c>
      <c r="B12" s="19" t="inlineStr">
        <is>
          <t>Servidores</t>
        </is>
      </c>
      <c r="C12" s="19" t="inlineStr">
        <is>
          <t>Equipo de cómputo</t>
        </is>
      </c>
      <c r="D12" s="21" t="n">
        <v>10000</v>
      </c>
      <c r="E12" s="21" t="n">
        <v>30000</v>
      </c>
      <c r="F12" s="19" t="inlineStr">
        <is>
          <t>POL-03</t>
        </is>
      </c>
      <c r="G12" s="21" t="n">
        <v>30000</v>
      </c>
      <c r="H12" s="21" t="n"/>
    </row>
    <row r="13">
      <c r="A13" s="18" t="inlineStr">
        <is>
          <t>EQC-02</t>
        </is>
      </c>
      <c r="B13" s="18" t="inlineStr">
        <is>
          <t>Computadores portátiles</t>
        </is>
      </c>
      <c r="C13" s="18" t="inlineStr">
        <is>
          <t>Equipo de cómputo</t>
        </is>
      </c>
      <c r="D13" s="20" t="n">
        <v>6000</v>
      </c>
      <c r="E13" s="20" t="n">
        <v>12000</v>
      </c>
      <c r="F13" s="18" t="inlineStr">
        <is>
          <t>POL-03</t>
        </is>
      </c>
      <c r="G13" s="20" t="n">
        <v>10000</v>
      </c>
      <c r="H13" s="20" t="n"/>
    </row>
    <row r="14">
      <c r="A14" s="19" t="inlineStr">
        <is>
          <t>BOD-02</t>
        </is>
      </c>
      <c r="B14" s="19" t="inlineStr">
        <is>
          <t>Bodega norte</t>
        </is>
      </c>
      <c r="C14" s="19" t="inlineStr">
        <is>
          <t>Edificios</t>
        </is>
      </c>
      <c r="D14" s="21" t="n">
        <v>90000</v>
      </c>
      <c r="E14" s="21" t="n">
        <v>110000</v>
      </c>
      <c r="F14" s="19" t="inlineStr">
        <is>
          <t>POL-05</t>
        </is>
      </c>
      <c r="G14" s="21" t="n">
        <v>80000</v>
      </c>
      <c r="H14" s="21" t="n"/>
    </row>
    <row r="15">
      <c r="A15" s="18" t="inlineStr">
        <is>
          <t>MOB-01</t>
        </is>
      </c>
      <c r="B15" s="18" t="inlineStr">
        <is>
          <t>Mobiliario de oficinas</t>
        </is>
      </c>
      <c r="C15" s="18" t="inlineStr">
        <is>
          <t>Muebles y enseres</t>
        </is>
      </c>
      <c r="D15" s="20" t="n">
        <v>8000</v>
      </c>
      <c r="E15" s="20" t="n">
        <v>15000</v>
      </c>
      <c r="F15" s="18" t="inlineStr"/>
      <c r="G15" s="20" t="n"/>
      <c r="H15" s="20" t="n"/>
    </row>
    <row r="16">
      <c r="A16" s="19" t="inlineStr">
        <is>
          <t>GEN-01</t>
        </is>
      </c>
      <c r="B16" s="19" t="inlineStr">
        <is>
          <t>Generador eléctrico</t>
        </is>
      </c>
      <c r="C16" s="19" t="inlineStr">
        <is>
          <t>Maquinaria</t>
        </is>
      </c>
      <c r="D16" s="21" t="n">
        <v>15000</v>
      </c>
      <c r="E16" s="21" t="n">
        <v>45000</v>
      </c>
      <c r="F16" s="19" t="inlineStr">
        <is>
          <t>POL-09</t>
        </is>
      </c>
      <c r="G16" s="21" t="n">
        <v>45000</v>
      </c>
      <c r="H16" s="21" t="n"/>
    </row>
    <row r="17">
      <c r="A17" s="29" t="inlineStr">
        <is>
          <t>TOTAL</t>
        </is>
      </c>
      <c r="B17" s="29" t="inlineStr"/>
      <c r="C17" s="29" t="inlineStr"/>
      <c r="D17" s="30">
        <f>SUM(D5:D16)</f>
        <v/>
      </c>
      <c r="E17" s="30" t="n"/>
      <c r="F17" s="29" t="inlineStr"/>
      <c r="G17" s="30" t="n"/>
      <c r="H17" s="30" t="n"/>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M9"/>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27" customWidth="1" min="3" max="3"/>
    <col width="16" customWidth="1" min="4" max="4"/>
    <col width="16" customWidth="1" min="5" max="5"/>
    <col width="22" customWidth="1" min="6" max="6"/>
    <col width="13" customWidth="1" min="7" max="7"/>
    <col width="29" customWidth="1" min="8" max="8"/>
    <col width="26" customWidth="1" min="9" max="9"/>
    <col width="21" customWidth="1" min="10" max="10"/>
    <col width="12" customWidth="1" min="11" max="11"/>
    <col width="22" customWidth="1" min="12" max="12"/>
    <col width="16" customWidth="1" min="13" max="13"/>
  </cols>
  <sheetData>
    <row r="1">
      <c r="A1" s="3" t="inlineStr">
        <is>
          <t>Pólizas (datos del cliente)</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c r="G2" s="16" t="n"/>
      <c r="H2" s="16" t="n"/>
      <c r="I2" s="16" t="n"/>
      <c r="J2" s="16" t="n"/>
      <c r="K2" s="16" t="n"/>
      <c r="L2" s="16" t="n"/>
      <c r="M2" s="16" t="n"/>
    </row>
    <row r="4" ht="30" customHeight="1">
      <c r="A4" s="17" t="inlineStr">
        <is>
          <t>Póliza</t>
        </is>
      </c>
      <c r="B4" s="17" t="inlineStr">
        <is>
          <t>Aseguradora</t>
        </is>
      </c>
      <c r="C4" s="17" t="inlineStr">
        <is>
          <t>Ramo</t>
        </is>
      </c>
      <c r="D4" s="17" t="inlineStr">
        <is>
          <t>Vigencia desde</t>
        </is>
      </c>
      <c r="E4" s="17" t="inlineStr">
        <is>
          <t>Vigencia hasta</t>
        </is>
      </c>
      <c r="F4" s="17" t="inlineStr">
        <is>
          <t>Suma asegurada total</t>
        </is>
      </c>
      <c r="G4" s="17" t="inlineStr">
        <is>
          <t>Prima total</t>
        </is>
      </c>
      <c r="H4" s="17" t="inlineStr">
        <is>
          <t>Prima anticipada registrada</t>
        </is>
      </c>
      <c r="I4" s="17" t="inlineStr">
        <is>
          <t>Siniestro pendiente</t>
        </is>
      </c>
      <c r="J4" s="17" t="inlineStr">
        <is>
          <t>Monto del siniestro</t>
        </is>
      </c>
      <c r="K4" s="17" t="inlineStr">
        <is>
          <t>Revelado</t>
        </is>
      </c>
      <c r="L4" s="17" t="inlineStr">
        <is>
          <t>Tipo de siniestro</t>
        </is>
      </c>
      <c r="M4" s="17" t="inlineStr">
        <is>
          <t>Cobro exigible</t>
        </is>
      </c>
    </row>
    <row r="5">
      <c r="A5" s="18" t="inlineStr">
        <is>
          <t>POL-01</t>
        </is>
      </c>
      <c r="B5" s="18" t="inlineStr">
        <is>
          <t>Aseguradora Alfa S.A.</t>
        </is>
      </c>
      <c r="C5" s="18" t="inlineStr">
        <is>
          <t>Incendio y líneas aliadas</t>
        </is>
      </c>
      <c r="D5" s="31" t="n">
        <v>45839</v>
      </c>
      <c r="E5" s="31" t="n">
        <v>46204</v>
      </c>
      <c r="F5" s="20" t="n">
        <v>700000</v>
      </c>
      <c r="G5" s="20" t="n">
        <v>7300</v>
      </c>
      <c r="H5" s="20" t="n">
        <v>3640</v>
      </c>
      <c r="I5" s="18" t="inlineStr"/>
      <c r="J5" s="20" t="n"/>
      <c r="K5" s="18" t="inlineStr"/>
      <c r="L5" s="18" t="inlineStr"/>
      <c r="M5" s="18" t="inlineStr"/>
    </row>
    <row r="6">
      <c r="A6" s="19" t="inlineStr">
        <is>
          <t>POL-02</t>
        </is>
      </c>
      <c r="B6" s="19" t="inlineStr">
        <is>
          <t>Aseguradora Beta S.A.</t>
        </is>
      </c>
      <c r="C6" s="19" t="inlineStr">
        <is>
          <t>Vehículos</t>
        </is>
      </c>
      <c r="D6" s="32" t="n">
        <v>45717</v>
      </c>
      <c r="E6" s="32" t="n">
        <v>46082</v>
      </c>
      <c r="F6" s="21" t="n">
        <v>150000</v>
      </c>
      <c r="G6" s="21" t="n">
        <v>5475</v>
      </c>
      <c r="H6" s="21" t="n">
        <v>2500</v>
      </c>
      <c r="I6" s="19" t="inlineStr">
        <is>
          <t>Choque del camión VEH-02</t>
        </is>
      </c>
      <c r="J6" s="21" t="n">
        <v>18000</v>
      </c>
      <c r="K6" s="19" t="inlineStr">
        <is>
          <t>No</t>
        </is>
      </c>
      <c r="L6" s="19" t="inlineStr">
        <is>
          <t>Daño a activo propio</t>
        </is>
      </c>
      <c r="M6" s="19" t="inlineStr">
        <is>
          <t>Sí</t>
        </is>
      </c>
    </row>
    <row r="7">
      <c r="A7" s="18" t="inlineStr">
        <is>
          <t>POL-03</t>
        </is>
      </c>
      <c r="B7" s="18" t="inlineStr">
        <is>
          <t>Aseguradora Gamma S.A.</t>
        </is>
      </c>
      <c r="C7" s="18" t="inlineStr">
        <is>
          <t>Equipo electrónico</t>
        </is>
      </c>
      <c r="D7" s="31" t="n">
        <v>45641</v>
      </c>
      <c r="E7" s="31" t="n">
        <v>46006</v>
      </c>
      <c r="F7" s="20" t="n">
        <v>40000</v>
      </c>
      <c r="G7" s="20" t="n">
        <v>1200</v>
      </c>
      <c r="H7" s="20" t="n">
        <v>0</v>
      </c>
      <c r="I7" s="18" t="inlineStr"/>
      <c r="J7" s="20" t="n"/>
      <c r="K7" s="18" t="inlineStr"/>
      <c r="L7" s="18" t="inlineStr"/>
      <c r="M7" s="18" t="inlineStr"/>
    </row>
    <row r="8">
      <c r="A8" s="19" t="inlineStr">
        <is>
          <t>POL-04</t>
        </is>
      </c>
      <c r="B8" s="19" t="inlineStr">
        <is>
          <t>Aseguradora Alfa S.A.</t>
        </is>
      </c>
      <c r="C8" s="19" t="inlineStr">
        <is>
          <t>Rotura de maquinaria</t>
        </is>
      </c>
      <c r="D8" s="32" t="n">
        <v>45677</v>
      </c>
      <c r="E8" s="32" t="n">
        <v>46042</v>
      </c>
      <c r="F8" s="21" t="n">
        <v>200000</v>
      </c>
      <c r="G8" s="21" t="n">
        <v>3650</v>
      </c>
      <c r="H8" s="21" t="n">
        <v>200</v>
      </c>
      <c r="I8" s="19" t="inlineStr">
        <is>
          <t>Daño en compresor</t>
        </is>
      </c>
      <c r="J8" s="21" t="n">
        <v>5000</v>
      </c>
      <c r="K8" s="19" t="inlineStr">
        <is>
          <t>Sí</t>
        </is>
      </c>
      <c r="L8" s="19" t="inlineStr">
        <is>
          <t>Daño a activo propio</t>
        </is>
      </c>
      <c r="M8" s="19" t="inlineStr">
        <is>
          <t>No</t>
        </is>
      </c>
    </row>
    <row r="9">
      <c r="A9" s="18" t="inlineStr">
        <is>
          <t>POL-05</t>
        </is>
      </c>
      <c r="B9" s="18" t="inlineStr">
        <is>
          <t>Aseguradora Beta S.A.</t>
        </is>
      </c>
      <c r="C9" s="18" t="inlineStr">
        <is>
          <t>Incendio bodega norte</t>
        </is>
      </c>
      <c r="D9" s="31" t="n">
        <v>46037</v>
      </c>
      <c r="E9" s="31" t="n">
        <v>46402</v>
      </c>
      <c r="F9" s="20" t="n">
        <v>80000</v>
      </c>
      <c r="G9" s="20" t="n">
        <v>1460</v>
      </c>
      <c r="H9" s="20" t="n">
        <v>1460</v>
      </c>
      <c r="I9" s="18" t="inlineStr"/>
      <c r="J9" s="20" t="n"/>
      <c r="K9" s="18" t="inlineStr"/>
      <c r="L9" s="18" t="inlineStr"/>
      <c r="M9" s="18"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J16"/>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17" customWidth="1" min="5" max="5"/>
    <col width="17" customWidth="1" min="6" max="6"/>
    <col width="12" customWidth="1" min="7" max="7"/>
  </cols>
  <sheetData>
    <row r="1">
      <c r="A1" s="3" t="inlineStr">
        <is>
          <t>Vigencia de pólizas al corte</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c r="G2" s="16" t="n"/>
    </row>
    <row r="4" ht="30" customHeight="1">
      <c r="A4" s="17" t="inlineStr">
        <is>
          <t>Póliza</t>
        </is>
      </c>
      <c r="B4" s="17" t="inlineStr">
        <is>
          <t>Desde</t>
        </is>
      </c>
      <c r="C4" s="17" t="inlineStr">
        <is>
          <t>Hasta</t>
        </is>
      </c>
      <c r="D4" s="17" t="inlineStr">
        <is>
          <t>Días de vigencia</t>
        </is>
      </c>
      <c r="E4" s="17" t="inlineStr">
        <is>
          <t>Estado al corte</t>
        </is>
      </c>
      <c r="F4" s="17" t="inlineStr">
        <is>
          <t>Días por vencer</t>
        </is>
      </c>
      <c r="G4" s="17" t="inlineStr">
        <is>
          <t>Alerta</t>
        </is>
      </c>
    </row>
    <row r="5">
      <c r="A5" s="18" t="inlineStr">
        <is>
          <t>POL-01</t>
        </is>
      </c>
      <c r="B5" s="31" t="n">
        <v>45839</v>
      </c>
      <c r="C5" s="31" t="n">
        <v>46204</v>
      </c>
      <c r="D5" s="33">
        <f>'04_Polizas'!E5-'04_Polizas'!D5</f>
        <v/>
      </c>
      <c r="E5" s="18">
        <f>IF('04_Polizas'!E5&lt;'02_Parametros'!$B$5,"Vencida",IF('04_Polizas'!D5&gt;'02_Parametros'!$B$5,"No iniciada","Vigente"))</f>
        <v/>
      </c>
      <c r="F5" s="33">
        <f>IF(E5="Vigente",'04_Polizas'!E5-'02_Parametros'!$B$5,"")</f>
        <v/>
      </c>
      <c r="G5" s="18">
        <f>IF(F5="","",IF(F5&lt;='02_Parametros'!$B$10,"Por vencer",""))</f>
        <v/>
      </c>
    </row>
    <row r="6">
      <c r="A6" s="19" t="inlineStr">
        <is>
          <t>POL-02</t>
        </is>
      </c>
      <c r="B6" s="32" t="n">
        <v>45717</v>
      </c>
      <c r="C6" s="32" t="n">
        <v>46082</v>
      </c>
      <c r="D6" s="34">
        <f>'04_Polizas'!E6-'04_Polizas'!D6</f>
        <v/>
      </c>
      <c r="E6" s="19">
        <f>IF('04_Polizas'!E6&lt;'02_Parametros'!$B$5,"Vencida",IF('04_Polizas'!D6&gt;'02_Parametros'!$B$5,"No iniciada","Vigente"))</f>
        <v/>
      </c>
      <c r="F6" s="34">
        <f>IF(E6="Vigente",'04_Polizas'!E6-'02_Parametros'!$B$5,"")</f>
        <v/>
      </c>
      <c r="G6" s="19">
        <f>IF(F6="","",IF(F6&lt;='02_Parametros'!$B$10,"Por vencer",""))</f>
        <v/>
      </c>
    </row>
    <row r="7">
      <c r="A7" s="18" t="inlineStr">
        <is>
          <t>POL-03</t>
        </is>
      </c>
      <c r="B7" s="31" t="n">
        <v>45641</v>
      </c>
      <c r="C7" s="31" t="n">
        <v>46006</v>
      </c>
      <c r="D7" s="33">
        <f>'04_Polizas'!E7-'04_Polizas'!D7</f>
        <v/>
      </c>
      <c r="E7" s="18">
        <f>IF('04_Polizas'!E7&lt;'02_Parametros'!$B$5,"Vencida",IF('04_Polizas'!D7&gt;'02_Parametros'!$B$5,"No iniciada","Vigente"))</f>
        <v/>
      </c>
      <c r="F7" s="33">
        <f>IF(E7="Vigente",'04_Polizas'!E7-'02_Parametros'!$B$5,"")</f>
        <v/>
      </c>
      <c r="G7" s="18">
        <f>IF(F7="","",IF(F7&lt;='02_Parametros'!$B$10,"Por vencer",""))</f>
        <v/>
      </c>
    </row>
    <row r="8">
      <c r="A8" s="19" t="inlineStr">
        <is>
          <t>POL-04</t>
        </is>
      </c>
      <c r="B8" s="32" t="n">
        <v>45677</v>
      </c>
      <c r="C8" s="32" t="n">
        <v>46042</v>
      </c>
      <c r="D8" s="34">
        <f>'04_Polizas'!E8-'04_Polizas'!D8</f>
        <v/>
      </c>
      <c r="E8" s="19">
        <f>IF('04_Polizas'!E8&lt;'02_Parametros'!$B$5,"Vencida",IF('04_Polizas'!D8&gt;'02_Parametros'!$B$5,"No iniciada","Vigente"))</f>
        <v/>
      </c>
      <c r="F8" s="34">
        <f>IF(E8="Vigente",'04_Polizas'!E8-'02_Parametros'!$B$5,"")</f>
        <v/>
      </c>
      <c r="G8" s="19">
        <f>IF(F8="","",IF(F8&lt;='02_Parametros'!$B$10,"Por vencer",""))</f>
        <v/>
      </c>
    </row>
    <row r="9">
      <c r="A9" s="18" t="inlineStr">
        <is>
          <t>POL-05</t>
        </is>
      </c>
      <c r="B9" s="31" t="n">
        <v>46037</v>
      </c>
      <c r="C9" s="31" t="n">
        <v>46402</v>
      </c>
      <c r="D9" s="33">
        <f>'04_Polizas'!E9-'04_Polizas'!D9</f>
        <v/>
      </c>
      <c r="E9" s="18">
        <f>IF('04_Polizas'!E9&lt;'02_Parametros'!$B$5,"Vencida",IF('04_Polizas'!D9&gt;'02_Parametros'!$B$5,"No iniciada","Vigente"))</f>
        <v/>
      </c>
      <c r="F9" s="33">
        <f>IF(E9="Vigente",'04_Polizas'!E9-'02_Parametros'!$B$5,"")</f>
        <v/>
      </c>
      <c r="G9" s="18">
        <f>IF(F9="","",IF(F9&lt;='02_Parametros'!$B$10,"Por vencer",""))</f>
        <v/>
      </c>
    </row>
    <row r="11">
      <c r="A11" s="22" t="inlineStr">
        <is>
          <t>ⓘ  Cómo se calcula esta hoja</t>
        </is>
      </c>
    </row>
    <row r="12">
      <c r="A12" s="23" t="inlineStr">
        <is>
          <t>Columna</t>
        </is>
      </c>
      <c r="B12" s="23" t="inlineStr">
        <is>
          <t>Fórmula (Excel)</t>
        </is>
      </c>
      <c r="C12" s="23" t="inlineStr">
        <is>
          <t>Cómo se calcula (sencillo)</t>
        </is>
      </c>
      <c r="D12" s="23" t="inlineStr">
        <is>
          <t>Ejemplo con números reales</t>
        </is>
      </c>
      <c r="E12" s="23" t="inlineStr">
        <is>
          <t>De dónde viene</t>
        </is>
      </c>
      <c r="F12" s="23" t="inlineStr">
        <is>
          <t>Norma</t>
        </is>
      </c>
    </row>
    <row r="13">
      <c r="A13" s="24" t="inlineStr">
        <is>
          <t>Días de vigencia</t>
        </is>
      </c>
      <c r="B13" s="25" t="inlineStr">
        <is>
          <t>'='04_Polizas'!E5-'04_Polizas'!D5</t>
        </is>
      </c>
      <c r="C13" s="24" t="inlineStr">
        <is>
          <t>Resta la fecha «desde» a la fecha «hasta» de la póliza en la hoja 04 (Pólizas): son los días que dura la cobertura.</t>
        </is>
      </c>
      <c r="D13" s="24" t="inlineStr">
        <is>
          <t>Fila 1: «2026-07-01»-«2025-07-01» → 365</t>
        </is>
      </c>
      <c r="E13" s="24" t="inlineStr">
        <is>
          <t>hoja «Pólizas (datos del cliente)»</t>
        </is>
      </c>
      <c r="F13" s="24" t="inlineStr">
        <is>
          <t>—</t>
        </is>
      </c>
    </row>
    <row r="14">
      <c r="A14" s="24" t="inlineStr">
        <is>
          <t>Estado al corte</t>
        </is>
      </c>
      <c r="B14" s="25" t="inlineStr">
        <is>
          <t>'=IF('04_Polizas'!E5&lt;'02_Parametros'!$B$5,"Vencida",IF('04_Polizas'!D5&gt;'02_Parametros'!$B$5,"No iniciada","Vigente"))</t>
        </is>
      </c>
      <c r="C14" s="24" t="inlineStr">
        <is>
          <t>Compara las fechas de la hoja 04 (Pólizas) con el corte de la hoja 02 (Parámetros): «Vencida» si terminó antes del corte, «No iniciada» si empieza después y «Vigente» en los demás casos.</t>
        </is>
      </c>
      <c r="D14" s="24" t="inlineStr">
        <is>
          <t>Fila 1: IF(«2026-07-01»&lt;«2025-12-31»; "Vencida"; IF(«2025-07-01»&gt;«2025-12-31»; "No iniciada"; "Vigente")) → Vigente</t>
        </is>
      </c>
      <c r="E14" s="24" t="inlineStr">
        <is>
          <t>hoja «Pólizas (datos del cliente)», hoja «Parámetros»</t>
        </is>
      </c>
      <c r="F14" s="24" t="inlineStr">
        <is>
          <t>—</t>
        </is>
      </c>
    </row>
    <row r="15">
      <c r="A15" s="24" t="inlineStr">
        <is>
          <t>Días por vencer</t>
        </is>
      </c>
      <c r="B15" s="25" t="inlineStr">
        <is>
          <t>'=IF(E5="Vigente",'04_Polizas'!E5-'02_Parametros'!$B$5,"")</t>
        </is>
      </c>
      <c r="C15" s="24" t="inlineStr">
        <is>
          <t>Solo para pólizas vigentes, resta la fecha de corte a la fecha «hasta» de la hoja 04 (Pólizas); en las demás queda en blanco.</t>
        </is>
      </c>
      <c r="D15" s="24" t="inlineStr">
        <is>
          <t>Fila 1: IF(«Vigente»="Vigente"; «2026-07-01»-«2025-12-31»; "") → 182</t>
        </is>
      </c>
      <c r="E15" s="24" t="inlineStr">
        <is>
          <t>«Estado al corte» (esta hoja), hoja «Pólizas (datos del cliente)», hoja «Parámetros»</t>
        </is>
      </c>
      <c r="F15" s="24" t="inlineStr">
        <is>
          <t>—</t>
        </is>
      </c>
    </row>
    <row r="16">
      <c r="A16" s="24" t="inlineStr">
        <is>
          <t>Alerta</t>
        </is>
      </c>
      <c r="B16" s="25" t="inlineStr">
        <is>
          <t>'=IF(F5="","",IF(F5&lt;='02_Parametros'!$B$10,"Por vencer",""))</t>
        </is>
      </c>
      <c r="C16" s="24" t="inlineStr">
        <is>
          <t>Marca «Por vencer» cuando los días por vencer no superan el umbral de alerta de la hoja 02 (Parámetros); si la póliza no está vigente o vence más tarde, queda en blanco.</t>
        </is>
      </c>
      <c r="D16" s="24" t="inlineStr">
        <is>
          <t>Fila 1: IF(182=""; ""; IF(182&lt;=30,00; "Por vencer"; "")) → (en blanco)</t>
        </is>
      </c>
      <c r="E16" s="24" t="inlineStr">
        <is>
          <t>«Días por vencer» (esta hoja), hoja «Parámetros»</t>
        </is>
      </c>
      <c r="F16" s="24" t="inlineStr">
        <is>
          <t>—</t>
        </is>
      </c>
    </row>
  </sheetData>
  <mergeCells count="3">
    <mergeCell ref="A2:F2"/>
    <mergeCell ref="A11:F11"/>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K29"/>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21" customWidth="1" min="3" max="3"/>
    <col width="21" customWidth="1" min="4" max="4"/>
    <col width="22" customWidth="1" min="5" max="5"/>
    <col width="25" customWidth="1" min="6" max="6"/>
    <col width="24" customWidth="1" min="7" max="7"/>
    <col width="20" customWidth="1" min="8" max="8"/>
    <col width="20" customWidth="1" min="9" max="9"/>
    <col width="12" customWidth="1" min="10" max="10"/>
    <col width="15" customWidth="1" min="11" max="11"/>
  </cols>
  <sheetData>
    <row r="1">
      <c r="A1" s="3" t="inlineStr">
        <is>
          <t>Universo y cobertura por activo</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c r="G2" s="16" t="n"/>
      <c r="H2" s="16" t="n"/>
      <c r="I2" s="16" t="n"/>
      <c r="J2" s="16" t="n"/>
      <c r="K2" s="16" t="n"/>
    </row>
    <row r="4" ht="30" customHeight="1">
      <c r="A4" s="17" t="inlineStr">
        <is>
          <t>Código</t>
        </is>
      </c>
      <c r="B4" s="17" t="inlineStr">
        <is>
          <t>Póliza</t>
        </is>
      </c>
      <c r="C4" s="17" t="inlineStr">
        <is>
          <t>Valor de referencia</t>
        </is>
      </c>
      <c r="D4" s="17" t="inlineStr">
        <is>
          <t>Base de referencia</t>
        </is>
      </c>
      <c r="E4" s="17" t="inlineStr">
        <is>
          <t>Estado de la póliza</t>
        </is>
      </c>
      <c r="F4" s="17" t="inlineStr">
        <is>
          <t>Suma asegurada asignada</t>
        </is>
      </c>
      <c r="G4" s="17" t="inlineStr">
        <is>
          <t>Suma asegurada vigente</t>
        </is>
      </c>
      <c r="H4" s="17" t="inlineStr">
        <is>
          <t>% cobertura</t>
        </is>
      </c>
      <c r="I4" s="17" t="inlineStr">
        <is>
          <t>Déficit</t>
        </is>
      </c>
      <c r="J4" s="17" t="inlineStr">
        <is>
          <t>Exceso</t>
        </is>
      </c>
      <c r="K4" s="17" t="inlineStr">
        <is>
          <t>Clasificación</t>
        </is>
      </c>
    </row>
    <row r="5">
      <c r="A5" s="18" t="inlineStr">
        <is>
          <t>EDIF-01</t>
        </is>
      </c>
      <c r="B5" s="18" t="inlineStr">
        <is>
          <t>POL-01</t>
        </is>
      </c>
      <c r="C5" s="20">
        <f>IF('03_Activos'!E5&lt;&gt;"",'03_Activos'!E5,'03_Activos'!D5)</f>
        <v/>
      </c>
      <c r="D5" s="18">
        <f>IF('03_Activos'!E5&lt;&gt;"","Reposición/tasación","Valor en libros")</f>
        <v/>
      </c>
      <c r="E5" s="18">
        <f>IF('03_Activos'!F5="","Sin póliza",IF(ISNA(MATCH('03_Activos'!F5,'04_Polizas'!$A$5:$A$9,0)),"Póliza no encontrada",INDEX('05_Vigencia'!$E$5:$E$9,MATCH('03_Activos'!F5,'04_Polizas'!$A$5:$A$9,0))))</f>
        <v/>
      </c>
      <c r="F5" s="20">
        <f>IF(OR(E5="Sin póliza",E5="Póliza no encontrada"),0,IF('03_Activos'!G5&lt;&gt;"",'03_Activos'!G5,IF(SUMIF('03_Activos'!$F$5:$F$16,'03_Activos'!F5,'06_Cobertura_activo'!$C$5:$C$16)=0,0,INDEX('04_Polizas'!$F$5:$F$9,MATCH('03_Activos'!F5,'04_Polizas'!$A$5:$A$9,0))*C5/SUMIF('03_Activos'!$F$5:$F$16,'03_Activos'!F5,'06_Cobertura_activo'!$C$5:$C$16))))</f>
        <v/>
      </c>
      <c r="G5" s="20">
        <f>IF(E5="Vigente",F5,0)</f>
        <v/>
      </c>
      <c r="H5" s="35">
        <f>IF(C5=0,"",G5/C5)</f>
        <v/>
      </c>
      <c r="I5" s="20">
        <f>MAX(C5-G5,0)</f>
        <v/>
      </c>
      <c r="J5" s="20">
        <f>MAX(G5-C5,0)</f>
        <v/>
      </c>
      <c r="K5" s="18">
        <f>IF(G5=0,"Sin cobertura",IF(H5="","",IF(H5&lt;'02_Parametros'!$B$8/100,"Infraseguro",IF(H5&gt;'02_Parametros'!$B$9/100,"Sobreseguro","Adecuada"))))</f>
        <v/>
      </c>
    </row>
    <row r="6">
      <c r="A6" s="19" t="inlineStr">
        <is>
          <t>BOD-01</t>
        </is>
      </c>
      <c r="B6" s="19" t="inlineStr">
        <is>
          <t>POL-01</t>
        </is>
      </c>
      <c r="C6" s="21">
        <f>IF('03_Activos'!E6&lt;&gt;"",'03_Activos'!E6,'03_Activos'!D6)</f>
        <v/>
      </c>
      <c r="D6" s="19">
        <f>IF('03_Activos'!E6&lt;&gt;"","Reposición/tasación","Valor en libros")</f>
        <v/>
      </c>
      <c r="E6" s="19">
        <f>IF('03_Activos'!F6="","Sin póliza",IF(ISNA(MATCH('03_Activos'!F6,'04_Polizas'!$A$5:$A$9,0)),"Póliza no encontrada",INDEX('05_Vigencia'!$E$5:$E$9,MATCH('03_Activos'!F6,'04_Polizas'!$A$5:$A$9,0))))</f>
        <v/>
      </c>
      <c r="F6" s="21">
        <f>IF(OR(E6="Sin póliza",E6="Póliza no encontrada"),0,IF('03_Activos'!G6&lt;&gt;"",'03_Activos'!G6,IF(SUMIF('03_Activos'!$F$5:$F$16,'03_Activos'!F6,'06_Cobertura_activo'!$C$5:$C$16)=0,0,INDEX('04_Polizas'!$F$5:$F$9,MATCH('03_Activos'!F6,'04_Polizas'!$A$5:$A$9,0))*C6/SUMIF('03_Activos'!$F$5:$F$16,'03_Activos'!F6,'06_Cobertura_activo'!$C$5:$C$16))))</f>
        <v/>
      </c>
      <c r="G6" s="21">
        <f>IF(E6="Vigente",F6,0)</f>
        <v/>
      </c>
      <c r="H6" s="36">
        <f>IF(C6=0,"",G6/C6)</f>
        <v/>
      </c>
      <c r="I6" s="21">
        <f>MAX(C6-G6,0)</f>
        <v/>
      </c>
      <c r="J6" s="21">
        <f>MAX(G6-C6,0)</f>
        <v/>
      </c>
      <c r="K6" s="19">
        <f>IF(G6=0,"Sin cobertura",IF(H6="","",IF(H6&lt;'02_Parametros'!$B$8/100,"Infraseguro",IF(H6&gt;'02_Parametros'!$B$9/100,"Sobreseguro","Adecuada"))))</f>
        <v/>
      </c>
    </row>
    <row r="7">
      <c r="A7" s="18" t="inlineStr">
        <is>
          <t>MAQ-01</t>
        </is>
      </c>
      <c r="B7" s="18" t="inlineStr">
        <is>
          <t>POL-04</t>
        </is>
      </c>
      <c r="C7" s="20">
        <f>IF('03_Activos'!E7&lt;&gt;"",'03_Activos'!E7,'03_Activos'!D7)</f>
        <v/>
      </c>
      <c r="D7" s="18">
        <f>IF('03_Activos'!E7&lt;&gt;"","Reposición/tasación","Valor en libros")</f>
        <v/>
      </c>
      <c r="E7" s="18">
        <f>IF('03_Activos'!F7="","Sin póliza",IF(ISNA(MATCH('03_Activos'!F7,'04_Polizas'!$A$5:$A$9,0)),"Póliza no encontrada",INDEX('05_Vigencia'!$E$5:$E$9,MATCH('03_Activos'!F7,'04_Polizas'!$A$5:$A$9,0))))</f>
        <v/>
      </c>
      <c r="F7" s="20">
        <f>IF(OR(E7="Sin póliza",E7="Póliza no encontrada"),0,IF('03_Activos'!G7&lt;&gt;"",'03_Activos'!G7,IF(SUMIF('03_Activos'!$F$5:$F$16,'03_Activos'!F7,'06_Cobertura_activo'!$C$5:$C$16)=0,0,INDEX('04_Polizas'!$F$5:$F$9,MATCH('03_Activos'!F7,'04_Polizas'!$A$5:$A$9,0))*C7/SUMIF('03_Activos'!$F$5:$F$16,'03_Activos'!F7,'06_Cobertura_activo'!$C$5:$C$16))))</f>
        <v/>
      </c>
      <c r="G7" s="20">
        <f>IF(E7="Vigente",F7,0)</f>
        <v/>
      </c>
      <c r="H7" s="35">
        <f>IF(C7=0,"",G7/C7)</f>
        <v/>
      </c>
      <c r="I7" s="20">
        <f>MAX(C7-G7,0)</f>
        <v/>
      </c>
      <c r="J7" s="20">
        <f>MAX(G7-C7,0)</f>
        <v/>
      </c>
      <c r="K7" s="18">
        <f>IF(G7=0,"Sin cobertura",IF(H7="","",IF(H7&lt;'02_Parametros'!$B$8/100,"Infraseguro",IF(H7&gt;'02_Parametros'!$B$9/100,"Sobreseguro","Adecuada"))))</f>
        <v/>
      </c>
    </row>
    <row r="8">
      <c r="A8" s="19" t="inlineStr">
        <is>
          <t>MAQ-02</t>
        </is>
      </c>
      <c r="B8" s="19" t="inlineStr">
        <is>
          <t>POL-04</t>
        </is>
      </c>
      <c r="C8" s="21">
        <f>IF('03_Activos'!E8&lt;&gt;"",'03_Activos'!E8,'03_Activos'!D8)</f>
        <v/>
      </c>
      <c r="D8" s="19">
        <f>IF('03_Activos'!E8&lt;&gt;"","Reposición/tasación","Valor en libros")</f>
        <v/>
      </c>
      <c r="E8" s="19">
        <f>IF('03_Activos'!F8="","Sin póliza",IF(ISNA(MATCH('03_Activos'!F8,'04_Polizas'!$A$5:$A$9,0)),"Póliza no encontrada",INDEX('05_Vigencia'!$E$5:$E$9,MATCH('03_Activos'!F8,'04_Polizas'!$A$5:$A$9,0))))</f>
        <v/>
      </c>
      <c r="F8" s="21">
        <f>IF(OR(E8="Sin póliza",E8="Póliza no encontrada"),0,IF('03_Activos'!G8&lt;&gt;"",'03_Activos'!G8,IF(SUMIF('03_Activos'!$F$5:$F$16,'03_Activos'!F8,'06_Cobertura_activo'!$C$5:$C$16)=0,0,INDEX('04_Polizas'!$F$5:$F$9,MATCH('03_Activos'!F8,'04_Polizas'!$A$5:$A$9,0))*C8/SUMIF('03_Activos'!$F$5:$F$16,'03_Activos'!F8,'06_Cobertura_activo'!$C$5:$C$16))))</f>
        <v/>
      </c>
      <c r="G8" s="21">
        <f>IF(E8="Vigente",F8,0)</f>
        <v/>
      </c>
      <c r="H8" s="36">
        <f>IF(C8=0,"",G8/C8)</f>
        <v/>
      </c>
      <c r="I8" s="21">
        <f>MAX(C8-G8,0)</f>
        <v/>
      </c>
      <c r="J8" s="21">
        <f>MAX(G8-C8,0)</f>
        <v/>
      </c>
      <c r="K8" s="19">
        <f>IF(G8=0,"Sin cobertura",IF(H8="","",IF(H8&lt;'02_Parametros'!$B$8/100,"Infraseguro",IF(H8&gt;'02_Parametros'!$B$9/100,"Sobreseguro","Adecuada"))))</f>
        <v/>
      </c>
    </row>
    <row r="9">
      <c r="A9" s="18" t="inlineStr">
        <is>
          <t>VEH-01</t>
        </is>
      </c>
      <c r="B9" s="18" t="inlineStr">
        <is>
          <t>POL-02</t>
        </is>
      </c>
      <c r="C9" s="20">
        <f>IF('03_Activos'!E9&lt;&gt;"",'03_Activos'!E9,'03_Activos'!D9)</f>
        <v/>
      </c>
      <c r="D9" s="18">
        <f>IF('03_Activos'!E9&lt;&gt;"","Reposición/tasación","Valor en libros")</f>
        <v/>
      </c>
      <c r="E9" s="18">
        <f>IF('03_Activos'!F9="","Sin póliza",IF(ISNA(MATCH('03_Activos'!F9,'04_Polizas'!$A$5:$A$9,0)),"Póliza no encontrada",INDEX('05_Vigencia'!$E$5:$E$9,MATCH('03_Activos'!F9,'04_Polizas'!$A$5:$A$9,0))))</f>
        <v/>
      </c>
      <c r="F9" s="20">
        <f>IF(OR(E9="Sin póliza",E9="Póliza no encontrada"),0,IF('03_Activos'!G9&lt;&gt;"",'03_Activos'!G9,IF(SUMIF('03_Activos'!$F$5:$F$16,'03_Activos'!F9,'06_Cobertura_activo'!$C$5:$C$16)=0,0,INDEX('04_Polizas'!$F$5:$F$9,MATCH('03_Activos'!F9,'04_Polizas'!$A$5:$A$9,0))*C9/SUMIF('03_Activos'!$F$5:$F$16,'03_Activos'!F9,'06_Cobertura_activo'!$C$5:$C$16))))</f>
        <v/>
      </c>
      <c r="G9" s="20">
        <f>IF(E9="Vigente",F9,0)</f>
        <v/>
      </c>
      <c r="H9" s="35">
        <f>IF(C9=0,"",G9/C9)</f>
        <v/>
      </c>
      <c r="I9" s="20">
        <f>MAX(C9-G9,0)</f>
        <v/>
      </c>
      <c r="J9" s="20">
        <f>MAX(G9-C9,0)</f>
        <v/>
      </c>
      <c r="K9" s="18">
        <f>IF(G9=0,"Sin cobertura",IF(H9="","",IF(H9&lt;'02_Parametros'!$B$8/100,"Infraseguro",IF(H9&gt;'02_Parametros'!$B$9/100,"Sobreseguro","Adecuada"))))</f>
        <v/>
      </c>
    </row>
    <row r="10">
      <c r="A10" s="19" t="inlineStr">
        <is>
          <t>VEH-02</t>
        </is>
      </c>
      <c r="B10" s="19" t="inlineStr">
        <is>
          <t>POL-02</t>
        </is>
      </c>
      <c r="C10" s="21">
        <f>IF('03_Activos'!E10&lt;&gt;"",'03_Activos'!E10,'03_Activos'!D10)</f>
        <v/>
      </c>
      <c r="D10" s="19">
        <f>IF('03_Activos'!E10&lt;&gt;"","Reposición/tasación","Valor en libros")</f>
        <v/>
      </c>
      <c r="E10" s="19">
        <f>IF('03_Activos'!F10="","Sin póliza",IF(ISNA(MATCH('03_Activos'!F10,'04_Polizas'!$A$5:$A$9,0)),"Póliza no encontrada",INDEX('05_Vigencia'!$E$5:$E$9,MATCH('03_Activos'!F10,'04_Polizas'!$A$5:$A$9,0))))</f>
        <v/>
      </c>
      <c r="F10" s="21">
        <f>IF(OR(E10="Sin póliza",E10="Póliza no encontrada"),0,IF('03_Activos'!G10&lt;&gt;"",'03_Activos'!G10,IF(SUMIF('03_Activos'!$F$5:$F$16,'03_Activos'!F10,'06_Cobertura_activo'!$C$5:$C$16)=0,0,INDEX('04_Polizas'!$F$5:$F$9,MATCH('03_Activos'!F10,'04_Polizas'!$A$5:$A$9,0))*C10/SUMIF('03_Activos'!$F$5:$F$16,'03_Activos'!F10,'06_Cobertura_activo'!$C$5:$C$16))))</f>
        <v/>
      </c>
      <c r="G10" s="21">
        <f>IF(E10="Vigente",F10,0)</f>
        <v/>
      </c>
      <c r="H10" s="36">
        <f>IF(C10=0,"",G10/C10)</f>
        <v/>
      </c>
      <c r="I10" s="21">
        <f>MAX(C10-G10,0)</f>
        <v/>
      </c>
      <c r="J10" s="21">
        <f>MAX(G10-C10,0)</f>
        <v/>
      </c>
      <c r="K10" s="19">
        <f>IF(G10=0,"Sin cobertura",IF(H10="","",IF(H10&lt;'02_Parametros'!$B$8/100,"Infraseguro",IF(H10&gt;'02_Parametros'!$B$9/100,"Sobreseguro","Adecuada"))))</f>
        <v/>
      </c>
    </row>
    <row r="11">
      <c r="A11" s="18" t="inlineStr">
        <is>
          <t>VEH-03</t>
        </is>
      </c>
      <c r="B11" s="18" t="inlineStr">
        <is>
          <t>POL-02</t>
        </is>
      </c>
      <c r="C11" s="20">
        <f>IF('03_Activos'!E11&lt;&gt;"",'03_Activos'!E11,'03_Activos'!D11)</f>
        <v/>
      </c>
      <c r="D11" s="18">
        <f>IF('03_Activos'!E11&lt;&gt;"","Reposición/tasación","Valor en libros")</f>
        <v/>
      </c>
      <c r="E11" s="18">
        <f>IF('03_Activos'!F11="","Sin póliza",IF(ISNA(MATCH('03_Activos'!F11,'04_Polizas'!$A$5:$A$9,0)),"Póliza no encontrada",INDEX('05_Vigencia'!$E$5:$E$9,MATCH('03_Activos'!F11,'04_Polizas'!$A$5:$A$9,0))))</f>
        <v/>
      </c>
      <c r="F11" s="20">
        <f>IF(OR(E11="Sin póliza",E11="Póliza no encontrada"),0,IF('03_Activos'!G11&lt;&gt;"",'03_Activos'!G11,IF(SUMIF('03_Activos'!$F$5:$F$16,'03_Activos'!F11,'06_Cobertura_activo'!$C$5:$C$16)=0,0,INDEX('04_Polizas'!$F$5:$F$9,MATCH('03_Activos'!F11,'04_Polizas'!$A$5:$A$9,0))*C11/SUMIF('03_Activos'!$F$5:$F$16,'03_Activos'!F11,'06_Cobertura_activo'!$C$5:$C$16))))</f>
        <v/>
      </c>
      <c r="G11" s="20">
        <f>IF(E11="Vigente",F11,0)</f>
        <v/>
      </c>
      <c r="H11" s="35">
        <f>IF(C11=0,"",G11/C11)</f>
        <v/>
      </c>
      <c r="I11" s="20">
        <f>MAX(C11-G11,0)</f>
        <v/>
      </c>
      <c r="J11" s="20">
        <f>MAX(G11-C11,0)</f>
        <v/>
      </c>
      <c r="K11" s="18">
        <f>IF(G11=0,"Sin cobertura",IF(H11="","",IF(H11&lt;'02_Parametros'!$B$8/100,"Infraseguro",IF(H11&gt;'02_Parametros'!$B$9/100,"Sobreseguro","Adecuada"))))</f>
        <v/>
      </c>
    </row>
    <row r="12">
      <c r="A12" s="19" t="inlineStr">
        <is>
          <t>EQC-01</t>
        </is>
      </c>
      <c r="B12" s="19" t="inlineStr">
        <is>
          <t>POL-03</t>
        </is>
      </c>
      <c r="C12" s="21">
        <f>IF('03_Activos'!E12&lt;&gt;"",'03_Activos'!E12,'03_Activos'!D12)</f>
        <v/>
      </c>
      <c r="D12" s="19">
        <f>IF('03_Activos'!E12&lt;&gt;"","Reposición/tasación","Valor en libros")</f>
        <v/>
      </c>
      <c r="E12" s="19">
        <f>IF('03_Activos'!F12="","Sin póliza",IF(ISNA(MATCH('03_Activos'!F12,'04_Polizas'!$A$5:$A$9,0)),"Póliza no encontrada",INDEX('05_Vigencia'!$E$5:$E$9,MATCH('03_Activos'!F12,'04_Polizas'!$A$5:$A$9,0))))</f>
        <v/>
      </c>
      <c r="F12" s="21">
        <f>IF(OR(E12="Sin póliza",E12="Póliza no encontrada"),0,IF('03_Activos'!G12&lt;&gt;"",'03_Activos'!G12,IF(SUMIF('03_Activos'!$F$5:$F$16,'03_Activos'!F12,'06_Cobertura_activo'!$C$5:$C$16)=0,0,INDEX('04_Polizas'!$F$5:$F$9,MATCH('03_Activos'!F12,'04_Polizas'!$A$5:$A$9,0))*C12/SUMIF('03_Activos'!$F$5:$F$16,'03_Activos'!F12,'06_Cobertura_activo'!$C$5:$C$16))))</f>
        <v/>
      </c>
      <c r="G12" s="21">
        <f>IF(E12="Vigente",F12,0)</f>
        <v/>
      </c>
      <c r="H12" s="36">
        <f>IF(C12=0,"",G12/C12)</f>
        <v/>
      </c>
      <c r="I12" s="21">
        <f>MAX(C12-G12,0)</f>
        <v/>
      </c>
      <c r="J12" s="21">
        <f>MAX(G12-C12,0)</f>
        <v/>
      </c>
      <c r="K12" s="19">
        <f>IF(G12=0,"Sin cobertura",IF(H12="","",IF(H12&lt;'02_Parametros'!$B$8/100,"Infraseguro",IF(H12&gt;'02_Parametros'!$B$9/100,"Sobreseguro","Adecuada"))))</f>
        <v/>
      </c>
    </row>
    <row r="13">
      <c r="A13" s="18" t="inlineStr">
        <is>
          <t>EQC-02</t>
        </is>
      </c>
      <c r="B13" s="18" t="inlineStr">
        <is>
          <t>POL-03</t>
        </is>
      </c>
      <c r="C13" s="20">
        <f>IF('03_Activos'!E13&lt;&gt;"",'03_Activos'!E13,'03_Activos'!D13)</f>
        <v/>
      </c>
      <c r="D13" s="18">
        <f>IF('03_Activos'!E13&lt;&gt;"","Reposición/tasación","Valor en libros")</f>
        <v/>
      </c>
      <c r="E13" s="18">
        <f>IF('03_Activos'!F13="","Sin póliza",IF(ISNA(MATCH('03_Activos'!F13,'04_Polizas'!$A$5:$A$9,0)),"Póliza no encontrada",INDEX('05_Vigencia'!$E$5:$E$9,MATCH('03_Activos'!F13,'04_Polizas'!$A$5:$A$9,0))))</f>
        <v/>
      </c>
      <c r="F13" s="20">
        <f>IF(OR(E13="Sin póliza",E13="Póliza no encontrada"),0,IF('03_Activos'!G13&lt;&gt;"",'03_Activos'!G13,IF(SUMIF('03_Activos'!$F$5:$F$16,'03_Activos'!F13,'06_Cobertura_activo'!$C$5:$C$16)=0,0,INDEX('04_Polizas'!$F$5:$F$9,MATCH('03_Activos'!F13,'04_Polizas'!$A$5:$A$9,0))*C13/SUMIF('03_Activos'!$F$5:$F$16,'03_Activos'!F13,'06_Cobertura_activo'!$C$5:$C$16))))</f>
        <v/>
      </c>
      <c r="G13" s="20">
        <f>IF(E13="Vigente",F13,0)</f>
        <v/>
      </c>
      <c r="H13" s="35">
        <f>IF(C13=0,"",G13/C13)</f>
        <v/>
      </c>
      <c r="I13" s="20">
        <f>MAX(C13-G13,0)</f>
        <v/>
      </c>
      <c r="J13" s="20">
        <f>MAX(G13-C13,0)</f>
        <v/>
      </c>
      <c r="K13" s="18">
        <f>IF(G13=0,"Sin cobertura",IF(H13="","",IF(H13&lt;'02_Parametros'!$B$8/100,"Infraseguro",IF(H13&gt;'02_Parametros'!$B$9/100,"Sobreseguro","Adecuada"))))</f>
        <v/>
      </c>
    </row>
    <row r="14">
      <c r="A14" s="19" t="inlineStr">
        <is>
          <t>BOD-02</t>
        </is>
      </c>
      <c r="B14" s="19" t="inlineStr">
        <is>
          <t>POL-05</t>
        </is>
      </c>
      <c r="C14" s="21">
        <f>IF('03_Activos'!E14&lt;&gt;"",'03_Activos'!E14,'03_Activos'!D14)</f>
        <v/>
      </c>
      <c r="D14" s="19">
        <f>IF('03_Activos'!E14&lt;&gt;"","Reposición/tasación","Valor en libros")</f>
        <v/>
      </c>
      <c r="E14" s="19">
        <f>IF('03_Activos'!F14="","Sin póliza",IF(ISNA(MATCH('03_Activos'!F14,'04_Polizas'!$A$5:$A$9,0)),"Póliza no encontrada",INDEX('05_Vigencia'!$E$5:$E$9,MATCH('03_Activos'!F14,'04_Polizas'!$A$5:$A$9,0))))</f>
        <v/>
      </c>
      <c r="F14" s="21">
        <f>IF(OR(E14="Sin póliza",E14="Póliza no encontrada"),0,IF('03_Activos'!G14&lt;&gt;"",'03_Activos'!G14,IF(SUMIF('03_Activos'!$F$5:$F$16,'03_Activos'!F14,'06_Cobertura_activo'!$C$5:$C$16)=0,0,INDEX('04_Polizas'!$F$5:$F$9,MATCH('03_Activos'!F14,'04_Polizas'!$A$5:$A$9,0))*C14/SUMIF('03_Activos'!$F$5:$F$16,'03_Activos'!F14,'06_Cobertura_activo'!$C$5:$C$16))))</f>
        <v/>
      </c>
      <c r="G14" s="21">
        <f>IF(E14="Vigente",F14,0)</f>
        <v/>
      </c>
      <c r="H14" s="36">
        <f>IF(C14=0,"",G14/C14)</f>
        <v/>
      </c>
      <c r="I14" s="21">
        <f>MAX(C14-G14,0)</f>
        <v/>
      </c>
      <c r="J14" s="21">
        <f>MAX(G14-C14,0)</f>
        <v/>
      </c>
      <c r="K14" s="19">
        <f>IF(G14=0,"Sin cobertura",IF(H14="","",IF(H14&lt;'02_Parametros'!$B$8/100,"Infraseguro",IF(H14&gt;'02_Parametros'!$B$9/100,"Sobreseguro","Adecuada"))))</f>
        <v/>
      </c>
    </row>
    <row r="15">
      <c r="A15" s="18" t="inlineStr">
        <is>
          <t>MOB-01</t>
        </is>
      </c>
      <c r="B15" s="18" t="inlineStr"/>
      <c r="C15" s="20">
        <f>IF('03_Activos'!E15&lt;&gt;"",'03_Activos'!E15,'03_Activos'!D15)</f>
        <v/>
      </c>
      <c r="D15" s="18">
        <f>IF('03_Activos'!E15&lt;&gt;"","Reposición/tasación","Valor en libros")</f>
        <v/>
      </c>
      <c r="E15" s="18">
        <f>IF('03_Activos'!F15="","Sin póliza",IF(ISNA(MATCH('03_Activos'!F15,'04_Polizas'!$A$5:$A$9,0)),"Póliza no encontrada",INDEX('05_Vigencia'!$E$5:$E$9,MATCH('03_Activos'!F15,'04_Polizas'!$A$5:$A$9,0))))</f>
        <v/>
      </c>
      <c r="F15" s="20">
        <f>IF(OR(E15="Sin póliza",E15="Póliza no encontrada"),0,IF('03_Activos'!G15&lt;&gt;"",'03_Activos'!G15,IF(SUMIF('03_Activos'!$F$5:$F$16,'03_Activos'!F15,'06_Cobertura_activo'!$C$5:$C$16)=0,0,INDEX('04_Polizas'!$F$5:$F$9,MATCH('03_Activos'!F15,'04_Polizas'!$A$5:$A$9,0))*C15/SUMIF('03_Activos'!$F$5:$F$16,'03_Activos'!F15,'06_Cobertura_activo'!$C$5:$C$16))))</f>
        <v/>
      </c>
      <c r="G15" s="20">
        <f>IF(E15="Vigente",F15,0)</f>
        <v/>
      </c>
      <c r="H15" s="35">
        <f>IF(C15=0,"",G15/C15)</f>
        <v/>
      </c>
      <c r="I15" s="20">
        <f>MAX(C15-G15,0)</f>
        <v/>
      </c>
      <c r="J15" s="20">
        <f>MAX(G15-C15,0)</f>
        <v/>
      </c>
      <c r="K15" s="18">
        <f>IF(G15=0,"Sin cobertura",IF(H15="","",IF(H15&lt;'02_Parametros'!$B$8/100,"Infraseguro",IF(H15&gt;'02_Parametros'!$B$9/100,"Sobreseguro","Adecuada"))))</f>
        <v/>
      </c>
    </row>
    <row r="16">
      <c r="A16" s="19" t="inlineStr">
        <is>
          <t>GEN-01</t>
        </is>
      </c>
      <c r="B16" s="19" t="inlineStr">
        <is>
          <t>POL-09</t>
        </is>
      </c>
      <c r="C16" s="21">
        <f>IF('03_Activos'!E16&lt;&gt;"",'03_Activos'!E16,'03_Activos'!D16)</f>
        <v/>
      </c>
      <c r="D16" s="19">
        <f>IF('03_Activos'!E16&lt;&gt;"","Reposición/tasación","Valor en libros")</f>
        <v/>
      </c>
      <c r="E16" s="19">
        <f>IF('03_Activos'!F16="","Sin póliza",IF(ISNA(MATCH('03_Activos'!F16,'04_Polizas'!$A$5:$A$9,0)),"Póliza no encontrada",INDEX('05_Vigencia'!$E$5:$E$9,MATCH('03_Activos'!F16,'04_Polizas'!$A$5:$A$9,0))))</f>
        <v/>
      </c>
      <c r="F16" s="21">
        <f>IF(OR(E16="Sin póliza",E16="Póliza no encontrada"),0,IF('03_Activos'!G16&lt;&gt;"",'03_Activos'!G16,IF(SUMIF('03_Activos'!$F$5:$F$16,'03_Activos'!F16,'06_Cobertura_activo'!$C$5:$C$16)=0,0,INDEX('04_Polizas'!$F$5:$F$9,MATCH('03_Activos'!F16,'04_Polizas'!$A$5:$A$9,0))*C16/SUMIF('03_Activos'!$F$5:$F$16,'03_Activos'!F16,'06_Cobertura_activo'!$C$5:$C$16))))</f>
        <v/>
      </c>
      <c r="G16" s="21">
        <f>IF(E16="Vigente",F16,0)</f>
        <v/>
      </c>
      <c r="H16" s="36">
        <f>IF(C16=0,"",G16/C16)</f>
        <v/>
      </c>
      <c r="I16" s="21">
        <f>MAX(C16-G16,0)</f>
        <v/>
      </c>
      <c r="J16" s="21">
        <f>MAX(G16-C16,0)</f>
        <v/>
      </c>
      <c r="K16" s="19">
        <f>IF(G16=0,"Sin cobertura",IF(H16="","",IF(H16&lt;'02_Parametros'!$B$8/100,"Infraseguro",IF(H16&gt;'02_Parametros'!$B$9/100,"Sobreseguro","Adecuada"))))</f>
        <v/>
      </c>
    </row>
    <row r="17">
      <c r="A17" s="29" t="inlineStr">
        <is>
          <t>TOTAL</t>
        </is>
      </c>
      <c r="B17" s="29" t="inlineStr"/>
      <c r="C17" s="30">
        <f>SUM(C5:C16)</f>
        <v/>
      </c>
      <c r="D17" s="29" t="inlineStr"/>
      <c r="E17" s="29" t="inlineStr"/>
      <c r="F17" s="30" t="n"/>
      <c r="G17" s="30">
        <f>SUM(G5:G16)</f>
        <v/>
      </c>
      <c r="H17" s="37" t="n"/>
      <c r="I17" s="30">
        <f>SUM(I5:I16)</f>
        <v/>
      </c>
      <c r="J17" s="30" t="n"/>
      <c r="K17" s="29" t="inlineStr"/>
    </row>
    <row r="19">
      <c r="A19" s="22" t="inlineStr">
        <is>
          <t>ⓘ  Cómo se calcula esta hoja</t>
        </is>
      </c>
    </row>
    <row r="20">
      <c r="A20" s="23" t="inlineStr">
        <is>
          <t>Columna</t>
        </is>
      </c>
      <c r="B20" s="23" t="inlineStr">
        <is>
          <t>Fórmula (Excel)</t>
        </is>
      </c>
      <c r="C20" s="23" t="inlineStr">
        <is>
          <t>Cómo se calcula (sencillo)</t>
        </is>
      </c>
      <c r="D20" s="23" t="inlineStr">
        <is>
          <t>Ejemplo con números reales</t>
        </is>
      </c>
      <c r="E20" s="23" t="inlineStr">
        <is>
          <t>De dónde viene</t>
        </is>
      </c>
      <c r="F20" s="23" t="inlineStr">
        <is>
          <t>Norma</t>
        </is>
      </c>
    </row>
    <row r="21">
      <c r="A21" s="24" t="inlineStr">
        <is>
          <t>Valor de referencia</t>
        </is>
      </c>
      <c r="B21" s="25" t="inlineStr">
        <is>
          <t>'=IF('03_Activos'!E5&lt;&gt;"",'03_Activos'!E5,'03_Activos'!D5)</t>
        </is>
      </c>
      <c r="C21" s="24" t="inlineStr">
        <is>
          <t>Usa el valor de reposición o tasación del activo en la hoja 03 (Activos asegurables); si el cliente no lo informó, toma el valor en libros.</t>
        </is>
      </c>
      <c r="D21" s="24" t="inlineStr">
        <is>
          <t>Fila 1: IF(650.000,00&lt;&gt;""; 650.000,00; 437.500,00) → 650.000,00</t>
        </is>
      </c>
      <c r="E21" s="24" t="inlineStr">
        <is>
          <t>hoja «Activos asegurables (datos del cliente)»</t>
        </is>
      </c>
      <c r="F21" s="24" t="inlineStr">
        <is>
          <t>—</t>
        </is>
      </c>
    </row>
    <row r="22">
      <c r="A22" s="24" t="inlineStr">
        <is>
          <t>Base de referencia</t>
        </is>
      </c>
      <c r="B22" s="25" t="inlineStr">
        <is>
          <t>'=IF('03_Activos'!E5&lt;&gt;"","Reposición/tasación","Valor en libros")</t>
        </is>
      </c>
      <c r="C22" s="24" t="inlineStr">
        <is>
          <t>Indica qué valor se usó como referencia: «Reposición/tasación» si existe en la hoja 03 (Activos asegurables); si no, «Valor en libros».</t>
        </is>
      </c>
      <c r="D22" s="24" t="inlineStr">
        <is>
          <t>Fila 1: IF(650.000,00&lt;&gt;""; "Reposición/tasación"; "Valor en libros") → Reposición/tasación</t>
        </is>
      </c>
      <c r="E22" s="24" t="inlineStr">
        <is>
          <t>hoja «Activos asegurables (datos del cliente)»</t>
        </is>
      </c>
      <c r="F22" s="24" t="inlineStr">
        <is>
          <t>—</t>
        </is>
      </c>
    </row>
    <row r="23">
      <c r="A23" s="24" t="inlineStr">
        <is>
          <t>Estado de la póliza</t>
        </is>
      </c>
      <c r="B23" s="25" t="inlineStr">
        <is>
          <t>'=IF('03_Activos'!F5="","Sin póliza",IF(ISNA(MATCH('03_Activos'!F5,'04_Polizas'!$A$5:$A$9,0)),"Póliza no encontrada",INDEX('05_Vigencia'!$E$5:$E$9,MATCH('03_Activos'!F5,'04_Polizas'!$A$5:$A$9,0))))</t>
        </is>
      </c>
      <c r="C23" s="24" t="inlineStr">
        <is>
          <t>Busca la póliza del activo en la hoja 04 (Pólizas) y trae su estado al corte de la hoja 05 (Vigencia). Si el activo no tiene póliza dice «Sin póliza»; si la póliza no está en la lista, «Póliza no encontrada».</t>
        </is>
      </c>
      <c r="D23" s="24" t="inlineStr">
        <is>
          <t>Fila 1: IF(«POL-01»=""; "Sin póliza"; IF(ISNA(MATCH(«POL-01»; [«Póliza» de «Pólizas (datos del cliente)», 5 filas]; 0)); "Póliza no encontrada"; INDEX([«Estado al corte» de «Vigencia de pólizas al corte», 5 filas]; MATCH(«POL-01»; [«Póliza» de «Pólizas (datos del cliente)», 5 filas]; 0)))) → Vigente</t>
        </is>
      </c>
      <c r="E23" s="24" t="inlineStr">
        <is>
          <t>hoja «Activos asegurables (datos del cliente)», hoja «Pólizas (datos del cliente)», hoja «Vigencia de pólizas al corte»</t>
        </is>
      </c>
      <c r="F23" s="24" t="inlineStr">
        <is>
          <t>—</t>
        </is>
      </c>
    </row>
    <row r="24">
      <c r="A24" s="24" t="inlineStr">
        <is>
          <t>Suma asegurada asignada</t>
        </is>
      </c>
      <c r="B24" s="25" t="inlineStr">
        <is>
          <t>'=IF(OR(E5="Sin póliza",E5="Póliza no encontrada"),0,IF('03_Activos'!G5&lt;&gt;"",'03_Activos'!G5,IF(SUMIF('03_Activos'!$F$5:$F$16,'03_Activos'!F5,'06_Cobertura_activo'!$C$5:$C$16)=0,0,INDEX('04_Polizas'!$F$5:$F$9,MATCH('03_Activos'!F5,'04_Polizas'!$A$5:$A$9,0))*C5/SUMIF('03_Activos'!$F$5:$F$16,'03_Activos'!F5,'06_Cobertura_activo'!$C$5:$C$16))))</t>
        </is>
      </c>
      <c r="C24" s="24" t="inlineStr">
        <is>
          <t>Usa la suma asignada por el cliente al activo en la hoja 03 (Activos asegurables). Si no la hay, reparte la suma asegurada de la póliza (hoja 04) entre sus activos en proporción a su valor de referencia. Es cero sin póliza o si la póliza no se encuentra.</t>
        </is>
      </c>
      <c r="D24" s="24" t="inlineStr">
        <is>
          <t>Fila 1: IF(OR(«Vigente»="Sin póliza"; «Vigente»="Póliza no encontrada"); 0; IF((vacío)&lt;&gt;""; (vacío); IF(SUMIF([«Póliza» de «Activos asegurables (datos del cliente)», 12 filas]; «POL-01»; [«Valor de referencia» de «Universo y cobertura por activo», 12 filas])=0; 0; INDEX([«Suma asegurada total» de «Pólizas (datos del cliente)», 5 filas]; MATCH(«POL-01»; [«Póliza» de «Pólizas (datos del cliente)», 5 filas]; 0))*650.000,00/SUMIF([«Póliza» de «Activos asegurables (datos del cliente)», 12 filas]; «POL-01»; [«Valor de referencia» de «Universo y cobertura por activo», 12 filas])))) → 478.947,37</t>
        </is>
      </c>
      <c r="E24" s="24" t="inlineStr">
        <is>
          <t>«Estado de la póliza» (esta hoja), «Valor de referencia» (esta hoja), hoja «Activos asegurables (datos del cliente)», hoja «Universo y cobertura por activo», hoja «Pólizas (datos del cliente)»</t>
        </is>
      </c>
      <c r="F24" s="24" t="inlineStr">
        <is>
          <t>—</t>
        </is>
      </c>
    </row>
    <row r="25">
      <c r="A25" s="24" t="inlineStr">
        <is>
          <t>Suma asegurada vigente</t>
        </is>
      </c>
      <c r="B25" s="25" t="inlineStr">
        <is>
          <t>'=IF(E5="Vigente",F5,0)</t>
        </is>
      </c>
      <c r="C25" s="24" t="inlineStr">
        <is>
          <t>Mantiene la suma asegurada asignada solo si la póliza está vigente al corte; si está vencida o no iniciada, es cero.</t>
        </is>
      </c>
      <c r="D25" s="24" t="inlineStr">
        <is>
          <t>Fila 1: IF(«Vigente»="Vigente"; 478.947,37; 0) → 478.947,37</t>
        </is>
      </c>
      <c r="E25" s="24" t="inlineStr">
        <is>
          <t>«Estado de la póliza» (esta hoja), «Suma asegurada asignada» (esta hoja)</t>
        </is>
      </c>
      <c r="F25" s="24" t="inlineStr">
        <is>
          <t>—</t>
        </is>
      </c>
    </row>
    <row r="26">
      <c r="A26" s="24" t="inlineStr">
        <is>
          <t>% cobertura</t>
        </is>
      </c>
      <c r="B26" s="25" t="inlineStr">
        <is>
          <t>'=IF(C5=0,"",G5/C5)</t>
        </is>
      </c>
      <c r="C26" s="24" t="inlineStr">
        <is>
          <t>Divide la suma asegurada vigente entre el valor de referencia del activo; en blanco si la referencia es cero.</t>
        </is>
      </c>
      <c r="D26" s="24" t="inlineStr">
        <is>
          <t>Fila 1: IF(650.000,00=0; ""; 478.947,37/650.000,00) → 73,68 %</t>
        </is>
      </c>
      <c r="E26" s="24" t="inlineStr">
        <is>
          <t>«Valor de referencia» (esta hoja), «Suma asegurada vigente» (esta hoja)</t>
        </is>
      </c>
      <c r="F26" s="24" t="inlineStr">
        <is>
          <t>—</t>
        </is>
      </c>
    </row>
    <row r="27">
      <c r="A27" s="24" t="inlineStr">
        <is>
          <t>Déficit</t>
        </is>
      </c>
      <c r="B27" s="25" t="inlineStr">
        <is>
          <t>'=MAX(C5-G5,0)</t>
        </is>
      </c>
      <c r="C27" s="24" t="inlineStr">
        <is>
          <t>Resta la suma asegurada vigente al valor de referencia: es la parte del activo que no está asegurada (nunca menos de cero).</t>
        </is>
      </c>
      <c r="D27" s="24" t="inlineStr">
        <is>
          <t>Fila 1: MAX(650.000,00-478.947,37; 0) → 171.052,63</t>
        </is>
      </c>
      <c r="E27" s="24" t="inlineStr">
        <is>
          <t>«Valor de referencia» (esta hoja), «Suma asegurada vigente» (esta hoja)</t>
        </is>
      </c>
      <c r="F27" s="24" t="inlineStr">
        <is>
          <t>—</t>
        </is>
      </c>
    </row>
    <row r="28">
      <c r="A28" s="24" t="inlineStr">
        <is>
          <t>Exceso</t>
        </is>
      </c>
      <c r="B28" s="25" t="inlineStr">
        <is>
          <t>'=MAX(G5-C5,0)</t>
        </is>
      </c>
      <c r="C28" s="24" t="inlineStr">
        <is>
          <t>Resta el valor de referencia a la suma asegurada vigente: es lo asegurado por encima del valor del activo (mínimo cero).</t>
        </is>
      </c>
      <c r="D28" s="24" t="inlineStr">
        <is>
          <t>Fila 1: MAX(478.947,37-650.000,00; 0) → 0,00</t>
        </is>
      </c>
      <c r="E28" s="24" t="inlineStr">
        <is>
          <t>«Suma asegurada vigente» (esta hoja), «Valor de referencia» (esta hoja)</t>
        </is>
      </c>
      <c r="F28" s="24" t="inlineStr">
        <is>
          <t>—</t>
        </is>
      </c>
    </row>
    <row r="29">
      <c r="A29" s="24" t="inlineStr">
        <is>
          <t>Clasificación</t>
        </is>
      </c>
      <c r="B29" s="25" t="inlineStr">
        <is>
          <t>'=IF(G5=0,"Sin cobertura",IF(H5="","",IF(H5&lt;'02_Parametros'!$B$8/100,"Infraseguro",IF(H5&gt;'02_Parametros'!$B$9/100,"Sobreseguro","Adecuada"))))</t>
        </is>
      </c>
      <c r="C29" s="24" t="inlineStr">
        <is>
          <t>Califica la cobertura del activo: «Sin cobertura» si la suma vigente es cero; «Infraseguro» bajo la cobertura mínima y «Sobreseguro» sobre el umbral de la hoja 02 (Parámetros); si no, «Adecuada».</t>
        </is>
      </c>
      <c r="D29" s="24" t="inlineStr">
        <is>
          <t>Fila 1: IF(478.947,37=0; "Sin cobertura"; IF(73,68 %=""; ""; IF(73,68 %&lt;80,00/100; "Infraseguro"; IF(73,68 %&gt;120,00/100; "Sobreseguro"; "Adecuada")))) → Infraseguro</t>
        </is>
      </c>
      <c r="E29" s="24" t="inlineStr">
        <is>
          <t>«Suma asegurada vigente» (esta hoja), «% cobertura» (esta hoja), hoja «Parámetros»</t>
        </is>
      </c>
      <c r="F29" s="24" t="inlineStr">
        <is>
          <t>—</t>
        </is>
      </c>
    </row>
  </sheetData>
  <mergeCells count="3">
    <mergeCell ref="A19:F19"/>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K22"/>
  <sheetViews>
    <sheetView showGridLines="0" workbookViewId="0">
      <pane ySplit="4" topLeftCell="A5" activePane="bottomLeft" state="frozen"/>
      <selection pane="bottomLeft" activeCell="A1" sqref="A1"/>
    </sheetView>
  </sheetViews>
  <sheetFormatPr baseColWidth="8" defaultRowHeight="15"/>
  <cols>
    <col width="12" customWidth="1" min="1" max="1"/>
    <col width="13" customWidth="1" min="2" max="2"/>
    <col width="22" customWidth="1" min="3" max="3"/>
    <col width="21" customWidth="1" min="4" max="4"/>
    <col width="12" customWidth="1" min="5" max="5"/>
    <col width="20" customWidth="1" min="6" max="6"/>
    <col width="21" customWidth="1" min="7" max="7"/>
    <col width="12" customWidth="1" min="8" max="8"/>
    <col width="17" customWidth="1" min="9" max="9"/>
    <col width="19" customWidth="1" min="10" max="10"/>
    <col width="15" customWidth="1" min="11" max="11"/>
  </cols>
  <sheetData>
    <row r="1">
      <c r="A1" s="3" t="inlineStr">
        <is>
          <t>Cobertura por póliza (infraseguro)</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c r="G2" s="16" t="n"/>
      <c r="H2" s="16" t="n"/>
      <c r="I2" s="16" t="n"/>
      <c r="J2" s="16" t="n"/>
      <c r="K2" s="16" t="n"/>
    </row>
    <row r="4" ht="30" customHeight="1">
      <c r="A4" s="17" t="inlineStr">
        <is>
          <t>Póliza</t>
        </is>
      </c>
      <c r="B4" s="17" t="inlineStr">
        <is>
          <t>Estado</t>
        </is>
      </c>
      <c r="C4" s="17" t="inlineStr">
        <is>
          <t>Suma asegurada total</t>
        </is>
      </c>
      <c r="D4" s="17" t="inlineStr">
        <is>
          <t>Referencia asignada</t>
        </is>
      </c>
      <c r="E4" s="17" t="inlineStr">
        <is>
          <t>Activos</t>
        </is>
      </c>
      <c r="F4" s="17" t="inlineStr">
        <is>
          <t>% cobertura</t>
        </is>
      </c>
      <c r="G4" s="17" t="inlineStr">
        <is>
          <t>Factor proporcional</t>
        </is>
      </c>
      <c r="H4" s="17" t="inlineStr">
        <is>
          <t>Déficit</t>
        </is>
      </c>
      <c r="I4" s="17" t="inlineStr">
        <is>
          <t>Sumas asignadas</t>
        </is>
      </c>
      <c r="J4" s="17" t="inlineStr">
        <is>
          <t>Total − asignadas</t>
        </is>
      </c>
      <c r="K4" s="17" t="inlineStr">
        <is>
          <t>Clasificación</t>
        </is>
      </c>
    </row>
    <row r="5">
      <c r="A5" s="18" t="inlineStr">
        <is>
          <t>POL-01</t>
        </is>
      </c>
      <c r="B5" s="18">
        <f>'05_Vigencia'!E5</f>
        <v/>
      </c>
      <c r="C5" s="20">
        <f>'04_Polizas'!F5</f>
        <v/>
      </c>
      <c r="D5" s="20">
        <f>SUMIF('03_Activos'!$F$5:$F$16,A5,'06_Cobertura_activo'!$C$5:$C$16)</f>
        <v/>
      </c>
      <c r="E5" s="33">
        <f>COUNTIF('03_Activos'!$F$5:$F$16,A5)</f>
        <v/>
      </c>
      <c r="F5" s="35">
        <f>IF(D5=0,"",C5/D5)</f>
        <v/>
      </c>
      <c r="G5" s="35">
        <f>IF(F5="","",MIN(F5,1))</f>
        <v/>
      </c>
      <c r="H5" s="20">
        <f>MAX(D5-C5,0)</f>
        <v/>
      </c>
      <c r="I5" s="20">
        <f>SUMIF('03_Activos'!$F$5:$F$16,A5,'06_Cobertura_activo'!$F$5:$F$16)</f>
        <v/>
      </c>
      <c r="J5" s="20">
        <f>C5-I5</f>
        <v/>
      </c>
      <c r="K5" s="18">
        <f>IF(F5="","Sin activos asignados",IF(F5&lt;'02_Parametros'!$B$8/100,"Infraseguro",IF(F5&gt;'02_Parametros'!$B$9/100,"Sobreseguro","Adecuada")))</f>
        <v/>
      </c>
    </row>
    <row r="6">
      <c r="A6" s="19" t="inlineStr">
        <is>
          <t>POL-02</t>
        </is>
      </c>
      <c r="B6" s="19">
        <f>'05_Vigencia'!E6</f>
        <v/>
      </c>
      <c r="C6" s="21">
        <f>'04_Polizas'!F6</f>
        <v/>
      </c>
      <c r="D6" s="21">
        <f>SUMIF('03_Activos'!$F$5:$F$16,A6,'06_Cobertura_activo'!$C$5:$C$16)</f>
        <v/>
      </c>
      <c r="E6" s="34">
        <f>COUNTIF('03_Activos'!$F$5:$F$16,A6)</f>
        <v/>
      </c>
      <c r="F6" s="36">
        <f>IF(D6=0,"",C6/D6)</f>
        <v/>
      </c>
      <c r="G6" s="36">
        <f>IF(F6="","",MIN(F6,1))</f>
        <v/>
      </c>
      <c r="H6" s="21">
        <f>MAX(D6-C6,0)</f>
        <v/>
      </c>
      <c r="I6" s="21">
        <f>SUMIF('03_Activos'!$F$5:$F$16,A6,'06_Cobertura_activo'!$F$5:$F$16)</f>
        <v/>
      </c>
      <c r="J6" s="21">
        <f>C6-I6</f>
        <v/>
      </c>
      <c r="K6" s="19">
        <f>IF(F6="","Sin activos asignados",IF(F6&lt;'02_Parametros'!$B$8/100,"Infraseguro",IF(F6&gt;'02_Parametros'!$B$9/100,"Sobreseguro","Adecuada")))</f>
        <v/>
      </c>
    </row>
    <row r="7">
      <c r="A7" s="18" t="inlineStr">
        <is>
          <t>POL-03</t>
        </is>
      </c>
      <c r="B7" s="18">
        <f>'05_Vigencia'!E7</f>
        <v/>
      </c>
      <c r="C7" s="20">
        <f>'04_Polizas'!F7</f>
        <v/>
      </c>
      <c r="D7" s="20">
        <f>SUMIF('03_Activos'!$F$5:$F$16,A7,'06_Cobertura_activo'!$C$5:$C$16)</f>
        <v/>
      </c>
      <c r="E7" s="33">
        <f>COUNTIF('03_Activos'!$F$5:$F$16,A7)</f>
        <v/>
      </c>
      <c r="F7" s="35">
        <f>IF(D7=0,"",C7/D7)</f>
        <v/>
      </c>
      <c r="G7" s="35">
        <f>IF(F7="","",MIN(F7,1))</f>
        <v/>
      </c>
      <c r="H7" s="20">
        <f>MAX(D7-C7,0)</f>
        <v/>
      </c>
      <c r="I7" s="20">
        <f>SUMIF('03_Activos'!$F$5:$F$16,A7,'06_Cobertura_activo'!$F$5:$F$16)</f>
        <v/>
      </c>
      <c r="J7" s="20">
        <f>C7-I7</f>
        <v/>
      </c>
      <c r="K7" s="18">
        <f>IF(F7="","Sin activos asignados",IF(F7&lt;'02_Parametros'!$B$8/100,"Infraseguro",IF(F7&gt;'02_Parametros'!$B$9/100,"Sobreseguro","Adecuada")))</f>
        <v/>
      </c>
    </row>
    <row r="8">
      <c r="A8" s="19" t="inlineStr">
        <is>
          <t>POL-04</t>
        </is>
      </c>
      <c r="B8" s="19">
        <f>'05_Vigencia'!E8</f>
        <v/>
      </c>
      <c r="C8" s="21">
        <f>'04_Polizas'!F8</f>
        <v/>
      </c>
      <c r="D8" s="21">
        <f>SUMIF('03_Activos'!$F$5:$F$16,A8,'06_Cobertura_activo'!$C$5:$C$16)</f>
        <v/>
      </c>
      <c r="E8" s="34">
        <f>COUNTIF('03_Activos'!$F$5:$F$16,A8)</f>
        <v/>
      </c>
      <c r="F8" s="36">
        <f>IF(D8=0,"",C8/D8)</f>
        <v/>
      </c>
      <c r="G8" s="36">
        <f>IF(F8="","",MIN(F8,1))</f>
        <v/>
      </c>
      <c r="H8" s="21">
        <f>MAX(D8-C8,0)</f>
        <v/>
      </c>
      <c r="I8" s="21">
        <f>SUMIF('03_Activos'!$F$5:$F$16,A8,'06_Cobertura_activo'!$F$5:$F$16)</f>
        <v/>
      </c>
      <c r="J8" s="21">
        <f>C8-I8</f>
        <v/>
      </c>
      <c r="K8" s="19">
        <f>IF(F8="","Sin activos asignados",IF(F8&lt;'02_Parametros'!$B$8/100,"Infraseguro",IF(F8&gt;'02_Parametros'!$B$9/100,"Sobreseguro","Adecuada")))</f>
        <v/>
      </c>
    </row>
    <row r="9">
      <c r="A9" s="18" t="inlineStr">
        <is>
          <t>POL-05</t>
        </is>
      </c>
      <c r="B9" s="18">
        <f>'05_Vigencia'!E9</f>
        <v/>
      </c>
      <c r="C9" s="20">
        <f>'04_Polizas'!F9</f>
        <v/>
      </c>
      <c r="D9" s="20">
        <f>SUMIF('03_Activos'!$F$5:$F$16,A9,'06_Cobertura_activo'!$C$5:$C$16)</f>
        <v/>
      </c>
      <c r="E9" s="33">
        <f>COUNTIF('03_Activos'!$F$5:$F$16,A9)</f>
        <v/>
      </c>
      <c r="F9" s="35">
        <f>IF(D9=0,"",C9/D9)</f>
        <v/>
      </c>
      <c r="G9" s="35">
        <f>IF(F9="","",MIN(F9,1))</f>
        <v/>
      </c>
      <c r="H9" s="20">
        <f>MAX(D9-C9,0)</f>
        <v/>
      </c>
      <c r="I9" s="20">
        <f>SUMIF('03_Activos'!$F$5:$F$16,A9,'06_Cobertura_activo'!$F$5:$F$16)</f>
        <v/>
      </c>
      <c r="J9" s="20">
        <f>C9-I9</f>
        <v/>
      </c>
      <c r="K9" s="18">
        <f>IF(F9="","Sin activos asignados",IF(F9&lt;'02_Parametros'!$B$8/100,"Infraseguro",IF(F9&gt;'02_Parametros'!$B$9/100,"Sobreseguro","Adecuada")))</f>
        <v/>
      </c>
    </row>
    <row r="11">
      <c r="A11" s="22" t="inlineStr">
        <is>
          <t>ⓘ  Cómo se calcula esta hoja</t>
        </is>
      </c>
    </row>
    <row r="12">
      <c r="A12" s="23" t="inlineStr">
        <is>
          <t>Columna</t>
        </is>
      </c>
      <c r="B12" s="23" t="inlineStr">
        <is>
          <t>Fórmula (Excel)</t>
        </is>
      </c>
      <c r="C12" s="23" t="inlineStr">
        <is>
          <t>Cómo se calcula (sencillo)</t>
        </is>
      </c>
      <c r="D12" s="23" t="inlineStr">
        <is>
          <t>Ejemplo con números reales</t>
        </is>
      </c>
      <c r="E12" s="23" t="inlineStr">
        <is>
          <t>De dónde viene</t>
        </is>
      </c>
      <c r="F12" s="23" t="inlineStr">
        <is>
          <t>Norma</t>
        </is>
      </c>
    </row>
    <row r="13">
      <c r="A13" s="24" t="inlineStr">
        <is>
          <t>Estado</t>
        </is>
      </c>
      <c r="B13" s="25" t="inlineStr">
        <is>
          <t>'='05_Vigencia'!E5</t>
        </is>
      </c>
      <c r="C13" s="24" t="inlineStr">
        <is>
          <t>Trae el estado de la póliza al corte (vigente, vencida o no iniciada) desde la hoja 05 (Vigencia de pólizas).</t>
        </is>
      </c>
      <c r="D13" s="24" t="inlineStr">
        <is>
          <t>Fila 1: «Vigente» → Vigente</t>
        </is>
      </c>
      <c r="E13" s="24" t="inlineStr">
        <is>
          <t>hoja «Vigencia de pólizas al corte»</t>
        </is>
      </c>
      <c r="F13" s="24" t="inlineStr">
        <is>
          <t>—</t>
        </is>
      </c>
    </row>
    <row r="14">
      <c r="A14" s="24" t="inlineStr">
        <is>
          <t>Suma asegurada total</t>
        </is>
      </c>
      <c r="B14" s="25" t="inlineStr">
        <is>
          <t>'='04_Polizas'!F5</t>
        </is>
      </c>
      <c r="C14" s="24" t="inlineStr">
        <is>
          <t>Trae la suma asegurada total contratada en la póliza, según la hoja 04 (Pólizas).</t>
        </is>
      </c>
      <c r="D14" s="24" t="inlineStr">
        <is>
          <t>Fila 1: 700.000,00 → 700.000,00</t>
        </is>
      </c>
      <c r="E14" s="24" t="inlineStr">
        <is>
          <t>hoja «Pólizas (datos del cliente)»</t>
        </is>
      </c>
      <c r="F14" s="24" t="inlineStr">
        <is>
          <t>—</t>
        </is>
      </c>
    </row>
    <row r="15">
      <c r="A15" s="24" t="inlineStr">
        <is>
          <t>Referencia asignada</t>
        </is>
      </c>
      <c r="B15" s="25" t="inlineStr">
        <is>
          <t>'=SUMIF('03_Activos'!$F$5:$F$16,A5,'06_Cobertura_activo'!$C$5:$C$16)</t>
        </is>
      </c>
      <c r="C15" s="24" t="inlineStr">
        <is>
          <t>Suma el valor de referencia de todos los activos que el cliente asignó a esta póliza, tomado de la hoja 06 (Universo y cobertura por activo).</t>
        </is>
      </c>
      <c r="D15" s="24" t="inlineStr">
        <is>
          <t>Fila 1: SUMIF([«Póliza» de «Activos asegurables (datos del cliente)», 12 filas]; «POL-01»; [«Valor de referencia» de «Universo y cobertura por activo», 12 filas]) → 950.000,00</t>
        </is>
      </c>
      <c r="E15" s="24" t="inlineStr">
        <is>
          <t>«Póliza» (esta hoja), hoja «Activos asegurables (datos del cliente)», hoja «Universo y cobertura por activo»</t>
        </is>
      </c>
      <c r="F15" s="24" t="inlineStr">
        <is>
          <t>—</t>
        </is>
      </c>
    </row>
    <row r="16">
      <c r="A16" s="24" t="inlineStr">
        <is>
          <t>Activos</t>
        </is>
      </c>
      <c r="B16" s="25" t="inlineStr">
        <is>
          <t>'=COUNTIF('03_Activos'!$F$5:$F$16,A5)</t>
        </is>
      </c>
      <c r="C16" s="24" t="inlineStr">
        <is>
          <t>Cuenta cuántos activos de la hoja 03 (Activos asegurables) están asignados a esta póliza.</t>
        </is>
      </c>
      <c r="D16" s="24" t="inlineStr">
        <is>
          <t>Fila 1: COUNTIF([«Póliza» de «Activos asegurables (datos del cliente)», 12 filas]; «POL-01») → 2</t>
        </is>
      </c>
      <c r="E16" s="24" t="inlineStr">
        <is>
          <t>«Póliza» (esta hoja), hoja «Activos asegurables (datos del cliente)»</t>
        </is>
      </c>
      <c r="F16" s="24" t="inlineStr">
        <is>
          <t>—</t>
        </is>
      </c>
    </row>
    <row r="17">
      <c r="A17" s="24" t="inlineStr">
        <is>
          <t>% cobertura</t>
        </is>
      </c>
      <c r="B17" s="25" t="inlineStr">
        <is>
          <t>'=IF(D5=0,"",C5/D5)</t>
        </is>
      </c>
      <c r="C17" s="24" t="inlineStr">
        <is>
          <t>Divide la suma asegurada total de la póliza entre el valor de referencia asignado; en blanco si no tiene activos asignados.</t>
        </is>
      </c>
      <c r="D17" s="24" t="inlineStr">
        <is>
          <t>Fila 1: IF(950.000,00=0; ""; 700.000,00/950.000,00) → 73,68 %</t>
        </is>
      </c>
      <c r="E17" s="24" t="inlineStr">
        <is>
          <t>«Referencia asignada» (esta hoja), «Suma asegurada total» (esta hoja)</t>
        </is>
      </c>
      <c r="F17" s="24" t="inlineStr">
        <is>
          <t>—</t>
        </is>
      </c>
    </row>
    <row r="18">
      <c r="A18" s="24" t="inlineStr">
        <is>
          <t>Factor proporcional</t>
        </is>
      </c>
      <c r="B18" s="25" t="inlineStr">
        <is>
          <t>'=IF(F5="","",MIN(F5,1))</t>
        </is>
      </c>
      <c r="C18" s="24" t="inlineStr">
        <is>
          <t>Toma el % de cobertura con un máximo de 100 %: es la proporción del daño que pagaría la aseguradora si aplica la regla proporcional por infraseguro.</t>
        </is>
      </c>
      <c r="D18" s="24" t="inlineStr">
        <is>
          <t>Fila 1: IF(73,68 %=""; ""; MIN(73,68 %; 1)) → 73,68 %</t>
        </is>
      </c>
      <c r="E18" s="24" t="inlineStr">
        <is>
          <t>«% cobertura» (esta hoja)</t>
        </is>
      </c>
      <c r="F18" s="24" t="inlineStr">
        <is>
          <t>—</t>
        </is>
      </c>
    </row>
    <row r="19">
      <c r="A19" s="24" t="inlineStr">
        <is>
          <t>Déficit</t>
        </is>
      </c>
      <c r="B19" s="25" t="inlineStr">
        <is>
          <t>'=MAX(D5-C5,0)</t>
        </is>
      </c>
      <c r="C19" s="24" t="inlineStr">
        <is>
          <t>Resta la suma asegurada total al valor de referencia asignado: lo que falta asegurar en la póliza (mínimo cero).</t>
        </is>
      </c>
      <c r="D19" s="24" t="inlineStr">
        <is>
          <t>Fila 1: MAX(950.000,00-700.000,00; 0) → 250.000,00</t>
        </is>
      </c>
      <c r="E19" s="24" t="inlineStr">
        <is>
          <t>«Referencia asignada» (esta hoja), «Suma asegurada total» (esta hoja)</t>
        </is>
      </c>
      <c r="F19" s="24" t="inlineStr">
        <is>
          <t>—</t>
        </is>
      </c>
    </row>
    <row r="20">
      <c r="A20" s="24" t="inlineStr">
        <is>
          <t>Sumas asignadas</t>
        </is>
      </c>
      <c r="B20" s="25" t="inlineStr">
        <is>
          <t>'=SUMIF('03_Activos'!$F$5:$F$16,A5,'06_Cobertura_activo'!$F$5:$F$16)</t>
        </is>
      </c>
      <c r="C20" s="24" t="inlineStr">
        <is>
          <t>Suma las sumas aseguradas asignadas a los activos de esta póliza en la hoja 06 (Universo y cobertura por activo).</t>
        </is>
      </c>
      <c r="D20" s="24" t="inlineStr">
        <is>
          <t>Fila 1: SUMIF([«Póliza» de «Activos asegurables (datos del cliente)», 12 filas]; «POL-01»; [«Suma asegurada asignada» de «Universo y cobertura por activo», 12 filas]) → 700.000,00</t>
        </is>
      </c>
      <c r="E20" s="24" t="inlineStr">
        <is>
          <t>«Póliza» (esta hoja), hoja «Activos asegurables (datos del cliente)», hoja «Universo y cobertura por activo»</t>
        </is>
      </c>
      <c r="F20" s="24" t="inlineStr">
        <is>
          <t>—</t>
        </is>
      </c>
    </row>
    <row r="21">
      <c r="A21" s="24" t="inlineStr">
        <is>
          <t>Total − asignadas</t>
        </is>
      </c>
      <c r="B21" s="25" t="inlineStr">
        <is>
          <t>'=C5-I5</t>
        </is>
      </c>
      <c r="C21" s="24" t="inlineStr">
        <is>
          <t>Resta las sumas asignadas a los activos a la suma asegurada total: distinto de cero indica que la asignación por activo no cuadra con la póliza.</t>
        </is>
      </c>
      <c r="D21" s="24" t="inlineStr">
        <is>
          <t>Fila 1: 700.000,00-700.000,00 → 0,00</t>
        </is>
      </c>
      <c r="E21" s="24" t="inlineStr">
        <is>
          <t>«Suma asegurada total» (esta hoja), «Sumas asignadas» (esta hoja)</t>
        </is>
      </c>
      <c r="F21" s="24" t="inlineStr">
        <is>
          <t>—</t>
        </is>
      </c>
    </row>
    <row r="22">
      <c r="A22" s="24" t="inlineStr">
        <is>
          <t>Clasificación</t>
        </is>
      </c>
      <c r="B22" s="25" t="inlineStr">
        <is>
          <t>'=IF(F5="","Sin activos asignados",IF(F5&lt;'02_Parametros'!$B$8/100,"Infraseguro",IF(F5&gt;'02_Parametros'!$B$9/100,"Sobreseguro","Adecuada")))</t>
        </is>
      </c>
      <c r="C22" s="24" t="inlineStr">
        <is>
          <t>Califica la póliza con su % de cobertura y los umbrales de la hoja 02 (Parámetros): infraseguro, sobreseguro o adecuada; si no tiene activos asignados, lo indica.</t>
        </is>
      </c>
      <c r="D22" s="24" t="inlineStr">
        <is>
          <t>Fila 1: IF(73,68 %=""; "Sin activos asignados"; IF(73,68 %&lt;80,00/100; "Infraseguro"; IF(73,68 %&gt;120,00/100; "Sobreseguro"; "Adecuada"))) → Infraseguro</t>
        </is>
      </c>
      <c r="E22" s="24" t="inlineStr">
        <is>
          <t>«% cobertura» (esta hoja), hoja «Parámetros»</t>
        </is>
      </c>
      <c r="F22" s="24" t="inlineStr">
        <is>
          <t>—</t>
        </is>
      </c>
    </row>
  </sheetData>
  <mergeCells count="3">
    <mergeCell ref="A2:F2"/>
    <mergeCell ref="A11:F11"/>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J27"/>
  <sheetViews>
    <sheetView showGridLines="0" workbookViewId="0">
      <pane ySplit="4" topLeftCell="A5" activePane="bottomLeft" state="frozen"/>
      <selection pane="bottomLeft" activeCell="A1" sqref="A1"/>
    </sheetView>
  </sheetViews>
  <sheetFormatPr baseColWidth="8" defaultRowHeight="15"/>
  <cols>
    <col width="12" customWidth="1" min="1" max="1"/>
    <col width="28" customWidth="1" min="2" max="2"/>
    <col width="21" customWidth="1" min="3" max="3"/>
    <col width="21" customWidth="1" min="4" max="4"/>
    <col width="13" customWidth="1" min="5" max="5"/>
    <col width="12" customWidth="1" min="6" max="6"/>
    <col width="20" customWidth="1" min="7" max="7"/>
    <col width="21" customWidth="1" min="8" max="8"/>
  </cols>
  <sheetData>
    <row r="1">
      <c r="A1" s="3" t="inlineStr">
        <is>
          <t>Deducibles y exposición máxima</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c r="G2" s="16" t="n"/>
      <c r="H2" s="16" t="n"/>
    </row>
    <row r="4" ht="30" customHeight="1">
      <c r="A4" s="17" t="inlineStr">
        <is>
          <t>Código</t>
        </is>
      </c>
      <c r="B4" s="17" t="inlineStr">
        <is>
          <t>Pérdida total (referencia)</t>
        </is>
      </c>
      <c r="C4" s="17" t="inlineStr">
        <is>
          <t>Factor proporcional</t>
        </is>
      </c>
      <c r="D4" s="17" t="inlineStr">
        <is>
          <t>Indemnización bruta</t>
        </is>
      </c>
      <c r="E4" s="17" t="inlineStr">
        <is>
          <t>Deducible %</t>
        </is>
      </c>
      <c r="F4" s="17" t="inlineStr">
        <is>
          <t>Deducible</t>
        </is>
      </c>
      <c r="G4" s="17" t="inlineStr">
        <is>
          <t>Indemnización neta</t>
        </is>
      </c>
      <c r="H4" s="17" t="inlineStr">
        <is>
          <t>Pérdida no cubierta</t>
        </is>
      </c>
    </row>
    <row r="5">
      <c r="A5" s="18" t="inlineStr">
        <is>
          <t>EDIF-01</t>
        </is>
      </c>
      <c r="B5" s="20">
        <f>'06_Cobertura_activo'!C5</f>
        <v/>
      </c>
      <c r="C5" s="35">
        <f>IF(B5=0,0,MIN('06_Cobertura_activo'!G5/B5,1))</f>
        <v/>
      </c>
      <c r="D5" s="20">
        <f>B5*C5</f>
        <v/>
      </c>
      <c r="E5" s="20">
        <f>IF('03_Activos'!H5="",0,'03_Activos'!H5)</f>
        <v/>
      </c>
      <c r="F5" s="20">
        <f>IF(D5=0,0,MIN(B5*E5/100,D5))</f>
        <v/>
      </c>
      <c r="G5" s="20">
        <f>D5-F5</f>
        <v/>
      </c>
      <c r="H5" s="20">
        <f>B5-G5</f>
        <v/>
      </c>
    </row>
    <row r="6">
      <c r="A6" s="19" t="inlineStr">
        <is>
          <t>BOD-01</t>
        </is>
      </c>
      <c r="B6" s="21">
        <f>'06_Cobertura_activo'!C6</f>
        <v/>
      </c>
      <c r="C6" s="36">
        <f>IF(B6=0,0,MIN('06_Cobertura_activo'!G6/B6,1))</f>
        <v/>
      </c>
      <c r="D6" s="21">
        <f>B6*C6</f>
        <v/>
      </c>
      <c r="E6" s="21">
        <f>IF('03_Activos'!H6="",0,'03_Activos'!H6)</f>
        <v/>
      </c>
      <c r="F6" s="21">
        <f>IF(D6=0,0,MIN(B6*E6/100,D6))</f>
        <v/>
      </c>
      <c r="G6" s="21">
        <f>D6-F6</f>
        <v/>
      </c>
      <c r="H6" s="21">
        <f>B6-G6</f>
        <v/>
      </c>
    </row>
    <row r="7">
      <c r="A7" s="18" t="inlineStr">
        <is>
          <t>MAQ-01</t>
        </is>
      </c>
      <c r="B7" s="20">
        <f>'06_Cobertura_activo'!C7</f>
        <v/>
      </c>
      <c r="C7" s="35">
        <f>IF(B7=0,0,MIN('06_Cobertura_activo'!G7/B7,1))</f>
        <v/>
      </c>
      <c r="D7" s="20">
        <f>B7*C7</f>
        <v/>
      </c>
      <c r="E7" s="20">
        <f>IF('03_Activos'!H7="",0,'03_Activos'!H7)</f>
        <v/>
      </c>
      <c r="F7" s="20">
        <f>IF(D7=0,0,MIN(B7*E7/100,D7))</f>
        <v/>
      </c>
      <c r="G7" s="20">
        <f>D7-F7</f>
        <v/>
      </c>
      <c r="H7" s="20">
        <f>B7-G7</f>
        <v/>
      </c>
    </row>
    <row r="8">
      <c r="A8" s="19" t="inlineStr">
        <is>
          <t>MAQ-02</t>
        </is>
      </c>
      <c r="B8" s="21">
        <f>'06_Cobertura_activo'!C8</f>
        <v/>
      </c>
      <c r="C8" s="36">
        <f>IF(B8=0,0,MIN('06_Cobertura_activo'!G8/B8,1))</f>
        <v/>
      </c>
      <c r="D8" s="21">
        <f>B8*C8</f>
        <v/>
      </c>
      <c r="E8" s="21">
        <f>IF('03_Activos'!H8="",0,'03_Activos'!H8)</f>
        <v/>
      </c>
      <c r="F8" s="21">
        <f>IF(D8=0,0,MIN(B8*E8/100,D8))</f>
        <v/>
      </c>
      <c r="G8" s="21">
        <f>D8-F8</f>
        <v/>
      </c>
      <c r="H8" s="21">
        <f>B8-G8</f>
        <v/>
      </c>
    </row>
    <row r="9">
      <c r="A9" s="18" t="inlineStr">
        <is>
          <t>VEH-01</t>
        </is>
      </c>
      <c r="B9" s="20">
        <f>'06_Cobertura_activo'!C9</f>
        <v/>
      </c>
      <c r="C9" s="35">
        <f>IF(B9=0,0,MIN('06_Cobertura_activo'!G9/B9,1))</f>
        <v/>
      </c>
      <c r="D9" s="20">
        <f>B9*C9</f>
        <v/>
      </c>
      <c r="E9" s="20">
        <f>IF('03_Activos'!H9="",0,'03_Activos'!H9)</f>
        <v/>
      </c>
      <c r="F9" s="20">
        <f>IF(D9=0,0,MIN(B9*E9/100,D9))</f>
        <v/>
      </c>
      <c r="G9" s="20">
        <f>D9-F9</f>
        <v/>
      </c>
      <c r="H9" s="20">
        <f>B9-G9</f>
        <v/>
      </c>
    </row>
    <row r="10">
      <c r="A10" s="19" t="inlineStr">
        <is>
          <t>VEH-02</t>
        </is>
      </c>
      <c r="B10" s="21">
        <f>'06_Cobertura_activo'!C10</f>
        <v/>
      </c>
      <c r="C10" s="36">
        <f>IF(B10=0,0,MIN('06_Cobertura_activo'!G10/B10,1))</f>
        <v/>
      </c>
      <c r="D10" s="21">
        <f>B10*C10</f>
        <v/>
      </c>
      <c r="E10" s="21">
        <f>IF('03_Activos'!H10="",0,'03_Activos'!H10)</f>
        <v/>
      </c>
      <c r="F10" s="21">
        <f>IF(D10=0,0,MIN(B10*E10/100,D10))</f>
        <v/>
      </c>
      <c r="G10" s="21">
        <f>D10-F10</f>
        <v/>
      </c>
      <c r="H10" s="21">
        <f>B10-G10</f>
        <v/>
      </c>
    </row>
    <row r="11">
      <c r="A11" s="18" t="inlineStr">
        <is>
          <t>VEH-03</t>
        </is>
      </c>
      <c r="B11" s="20">
        <f>'06_Cobertura_activo'!C11</f>
        <v/>
      </c>
      <c r="C11" s="35">
        <f>IF(B11=0,0,MIN('06_Cobertura_activo'!G11/B11,1))</f>
        <v/>
      </c>
      <c r="D11" s="20">
        <f>B11*C11</f>
        <v/>
      </c>
      <c r="E11" s="20">
        <f>IF('03_Activos'!H11="",0,'03_Activos'!H11)</f>
        <v/>
      </c>
      <c r="F11" s="20">
        <f>IF(D11=0,0,MIN(B11*E11/100,D11))</f>
        <v/>
      </c>
      <c r="G11" s="20">
        <f>D11-F11</f>
        <v/>
      </c>
      <c r="H11" s="20">
        <f>B11-G11</f>
        <v/>
      </c>
    </row>
    <row r="12">
      <c r="A12" s="19" t="inlineStr">
        <is>
          <t>EQC-01</t>
        </is>
      </c>
      <c r="B12" s="21">
        <f>'06_Cobertura_activo'!C12</f>
        <v/>
      </c>
      <c r="C12" s="36">
        <f>IF(B12=0,0,MIN('06_Cobertura_activo'!G12/B12,1))</f>
        <v/>
      </c>
      <c r="D12" s="21">
        <f>B12*C12</f>
        <v/>
      </c>
      <c r="E12" s="21">
        <f>IF('03_Activos'!H12="",0,'03_Activos'!H12)</f>
        <v/>
      </c>
      <c r="F12" s="21">
        <f>IF(D12=0,0,MIN(B12*E12/100,D12))</f>
        <v/>
      </c>
      <c r="G12" s="21">
        <f>D12-F12</f>
        <v/>
      </c>
      <c r="H12" s="21">
        <f>B12-G12</f>
        <v/>
      </c>
    </row>
    <row r="13">
      <c r="A13" s="18" t="inlineStr">
        <is>
          <t>EQC-02</t>
        </is>
      </c>
      <c r="B13" s="20">
        <f>'06_Cobertura_activo'!C13</f>
        <v/>
      </c>
      <c r="C13" s="35">
        <f>IF(B13=0,0,MIN('06_Cobertura_activo'!G13/B13,1))</f>
        <v/>
      </c>
      <c r="D13" s="20">
        <f>B13*C13</f>
        <v/>
      </c>
      <c r="E13" s="20">
        <f>IF('03_Activos'!H13="",0,'03_Activos'!H13)</f>
        <v/>
      </c>
      <c r="F13" s="20">
        <f>IF(D13=0,0,MIN(B13*E13/100,D13))</f>
        <v/>
      </c>
      <c r="G13" s="20">
        <f>D13-F13</f>
        <v/>
      </c>
      <c r="H13" s="20">
        <f>B13-G13</f>
        <v/>
      </c>
    </row>
    <row r="14">
      <c r="A14" s="19" t="inlineStr">
        <is>
          <t>BOD-02</t>
        </is>
      </c>
      <c r="B14" s="21">
        <f>'06_Cobertura_activo'!C14</f>
        <v/>
      </c>
      <c r="C14" s="36">
        <f>IF(B14=0,0,MIN('06_Cobertura_activo'!G14/B14,1))</f>
        <v/>
      </c>
      <c r="D14" s="21">
        <f>B14*C14</f>
        <v/>
      </c>
      <c r="E14" s="21">
        <f>IF('03_Activos'!H14="",0,'03_Activos'!H14)</f>
        <v/>
      </c>
      <c r="F14" s="21">
        <f>IF(D14=0,0,MIN(B14*E14/100,D14))</f>
        <v/>
      </c>
      <c r="G14" s="21">
        <f>D14-F14</f>
        <v/>
      </c>
      <c r="H14" s="21">
        <f>B14-G14</f>
        <v/>
      </c>
    </row>
    <row r="15">
      <c r="A15" s="18" t="inlineStr">
        <is>
          <t>MOB-01</t>
        </is>
      </c>
      <c r="B15" s="20">
        <f>'06_Cobertura_activo'!C15</f>
        <v/>
      </c>
      <c r="C15" s="35">
        <f>IF(B15=0,0,MIN('06_Cobertura_activo'!G15/B15,1))</f>
        <v/>
      </c>
      <c r="D15" s="20">
        <f>B15*C15</f>
        <v/>
      </c>
      <c r="E15" s="20">
        <f>IF('03_Activos'!H15="",0,'03_Activos'!H15)</f>
        <v/>
      </c>
      <c r="F15" s="20">
        <f>IF(D15=0,0,MIN(B15*E15/100,D15))</f>
        <v/>
      </c>
      <c r="G15" s="20">
        <f>D15-F15</f>
        <v/>
      </c>
      <c r="H15" s="20">
        <f>B15-G15</f>
        <v/>
      </c>
    </row>
    <row r="16">
      <c r="A16" s="19" t="inlineStr">
        <is>
          <t>GEN-01</t>
        </is>
      </c>
      <c r="B16" s="21">
        <f>'06_Cobertura_activo'!C16</f>
        <v/>
      </c>
      <c r="C16" s="36">
        <f>IF(B16=0,0,MIN('06_Cobertura_activo'!G16/B16,1))</f>
        <v/>
      </c>
      <c r="D16" s="21">
        <f>B16*C16</f>
        <v/>
      </c>
      <c r="E16" s="21">
        <f>IF('03_Activos'!H16="",0,'03_Activos'!H16)</f>
        <v/>
      </c>
      <c r="F16" s="21">
        <f>IF(D16=0,0,MIN(B16*E16/100,D16))</f>
        <v/>
      </c>
      <c r="G16" s="21">
        <f>D16-F16</f>
        <v/>
      </c>
      <c r="H16" s="21">
        <f>B16-G16</f>
        <v/>
      </c>
    </row>
    <row r="17">
      <c r="A17" s="29" t="inlineStr">
        <is>
          <t>TOTAL</t>
        </is>
      </c>
      <c r="B17" s="30" t="n"/>
      <c r="C17" s="37" t="n"/>
      <c r="D17" s="30" t="n"/>
      <c r="E17" s="30" t="n"/>
      <c r="F17" s="30">
        <f>SUM(F5:F16)</f>
        <v/>
      </c>
      <c r="G17" s="30" t="n"/>
      <c r="H17" s="30">
        <f>SUM(H5:H16)</f>
        <v/>
      </c>
    </row>
    <row r="19">
      <c r="A19" s="22" t="inlineStr">
        <is>
          <t>ⓘ  Cómo se calcula esta hoja</t>
        </is>
      </c>
    </row>
    <row r="20">
      <c r="A20" s="23" t="inlineStr">
        <is>
          <t>Columna</t>
        </is>
      </c>
      <c r="B20" s="23" t="inlineStr">
        <is>
          <t>Fórmula (Excel)</t>
        </is>
      </c>
      <c r="C20" s="23" t="inlineStr">
        <is>
          <t>Cómo se calcula (sencillo)</t>
        </is>
      </c>
      <c r="D20" s="23" t="inlineStr">
        <is>
          <t>Ejemplo con números reales</t>
        </is>
      </c>
      <c r="E20" s="23" t="inlineStr">
        <is>
          <t>De dónde viene</t>
        </is>
      </c>
      <c r="F20" s="23" t="inlineStr">
        <is>
          <t>Norma</t>
        </is>
      </c>
    </row>
    <row r="21">
      <c r="A21" s="24" t="inlineStr">
        <is>
          <t>Pérdida total (referencia)</t>
        </is>
      </c>
      <c r="B21" s="25" t="inlineStr">
        <is>
          <t>'='06_Cobertura_activo'!C5</t>
        </is>
      </c>
      <c r="C21" s="24" t="inlineStr">
        <is>
          <t>Supone la pérdida total del activo: trae su valor de referencia de la hoja 06 (Universo y cobertura por activo).</t>
        </is>
      </c>
      <c r="D21" s="24" t="inlineStr">
        <is>
          <t>Fila 1: 650.000,00 → 650.000,00</t>
        </is>
      </c>
      <c r="E21" s="24" t="inlineStr">
        <is>
          <t>hoja «Universo y cobertura por activo»</t>
        </is>
      </c>
      <c r="F21" s="24" t="inlineStr">
        <is>
          <t>—</t>
        </is>
      </c>
    </row>
    <row r="22">
      <c r="A22" s="24" t="inlineStr">
        <is>
          <t>Factor proporcional</t>
        </is>
      </c>
      <c r="B22" s="25" t="inlineStr">
        <is>
          <t>'=IF(B5=0,0,MIN('06_Cobertura_activo'!G5/B5,1))</t>
        </is>
      </c>
      <c r="C22" s="24" t="inlineStr">
        <is>
          <t>Divide la suma asegurada vigente del activo (hoja 06) entre la pérdida total, con un máximo de 100 %; si la pérdida es cero, el factor es cero.</t>
        </is>
      </c>
      <c r="D22" s="24" t="inlineStr">
        <is>
          <t>Fila 1: IF(650.000,00=0; 0; MIN(478.947,37/650.000,00; 1)) → 73,68 %</t>
        </is>
      </c>
      <c r="E22" s="24" t="inlineStr">
        <is>
          <t>«Pérdida total (referencia)» (esta hoja), hoja «Universo y cobertura por activo»</t>
        </is>
      </c>
      <c r="F22" s="24" t="inlineStr">
        <is>
          <t>—</t>
        </is>
      </c>
    </row>
    <row r="23">
      <c r="A23" s="24" t="inlineStr">
        <is>
          <t>Indemnización bruta</t>
        </is>
      </c>
      <c r="B23" s="25" t="inlineStr">
        <is>
          <t>'=B5*C5</t>
        </is>
      </c>
      <c r="C23" s="24" t="inlineStr">
        <is>
          <t>Multiplica la pérdida total por el factor proporcional: lo que pagaría la aseguradora antes del deducible.</t>
        </is>
      </c>
      <c r="D23" s="24" t="inlineStr">
        <is>
          <t>Fila 1: 650.000,00*73,68 % → 478.947,37</t>
        </is>
      </c>
      <c r="E23" s="24" t="inlineStr">
        <is>
          <t>«Pérdida total (referencia)» (esta hoja), «Factor proporcional» (esta hoja)</t>
        </is>
      </c>
      <c r="F23" s="24" t="inlineStr">
        <is>
          <t>—</t>
        </is>
      </c>
    </row>
    <row r="24">
      <c r="A24" s="24" t="inlineStr">
        <is>
          <t>Deducible %</t>
        </is>
      </c>
      <c r="B24" s="25" t="inlineStr">
        <is>
          <t>'=IF('03_Activos'!H5="",0,'03_Activos'!H5)</t>
        </is>
      </c>
      <c r="C24" s="24" t="inlineStr">
        <is>
          <t>Trae el porcentaje de deducible del activo informado en la hoja 03 (Activos asegurables); si está en blanco, se toma como cero.</t>
        </is>
      </c>
      <c r="D24" s="24" t="inlineStr">
        <is>
          <t>Fila 1: IF(2,00=""; 0; 2,00) → 2,00</t>
        </is>
      </c>
      <c r="E24" s="24" t="inlineStr">
        <is>
          <t>hoja «Activos asegurables (datos del cliente)»</t>
        </is>
      </c>
      <c r="F24" s="24" t="inlineStr">
        <is>
          <t>—</t>
        </is>
      </c>
    </row>
    <row r="25">
      <c r="A25" s="24" t="inlineStr">
        <is>
          <t>Deducible</t>
        </is>
      </c>
      <c r="B25" s="25" t="inlineStr">
        <is>
          <t>'=IF(D5=0,0,MIN(B5*E5/100,D5))</t>
        </is>
      </c>
      <c r="C25" s="24" t="inlineStr">
        <is>
          <t>Aplica el porcentaje de deducible sobre la pérdida total, sin pasar de la indemnización bruta; si no hay indemnización, es cero.</t>
        </is>
      </c>
      <c r="D25" s="24" t="inlineStr">
        <is>
          <t>Fila 1: IF(478.947,37=0; 0; MIN(650.000,00*2,00/100; 478.947,37)) → 13.000,00</t>
        </is>
      </c>
      <c r="E25" s="24" t="inlineStr">
        <is>
          <t>«Indemnización bruta» (esta hoja), «Pérdida total (referencia)» (esta hoja), «Deducible %» (esta hoja)</t>
        </is>
      </c>
      <c r="F25" s="24" t="inlineStr">
        <is>
          <t>—</t>
        </is>
      </c>
    </row>
    <row r="26">
      <c r="A26" s="24" t="inlineStr">
        <is>
          <t>Indemnización neta</t>
        </is>
      </c>
      <c r="B26" s="25" t="inlineStr">
        <is>
          <t>'=D5-F5</t>
        </is>
      </c>
      <c r="C26" s="24" t="inlineStr">
        <is>
          <t>Resta el deducible a la indemnización bruta: es lo que efectivamente cobraría la entidad.</t>
        </is>
      </c>
      <c r="D26" s="24" t="inlineStr">
        <is>
          <t>Fila 1: 478.947,37-13.000,00 → 465.947,37</t>
        </is>
      </c>
      <c r="E26" s="24" t="inlineStr">
        <is>
          <t>«Indemnización bruta» (esta hoja), «Deducible» (esta hoja)</t>
        </is>
      </c>
      <c r="F26" s="24" t="inlineStr">
        <is>
          <t>—</t>
        </is>
      </c>
    </row>
    <row r="27">
      <c r="A27" s="24" t="inlineStr">
        <is>
          <t>Pérdida no cubierta</t>
        </is>
      </c>
      <c r="B27" s="25" t="inlineStr">
        <is>
          <t>'=B5-G5</t>
        </is>
      </c>
      <c r="C27" s="24" t="inlineStr">
        <is>
          <t>Resta la indemnización neta a la pérdida total: es lo que la entidad perdería de su bolsillo.</t>
        </is>
      </c>
      <c r="D27" s="24" t="inlineStr">
        <is>
          <t>Fila 1: 650.000,00-465.947,37 → 184.052,63</t>
        </is>
      </c>
      <c r="E27" s="24" t="inlineStr">
        <is>
          <t>«Pérdida total (referencia)» (esta hoja), «Indemnización neta» (esta hoja)</t>
        </is>
      </c>
      <c r="F27" s="24" t="inlineStr">
        <is>
          <t>—</t>
        </is>
      </c>
    </row>
  </sheetData>
  <mergeCells count="3">
    <mergeCell ref="A19:F19"/>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J16"/>
  <sheetViews>
    <sheetView showGridLines="0" workbookViewId="0">
      <pane ySplit="4" topLeftCell="A5" activePane="bottomLeft" state="frozen"/>
      <selection pane="bottomLeft" activeCell="A1" sqref="A1"/>
    </sheetView>
  </sheetViews>
  <sheetFormatPr baseColWidth="8" defaultRowHeight="15"/>
  <cols>
    <col width="12" customWidth="1" min="1" max="1"/>
    <col width="25" customWidth="1" min="2" max="2"/>
    <col width="12" customWidth="1" min="3" max="3"/>
    <col width="22" customWidth="1" min="4" max="4"/>
    <col width="17" customWidth="1" min="5" max="5"/>
    <col width="21" customWidth="1" min="6" max="6"/>
  </cols>
  <sheetData>
    <row r="1">
      <c r="A1" s="3" t="inlineStr">
        <is>
          <t>Activos sin cobertura</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row>
    <row r="4" ht="30" customHeight="1">
      <c r="A4" s="17" t="inlineStr">
        <is>
          <t>Código</t>
        </is>
      </c>
      <c r="B4" s="17" t="inlineStr">
        <is>
          <t>Descripción</t>
        </is>
      </c>
      <c r="C4" s="17" t="inlineStr">
        <is>
          <t>Póliza</t>
        </is>
      </c>
      <c r="D4" s="17" t="inlineStr">
        <is>
          <t>Motivo</t>
        </is>
      </c>
      <c r="E4" s="17" t="inlineStr">
        <is>
          <t>Valor en libros</t>
        </is>
      </c>
      <c r="F4" s="17" t="inlineStr">
        <is>
          <t>Valor de referencia</t>
        </is>
      </c>
    </row>
    <row r="5">
      <c r="A5" s="18" t="inlineStr">
        <is>
          <t>EQC-01</t>
        </is>
      </c>
      <c r="B5" s="18" t="inlineStr">
        <is>
          <t>Servidores</t>
        </is>
      </c>
      <c r="C5" s="18" t="inlineStr">
        <is>
          <t>POL-03</t>
        </is>
      </c>
      <c r="D5" s="18">
        <f>'06_Cobertura_activo'!E12</f>
        <v/>
      </c>
      <c r="E5" s="20">
        <f>'03_Activos'!D12</f>
        <v/>
      </c>
      <c r="F5" s="20">
        <f>'06_Cobertura_activo'!C12</f>
        <v/>
      </c>
    </row>
    <row r="6">
      <c r="A6" s="19" t="inlineStr">
        <is>
          <t>EQC-02</t>
        </is>
      </c>
      <c r="B6" s="19" t="inlineStr">
        <is>
          <t>Computadores portátiles</t>
        </is>
      </c>
      <c r="C6" s="19" t="inlineStr">
        <is>
          <t>POL-03</t>
        </is>
      </c>
      <c r="D6" s="19">
        <f>'06_Cobertura_activo'!E13</f>
        <v/>
      </c>
      <c r="E6" s="21">
        <f>'03_Activos'!D13</f>
        <v/>
      </c>
      <c r="F6" s="21">
        <f>'06_Cobertura_activo'!C13</f>
        <v/>
      </c>
    </row>
    <row r="7">
      <c r="A7" s="18" t="inlineStr">
        <is>
          <t>BOD-02</t>
        </is>
      </c>
      <c r="B7" s="18" t="inlineStr">
        <is>
          <t>Bodega norte</t>
        </is>
      </c>
      <c r="C7" s="18" t="inlineStr">
        <is>
          <t>POL-05</t>
        </is>
      </c>
      <c r="D7" s="18">
        <f>'06_Cobertura_activo'!E14</f>
        <v/>
      </c>
      <c r="E7" s="20">
        <f>'03_Activos'!D14</f>
        <v/>
      </c>
      <c r="F7" s="20">
        <f>'06_Cobertura_activo'!C14</f>
        <v/>
      </c>
    </row>
    <row r="8">
      <c r="A8" s="19" t="inlineStr">
        <is>
          <t>MOB-01</t>
        </is>
      </c>
      <c r="B8" s="19" t="inlineStr">
        <is>
          <t>Mobiliario de oficinas</t>
        </is>
      </c>
      <c r="C8" s="19" t="inlineStr"/>
      <c r="D8" s="19">
        <f>'06_Cobertura_activo'!E15</f>
        <v/>
      </c>
      <c r="E8" s="21">
        <f>'03_Activos'!D15</f>
        <v/>
      </c>
      <c r="F8" s="21">
        <f>'06_Cobertura_activo'!C15</f>
        <v/>
      </c>
    </row>
    <row r="9">
      <c r="A9" s="18" t="inlineStr">
        <is>
          <t>GEN-01</t>
        </is>
      </c>
      <c r="B9" s="18" t="inlineStr">
        <is>
          <t>Generador eléctrico</t>
        </is>
      </c>
      <c r="C9" s="18" t="inlineStr">
        <is>
          <t>POL-09</t>
        </is>
      </c>
      <c r="D9" s="18">
        <f>'06_Cobertura_activo'!E16</f>
        <v/>
      </c>
      <c r="E9" s="20">
        <f>'03_Activos'!D16</f>
        <v/>
      </c>
      <c r="F9" s="20">
        <f>'06_Cobertura_activo'!C16</f>
        <v/>
      </c>
    </row>
    <row r="10">
      <c r="A10" s="29" t="inlineStr">
        <is>
          <t>TOTAL</t>
        </is>
      </c>
      <c r="B10" s="29" t="inlineStr"/>
      <c r="C10" s="29" t="inlineStr"/>
      <c r="D10" s="29" t="inlineStr"/>
      <c r="E10" s="30">
        <f>SUM(E5:E9)</f>
        <v/>
      </c>
      <c r="F10" s="30">
        <f>SUM(F5:F9)</f>
        <v/>
      </c>
    </row>
    <row r="12">
      <c r="A12" s="22" t="inlineStr">
        <is>
          <t>ⓘ  Cómo se calcula esta hoja</t>
        </is>
      </c>
    </row>
    <row r="13">
      <c r="A13" s="23" t="inlineStr">
        <is>
          <t>Columna</t>
        </is>
      </c>
      <c r="B13" s="23" t="inlineStr">
        <is>
          <t>Fórmula (Excel)</t>
        </is>
      </c>
      <c r="C13" s="23" t="inlineStr">
        <is>
          <t>Cómo se calcula (sencillo)</t>
        </is>
      </c>
      <c r="D13" s="23" t="inlineStr">
        <is>
          <t>Ejemplo con números reales</t>
        </is>
      </c>
      <c r="E13" s="23" t="inlineStr">
        <is>
          <t>De dónde viene</t>
        </is>
      </c>
      <c r="F13" s="23" t="inlineStr">
        <is>
          <t>Norma</t>
        </is>
      </c>
    </row>
    <row r="14">
      <c r="A14" s="24" t="inlineStr">
        <is>
          <t>Motivo</t>
        </is>
      </c>
      <c r="B14" s="25" t="inlineStr">
        <is>
          <t>'='06_Cobertura_activo'!E12</t>
        </is>
      </c>
      <c r="C14" s="24" t="inlineStr">
        <is>
          <t>Trae de la hoja 06 (Universo y cobertura por activo) el estado de la póliza del activo: sin póliza, póliza no encontrada, vencida o no iniciada.</t>
        </is>
      </c>
      <c r="D14" s="24" t="inlineStr">
        <is>
          <t>Fila 1: «Vencida» → Vencida</t>
        </is>
      </c>
      <c r="E14" s="24" t="inlineStr">
        <is>
          <t>hoja «Universo y cobertura por activo»</t>
        </is>
      </c>
      <c r="F14" s="24" t="inlineStr">
        <is>
          <t>—</t>
        </is>
      </c>
    </row>
    <row r="15">
      <c r="A15" s="24" t="inlineStr">
        <is>
          <t>Valor en libros</t>
        </is>
      </c>
      <c r="B15" s="25" t="inlineStr">
        <is>
          <t>'='03_Activos'!D12</t>
        </is>
      </c>
      <c r="C15" s="24" t="inlineStr">
        <is>
          <t>Trae el valor en libros del activo sin cobertura vigente, tomado de la hoja 03 (Activos asegurables).</t>
        </is>
      </c>
      <c r="D15" s="24" t="inlineStr">
        <is>
          <t>Fila 1: 10.000,00 → 10.000,00</t>
        </is>
      </c>
      <c r="E15" s="24" t="inlineStr">
        <is>
          <t>hoja «Activos asegurables (datos del cliente)»</t>
        </is>
      </c>
      <c r="F15" s="24" t="inlineStr">
        <is>
          <t>—</t>
        </is>
      </c>
    </row>
    <row r="16">
      <c r="A16" s="24" t="inlineStr">
        <is>
          <t>Valor de referencia</t>
        </is>
      </c>
      <c r="B16" s="25" t="inlineStr">
        <is>
          <t>'='06_Cobertura_activo'!C12</t>
        </is>
      </c>
      <c r="C16" s="24" t="inlineStr">
        <is>
          <t>Trae el valor de referencia (reposición, tasación o libros) del activo desde la hoja 06 (Cobertura por activo).</t>
        </is>
      </c>
      <c r="D16" s="24" t="inlineStr">
        <is>
          <t>Fila 1: 30.000,00 → 30.000,00</t>
        </is>
      </c>
      <c r="E16" s="24" t="inlineStr">
        <is>
          <t>hoja «Universo y cobertura por activo»</t>
        </is>
      </c>
      <c r="F16" s="24" t="inlineStr">
        <is>
          <t>—</t>
        </is>
      </c>
    </row>
  </sheetData>
  <mergeCells count="3">
    <mergeCell ref="A2:F2"/>
    <mergeCell ref="A1:F1"/>
    <mergeCell ref="A12:F12"/>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J19"/>
  <sheetViews>
    <sheetView showGridLines="0" workbookViewId="0">
      <pane ySplit="4" topLeftCell="A5" activePane="bottomLeft" state="frozen"/>
      <selection pane="bottomLeft" activeCell="A1" sqref="A1"/>
    </sheetView>
  </sheetViews>
  <sheetFormatPr baseColWidth="8" defaultRowHeight="15"/>
  <cols>
    <col width="12" customWidth="1" min="1" max="1"/>
    <col width="13" customWidth="1" min="2" max="2"/>
    <col width="18" customWidth="1" min="3" max="3"/>
    <col width="22" customWidth="1" min="4" max="4"/>
    <col width="24" customWidth="1" min="5" max="5"/>
    <col width="23" customWidth="1" min="6" max="6"/>
    <col width="26" customWidth="1" min="7" max="7"/>
  </cols>
  <sheetData>
    <row r="1">
      <c r="A1" s="3" t="inlineStr">
        <is>
          <t>Prima pagada por anticipado</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c r="G2" s="16" t="n"/>
    </row>
    <row r="4" ht="30" customHeight="1">
      <c r="A4" s="17" t="inlineStr">
        <is>
          <t>Póliza</t>
        </is>
      </c>
      <c r="B4" s="17" t="inlineStr">
        <is>
          <t>Prima total</t>
        </is>
      </c>
      <c r="C4" s="17" t="inlineStr">
        <is>
          <t>Días de vigencia</t>
        </is>
      </c>
      <c r="D4" s="17" t="inlineStr">
        <is>
          <t>Días por transcurrir</t>
        </is>
      </c>
      <c r="E4" s="17" t="inlineStr">
        <is>
          <t>Anticipada recalculada</t>
        </is>
      </c>
      <c r="F4" s="17" t="inlineStr">
        <is>
          <t>Anticipada registrada</t>
        </is>
      </c>
      <c r="G4" s="17" t="inlineStr">
        <is>
          <t>Registrada − recalculada</t>
        </is>
      </c>
    </row>
    <row r="5">
      <c r="A5" s="18" t="inlineStr">
        <is>
          <t>POL-01</t>
        </is>
      </c>
      <c r="B5" s="20">
        <f>IF('04_Polizas'!G5="","",'04_Polizas'!G5)</f>
        <v/>
      </c>
      <c r="C5" s="33">
        <f>'05_Vigencia'!D5</f>
        <v/>
      </c>
      <c r="D5" s="33">
        <f>MAX(MIN('04_Polizas'!E5-'02_Parametros'!$B$5,C5),0)</f>
        <v/>
      </c>
      <c r="E5" s="20">
        <f>IF(B5="","",B5*D5/C5)</f>
        <v/>
      </c>
      <c r="F5" s="20">
        <f>IF('04_Polizas'!H5="","",'04_Polizas'!H5)</f>
        <v/>
      </c>
      <c r="G5" s="20">
        <f>IF(OR(E5="",F5=""),"",F5-E5)</f>
        <v/>
      </c>
    </row>
    <row r="6">
      <c r="A6" s="19" t="inlineStr">
        <is>
          <t>POL-02</t>
        </is>
      </c>
      <c r="B6" s="21">
        <f>IF('04_Polizas'!G6="","",'04_Polizas'!G6)</f>
        <v/>
      </c>
      <c r="C6" s="34">
        <f>'05_Vigencia'!D6</f>
        <v/>
      </c>
      <c r="D6" s="34">
        <f>MAX(MIN('04_Polizas'!E6-'02_Parametros'!$B$5,C6),0)</f>
        <v/>
      </c>
      <c r="E6" s="21">
        <f>IF(B6="","",B6*D6/C6)</f>
        <v/>
      </c>
      <c r="F6" s="21">
        <f>IF('04_Polizas'!H6="","",'04_Polizas'!H6)</f>
        <v/>
      </c>
      <c r="G6" s="21">
        <f>IF(OR(E6="",F6=""),"",F6-E6)</f>
        <v/>
      </c>
    </row>
    <row r="7">
      <c r="A7" s="18" t="inlineStr">
        <is>
          <t>POL-03</t>
        </is>
      </c>
      <c r="B7" s="20">
        <f>IF('04_Polizas'!G7="","",'04_Polizas'!G7)</f>
        <v/>
      </c>
      <c r="C7" s="33">
        <f>'05_Vigencia'!D7</f>
        <v/>
      </c>
      <c r="D7" s="33">
        <f>MAX(MIN('04_Polizas'!E7-'02_Parametros'!$B$5,C7),0)</f>
        <v/>
      </c>
      <c r="E7" s="20">
        <f>IF(B7="","",B7*D7/C7)</f>
        <v/>
      </c>
      <c r="F7" s="20">
        <f>IF('04_Polizas'!H7="","",'04_Polizas'!H7)</f>
        <v/>
      </c>
      <c r="G7" s="20">
        <f>IF(OR(E7="",F7=""),"",F7-E7)</f>
        <v/>
      </c>
    </row>
    <row r="8">
      <c r="A8" s="19" t="inlineStr">
        <is>
          <t>POL-04</t>
        </is>
      </c>
      <c r="B8" s="21">
        <f>IF('04_Polizas'!G8="","",'04_Polizas'!G8)</f>
        <v/>
      </c>
      <c r="C8" s="34">
        <f>'05_Vigencia'!D8</f>
        <v/>
      </c>
      <c r="D8" s="34">
        <f>MAX(MIN('04_Polizas'!E8-'02_Parametros'!$B$5,C8),0)</f>
        <v/>
      </c>
      <c r="E8" s="21">
        <f>IF(B8="","",B8*D8/C8)</f>
        <v/>
      </c>
      <c r="F8" s="21">
        <f>IF('04_Polizas'!H8="","",'04_Polizas'!H8)</f>
        <v/>
      </c>
      <c r="G8" s="21">
        <f>IF(OR(E8="",F8=""),"",F8-E8)</f>
        <v/>
      </c>
    </row>
    <row r="9">
      <c r="A9" s="18" t="inlineStr">
        <is>
          <t>POL-05</t>
        </is>
      </c>
      <c r="B9" s="20">
        <f>IF('04_Polizas'!G9="","",'04_Polizas'!G9)</f>
        <v/>
      </c>
      <c r="C9" s="33">
        <f>'05_Vigencia'!D9</f>
        <v/>
      </c>
      <c r="D9" s="33">
        <f>MAX(MIN('04_Polizas'!E9-'02_Parametros'!$B$5,C9),0)</f>
        <v/>
      </c>
      <c r="E9" s="20">
        <f>IF(B9="","",B9*D9/C9)</f>
        <v/>
      </c>
      <c r="F9" s="20">
        <f>IF('04_Polizas'!H9="","",'04_Polizas'!H9)</f>
        <v/>
      </c>
      <c r="G9" s="20">
        <f>IF(OR(E9="",F9=""),"",F9-E9)</f>
        <v/>
      </c>
    </row>
    <row r="10">
      <c r="A10" s="29" t="inlineStr">
        <is>
          <t>TOTAL</t>
        </is>
      </c>
      <c r="B10" s="30" t="n"/>
      <c r="C10" s="38" t="n"/>
      <c r="D10" s="38" t="n"/>
      <c r="E10" s="30">
        <f>SUM(E5:E9)</f>
        <v/>
      </c>
      <c r="F10" s="30">
        <f>SUM(F5:F9)</f>
        <v/>
      </c>
      <c r="G10" s="30">
        <f>SUM(G5:G9)</f>
        <v/>
      </c>
    </row>
    <row r="12">
      <c r="A12" s="22" t="inlineStr">
        <is>
          <t>ⓘ  Cómo se calcula esta hoja</t>
        </is>
      </c>
    </row>
    <row r="13">
      <c r="A13" s="23" t="inlineStr">
        <is>
          <t>Columna</t>
        </is>
      </c>
      <c r="B13" s="23" t="inlineStr">
        <is>
          <t>Fórmula (Excel)</t>
        </is>
      </c>
      <c r="C13" s="23" t="inlineStr">
        <is>
          <t>Cómo se calcula (sencillo)</t>
        </is>
      </c>
      <c r="D13" s="23" t="inlineStr">
        <is>
          <t>Ejemplo con números reales</t>
        </is>
      </c>
      <c r="E13" s="23" t="inlineStr">
        <is>
          <t>De dónde viene</t>
        </is>
      </c>
      <c r="F13" s="23" t="inlineStr">
        <is>
          <t>Norma</t>
        </is>
      </c>
    </row>
    <row r="14">
      <c r="A14" s="24" t="inlineStr">
        <is>
          <t>Prima total</t>
        </is>
      </c>
      <c r="B14" s="25" t="inlineStr">
        <is>
          <t>'=IF('04_Polizas'!G5="","",'04_Polizas'!G5)</t>
        </is>
      </c>
      <c r="C14" s="24" t="inlineStr">
        <is>
          <t>Trae la prima total de la póliza informada en la hoja 04 (Pólizas); si no se informó, queda en blanco.</t>
        </is>
      </c>
      <c r="D14" s="24" t="inlineStr">
        <is>
          <t>Fila 1: IF(7.300,00=""; ""; 7.300,00) → 7.300,00</t>
        </is>
      </c>
      <c r="E14" s="24" t="inlineStr">
        <is>
          <t>hoja «Pólizas (datos del cliente)»</t>
        </is>
      </c>
      <c r="F14" s="24" t="inlineStr">
        <is>
          <t>—</t>
        </is>
      </c>
    </row>
    <row r="15">
      <c r="A15" s="24" t="inlineStr">
        <is>
          <t>Días de vigencia</t>
        </is>
      </c>
      <c r="B15" s="25" t="inlineStr">
        <is>
          <t>'='05_Vigencia'!D5</t>
        </is>
      </c>
      <c r="C15" s="24" t="inlineStr">
        <is>
          <t>Trae los días que dura la póliza, calculados en la hoja 05 (Vigencia de pólizas al corte).</t>
        </is>
      </c>
      <c r="D15" s="24" t="inlineStr">
        <is>
          <t>Fila 1: 365 → 365</t>
        </is>
      </c>
      <c r="E15" s="24" t="inlineStr">
        <is>
          <t>hoja «Vigencia de pólizas al corte»</t>
        </is>
      </c>
      <c r="F15" s="24" t="inlineStr">
        <is>
          <t>—</t>
        </is>
      </c>
    </row>
    <row r="16">
      <c r="A16" s="24" t="inlineStr">
        <is>
          <t>Días por transcurrir</t>
        </is>
      </c>
      <c r="B16" s="25" t="inlineStr">
        <is>
          <t>'=MAX(MIN('04_Polizas'!E5-'02_Parametros'!$B$5,C5),0)</t>
        </is>
      </c>
      <c r="C16" s="24" t="inlineStr">
        <is>
          <t>Resta la fecha de corte (hoja 02) a la fecha «hasta» de la hoja 04 (Pólizas), sin pasar de los días de vigencia; si la póliza ya venció, es cero.</t>
        </is>
      </c>
      <c r="D16" s="24" t="inlineStr">
        <is>
          <t>Fila 1: MAX(MIN(«2026-07-01»-«2025-12-31»; 365); 0) → 182</t>
        </is>
      </c>
      <c r="E16" s="24" t="inlineStr">
        <is>
          <t>«Días de vigencia» (esta hoja), hoja «Pólizas (datos del cliente)», hoja «Parámetros»</t>
        </is>
      </c>
      <c r="F16" s="24" t="inlineStr">
        <is>
          <t>—</t>
        </is>
      </c>
    </row>
    <row r="17">
      <c r="A17" s="24" t="inlineStr">
        <is>
          <t>Anticipada recalculada</t>
        </is>
      </c>
      <c r="B17" s="25" t="inlineStr">
        <is>
          <t>'=IF(B5="","",B5*D5/C5)</t>
        </is>
      </c>
      <c r="C17" s="24" t="inlineStr">
        <is>
          <t>Multiplica la prima total por los días por transcurrir y la divide para los días de vigencia: es la parte de la prima que aún no se ha devengado.</t>
        </is>
      </c>
      <c r="D17" s="24" t="inlineStr">
        <is>
          <t>Fila 1: IF(7.300,00=""; ""; 7.300,00*182/365) → 3.640,00</t>
        </is>
      </c>
      <c r="E17" s="24" t="inlineStr">
        <is>
          <t>«Prima total» (esta hoja), «Días por transcurrir» (esta hoja), «Días de vigencia» (esta hoja)</t>
        </is>
      </c>
      <c r="F17" s="24" t="inlineStr">
        <is>
          <t>—</t>
        </is>
      </c>
    </row>
    <row r="18">
      <c r="A18" s="24" t="inlineStr">
        <is>
          <t>Anticipada registrada</t>
        </is>
      </c>
      <c r="B18" s="25" t="inlineStr">
        <is>
          <t>'=IF('04_Polizas'!H5="","",'04_Polizas'!H5)</t>
        </is>
      </c>
      <c r="C18" s="24" t="inlineStr">
        <is>
          <t>Trae la prima pagada por anticipado que registró el cliente para la póliza en la hoja 04 (Pólizas); en blanco si falta.</t>
        </is>
      </c>
      <c r="D18" s="24" t="inlineStr">
        <is>
          <t>Fila 1: IF(3.640,00=""; ""; 3.640,00) → 3.640,00</t>
        </is>
      </c>
      <c r="E18" s="24" t="inlineStr">
        <is>
          <t>hoja «Pólizas (datos del cliente)»</t>
        </is>
      </c>
      <c r="F18" s="24" t="inlineStr">
        <is>
          <t>—</t>
        </is>
      </c>
    </row>
    <row r="19">
      <c r="A19" s="24" t="inlineStr">
        <is>
          <t>Registrada − recalculada</t>
        </is>
      </c>
      <c r="B19" s="25" t="inlineStr">
        <is>
          <t>'=IF(OR(E5="",F5=""),"",F5-E5)</t>
        </is>
      </c>
      <c r="C19" s="24" t="inlineStr">
        <is>
          <t>Resta la anticipada recalculada a la registrada: positivo es anticipo de más (falta llevar a gasto); en blanco si falta alguna de las dos.</t>
        </is>
      </c>
      <c r="D19" s="24" t="inlineStr">
        <is>
          <t>Fila 1: IF(OR(3.640,00=""; 3.640,00=""); ""; 3.640,00-3.640,00) → 0,00</t>
        </is>
      </c>
      <c r="E19" s="24" t="inlineStr">
        <is>
          <t>«Anticipada recalculada» (esta hoja), «Anticipada registrada» (esta hoja)</t>
        </is>
      </c>
      <c r="F19" s="24" t="inlineStr">
        <is>
          <t>—</t>
        </is>
      </c>
    </row>
  </sheetData>
  <mergeCells count="3">
    <mergeCell ref="A2:F2"/>
    <mergeCell ref="A1:F1"/>
    <mergeCell ref="A12:F12"/>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K16"/>
  <sheetViews>
    <sheetView showGridLines="0" workbookViewId="0">
      <pane ySplit="4" topLeftCell="A5" activePane="bottomLeft" state="frozen"/>
      <selection pane="bottomLeft" activeCell="A1" sqref="A1"/>
    </sheetView>
  </sheetViews>
  <sheetFormatPr baseColWidth="8" defaultRowHeight="15"/>
  <cols>
    <col width="12" customWidth="1" min="1" max="1"/>
    <col width="23" customWidth="1" min="2" max="2"/>
    <col width="26" customWidth="1" min="3" max="3"/>
    <col width="12" customWidth="1" min="4" max="4"/>
    <col width="12" customWidth="1" min="5" max="5"/>
    <col width="21" customWidth="1" min="6" max="6"/>
    <col width="60" customWidth="1" min="7" max="7"/>
    <col width="22" customWidth="1" min="8" max="8"/>
    <col width="16" customWidth="1" min="9" max="9"/>
    <col width="60" customWidth="1" min="10" max="10"/>
    <col width="35" customWidth="1" min="11" max="11"/>
  </cols>
  <sheetData>
    <row r="1">
      <c r="A1" s="3" t="inlineStr">
        <is>
          <t>Siniestros pendientes y revelación</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c r="G2" s="16" t="n"/>
      <c r="H2" s="16" t="n"/>
      <c r="I2" s="16" t="n"/>
      <c r="J2" s="16" t="n"/>
      <c r="K2" s="16" t="n"/>
    </row>
    <row r="4" ht="30" customHeight="1">
      <c r="A4" s="17" t="inlineStr">
        <is>
          <t>Póliza</t>
        </is>
      </c>
      <c r="B4" s="17" t="inlineStr">
        <is>
          <t>Aseguradora</t>
        </is>
      </c>
      <c r="C4" s="17" t="inlineStr">
        <is>
          <t>Siniestro</t>
        </is>
      </c>
      <c r="D4" s="17" t="inlineStr">
        <is>
          <t>Monto</t>
        </is>
      </c>
      <c r="E4" s="17" t="inlineStr">
        <is>
          <t>Revelado</t>
        </is>
      </c>
      <c r="F4" s="17" t="inlineStr">
        <is>
          <t>Estado de la póliza</t>
        </is>
      </c>
      <c r="G4" s="17" t="inlineStr">
        <is>
          <t>Evaluación</t>
        </is>
      </c>
      <c r="H4" s="17" t="inlineStr">
        <is>
          <t>Tipo de siniestro</t>
        </is>
      </c>
      <c r="I4" s="17" t="inlineStr">
        <is>
          <t>Cobro exigible</t>
        </is>
      </c>
      <c r="J4" s="17" t="inlineStr">
        <is>
          <t>Tratamiento contable</t>
        </is>
      </c>
      <c r="K4" s="17" t="inlineStr">
        <is>
          <t>Compensación exigible a reconocer</t>
        </is>
      </c>
    </row>
    <row r="5">
      <c r="A5" s="18" t="inlineStr">
        <is>
          <t>POL-02</t>
        </is>
      </c>
      <c r="B5" s="18" t="inlineStr">
        <is>
          <t>Aseguradora Beta S.A.</t>
        </is>
      </c>
      <c r="C5" s="18" t="inlineStr">
        <is>
          <t>Choque del camión VEH-02</t>
        </is>
      </c>
      <c r="D5" s="20">
        <f>IF('04_Polizas'!J6="","",'04_Polizas'!J6)</f>
        <v/>
      </c>
      <c r="E5" s="18" t="inlineStr">
        <is>
          <t>No</t>
        </is>
      </c>
      <c r="F5" s="18">
        <f>'05_Vigencia'!E6</f>
        <v/>
      </c>
      <c r="G5" s="18">
        <f>IF(OR('04_Polizas'!K6="Sí",'04_Polizas'!K6="Si"),"Revelado","Sin revelación: evaluar NIC 16.65–66, NIC 36.12 e), NIC 37.31–35/86/89 · PYMES 17.25 y 21")</f>
        <v/>
      </c>
      <c r="H5" s="18">
        <f>IF('04_Polizas'!L6="","",'04_Polizas'!L6)</f>
        <v/>
      </c>
      <c r="I5" s="18">
        <f>IF('04_Polizas'!M6="","",'04_Polizas'!M6)</f>
        <v/>
      </c>
      <c r="J5" s="18">
        <f>IF(H5="","Tipo no informado: se mantiene el tratamiento de reclamo de terceros (NIC 37.53)",IF(H5="Daño a activo propio",IF(I5="Sí","Compensación exigible: reconocer en resultados (NIC 16.65–66 · PYMES 17.25)",IF(I5="No","Activo contingente: no se reconoce; revelar si es probable (NIC 37.31–35 y 89 · PYMES 21.16)","Exigibilidad no informada: tratado como activo contingente (NIC 37.31–35)")),"Reclamo de terceros: provisión y reembolso solo si es prácticamente seguro (NIC 37.53 · PYMES 21.9)"))</f>
        <v/>
      </c>
      <c r="K5" s="20">
        <f>IF(J5="Compensación exigible: reconocer en resultados (NIC 16.65–66 · PYMES 17.25)",N(D5),0)</f>
        <v/>
      </c>
    </row>
    <row r="6">
      <c r="A6" s="19" t="inlineStr">
        <is>
          <t>POL-04</t>
        </is>
      </c>
      <c r="B6" s="19" t="inlineStr">
        <is>
          <t>Aseguradora Alfa S.A.</t>
        </is>
      </c>
      <c r="C6" s="19" t="inlineStr">
        <is>
          <t>Daño en compresor</t>
        </is>
      </c>
      <c r="D6" s="21">
        <f>IF('04_Polizas'!J8="","",'04_Polizas'!J8)</f>
        <v/>
      </c>
      <c r="E6" s="19" t="inlineStr">
        <is>
          <t>Sí</t>
        </is>
      </c>
      <c r="F6" s="19">
        <f>'05_Vigencia'!E8</f>
        <v/>
      </c>
      <c r="G6" s="19">
        <f>IF(OR('04_Polizas'!K8="Sí",'04_Polizas'!K8="Si"),"Revelado","Sin revelación: evaluar NIC 16.65–66, NIC 36.12 e), NIC 37.31–35/86/89 · PYMES 17.25 y 21")</f>
        <v/>
      </c>
      <c r="H6" s="19">
        <f>IF('04_Polizas'!L8="","",'04_Polizas'!L8)</f>
        <v/>
      </c>
      <c r="I6" s="19">
        <f>IF('04_Polizas'!M8="","",'04_Polizas'!M8)</f>
        <v/>
      </c>
      <c r="J6" s="19">
        <f>IF(H6="","Tipo no informado: se mantiene el tratamiento de reclamo de terceros (NIC 37.53)",IF(H6="Daño a activo propio",IF(I6="Sí","Compensación exigible: reconocer en resultados (NIC 16.65–66 · PYMES 17.25)",IF(I6="No","Activo contingente: no se reconoce; revelar si es probable (NIC 37.31–35 y 89 · PYMES 21.16)","Exigibilidad no informada: tratado como activo contingente (NIC 37.31–35)")),"Reclamo de terceros: provisión y reembolso solo si es prácticamente seguro (NIC 37.53 · PYMES 21.9)"))</f>
        <v/>
      </c>
      <c r="K6" s="21">
        <f>IF(J6="Compensación exigible: reconocer en resultados (NIC 16.65–66 · PYMES 17.25)",N(D6),0)</f>
        <v/>
      </c>
    </row>
    <row r="8">
      <c r="A8" s="22" t="inlineStr">
        <is>
          <t>ⓘ  Cómo se calcula esta hoja</t>
        </is>
      </c>
    </row>
    <row r="9">
      <c r="A9" s="23" t="inlineStr">
        <is>
          <t>Columna</t>
        </is>
      </c>
      <c r="B9" s="23" t="inlineStr">
        <is>
          <t>Fórmula (Excel)</t>
        </is>
      </c>
      <c r="C9" s="23" t="inlineStr">
        <is>
          <t>Cómo se calcula (sencillo)</t>
        </is>
      </c>
      <c r="D9" s="23" t="inlineStr">
        <is>
          <t>Ejemplo con números reales</t>
        </is>
      </c>
      <c r="E9" s="23" t="inlineStr">
        <is>
          <t>De dónde viene</t>
        </is>
      </c>
      <c r="F9" s="23" t="inlineStr">
        <is>
          <t>Norma</t>
        </is>
      </c>
    </row>
    <row r="10">
      <c r="A10" s="24" t="inlineStr">
        <is>
          <t>Monto</t>
        </is>
      </c>
      <c r="B10" s="25" t="inlineStr">
        <is>
          <t>'=IF('04_Polizas'!J6="","",'04_Polizas'!J6)</t>
        </is>
      </c>
      <c r="C10" s="24" t="inlineStr">
        <is>
          <t>Trae el monto del siniestro pendiente informado en la hoja 04 (Pólizas); en blanco si no se informó.</t>
        </is>
      </c>
      <c r="D10" s="24" t="inlineStr">
        <is>
          <t>Fila 1: IF(18.000,00=""; ""; 18.000,00) → 18.000,00</t>
        </is>
      </c>
      <c r="E10" s="24" t="inlineStr">
        <is>
          <t>hoja «Pólizas (datos del cliente)»</t>
        </is>
      </c>
      <c r="F10" s="24" t="inlineStr">
        <is>
          <t>—</t>
        </is>
      </c>
    </row>
    <row r="11">
      <c r="A11" s="24" t="inlineStr">
        <is>
          <t>Estado de la póliza</t>
        </is>
      </c>
      <c r="B11" s="25" t="inlineStr">
        <is>
          <t>'='05_Vigencia'!E6</t>
        </is>
      </c>
      <c r="C11" s="24" t="inlineStr">
        <is>
          <t>Trae el estado al corte de la póliza del siniestro desde la hoja 05 (Vigencia de pólizas al corte).</t>
        </is>
      </c>
      <c r="D11" s="24" t="inlineStr">
        <is>
          <t>Fila 1: «Vigente» → Vigente</t>
        </is>
      </c>
      <c r="E11" s="24" t="inlineStr">
        <is>
          <t>hoja «Vigencia de pólizas al corte»</t>
        </is>
      </c>
      <c r="F11" s="24" t="inlineStr">
        <is>
          <t>—</t>
        </is>
      </c>
    </row>
    <row r="12">
      <c r="A12" s="24" t="inlineStr">
        <is>
          <t>Evaluación</t>
        </is>
      </c>
      <c r="B12" s="25" t="inlineStr">
        <is>
          <t>'=IF(OR('04_Polizas'!K6="Sí",'04_Polizas'!K6="Si"),"Revelado","Sin revelación: evaluar NIC 16.65–66, NIC 36.12 e), NIC 37.31–35/86/89 · PYMES 17.25 y 21")</t>
        </is>
      </c>
      <c r="C12" s="24" t="inlineStr">
        <is>
          <t>Si el cliente indicó en la hoja 04 (Pólizas) que el siniestro está revelado (Sí), dice «Revelado»; si no, advierte que falta la revelación y qué normas evaluar.</t>
        </is>
      </c>
      <c r="D12" s="24" t="inlineStr">
        <is>
          <t>Fila 1: IF(OR(«No»="Sí"; «No»="Si"); "Revelado"; "Sin revelación: evaluar NIC 16.65–66, NIC 36.12 e), NIC 37.31–35/86/89 · PYMES 17.25 y 21") → Sin revelación: evaluar NIC 16.65–66, NIC 36.12 e), NIC 37.31–35/86/89 · PYMES 17.25 y 21</t>
        </is>
      </c>
      <c r="E12" s="24" t="inlineStr">
        <is>
          <t>hoja «Pólizas (datos del cliente)»</t>
        </is>
      </c>
      <c r="F12" s="24" t="inlineStr">
        <is>
          <t>—</t>
        </is>
      </c>
    </row>
    <row r="13">
      <c r="A13" s="24" t="inlineStr">
        <is>
          <t>Tipo de siniestro</t>
        </is>
      </c>
      <c r="B13" s="25" t="inlineStr">
        <is>
          <t>'=IF('04_Polizas'!L6="","",'04_Polizas'!L6)</t>
        </is>
      </c>
      <c r="C13" s="24" t="inlineStr">
        <is>
          <t>Trae el tipo de siniestro (daño a activo propio o reclamo de terceros) informado en la hoja 04 (Pólizas).</t>
        </is>
      </c>
      <c r="D13" s="24" t="inlineStr">
        <is>
          <t>Fila 1: IF(«Daño a activo propio»=""; ""; «Daño a activo propio») → Daño a activo propio</t>
        </is>
      </c>
      <c r="E13" s="24" t="inlineStr">
        <is>
          <t>hoja «Pólizas (datos del cliente)»</t>
        </is>
      </c>
      <c r="F13" s="24" t="inlineStr">
        <is>
          <t>—</t>
        </is>
      </c>
    </row>
    <row r="14">
      <c r="A14" s="24" t="inlineStr">
        <is>
          <t>Cobro exigible</t>
        </is>
      </c>
      <c r="B14" s="25" t="inlineStr">
        <is>
          <t>'=IF('04_Polizas'!M6="","",'04_Polizas'!M6)</t>
        </is>
      </c>
      <c r="C14" s="24" t="inlineStr">
        <is>
          <t>Trae la respuesta del cliente (Sí/No) sobre si el cobro a la aseguradora ya es exigible, según la hoja 04 (Pólizas).</t>
        </is>
      </c>
      <c r="D14" s="24" t="inlineStr">
        <is>
          <t>Fila 1: IF(«Sí»=""; ""; «Sí») → Sí</t>
        </is>
      </c>
      <c r="E14" s="24" t="inlineStr">
        <is>
          <t>hoja «Pólizas (datos del cliente)»</t>
        </is>
      </c>
      <c r="F14" s="24" t="inlineStr">
        <is>
          <t>—</t>
        </is>
      </c>
    </row>
    <row r="15">
      <c r="A15" s="24" t="inlineStr">
        <is>
          <t>Tratamiento contable</t>
        </is>
      </c>
      <c r="B15" s="25" t="inlineStr">
        <is>
          <t>'=IF(H5="","Tipo no informado: se mantiene el tratamiento de reclamo de terceros (NIC 37.53)",IF(H5="Daño a activo propio",IF(I5="Sí","Compensación exigible: reconocer en resultados (NIC 16.65–66 · PYMES 17.25)",IF(I5="No","Activo contingente: no se reconoce; revelar si es probable (NIC 37.31–35 y 89 · PYMES 21.16)","Exigibilidad no informada: tratado como activo contingente (NIC 37.31–35)")),"Reclamo de terceros: provisión y reembolso solo si es prácticamente seguro (NIC 37.53 · PYMES 21.9)"))</t>
        </is>
      </c>
      <c r="C15" s="24" t="inlineStr">
        <is>
          <t>Decide el tratamiento con el tipo y la exigibilidad: daño propio con cobro exigible se reconoce en resultados; sin cobro exigible o sin ese dato, activo contingente; el reclamo de terceros (o tipo no informado) va como provisión y el reembolso solo si es prácticamente seguro.</t>
        </is>
      </c>
      <c r="D15" s="24" t="inlineStr">
        <is>
          <t>Fila 1: IF(«Daño a activo propio»=""; "Tipo no informado: se mantiene el tratamiento de reclamo de terceros (NIC 37.53)"; IF(«Daño a activo propio»="Daño a activo propio"; IF(«Sí»="Sí"; "Compensación exigible: reconocer en resultados (NIC 16.65–66 · PYMES 17.25)"; IF(«Sí»="No"; "Activo contingente: no se reconoce; revelar si es probable (NIC 37.31–35 y 89 · PYMES 21.16)"; "Exigibilidad no informada: tratado como activo contingente (NIC 37.31–35)")); "Reclamo de terceros: provisión y reembolso solo si es prácticamente seguro (NIC 37.53 · PYMES 21.9)")) → Compensación exigible: reconocer en resultados (NIC 16.65–66 · PYMES 17.25)</t>
        </is>
      </c>
      <c r="E15" s="24" t="inlineStr">
        <is>
          <t>«Tipo de siniestro» (esta hoja), «Cobro exigible» (esta hoja)</t>
        </is>
      </c>
      <c r="F15" s="24" t="inlineStr">
        <is>
          <t>—</t>
        </is>
      </c>
    </row>
    <row r="16">
      <c r="A16" s="24" t="inlineStr">
        <is>
          <t>Compensación exigible a reconocer</t>
        </is>
      </c>
      <c r="B16" s="25" t="inlineStr">
        <is>
          <t>'=IF(J5="Compensación exigible: reconocer en resultados (NIC 16.65–66 · PYMES 17.25)",N(D5),0)</t>
        </is>
      </c>
      <c r="C16" s="24" t="inlineStr">
        <is>
          <t>Trae el monto del siniestro solo cuando el tratamiento es «compensación exigible»; en los demás casos es cero.</t>
        </is>
      </c>
      <c r="D16" s="24" t="inlineStr">
        <is>
          <t>Fila 1: IF(«Compensación exigible: reconocer en resultados (NIC 16.65–66 · PYMES 17.25)»="Compensación exigible: reconocer en resultados (NIC 16.65–66 · PYMES 17.25)"; N(18.000,00); 0) → 18.000,00</t>
        </is>
      </c>
      <c r="E16" s="24" t="inlineStr">
        <is>
          <t>«Tratamiento contable» (esta hoja), «Monto» (esta hoja)</t>
        </is>
      </c>
      <c r="F16" s="24" t="inlineStr">
        <is>
          <t>—</t>
        </is>
      </c>
    </row>
  </sheetData>
  <mergeCells count="3">
    <mergeCell ref="A8:F8"/>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J25"/>
  <sheetViews>
    <sheetView showGridLines="0" workbookViewId="0">
      <pane ySplit="4" topLeftCell="A5" activePane="bottomLeft" state="frozen"/>
      <selection pane="bottomLeft" activeCell="A1" sqref="A1"/>
    </sheetView>
  </sheetViews>
  <sheetFormatPr baseColWidth="8" defaultRowHeight="15"/>
  <cols>
    <col width="60" customWidth="1" min="1" max="1"/>
    <col width="20" customWidth="1" min="2" max="2"/>
    <col width="20" customWidth="1" min="3" max="3"/>
    <col width="12" customWidth="1" min="4" max="4"/>
  </cols>
  <sheetData>
    <row r="1">
      <c r="A1" s="3" t="inlineStr">
        <is>
          <t>Indicadores y conclusión</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row>
    <row r="4" ht="30" customHeight="1">
      <c r="A4" s="17" t="inlineStr">
        <is>
          <t>Indicador</t>
        </is>
      </c>
      <c r="B4" s="17" t="inlineStr">
        <is>
          <t>Importe</t>
        </is>
      </c>
      <c r="C4" s="17" t="inlineStr">
        <is>
          <t>Porcentaje</t>
        </is>
      </c>
      <c r="D4" s="17" t="inlineStr">
        <is>
          <t>Cantidad</t>
        </is>
      </c>
    </row>
    <row r="5">
      <c r="A5" s="18" t="inlineStr">
        <is>
          <t>Valor de referencia de los activos</t>
        </is>
      </c>
      <c r="B5" s="20">
        <f>SUM('06_Cobertura_activo'!$C$5:$C$16)</f>
        <v/>
      </c>
      <c r="C5" s="35" t="n"/>
      <c r="D5" s="33" t="n"/>
    </row>
    <row r="6">
      <c r="A6" s="19" t="inlineStr">
        <is>
          <t>Suma asegurada vigente al corte</t>
        </is>
      </c>
      <c r="B6" s="21">
        <f>SUM('06_Cobertura_activo'!$G$5:$G$16)</f>
        <v/>
      </c>
      <c r="C6" s="36" t="n"/>
      <c r="D6" s="34" t="n"/>
    </row>
    <row r="7">
      <c r="A7" s="18" t="inlineStr">
        <is>
          <t>% de cobertura global = suma asegurada / referencia</t>
        </is>
      </c>
      <c r="B7" s="20" t="n"/>
      <c r="C7" s="35">
        <f>IF(B5=0,"",B6/B5)</f>
        <v/>
      </c>
      <c r="D7" s="33" t="n"/>
    </row>
    <row r="8">
      <c r="A8" s="19" t="inlineStr">
        <is>
          <t>Déficit de cobertura = Σ max(referencia − suma, 0)</t>
        </is>
      </c>
      <c r="B8" s="21">
        <f>SUM('06_Cobertura_activo'!$I$5:$I$16)</f>
        <v/>
      </c>
      <c r="C8" s="36" t="n"/>
      <c r="D8" s="34" t="n"/>
    </row>
    <row r="9">
      <c r="A9" s="18" t="inlineStr">
        <is>
          <t>Activos sin cobertura: valor en libros (cantidad a la derecha)</t>
        </is>
      </c>
      <c r="B9" s="20">
        <f>SUMIF('06_Cobertura_activo'!$G$5:$G$16,0,'03_Activos'!$D$5:$D$16)</f>
        <v/>
      </c>
      <c r="C9" s="35" t="n"/>
      <c r="D9" s="33">
        <f>COUNTIF('06_Cobertura_activo'!$G$5:$G$16,0)</f>
        <v/>
      </c>
    </row>
    <row r="10">
      <c r="A10" s="19" t="inlineStr">
        <is>
          <t>Activos sin cobertura: valor de referencia</t>
        </is>
      </c>
      <c r="B10" s="21">
        <f>SUMIF('06_Cobertura_activo'!$G$5:$G$16,0,'06_Cobertura_activo'!$C$5:$C$16)</f>
        <v/>
      </c>
      <c r="C10" s="36" t="n"/>
      <c r="D10" s="34" t="n"/>
    </row>
    <row r="11">
      <c r="A11" s="18" t="inlineStr">
        <is>
          <t>Activos con infraseguro (cantidad)</t>
        </is>
      </c>
      <c r="B11" s="20" t="n"/>
      <c r="C11" s="35" t="n"/>
      <c r="D11" s="33">
        <f>COUNTIF('06_Cobertura_activo'!$K$5:$K$16,"Infraseguro")</f>
        <v/>
      </c>
    </row>
    <row r="12">
      <c r="A12" s="19" t="inlineStr">
        <is>
          <t>Sobreseguro</t>
        </is>
      </c>
      <c r="B12" s="21">
        <f>SUMIF('06_Cobertura_activo'!$K$5:$K$16,"Sobreseguro",'06_Cobertura_activo'!$J$5:$J$16)</f>
        <v/>
      </c>
      <c r="C12" s="36" t="n"/>
      <c r="D12" s="34" t="n"/>
    </row>
    <row r="13">
      <c r="A13" s="18" t="inlineStr">
        <is>
          <t>Exposición máxima (pérdida total no cubierta; activo EDIF-01)</t>
        </is>
      </c>
      <c r="B13" s="20">
        <f>MAX('08_Deducibles_exposicion'!$H$5:$H$16)</f>
        <v/>
      </c>
      <c r="C13" s="35" t="n"/>
      <c r="D13" s="33" t="n"/>
    </row>
    <row r="14">
      <c r="A14" s="19" t="inlineStr">
        <is>
          <t>Pólizas vencidas al corte (cantidad)</t>
        </is>
      </c>
      <c r="B14" s="21" t="n"/>
      <c r="C14" s="36" t="n"/>
      <c r="D14" s="34">
        <f>COUNTIF('05_Vigencia'!$E$5:$E$9,"Vencida")</f>
        <v/>
      </c>
    </row>
    <row r="15">
      <c r="A15" s="18" t="inlineStr">
        <is>
          <t>Pólizas por vencer (cantidad)</t>
        </is>
      </c>
      <c r="B15" s="20" t="n"/>
      <c r="C15" s="35" t="n"/>
      <c r="D15" s="33">
        <f>COUNTIF('05_Vigencia'!$G$5:$G$9,"Por vencer")</f>
        <v/>
      </c>
    </row>
    <row r="16">
      <c r="A16" s="19" t="inlineStr">
        <is>
          <t>Siniestros pendientes sin revelación</t>
        </is>
      </c>
      <c r="B16" s="21">
        <f>SUMIF('11_Siniestros'!$G$5:$G$6,"Sin revelación*",'11_Siniestros'!$D$5:$D$6)</f>
        <v/>
      </c>
      <c r="C16" s="36" t="n"/>
      <c r="D16" s="34" t="n"/>
    </row>
    <row r="17">
      <c r="A17" s="18" t="inlineStr">
        <is>
          <t>Compensaciones de seguro exigibles a reconocer en resultados (NIC 16.65–66 · PYMES 17.25)</t>
        </is>
      </c>
      <c r="B17" s="20">
        <f>SUM('11_Siniestros'!$K$5:$K$6)</f>
        <v/>
      </c>
      <c r="C17" s="35" t="n"/>
      <c r="D17" s="33" t="n"/>
    </row>
    <row r="18">
      <c r="A18" s="19" t="inlineStr">
        <is>
          <t>Ajuste propuesto en resultados (prima anticipada)</t>
        </is>
      </c>
      <c r="B18" s="21">
        <f>'13_Ajustes'!B8</f>
        <v/>
      </c>
      <c r="C18" s="36" t="n"/>
      <c r="D18" s="34" t="n"/>
    </row>
    <row r="19">
      <c r="A19" s="18" t="inlineStr">
        <is>
          <t>Conclusión: la cobertura es evidencia de riesgo y continuidad operativa (NIA 315, 330, 570); no concluye cumplimiento de las NIIF.</t>
        </is>
      </c>
      <c r="B19" s="20" t="n"/>
      <c r="C19" s="35" t="n"/>
      <c r="D19" s="33" t="n"/>
    </row>
    <row r="21">
      <c r="A21" s="22" t="inlineStr">
        <is>
          <t>ⓘ  Cómo se calcula esta hoja</t>
        </is>
      </c>
    </row>
    <row r="22">
      <c r="A22" s="23" t="inlineStr">
        <is>
          <t>Columna</t>
        </is>
      </c>
      <c r="B22" s="23" t="inlineStr">
        <is>
          <t>Fórmula (Excel)</t>
        </is>
      </c>
      <c r="C22" s="23" t="inlineStr">
        <is>
          <t>Cómo se calcula (sencillo)</t>
        </is>
      </c>
      <c r="D22" s="23" t="inlineStr">
        <is>
          <t>Ejemplo con números reales</t>
        </is>
      </c>
      <c r="E22" s="23" t="inlineStr">
        <is>
          <t>De dónde viene</t>
        </is>
      </c>
      <c r="F22" s="23" t="inlineStr">
        <is>
          <t>Norma</t>
        </is>
      </c>
    </row>
    <row r="23">
      <c r="A23" s="24" t="inlineStr">
        <is>
          <t>Importe</t>
        </is>
      </c>
      <c r="B23" s="25" t="inlineStr">
        <is>
          <t>'=SUM('06_Cobertura_activo'!$C$5:$C$16)</t>
        </is>
      </c>
      <c r="C23" s="24" t="inlineStr">
        <is>
          <t>Cada indicador resume otra hoja: valor de referencia, suma vigente, déficit y sobreseguro salen de la hoja 06; los activos sin cobertura, de las hojas 03 y 06; la exposición máxima es la mayor pérdida no cubierta de la hoja 08; los siniestros, de la 11, y el ajuste, de la 13.</t>
        </is>
      </c>
      <c r="D23" s="24" t="inlineStr">
        <is>
          <t>Fila 1: SUM([«Valor de referencia» de «Universo y cobertura por activo», 12 filas]) → 1.499.000,00</t>
        </is>
      </c>
      <c r="E23" s="24" t="inlineStr">
        <is>
          <t>hoja «Universo y cobertura por activo»</t>
        </is>
      </c>
      <c r="F23" s="24" t="inlineStr">
        <is>
          <t>—</t>
        </is>
      </c>
    </row>
    <row r="24">
      <c r="A24" s="24" t="inlineStr">
        <is>
          <t>Porcentaje</t>
        </is>
      </c>
      <c r="B24" s="25" t="inlineStr">
        <is>
          <t>'=IF(B5=0,"",B6/B5)</t>
        </is>
      </c>
      <c r="C24" s="24" t="inlineStr">
        <is>
          <t>Divide la suma asegurada vigente entre el valor de referencia de los activos (dos primeras filas de esta hoja).</t>
        </is>
      </c>
      <c r="D24" s="24" t="inlineStr">
        <is>
          <t>Fila 3: IF(1.499.000,00=0; ""; 1.050.000,00/1.499.000,00) → 70,05 %</t>
        </is>
      </c>
      <c r="E24" s="24" t="inlineStr">
        <is>
          <t>«Importe» (esta hoja)</t>
        </is>
      </c>
      <c r="F24" s="24" t="inlineStr">
        <is>
          <t>—</t>
        </is>
      </c>
    </row>
    <row r="25">
      <c r="A25" s="24" t="inlineStr">
        <is>
          <t>Cantidad</t>
        </is>
      </c>
      <c r="B25" s="25" t="inlineStr">
        <is>
          <t>'=COUNTIF('06_Cobertura_activo'!$G$5:$G$16,0)</t>
        </is>
      </c>
      <c r="C25" s="24" t="inlineStr">
        <is>
          <t>Cuenta casos en otras hojas: activos con suma vigente cero o con infraseguro (hoja 06) y pólizas vencidas o por vencer (hoja 05).</t>
        </is>
      </c>
      <c r="D25" s="24" t="inlineStr">
        <is>
          <t>Fila 5: COUNTIF([«Suma asegurada vigente» de «Universo y cobertura por activo», 12 filas]; 0) → 5</t>
        </is>
      </c>
      <c r="E25" s="24" t="inlineStr">
        <is>
          <t>hoja «Universo y cobertura por activo»</t>
        </is>
      </c>
      <c r="F25" s="24" t="inlineStr">
        <is>
          <t>—</t>
        </is>
      </c>
    </row>
  </sheetData>
  <mergeCells count="3">
    <mergeCell ref="A2:F2"/>
    <mergeCell ref="A21:F21"/>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4"/>
  <sheetViews>
    <sheetView showGridLines="0" workbookViewId="0">
      <pane ySplit="4" topLeftCell="A5" activePane="bottomLeft" state="frozen"/>
      <selection pane="bottomLeft" activeCell="A1" sqref="A1"/>
    </sheetView>
  </sheetViews>
  <sheetFormatPr baseColWidth="8" defaultRowHeight="15"/>
  <cols>
    <col width="53" customWidth="1" min="1" max="1"/>
    <col width="12" customWidth="1" min="2" max="2"/>
    <col width="32" customWidth="1" min="3" max="3"/>
    <col width="23" customWidth="1" min="4" max="4"/>
    <col width="60" customWidth="1" min="5" max="5"/>
  </cols>
  <sheetData>
    <row r="1">
      <c r="A1" s="3" t="inlineStr">
        <is>
          <t>Ajustes propuestos y conciliación</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row>
    <row r="4" ht="30" customHeight="1">
      <c r="A4" s="17" t="inlineStr">
        <is>
          <t>Concepto</t>
        </is>
      </c>
      <c r="B4" s="17" t="inlineStr">
        <is>
          <t>Importe</t>
        </is>
      </c>
      <c r="C4" s="17" t="inlineStr">
        <is>
          <t>Débito (si positivo)</t>
        </is>
      </c>
      <c r="D4" s="17" t="inlineStr">
        <is>
          <t>Crédito (si positivo)</t>
        </is>
      </c>
      <c r="E4" s="17" t="inlineStr">
        <is>
          <t>Base</t>
        </is>
      </c>
    </row>
    <row r="5">
      <c r="A5" s="18" t="inlineStr">
        <is>
          <t>Prima anticipada registrada (detalle)</t>
        </is>
      </c>
      <c r="B5" s="20">
        <f>SUM('10_Prima_anticipada'!$F$5:$F$9)</f>
        <v/>
      </c>
      <c r="C5" s="18" t="inlineStr"/>
      <c r="D5" s="18" t="inlineStr"/>
      <c r="E5" s="18" t="inlineStr">
        <is>
          <t>Detalle de pólizas</t>
        </is>
      </c>
    </row>
    <row r="6">
      <c r="A6" s="19" t="inlineStr">
        <is>
          <t>Prima anticipada recalculada (días por transcurrir)</t>
        </is>
      </c>
      <c r="B6" s="21">
        <f>SUM('10_Prima_anticipada'!$E$5:$E$9)</f>
        <v/>
      </c>
      <c r="C6" s="19" t="inlineStr"/>
      <c r="D6" s="19" t="inlineStr"/>
      <c r="E6" s="19" t="inlineStr">
        <is>
          <t>NIC 1.27–28; PYMES 2.36 (devengo)</t>
        </is>
      </c>
    </row>
    <row r="7">
      <c r="A7" s="18" t="inlineStr">
        <is>
          <t>Registrada − recalculada (pólizas con registro)</t>
        </is>
      </c>
      <c r="B7" s="20">
        <f>SUM('10_Prima_anticipada'!$G$5:$G$9)</f>
        <v/>
      </c>
      <c r="C7" s="18" t="inlineStr"/>
      <c r="D7" s="18" t="inlineStr"/>
      <c r="E7" s="18" t="inlineStr"/>
    </row>
    <row r="8">
      <c r="A8" s="19" t="inlineStr">
        <is>
          <t>Ajuste en resultados = −(registrada − recalculada)</t>
        </is>
      </c>
      <c r="B8" s="21">
        <f>-B7</f>
        <v/>
      </c>
      <c r="C8" s="19" t="inlineStr">
        <is>
          <t>Seguros pagados por anticipado</t>
        </is>
      </c>
      <c r="D8" s="19" t="inlineStr">
        <is>
          <t>Gasto de seguros</t>
        </is>
      </c>
      <c r="E8" s="19" t="inlineStr">
        <is>
          <t>Si es negativo: débito a gasto de seguros y crédito al anticipo</t>
        </is>
      </c>
    </row>
    <row r="9">
      <c r="A9" s="18" t="inlineStr">
        <is>
          <t>Seguros pagados por anticipado según el mayor</t>
        </is>
      </c>
      <c r="B9" s="20">
        <f>IF('02_Parametros'!$B$12="","",'02_Parametros'!$B$12)</f>
        <v/>
      </c>
      <c r="C9" s="18" t="inlineStr"/>
      <c r="D9" s="18" t="inlineStr"/>
      <c r="E9" s="18" t="inlineStr">
        <is>
          <t>Mayor contable</t>
        </is>
      </c>
    </row>
    <row r="10">
      <c r="A10" s="19" t="inlineStr">
        <is>
          <t>Diferencia detalle − mayor</t>
        </is>
      </c>
      <c r="B10" s="21">
        <f>IF(B9="","",B5-B9)</f>
        <v/>
      </c>
      <c r="C10" s="19" t="inlineStr"/>
      <c r="D10" s="19" t="inlineStr"/>
      <c r="E10" s="19" t="inlineStr"/>
    </row>
    <row r="12">
      <c r="A12" s="22" t="inlineStr">
        <is>
          <t>ⓘ  Cómo se calcula esta hoja</t>
        </is>
      </c>
    </row>
    <row r="13">
      <c r="A13" s="23" t="inlineStr">
        <is>
          <t>Columna</t>
        </is>
      </c>
      <c r="B13" s="23" t="inlineStr">
        <is>
          <t>Fórmula (Excel)</t>
        </is>
      </c>
      <c r="C13" s="23" t="inlineStr">
        <is>
          <t>Cómo se calcula (sencillo)</t>
        </is>
      </c>
      <c r="D13" s="23" t="inlineStr">
        <is>
          <t>Ejemplo con números reales</t>
        </is>
      </c>
      <c r="E13" s="23" t="inlineStr">
        <is>
          <t>De dónde viene</t>
        </is>
      </c>
      <c r="F13" s="23" t="inlineStr">
        <is>
          <t>Norma</t>
        </is>
      </c>
    </row>
    <row r="14">
      <c r="A14" s="24" t="inlineStr">
        <is>
          <t>Importe</t>
        </is>
      </c>
      <c r="B14" s="25" t="inlineStr">
        <is>
          <t>'=SUM('10_Prima_anticipada'!$F$5:$F$9)</t>
        </is>
      </c>
      <c r="C14" s="24" t="inlineStr">
        <is>
          <t>Suma la prima anticipada registrada, la recalculada y su diferencia de la hoja 10 (Prima pagada por anticipado); el ajuste es esa diferencia con signo contrario; el saldo del mayor viene de la hoja 02 y se compara con el detalle.</t>
        </is>
      </c>
      <c r="D14" s="24" t="inlineStr">
        <is>
          <t>Fila 1: SUM([«Anticipada registrada» de «Prima pagada por anticipado», 5 filas]) → 7.800,00</t>
        </is>
      </c>
      <c r="E14" s="24" t="inlineStr">
        <is>
          <t>hoja «Prima pagada por anticipado»</t>
        </is>
      </c>
      <c r="F14" s="24" t="inlineStr">
        <is>
          <t>—</t>
        </is>
      </c>
    </row>
  </sheetData>
  <mergeCells count="3">
    <mergeCell ref="A2:F2"/>
    <mergeCell ref="A1:F1"/>
    <mergeCell ref="A12:F12"/>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J25"/>
  <sheetViews>
    <sheetView showGridLines="0" workbookViewId="0">
      <pane ySplit="4" topLeftCell="A5" activePane="bottomLeft" state="frozen"/>
      <selection pane="bottomLeft" activeCell="A1" sqref="A1"/>
    </sheetView>
  </sheetViews>
  <sheetFormatPr baseColWidth="8" defaultRowHeight="15"/>
  <cols>
    <col width="33" customWidth="1" min="1" max="1"/>
    <col width="60" customWidth="1" min="2" max="2"/>
    <col width="12" customWidth="1" min="3" max="3"/>
  </cols>
  <sheetData>
    <row r="1">
      <c r="A1" s="3" t="inlineStr">
        <is>
          <t>Problemas encontrados</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row>
    <row r="4" ht="30" customHeight="1">
      <c r="A4" s="17" t="inlineStr">
        <is>
          <t>Código</t>
        </is>
      </c>
      <c r="B4" s="17" t="inlineStr">
        <is>
          <t>Descripción</t>
        </is>
      </c>
      <c r="C4" s="17" t="inlineStr">
        <is>
          <t>Importe</t>
        </is>
      </c>
    </row>
    <row r="5">
      <c r="A5" s="18" t="inlineStr">
        <is>
          <t>INFRASEGURO_POLIZA</t>
        </is>
      </c>
      <c r="B5" s="18" t="inlineStr">
        <is>
          <t>Póliza POL-01: suma asegurada 700.000,00 cubre el 73,68 % del valor de referencia 950.000,00; con la regla proporcional cada siniestro se indemniza al 73,68 %.</t>
        </is>
      </c>
      <c r="C5" s="20" t="n">
        <v>250000</v>
      </c>
    </row>
    <row r="6">
      <c r="A6" s="19" t="inlineStr">
        <is>
          <t>PRIMA_MAL_DEVENGADA</t>
        </is>
      </c>
      <c r="B6" s="19" t="inlineStr">
        <is>
          <t>Póliza POL-02: prima anticipada registrada 2.500,00 ≠ recalculada 900,00 (60 de 365 días por transcurrir) (devengo: NIC 1.27–28; PYMES 2.36).</t>
        </is>
      </c>
      <c r="C6" s="21" t="n">
        <v>1600</v>
      </c>
    </row>
    <row r="7">
      <c r="A7" s="18" t="inlineStr">
        <is>
          <t>COMPENSACION_EXIGIBLE</t>
        </is>
      </c>
      <c r="B7" s="18" t="inlineStr">
        <is>
          <t>Póliza POL-02: la compensación por el daño al activo propio «Choque del camión VEH-02» por 18.000,00 es exigible al corte: reconózcala en resultados (NIC 16.65–66 · PYMES 17.25). Es un hecho separado del deterioro o la baja del activo siniestrado, que se evalúa por su cuenta (NIC 36.12 e); no se compensa con la pérdida.</t>
        </is>
      </c>
      <c r="C7" s="20" t="n">
        <v>18000</v>
      </c>
    </row>
    <row r="8">
      <c r="A8" s="19" t="inlineStr">
        <is>
          <t>SINIESTRO_SIN_REVELACION</t>
        </is>
      </c>
      <c r="B8" s="19" t="inlineStr">
        <is>
          <t>Póliza POL-02: siniestro pendiente «Choque del camión VEH-02» por 18.000,00 sin revelación; evalúe la pérdida y el reembolso (daño al activo propio: NIC 16.65–66 y NIC 36; reclamo de terceros: NIC 37.53 y 86; activo contingente: NIC 37.31–35 y 89; PYMES 17.25 y 21) y la NIA 560 si se resolvió después del corte.</t>
        </is>
      </c>
      <c r="C8" s="21" t="n">
        <v>18000</v>
      </c>
    </row>
    <row r="9">
      <c r="A9" s="18" t="inlineStr">
        <is>
          <t>POLIZA_VENCIDA</t>
        </is>
      </c>
      <c r="B9" s="18" t="inlineStr">
        <is>
          <t>Póliza POL-03 (Equipo electrónico) vencida el 2025-12-15: 2 activo(s) sin cobertura al corte; pida la renovación o el endoso vigente.</t>
        </is>
      </c>
      <c r="C9" s="20" t="n">
        <v>42000</v>
      </c>
    </row>
    <row r="10">
      <c r="A10" s="19" t="inlineStr">
        <is>
          <t>POLIZA_POR_VENCER</t>
        </is>
      </c>
      <c r="B10" s="19" t="inlineStr">
        <is>
          <t>Póliza POL-04: vence en 20 días (2026-01-20); verifique la renovación posterior al corte.</t>
        </is>
      </c>
      <c r="C10" s="21" t="n">
        <v>200000</v>
      </c>
    </row>
    <row r="11">
      <c r="A11" s="18" t="inlineStr">
        <is>
          <t>COMPENSACION_ACTIVO_CONTINGENTE</t>
        </is>
      </c>
      <c r="B11" s="18" t="inlineStr">
        <is>
          <t>Póliza POL-04: la compensación por el daño al activo propio «Daño en compresor» por 5.000,00 no es exigible al corte: no se reconoce; es un activo contingente y se revela solo si la entrada de beneficios es probable (NIC 37.31–35 y 89 · PYMES 21.16). La pérdida o baja del activo sí se contabiliza (NIC 36.12 e).</t>
        </is>
      </c>
      <c r="C11" s="20" t="n">
        <v>5000</v>
      </c>
    </row>
    <row r="12">
      <c r="A12" s="19" t="inlineStr">
        <is>
          <t>POLIZA_NO_INICIADA</t>
        </is>
      </c>
      <c r="B12" s="19" t="inlineStr">
        <is>
          <t>Póliza POL-05: su vigencia empieza el 2026-01-15, después del corte; no cubre los activos al corte.</t>
        </is>
      </c>
      <c r="C12" s="21" t="n">
        <v>110000</v>
      </c>
    </row>
    <row r="13">
      <c r="A13" s="18" t="inlineStr">
        <is>
          <t>INFRASEGURO</t>
        </is>
      </c>
      <c r="B13" s="18" t="inlineStr">
        <is>
          <t>EDIF-01: cobertura 73,68 % (&lt; 80 %); déficit 171.052,63.</t>
        </is>
      </c>
      <c r="C13" s="20" t="n">
        <v>171052.63</v>
      </c>
    </row>
    <row r="14">
      <c r="A14" s="19" t="inlineStr">
        <is>
          <t>INFRASEGURO</t>
        </is>
      </c>
      <c r="B14" s="19" t="inlineStr">
        <is>
          <t>BOD-01: cobertura 73,68 % (&lt; 80 %); déficit 78.947,37.</t>
        </is>
      </c>
      <c r="C14" s="21" t="n">
        <v>78947.37</v>
      </c>
    </row>
    <row r="15">
      <c r="A15" s="18" t="inlineStr">
        <is>
          <t>INFRASEGURO</t>
        </is>
      </c>
      <c r="B15" s="18" t="inlineStr">
        <is>
          <t>MAQ-02: cobertura 66,67 % (&lt; 80 %); déficit 20.000,00.</t>
        </is>
      </c>
      <c r="C15" s="20" t="n">
        <v>20000</v>
      </c>
    </row>
    <row r="16">
      <c r="A16" s="19" t="inlineStr">
        <is>
          <t>SOBRESEGURO</t>
        </is>
      </c>
      <c r="B16" s="19" t="inlineStr">
        <is>
          <t>VEH-02: suma asegurada 95.000,00 supera el valor de referencia 70.000,00; la aseguradora no indemniza más del valor real: prima pagada en exceso.</t>
        </is>
      </c>
      <c r="C16" s="21" t="n">
        <v>25000</v>
      </c>
    </row>
    <row r="17">
      <c r="A17" s="18" t="inlineStr">
        <is>
          <t>SOBRESEGURO</t>
        </is>
      </c>
      <c r="B17" s="18" t="inlineStr">
        <is>
          <t>VEH-03: suma asegurada 20.000,00 supera el valor de referencia 12.000,00; la aseguradora no indemniza más del valor real: prima pagada en exceso.</t>
        </is>
      </c>
      <c r="C17" s="20" t="n">
        <v>8000</v>
      </c>
    </row>
    <row r="18">
      <c r="A18" s="19" t="inlineStr">
        <is>
          <t>ACTIVO_SIN_COBERTURA</t>
        </is>
      </c>
      <c r="B18" s="19" t="inlineStr">
        <is>
          <t>EQC-01 (Servidores): la póliza POL-03 está vencida al corte; exposición total 30.000,00.</t>
        </is>
      </c>
      <c r="C18" s="21" t="n">
        <v>30000</v>
      </c>
    </row>
    <row r="19">
      <c r="A19" s="18" t="inlineStr">
        <is>
          <t>ACTIVO_SIN_COBERTURA</t>
        </is>
      </c>
      <c r="B19" s="18" t="inlineStr">
        <is>
          <t>EQC-02 (Computadores portátiles): la póliza POL-03 está vencida al corte; exposición total 12.000,00.</t>
        </is>
      </c>
      <c r="C19" s="20" t="n">
        <v>12000</v>
      </c>
    </row>
    <row r="20">
      <c r="A20" s="19" t="inlineStr">
        <is>
          <t>ACTIVO_SIN_COBERTURA</t>
        </is>
      </c>
      <c r="B20" s="19" t="inlineStr">
        <is>
          <t>BOD-02 (Bodega norte): la vigencia de la póliza POL-05 empieza después del corte; exposición total 110.000,00.</t>
        </is>
      </c>
      <c r="C20" s="21" t="n">
        <v>110000</v>
      </c>
    </row>
    <row r="21">
      <c r="A21" s="18" t="inlineStr">
        <is>
          <t>ACTIVO_SIN_COBERTURA</t>
        </is>
      </c>
      <c r="B21" s="18" t="inlineStr">
        <is>
          <t>MOB-01 (Mobiliario de oficinas): no tiene póliza asignada; exposición total 15.000,00.</t>
        </is>
      </c>
      <c r="C21" s="20" t="n">
        <v>15000</v>
      </c>
    </row>
    <row r="22">
      <c r="A22" s="19" t="inlineStr">
        <is>
          <t>ACTIVO_SIN_COBERTURA</t>
        </is>
      </c>
      <c r="B22" s="19" t="inlineStr">
        <is>
          <t>GEN-01 (Generador eléctrico): la póliza POL-09 no está en el detalle de pólizas; exposición total 45.000,00.</t>
        </is>
      </c>
      <c r="C22" s="21" t="n">
        <v>45000</v>
      </c>
    </row>
    <row r="23">
      <c r="A23" s="18" t="inlineStr">
        <is>
          <t>REFERENCIA_EN_LIBROS</t>
        </is>
      </c>
      <c r="B23" s="18" t="inlineStr">
        <is>
          <t>Sin valor de reposición o tasación: VEH-03; se usó el valor en libros, que puede subestimar la exposición. Pida el valor asegurable.</t>
        </is>
      </c>
      <c r="C23" s="20" t="n">
        <v>0</v>
      </c>
    </row>
    <row r="24">
      <c r="A24" s="19" t="inlineStr">
        <is>
          <t>EXPOSICION_MAXIMA</t>
        </is>
      </c>
      <c r="B24" s="19" t="inlineStr">
        <is>
          <t>Pérdida total de EDIF-01 (Edificio administrativo) no cubierta por 184.052,63 (déficit + deducible): evalúe su efecto en el riesgo y la continuidad operativa (NIA 315, 330 y 570).</t>
        </is>
      </c>
      <c r="C24" s="21" t="n">
        <v>184052.63</v>
      </c>
    </row>
    <row r="25">
      <c r="A25" s="18" t="inlineStr">
        <is>
          <t>CONCILIACION_PRIMA_MAYOR</t>
        </is>
      </c>
      <c r="B25" s="18" t="inlineStr">
        <is>
          <t>Prima anticipada del detalle 7.800,00 ≠ mayor 8.000,00.</t>
        </is>
      </c>
      <c r="C25" s="20" t="n">
        <v>-200</v>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9.xml><?xml version="1.0" encoding="utf-8"?>
<worksheet xmlns="http://schemas.openxmlformats.org/spreadsheetml/2006/main">
  <sheetPr>
    <outlinePr summaryBelow="1" summaryRight="1"/>
    <pageSetUpPr fitToPage="1"/>
  </sheetPr>
  <dimension ref="A1:J8"/>
  <sheetViews>
    <sheetView showGridLines="0" workbookViewId="0">
      <pane ySplit="4" topLeftCell="A5" activePane="bottomLeft" state="frozen"/>
      <selection pane="bottomLeft" activeCell="A1" sqref="A1"/>
    </sheetView>
  </sheetViews>
  <sheetFormatPr baseColWidth="8" defaultRowHeight="15"/>
  <cols>
    <col width="27" customWidth="1" min="1" max="1"/>
    <col width="47" customWidth="1" min="2" max="2"/>
  </cols>
  <sheetData>
    <row r="1">
      <c r="A1" s="3" t="inlineStr">
        <is>
          <t>Conclusión</t>
        </is>
      </c>
      <c r="H1" s="14" t="inlineStr">
        <is>
          <t>⟵ Inicio</t>
        </is>
      </c>
      <c r="I1" s="14" t="inlineStr">
        <is>
          <t>◀ Anterior</t>
        </is>
      </c>
      <c r="J1" s="14" t="inlineStr">
        <is>
          <t>Siguiente ▶</t>
        </is>
      </c>
    </row>
    <row r="2">
      <c r="A2" s="15" t="inlineStr">
        <is>
          <t>Cobertura de seguros de activos · Cliente de muestra S.A. · corte 2025-12-31</t>
        </is>
      </c>
      <c r="B2" s="16" t="n"/>
      <c r="C2" s="16" t="n"/>
      <c r="D2" s="16" t="n"/>
      <c r="E2" s="16" t="n"/>
      <c r="F2" s="16" t="n"/>
    </row>
    <row r="4" ht="30" customHeight="1">
      <c r="A4" s="17" t="inlineStr">
        <is>
          <t>Concepto</t>
        </is>
      </c>
      <c r="B4" s="17" t="inlineStr">
        <is>
          <t>Detalle</t>
        </is>
      </c>
    </row>
    <row r="5">
      <c r="A5" s="18" t="inlineStr">
        <is>
          <t>Conciliación con el mayor</t>
        </is>
      </c>
      <c r="B5" s="18" t="inlineStr">
        <is>
          <t>Población None · mayor None · diferencia None</t>
        </is>
      </c>
    </row>
    <row r="6">
      <c r="A6" s="19" t="inlineStr">
        <is>
          <t>Evaluación de excepciones</t>
        </is>
      </c>
      <c r="B6" s="19" t="inlineStr"/>
    </row>
    <row r="7">
      <c r="A7" s="18" t="inlineStr">
        <is>
          <t>Análisis</t>
        </is>
      </c>
      <c r="B7" s="18" t="inlineStr"/>
    </row>
    <row r="8">
      <c r="A8" s="19" t="inlineStr">
        <is>
          <t>Conclusión</t>
        </is>
      </c>
      <c r="B8" s="19"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20.xml><?xml version="1.0" encoding="utf-8"?>
<worksheet xmlns="http://schemas.openxmlformats.org/spreadsheetml/2006/main">
  <sheetPr>
    <outlinePr summaryBelow="1" summaryRight="1"/>
    <pageSetUpPr fitToPage="1"/>
  </sheetPr>
  <dimension ref="A1:I4"/>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7" customWidth="1" min="3" max="3"/>
    <col width="14" customWidth="1" min="4" max="4"/>
    <col width="12" customWidth="1" min="5" max="5"/>
    <col width="12" customWidth="1" min="6" max="6"/>
  </cols>
  <sheetData>
    <row r="1">
      <c r="A1" s="3" t="inlineStr">
        <is>
          <t>Control de revisión</t>
        </is>
      </c>
      <c r="H1" s="14" t="inlineStr">
        <is>
          <t>⟵ Inicio</t>
        </is>
      </c>
      <c r="I1" s="14" t="inlineStr">
        <is>
          <t>◀ Anterior</t>
        </is>
      </c>
    </row>
    <row r="2">
      <c r="A2" s="15" t="inlineStr">
        <is>
          <t>Cobertura de seguros de activos · Cliente de muestra S.A. · corte 2025-12-31</t>
        </is>
      </c>
      <c r="B2" s="16" t="n"/>
      <c r="C2" s="16" t="n"/>
      <c r="D2" s="16" t="n"/>
      <c r="E2" s="16" t="n"/>
      <c r="F2" s="16" t="n"/>
    </row>
    <row r="4" ht="30" customHeight="1">
      <c r="A4" s="17" t="inlineStr">
        <is>
          <t>Fecha</t>
        </is>
      </c>
      <c r="B4" s="17" t="inlineStr">
        <is>
          <t>Acción</t>
        </is>
      </c>
      <c r="C4" s="17" t="inlineStr">
        <is>
          <t>Estado anterior</t>
        </is>
      </c>
      <c r="D4" s="17" t="inlineStr">
        <is>
          <t>Estado nuevo</t>
        </is>
      </c>
      <c r="E4" s="17" t="inlineStr">
        <is>
          <t>Actor</t>
        </is>
      </c>
      <c r="F4" s="17" t="inlineStr">
        <is>
          <t>Comentario</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2026-09-24T04:19:57Z</dcterms:created>
  <dcterms:modified xmlns:dcterms="http://purl.org/dc/terms/" xmlns:xsi="http://www.w3.org/2001/XMLSchema-instance" xsi:type="dcterms:W3CDTF">2026-09-24T04:19:57Z</dcterms:modified>
</cp:coreProperties>
</file>