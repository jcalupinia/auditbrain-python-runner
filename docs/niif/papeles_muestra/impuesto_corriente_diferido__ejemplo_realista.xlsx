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0_Caratula" sheetId="2" state="visible" r:id="rId2"/>
    <sheet xmlns:r="http://schemas.openxmlformats.org/officeDocument/2006/relationships" name="00_Programa" sheetId="3" state="visible" r:id="rId3"/>
    <sheet xmlns:r="http://schemas.openxmlformats.org/officeDocument/2006/relationships" name="00_Fuentes" sheetId="4" state="visible" r:id="rId4"/>
    <sheet xmlns:r="http://schemas.openxmlformats.org/officeDocument/2006/relationships" name="01_Resumen" sheetId="5" state="visible" r:id="rId5"/>
    <sheet xmlns:r="http://schemas.openxmlformats.org/officeDocument/2006/relationships" name="02_Parametros" sheetId="6" state="visible" r:id="rId6"/>
    <sheet xmlns:r="http://schemas.openxmlformats.org/officeDocument/2006/relationships" name="03_Conciliacion" sheetId="7" state="visible" r:id="rId7"/>
    <sheet xmlns:r="http://schemas.openxmlformats.org/officeDocument/2006/relationships" name="04_Impuesto_corriente" sheetId="8" state="visible" r:id="rId8"/>
    <sheet xmlns:r="http://schemas.openxmlformats.org/officeDocument/2006/relationships" name="05_Perdidas" sheetId="9" state="visible" r:id="rId9"/>
    <sheet xmlns:r="http://schemas.openxmlformats.org/officeDocument/2006/relationships" name="06_Diferencias_temp" sheetId="10" state="visible" r:id="rId10"/>
    <sheet xmlns:r="http://schemas.openxmlformats.org/officeDocument/2006/relationships" name="07_Tasa_reversion" sheetId="11" state="visible" r:id="rId11"/>
    <sheet xmlns:r="http://schemas.openxmlformats.org/officeDocument/2006/relationships" name="08_Recuperabilidad" sheetId="12" state="visible" r:id="rId12"/>
    <sheet xmlns:r="http://schemas.openxmlformats.org/officeDocument/2006/relationships" name="09_Movimiento" sheetId="13" state="visible" r:id="rId13"/>
    <sheet xmlns:r="http://schemas.openxmlformats.org/officeDocument/2006/relationships" name="10_Compensacion" sheetId="14" state="visible" r:id="rId14"/>
    <sheet xmlns:r="http://schemas.openxmlformats.org/officeDocument/2006/relationships" name="11_Tasa_efectiva" sheetId="15" state="visible" r:id="rId15"/>
    <sheet xmlns:r="http://schemas.openxmlformats.org/officeDocument/2006/relationships" name="12_Ajustes" sheetId="16" state="visible" r:id="rId16"/>
    <sheet xmlns:r="http://schemas.openxmlformats.org/officeDocument/2006/relationships" name="13_Partic_exentos" sheetId="17" state="visible" r:id="rId17"/>
    <sheet xmlns:r="http://schemas.openxmlformats.org/officeDocument/2006/relationships" name="14_Asientos" sheetId="18" state="visible" r:id="rId18"/>
    <sheet xmlns:r="http://schemas.openxmlformats.org/officeDocument/2006/relationships" name="15_Problemas" sheetId="19" state="visible" r:id="rId19"/>
    <sheet xmlns:r="http://schemas.openxmlformats.org/officeDocument/2006/relationships" name="13_Conclusion" sheetId="20" state="visible" r:id="rId20"/>
    <sheet xmlns:r="http://schemas.openxmlformats.org/officeDocument/2006/relationships" name="14_Control_Revision" sheetId="21" state="visible" r:id="rId21"/>
  </sheets>
  <definedNames>
    <definedName name="_xlnm.Print_Area" localSheetId="0">'00_Inicio'!$A$1:$L$85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0A2342"/>
      <sz val="15"/>
    </font>
    <font>
      <name val="Montserrat"/>
      <b val="1"/>
      <color rgb="000D7377"/>
      <sz val="9"/>
    </font>
    <font>
      <name val="Calibri"/>
      <color rgb="001A1A1A"/>
      <sz val="9"/>
    </font>
    <font>
      <name val="Montserrat"/>
      <b val="1"/>
      <color rgb="00C7A83C"/>
      <sz val="10"/>
    </font>
    <font>
      <name val="Consolas"/>
      <b val="1"/>
      <color rgb="000A2342"/>
      <sz val="18"/>
    </font>
    <font>
      <name val="Consolas"/>
      <b val="1"/>
      <color rgb="00C0392B"/>
      <sz val="18"/>
    </font>
    <font>
      <name val="Montserrat"/>
      <b val="1"/>
      <color rgb="00FFFFFF"/>
      <sz val="10"/>
    </font>
    <font>
      <name val="Calibri"/>
      <i val="1"/>
      <color rgb="006B7280"/>
      <sz val="8"/>
    </font>
    <font>
      <name val="Calibri"/>
      <color rgb="008A94A6"/>
      <sz val="8"/>
    </font>
    <font>
      <name val="Montserrat"/>
      <b val="1"/>
      <color rgb="000A2342"/>
      <sz val="9"/>
    </font>
    <font>
      <name val="Consolas"/>
      <color rgb="001A1A1A"/>
      <sz val="9"/>
    </font>
    <font>
      <name val="Consolas"/>
      <b val="1"/>
      <color rgb="000A2342"/>
      <sz val="1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4F6F9"/>
      </patternFill>
    </fill>
    <fill>
      <patternFill patternType="solid">
        <fgColor rgb="000D7377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C7A83C"/>
      </patternFill>
    </fill>
  </fills>
  <borders count="5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medium">
        <color rgb="00C7A83C"/>
      </bottom>
    </border>
    <border>
      <bottom style="thin">
        <color rgb="00E3E8EF"/>
      </bottom>
    </border>
    <border>
      <left style="thin">
        <color rgb="00B7C0CC"/>
      </left>
      <right style="thin">
        <color rgb="00B7C0CC"/>
      </right>
      <top style="double">
        <color rgb="000A2342"/>
      </top>
      <bottom style="double">
        <color rgb="000A2342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bottom" wrapText="1"/>
    </xf>
    <xf numFmtId="4" fontId="6" fillId="3" borderId="1" pivotButton="0" quotePrefix="0" xfId="0"/>
    <xf numFmtId="3" fontId="7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4" fontId="12" fillId="0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165" fontId="4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right" vertical="center"/>
    </xf>
    <xf numFmtId="0" fontId="12" fillId="6" borderId="3" applyAlignment="1" pivotButton="0" quotePrefix="0" xfId="0">
      <alignment horizontal="right" vertical="center"/>
    </xf>
    <xf numFmtId="0" fontId="13" fillId="5" borderId="4" applyAlignment="1" pivotButton="0" quotePrefix="0" xfId="0">
      <alignment horizontal="left" vertical="top" wrapText="1"/>
    </xf>
    <xf numFmtId="4" fontId="13" fillId="5" borderId="4" applyAlignment="1" pivotButton="0" quotePrefix="0" xfId="0">
      <alignment horizontal="right" vertical="center"/>
    </xf>
    <xf numFmtId="1" fontId="12" fillId="0" borderId="3" applyAlignment="1" pivotButton="0" quotePrefix="0" xfId="0">
      <alignment horizontal="right" vertical="center"/>
    </xf>
    <xf numFmtId="1" fontId="12" fillId="6" borderId="3" applyAlignment="1" pivotButton="0" quotePrefix="0" xfId="0">
      <alignment horizontal="right" vertical="center"/>
    </xf>
    <xf numFmtId="1" fontId="13" fillId="5" borderId="4" applyAlignment="1" pivotButton="0" quotePrefix="0" xfId="0">
      <alignment horizontal="right" vertical="center"/>
    </xf>
    <xf numFmtId="10" fontId="12" fillId="0" borderId="3" applyAlignment="1" pivotButton="0" quotePrefix="0" xfId="0">
      <alignment horizontal="right" vertical="center"/>
    </xf>
    <xf numFmtId="10" fontId="12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Cifras del resumen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'00_Inicio'!O23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'00_Inicio'!$N$24:$N$48</f>
            </numRef>
          </cat>
          <val>
            <numRef>
              <f>'00_Inicio'!$O$24:$O$48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de mayor impacto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'00_Inicio'!O50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'00_Inicio'!$N$51:$N$58</f>
            </numRef>
          </cat>
          <val>
            <numRef>
              <f>'00_Inicio'!$O$51:$O$58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7740000" cy="75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65</row>
      <rowOff>0</rowOff>
    </from>
    <ext cx="7740000" cy="31536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Caratula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0_Fuentes'!A1" TargetMode="External" Id="rId3"/><Relationship Type="http://schemas.openxmlformats.org/officeDocument/2006/relationships/hyperlink" Target="#'01_Resumen'!A1" TargetMode="External" Id="rId4"/><Relationship Type="http://schemas.openxmlformats.org/officeDocument/2006/relationships/hyperlink" Target="#'02_Parametros'!A1" TargetMode="External" Id="rId5"/><Relationship Type="http://schemas.openxmlformats.org/officeDocument/2006/relationships/hyperlink" Target="#'03_Conciliacion'!A1" TargetMode="External" Id="rId6"/><Relationship Type="http://schemas.openxmlformats.org/officeDocument/2006/relationships/hyperlink" Target="#'04_Impuesto_corriente'!A1" TargetMode="External" Id="rId7"/><Relationship Type="http://schemas.openxmlformats.org/officeDocument/2006/relationships/hyperlink" Target="#'05_Perdidas'!A1" TargetMode="External" Id="rId8"/><Relationship Type="http://schemas.openxmlformats.org/officeDocument/2006/relationships/hyperlink" Target="#'06_Diferencias_temp'!A1" TargetMode="External" Id="rId9"/><Relationship Type="http://schemas.openxmlformats.org/officeDocument/2006/relationships/hyperlink" Target="#'07_Tasa_reversion'!A1" TargetMode="External" Id="rId10"/><Relationship Type="http://schemas.openxmlformats.org/officeDocument/2006/relationships/hyperlink" Target="#'08_Recuperabilidad'!A1" TargetMode="External" Id="rId11"/><Relationship Type="http://schemas.openxmlformats.org/officeDocument/2006/relationships/hyperlink" Target="#'09_Movimiento'!A1" TargetMode="External" Id="rId12"/><Relationship Type="http://schemas.openxmlformats.org/officeDocument/2006/relationships/hyperlink" Target="#'10_Compensacion'!A1" TargetMode="External" Id="rId13"/><Relationship Type="http://schemas.openxmlformats.org/officeDocument/2006/relationships/hyperlink" Target="#'11_Tasa_efectiva'!A1" TargetMode="External" Id="rId14"/><Relationship Type="http://schemas.openxmlformats.org/officeDocument/2006/relationships/hyperlink" Target="#'12_Ajustes'!A1" TargetMode="External" Id="rId15"/><Relationship Type="http://schemas.openxmlformats.org/officeDocument/2006/relationships/hyperlink" Target="#'13_Partic_exentos'!A1" TargetMode="External" Id="rId16"/><Relationship Type="http://schemas.openxmlformats.org/officeDocument/2006/relationships/hyperlink" Target="#'14_Asientos'!A1" TargetMode="External" Id="rId17"/><Relationship Type="http://schemas.openxmlformats.org/officeDocument/2006/relationships/hyperlink" Target="#'15_Problemas'!A1" TargetMode="External" Id="rId18"/><Relationship Type="http://schemas.openxmlformats.org/officeDocument/2006/relationships/hyperlink" Target="#'13_Conclusion'!A1" TargetMode="External" Id="rId19"/><Relationship Type="http://schemas.openxmlformats.org/officeDocument/2006/relationships/hyperlink" Target="#'14_Control_Revision'!A1" TargetMode="External" Id="rId20"/><Relationship Type="http://schemas.openxmlformats.org/officeDocument/2006/relationships/drawing" Target="/xl/drawings/drawing1.xml" Id="rId21"/></Relationships>
</file>

<file path=xl/worksheets/_rels/sheet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Caratula'!A1" TargetMode="External" Id="rId2"/><Relationship Type="http://schemas.openxmlformats.org/officeDocument/2006/relationships/hyperlink" Target="#'00_Fuentes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1_Resumen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Fuentes'!A1" TargetMode="External" Id="rId2"/><Relationship Type="http://schemas.openxmlformats.org/officeDocument/2006/relationships/hyperlink" Target="#'02_Parametros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1_Resumen'!A1" TargetMode="External" Id="rId2"/><Relationship Type="http://schemas.openxmlformats.org/officeDocument/2006/relationships/hyperlink" Target="#'03_Conciliacion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2_Parametros'!A1" TargetMode="External" Id="rId2"/><Relationship Type="http://schemas.openxmlformats.org/officeDocument/2006/relationships/hyperlink" Target="#'04_Impuesto_corriente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3_Conciliacion'!A1" TargetMode="External" Id="rId2"/><Relationship Type="http://schemas.openxmlformats.org/officeDocument/2006/relationships/hyperlink" Target="#'05_Perdidas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4_Impuesto_corriente'!A1" TargetMode="External" Id="rId2"/><Relationship Type="http://schemas.openxmlformats.org/officeDocument/2006/relationships/hyperlink" Target="#'06_Diferencias_temp'!A1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5_Perdidas'!A1" TargetMode="External" Id="rId2"/><Relationship Type="http://schemas.openxmlformats.org/officeDocument/2006/relationships/hyperlink" Target="#'07_Tasa_reversion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6_Diferencias_temp'!A1" TargetMode="External" Id="rId2"/><Relationship Type="http://schemas.openxmlformats.org/officeDocument/2006/relationships/hyperlink" Target="#'08_Recuperabilidad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7_Tasa_reversion'!A1" TargetMode="External" Id="rId2"/><Relationship Type="http://schemas.openxmlformats.org/officeDocument/2006/relationships/hyperlink" Target="#'09_Movimiento'!A1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8_Recuperabilidad'!A1" TargetMode="External" Id="rId2"/><Relationship Type="http://schemas.openxmlformats.org/officeDocument/2006/relationships/hyperlink" Target="#'10_Compensacion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9_Movimiento'!A1" TargetMode="External" Id="rId2"/><Relationship Type="http://schemas.openxmlformats.org/officeDocument/2006/relationships/hyperlink" Target="#'11_Tasa_efectiva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0_Compensacion'!A1" TargetMode="External" Id="rId2"/><Relationship Type="http://schemas.openxmlformats.org/officeDocument/2006/relationships/hyperlink" Target="#'12_Ajustes'!A1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1_Tasa_efectiva'!A1" TargetMode="External" Id="rId2"/><Relationship Type="http://schemas.openxmlformats.org/officeDocument/2006/relationships/hyperlink" Target="#'13_Partic_exentos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2_Ajustes'!A1" TargetMode="External" Id="rId2"/><Relationship Type="http://schemas.openxmlformats.org/officeDocument/2006/relationships/hyperlink" Target="#'14_Asientos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Partic_exentos'!A1" TargetMode="External" Id="rId2"/><Relationship Type="http://schemas.openxmlformats.org/officeDocument/2006/relationships/hyperlink" Target="#'15_Problemas'!A1" TargetMode="External" Id="rId3"/></Relationships>
</file>

<file path=xl/worksheets/_rels/sheet1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4_Asientos'!A1" TargetMode="External" Id="rId2"/><Relationship Type="http://schemas.openxmlformats.org/officeDocument/2006/relationships/hyperlink" Target="#'13_Conclusion'!A1" TargetMode="External" Id="rId3"/></Relationships>
</file>

<file path=xl/worksheets/_rels/sheet2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5_Problemas'!A1" TargetMode="External" Id="rId2"/><Relationship Type="http://schemas.openxmlformats.org/officeDocument/2006/relationships/hyperlink" Target="#'14_Control_Revision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lusion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14" max="14"/>
    <col width="16" customWidth="1" min="15" max="15"/>
  </cols>
  <sheetData>
    <row r="2">
      <c r="B2" s="1" t="inlineStr">
        <is>
          <t>AuditConsulting Auditores Cía. Ltda.  ·  AUDIT-IA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3" t="inlineStr">
        <is>
          <t>Impuesto corriente y diferido</t>
        </is>
      </c>
    </row>
    <row r="6">
      <c r="B6" s="4" t="inlineStr">
        <is>
          <t>Cliente</t>
        </is>
      </c>
      <c r="C6" s="5" t="inlineStr">
        <is>
          <t>Cliente de muestra S.A.</t>
        </is>
      </c>
      <c r="D6" s="4" t="inlineStr">
        <is>
          <t>RUC</t>
        </is>
      </c>
      <c r="E6" s="5" t="inlineStr">
        <is>
          <t>1790000000001</t>
        </is>
      </c>
    </row>
    <row r="7">
      <c r="B7" s="4" t="inlineStr">
        <is>
          <t>Marco contable</t>
        </is>
      </c>
      <c r="C7" s="5" t="inlineStr">
        <is>
          <t>NIIF completas</t>
        </is>
      </c>
      <c r="D7" s="4" t="inlineStr">
        <is>
          <t>Fecha de corte</t>
        </is>
      </c>
      <c r="E7" s="5" t="inlineStr">
        <is>
          <t>2025-12-31</t>
        </is>
      </c>
    </row>
    <row r="8">
      <c r="B8" s="4" t="inlineStr">
        <is>
          <t>Preparó</t>
        </is>
      </c>
      <c r="C8" s="5" t="inlineStr">
        <is>
          <t>Ejercicio modelo</t>
        </is>
      </c>
      <c r="D8" s="4" t="inlineStr">
        <is>
          <t>Revisó</t>
        </is>
      </c>
      <c r="E8" s="5" t="inlineStr">
        <is>
          <t>Pendiente</t>
        </is>
      </c>
    </row>
    <row r="10">
      <c r="B10" s="6" t="inlineStr">
        <is>
          <t>INDICADORES CLAVE</t>
        </is>
      </c>
    </row>
    <row r="11" ht="30" customHeight="1">
      <c r="B11" s="7" t="inlineStr">
        <is>
          <t>Ajuste neto al gasto por impuesto en resultados (+ más gasto)</t>
        </is>
      </c>
      <c r="C11" s="7" t="inlineStr">
        <is>
          <t>Problemas encontrados</t>
        </is>
      </c>
    </row>
    <row r="12">
      <c r="B12" s="8" t="n">
        <v>16412.5</v>
      </c>
      <c r="C12" s="9" t="n">
        <v>12</v>
      </c>
    </row>
    <row r="15">
      <c r="B15" s="6" t="inlineStr">
        <is>
          <t>IR A LA CÉDULA</t>
        </is>
      </c>
    </row>
    <row r="16" ht="32" customHeight="1">
      <c r="B16" s="10" t="inlineStr">
        <is>
          <t>Carátula</t>
        </is>
      </c>
      <c r="C16" s="10" t="inlineStr">
        <is>
          <t>Programa</t>
        </is>
      </c>
      <c r="D16" s="10" t="inlineStr">
        <is>
          <t>Base técnica</t>
        </is>
      </c>
      <c r="E16" s="10" t="inlineStr">
        <is>
          <t>Resumen</t>
        </is>
      </c>
    </row>
    <row r="17" ht="32" customHeight="1">
      <c r="B17" s="10" t="inlineStr">
        <is>
          <t>Parámetros</t>
        </is>
      </c>
      <c r="C17" s="10" t="inlineStr">
        <is>
          <t>Conciliación tributaria</t>
        </is>
      </c>
      <c r="D17" s="10" t="inlineStr">
        <is>
          <t>Impuesto corriente</t>
        </is>
      </c>
      <c r="E17" s="10" t="inlineStr">
        <is>
          <t>Pérdidas tributarias</t>
        </is>
      </c>
    </row>
    <row r="18" ht="32" customHeight="1">
      <c r="B18" s="10" t="inlineStr">
        <is>
          <t>Diferencias temporarias y diferido</t>
        </is>
      </c>
      <c r="C18" s="10" t="inlineStr">
        <is>
          <t>Tasa de reversión</t>
        </is>
      </c>
      <c r="D18" s="10" t="inlineStr">
        <is>
          <t>Recuperabilidad del activo diferido</t>
        </is>
      </c>
      <c r="E18" s="10" t="inlineStr">
        <is>
          <t>Movimiento: resultados y ORI</t>
        </is>
      </c>
    </row>
    <row r="19" ht="32" customHeight="1">
      <c r="B19" s="10" t="inlineStr">
        <is>
          <t>Compensación y presentación</t>
        </is>
      </c>
      <c r="C19" s="10" t="inlineStr">
        <is>
          <t>Tasa efectiva (NIC 12.81 c)</t>
        </is>
      </c>
      <c r="D19" s="10" t="inlineStr">
        <is>
          <t>Ajustes propuestos</t>
        </is>
      </c>
      <c r="E19" s="10" t="inlineStr">
        <is>
          <t>Participación atribuible a exentos</t>
        </is>
      </c>
    </row>
    <row r="20" ht="32" customHeight="1">
      <c r="B20" s="10" t="inlineStr">
        <is>
          <t>Asientos propuestos</t>
        </is>
      </c>
      <c r="C20" s="10" t="inlineStr">
        <is>
          <t>Problemas encontrados</t>
        </is>
      </c>
      <c r="D20" s="10" t="inlineStr">
        <is>
          <t>Conclusión</t>
        </is>
      </c>
      <c r="E20" s="10" t="inlineStr">
        <is>
          <t>Control de revisión</t>
        </is>
      </c>
    </row>
    <row r="22">
      <c r="B22" s="6" t="inlineStr">
        <is>
          <t>PANORAMA</t>
        </is>
      </c>
      <c r="N22" s="11" t="inlineStr">
        <is>
          <t>Datos de los gráficos (fórmulas a las cédulas)</t>
        </is>
      </c>
    </row>
    <row r="23">
      <c r="N23" s="12" t="inlineStr">
        <is>
          <t>Cifras del resumen</t>
        </is>
      </c>
      <c r="O23" s="12" t="inlineStr">
        <is>
          <t>Importe (USD)</t>
        </is>
      </c>
    </row>
    <row r="24">
      <c r="N24" s="12">
        <f>'01_Resumen'!A5</f>
        <v/>
      </c>
      <c r="O24" s="13">
        <f>'01_Resumen'!B5</f>
        <v/>
      </c>
    </row>
    <row r="25">
      <c r="N25" s="12">
        <f>'01_Resumen'!A6</f>
        <v/>
      </c>
      <c r="O25" s="13">
        <f>'01_Resumen'!B6</f>
        <v/>
      </c>
    </row>
    <row r="26">
      <c r="N26" s="12">
        <f>'01_Resumen'!A7</f>
        <v/>
      </c>
      <c r="O26" s="13">
        <f>'01_Resumen'!B7</f>
        <v/>
      </c>
    </row>
    <row r="27">
      <c r="N27" s="12">
        <f>'01_Resumen'!A8</f>
        <v/>
      </c>
      <c r="O27" s="13">
        <f>'01_Resumen'!B8</f>
        <v/>
      </c>
    </row>
    <row r="28">
      <c r="N28" s="12">
        <f>'01_Resumen'!A9</f>
        <v/>
      </c>
      <c r="O28" s="13">
        <f>'01_Resumen'!B9</f>
        <v/>
      </c>
    </row>
    <row r="29">
      <c r="N29" s="12">
        <f>'01_Resumen'!A10</f>
        <v/>
      </c>
      <c r="O29" s="13">
        <f>'01_Resumen'!B10</f>
        <v/>
      </c>
    </row>
    <row r="30">
      <c r="N30" s="12">
        <f>'01_Resumen'!A11</f>
        <v/>
      </c>
      <c r="O30" s="13">
        <f>'01_Resumen'!B11</f>
        <v/>
      </c>
    </row>
    <row r="31">
      <c r="N31" s="12">
        <f>'01_Resumen'!A12</f>
        <v/>
      </c>
      <c r="O31" s="13">
        <f>'01_Resumen'!B12</f>
        <v/>
      </c>
    </row>
    <row r="32">
      <c r="N32" s="12">
        <f>'01_Resumen'!A13</f>
        <v/>
      </c>
      <c r="O32" s="13">
        <f>'01_Resumen'!B13</f>
        <v/>
      </c>
    </row>
    <row r="33">
      <c r="N33" s="12">
        <f>'01_Resumen'!A14</f>
        <v/>
      </c>
      <c r="O33" s="13">
        <f>'01_Resumen'!B14</f>
        <v/>
      </c>
    </row>
    <row r="34">
      <c r="N34" s="12">
        <f>'01_Resumen'!A15</f>
        <v/>
      </c>
      <c r="O34" s="13">
        <f>'01_Resumen'!B15</f>
        <v/>
      </c>
    </row>
    <row r="35">
      <c r="N35" s="12">
        <f>'01_Resumen'!A16</f>
        <v/>
      </c>
      <c r="O35" s="13">
        <f>'01_Resumen'!B16</f>
        <v/>
      </c>
    </row>
    <row r="36">
      <c r="N36" s="12">
        <f>'01_Resumen'!A17</f>
        <v/>
      </c>
      <c r="O36" s="13">
        <f>'01_Resumen'!B17</f>
        <v/>
      </c>
    </row>
    <row r="37">
      <c r="N37" s="12">
        <f>'01_Resumen'!A18</f>
        <v/>
      </c>
      <c r="O37" s="13">
        <f>'01_Resumen'!B18</f>
        <v/>
      </c>
    </row>
    <row r="38">
      <c r="N38" s="12">
        <f>'01_Resumen'!A19</f>
        <v/>
      </c>
      <c r="O38" s="13">
        <f>'01_Resumen'!B19</f>
        <v/>
      </c>
    </row>
    <row r="39">
      <c r="N39" s="12">
        <f>'01_Resumen'!A20</f>
        <v/>
      </c>
      <c r="O39" s="13">
        <f>'01_Resumen'!B20</f>
        <v/>
      </c>
    </row>
    <row r="40">
      <c r="N40" s="12">
        <f>'01_Resumen'!A21</f>
        <v/>
      </c>
      <c r="O40" s="13">
        <f>'01_Resumen'!B21</f>
        <v/>
      </c>
    </row>
    <row r="41">
      <c r="N41" s="12">
        <f>'01_Resumen'!A22</f>
        <v/>
      </c>
      <c r="O41" s="13">
        <f>'01_Resumen'!B22</f>
        <v/>
      </c>
    </row>
    <row r="42">
      <c r="N42" s="12">
        <f>'01_Resumen'!A23</f>
        <v/>
      </c>
      <c r="O42" s="13">
        <f>'01_Resumen'!B23</f>
        <v/>
      </c>
    </row>
    <row r="43">
      <c r="N43" s="12">
        <f>'01_Resumen'!A24</f>
        <v/>
      </c>
      <c r="O43" s="13">
        <f>'01_Resumen'!B24</f>
        <v/>
      </c>
    </row>
    <row r="44">
      <c r="N44" s="12">
        <f>'01_Resumen'!A25</f>
        <v/>
      </c>
      <c r="O44" s="13">
        <f>'01_Resumen'!B25</f>
        <v/>
      </c>
    </row>
    <row r="45">
      <c r="N45" s="12">
        <f>'01_Resumen'!A26</f>
        <v/>
      </c>
      <c r="O45" s="13">
        <f>'01_Resumen'!B26</f>
        <v/>
      </c>
    </row>
    <row r="46">
      <c r="N46" s="12">
        <f>'01_Resumen'!A27</f>
        <v/>
      </c>
      <c r="O46" s="13">
        <f>'01_Resumen'!B27</f>
        <v/>
      </c>
    </row>
    <row r="47">
      <c r="N47" s="12">
        <f>'01_Resumen'!A28</f>
        <v/>
      </c>
      <c r="O47" s="13">
        <f>'01_Resumen'!B28</f>
        <v/>
      </c>
    </row>
    <row r="48">
      <c r="N48" s="12">
        <f>'01_Resumen'!A31</f>
        <v/>
      </c>
      <c r="O48" s="13">
        <f>'01_Resumen'!B31</f>
        <v/>
      </c>
    </row>
    <row r="50">
      <c r="N50" s="12" t="inlineStr">
        <is>
          <t>Hallazgos de mayor impacto</t>
        </is>
      </c>
      <c r="O50" s="12" t="inlineStr">
        <is>
          <t>Importe (USD)</t>
        </is>
      </c>
    </row>
    <row r="51">
      <c r="N51" s="12" t="inlineStr">
        <is>
          <t>Falta compensar</t>
        </is>
      </c>
      <c r="O51" s="13">
        <f>SUMIFS('15_Problemas'!$C$5:$C$16,'15_Problemas'!$A$5:$A$16,"FALTA_COMPENSAR",'15_Problemas'!$C$5:$C$16,"&gt;0")-SUMIFS('15_Problemas'!$C$5:$C$16,'15_Problemas'!$A$5:$A$16,"FALTA_COMPENSAR",'15_Problemas'!$C$5:$C$16,"&lt;0")</f>
        <v/>
      </c>
    </row>
    <row r="52">
      <c r="N52" s="12" t="inlineStr">
        <is>
          <t>Perdidas vencidas</t>
        </is>
      </c>
      <c r="O52" s="13">
        <f>SUMIFS('15_Problemas'!$C$5:$C$16,'15_Problemas'!$A$5:$A$16,"PERDIDAS_VENCIDAS",'15_Problemas'!$C$5:$C$16,"&gt;0")-SUMIFS('15_Problemas'!$C$5:$C$16,'15_Problemas'!$A$5:$A$16,"PERDIDAS_VENCIDAS",'15_Problemas'!$C$5:$C$16,"&lt;0")</f>
        <v/>
      </c>
    </row>
    <row r="53">
      <c r="N53" s="12" t="inlineStr">
        <is>
          <t>No deducibles omitidos</t>
        </is>
      </c>
      <c r="O53" s="13">
        <f>SUMIFS('15_Problemas'!$C$5:$C$16,'15_Problemas'!$A$5:$A$16,"NO_DEDUCIBLES_OMITIDOS",'15_Problemas'!$C$5:$C$16,"&gt;0")-SUMIFS('15_Problemas'!$C$5:$C$16,'15_Problemas'!$A$5:$A$16,"NO_DEDUCIBLES_OMITIDOS",'15_Problemas'!$C$5:$C$16,"&lt;0")</f>
        <v/>
      </c>
    </row>
    <row r="54">
      <c r="N54" s="12" t="inlineStr">
        <is>
          <t>Perdidas sobre limite</t>
        </is>
      </c>
      <c r="O54" s="13">
        <f>SUMIFS('15_Problemas'!$C$5:$C$16,'15_Problemas'!$A$5:$A$16,"PERDIDAS_SOBRE_LIMITE",'15_Problemas'!$C$5:$C$16,"&gt;0")-SUMIFS('15_Problemas'!$C$5:$C$16,'15_Problemas'!$A$5:$A$16,"PERDIDAS_SOBRE_LIMITE",'15_Problemas'!$C$5:$C$16,"&lt;0")</f>
        <v/>
      </c>
    </row>
    <row r="55">
      <c r="N55" s="12" t="inlineStr">
        <is>
          <t>Diferido mal medido</t>
        </is>
      </c>
      <c r="O55" s="13">
        <f>SUMIFS('15_Problemas'!$C$5:$C$16,'15_Problemas'!$A$5:$A$16,"DIFERIDO_MAL_MEDIDO",'15_Problemas'!$C$5:$C$16,"&gt;0")-SUMIFS('15_Problemas'!$C$5:$C$16,'15_Problemas'!$A$5:$A$16,"DIFERIDO_MAL_MEDIDO",'15_Problemas'!$C$5:$C$16,"&lt;0")</f>
        <v/>
      </c>
    </row>
    <row r="56">
      <c r="N56" s="12" t="inlineStr">
        <is>
          <t>Tasa efectiva inexplicada</t>
        </is>
      </c>
      <c r="O56" s="13">
        <f>SUMIFS('15_Problemas'!$C$5:$C$16,'15_Problemas'!$A$5:$A$16,"TASA_EFECTIVA_INEXPLICADA",'15_Problemas'!$C$5:$C$16,"&gt;0")-SUMIFS('15_Problemas'!$C$5:$C$16,'15_Problemas'!$A$5:$A$16,"TASA_EFECTIVA_INEXPLICADA",'15_Problemas'!$C$5:$C$16,"&lt;0")</f>
        <v/>
      </c>
    </row>
    <row r="57">
      <c r="N57" s="12" t="inlineStr">
        <is>
          <t>Dta perdidas exceso</t>
        </is>
      </c>
      <c r="O57" s="13">
        <f>SUMIFS('15_Problemas'!$C$5:$C$16,'15_Problemas'!$A$5:$A$16,"DTA_PERDIDAS_EXCESO",'15_Problemas'!$C$5:$C$16,"&gt;0")-SUMIFS('15_Problemas'!$C$5:$C$16,'15_Problemas'!$A$5:$A$16,"DTA_PERDIDAS_EXCESO",'15_Problemas'!$C$5:$C$16,"&lt;0")</f>
        <v/>
      </c>
    </row>
    <row r="58">
      <c r="N58" s="12" t="inlineStr">
        <is>
          <t>Otros (5 tipos)</t>
        </is>
      </c>
      <c r="O58" s="13">
        <f>SUMIF('15_Problemas'!$C$5:$C$16,"&gt;0")-SUMIF('15_Problemas'!$C$5:$C$16,"&lt;0")-((SUMIFS('15_Problemas'!$C$5:$C$16,'15_Problemas'!$A$5:$A$16,"FALTA_COMPENSAR",'15_Problemas'!$C$5:$C$16,"&gt;0")-SUMIFS('15_Problemas'!$C$5:$C$16,'15_Problemas'!$A$5:$A$16,"FALTA_COMPENSAR",'15_Problemas'!$C$5:$C$16,"&lt;0"))+(SUMIFS('15_Problemas'!$C$5:$C$16,'15_Problemas'!$A$5:$A$16,"PERDIDAS_VENCIDAS",'15_Problemas'!$C$5:$C$16,"&gt;0")-SUMIFS('15_Problemas'!$C$5:$C$16,'15_Problemas'!$A$5:$A$16,"PERDIDAS_VENCIDAS",'15_Problemas'!$C$5:$C$16,"&lt;0"))+(SUMIFS('15_Problemas'!$C$5:$C$16,'15_Problemas'!$A$5:$A$16,"NO_DEDUCIBLES_OMITIDOS",'15_Problemas'!$C$5:$C$16,"&gt;0")-SUMIFS('15_Problemas'!$C$5:$C$16,'15_Problemas'!$A$5:$A$16,"NO_DEDUCIBLES_OMITIDOS",'15_Problemas'!$C$5:$C$16,"&lt;0"))+(SUMIFS('15_Problemas'!$C$5:$C$16,'15_Problemas'!$A$5:$A$16,"PERDIDAS_SOBRE_LIMITE",'15_Problemas'!$C$5:$C$16,"&gt;0")-SUMIFS('15_Problemas'!$C$5:$C$16,'15_Problemas'!$A$5:$A$16,"PERDIDAS_SOBRE_LIMITE",'15_Problemas'!$C$5:$C$16,"&lt;0"))+(SUMIFS('15_Problemas'!$C$5:$C$16,'15_Problemas'!$A$5:$A$16,"DIFERIDO_MAL_MEDIDO",'15_Problemas'!$C$5:$C$16,"&gt;0")-SUMIFS('15_Problemas'!$C$5:$C$16,'15_Problemas'!$A$5:$A$16,"DIFERIDO_MAL_MEDIDO",'15_Problemas'!$C$5:$C$16,"&lt;0"))+(SUMIFS('15_Problemas'!$C$5:$C$16,'15_Problemas'!$A$5:$A$16,"TASA_EFECTIVA_INEXPLICADA",'15_Problemas'!$C$5:$C$16,"&gt;0")-SUMIFS('15_Problemas'!$C$5:$C$16,'15_Problemas'!$A$5:$A$16,"TASA_EFECTIVA_INEXPLICADA",'15_Problemas'!$C$5:$C$16,"&lt;0"))+(SUMIFS('15_Problemas'!$C$5:$C$16,'15_Problemas'!$A$5:$A$16,"DTA_PERDIDAS_EXCESO",'15_Problemas'!$C$5:$C$16,"&gt;0")-SUMIFS('15_Problemas'!$C$5:$C$16,'15_Problemas'!$A$5:$A$16,"DTA_PERDIDAS_EXCESO",'15_Problemas'!$C$5:$C$16,"&lt;0")))</f>
        <v/>
      </c>
    </row>
  </sheetData>
  <mergeCells count="2">
    <mergeCell ref="B4:F4"/>
    <mergeCell ref="B2:F3"/>
  </mergeCell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B17" r:id="rId5"/>
    <hyperlink xmlns:r="http://schemas.openxmlformats.org/officeDocument/2006/relationships" ref="C17" r:id="rId6"/>
    <hyperlink xmlns:r="http://schemas.openxmlformats.org/officeDocument/2006/relationships" ref="D17" r:id="rId7"/>
    <hyperlink xmlns:r="http://schemas.openxmlformats.org/officeDocument/2006/relationships" ref="E17" r:id="rId8"/>
    <hyperlink xmlns:r="http://schemas.openxmlformats.org/officeDocument/2006/relationships" ref="B18" r:id="rId9"/>
    <hyperlink xmlns:r="http://schemas.openxmlformats.org/officeDocument/2006/relationships" ref="C18" r:id="rId10"/>
    <hyperlink xmlns:r="http://schemas.openxmlformats.org/officeDocument/2006/relationships" ref="D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C19" r:id="rId14"/>
    <hyperlink xmlns:r="http://schemas.openxmlformats.org/officeDocument/2006/relationships" ref="D19" r:id="rId15"/>
    <hyperlink xmlns:r="http://schemas.openxmlformats.org/officeDocument/2006/relationships" ref="E19" r:id="rId16"/>
    <hyperlink xmlns:r="http://schemas.openxmlformats.org/officeDocument/2006/relationships" ref="B20" r:id="rId17"/>
    <hyperlink xmlns:r="http://schemas.openxmlformats.org/officeDocument/2006/relationships" ref="C20" r:id="rId18"/>
    <hyperlink xmlns:r="http://schemas.openxmlformats.org/officeDocument/2006/relationships" ref="D20" r:id="rId19"/>
    <hyperlink xmlns:r="http://schemas.openxmlformats.org/officeDocument/2006/relationships" ref="E20" r:id="rId20"/>
  </hyperlinks>
  <printOptions horizontalCentered="1"/>
  <pageMargins left="0.75" right="0.75" top="1" bottom="1" header="0.5" footer="0.5"/>
  <pageSetup orientation="landscape" fitToHeight="0" fitToWidth="1"/>
  <headerFooter>
    <oddHeader/>
    <oddFooter>&amp;LAuditConsulting Auditores Cía. Ltda.&amp;CCliente de muestra S.A.&amp;RPágina &amp;P de &amp;N</oddFooter>
    <evenHeader/>
    <evenFooter/>
    <firstHeader/>
    <firstFooter/>
  </headerFooter>
  <drawing xmlns:r="http://schemas.openxmlformats.org/officeDocument/2006/relationships" r:id="rId2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3" t="inlineStr">
        <is>
          <t>Carátula</t>
        </is>
      </c>
      <c r="H1" s="14" t="inlineStr">
        <is>
          <t>⟵ Inicio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Firma</t>
        </is>
      </c>
      <c r="B5" s="18" t="inlineStr">
        <is>
          <t>AuditConsulting Auditores Cía. Ltda.</t>
        </is>
      </c>
    </row>
    <row r="6">
      <c r="A6" s="19" t="inlineStr">
        <is>
          <t>Cliente</t>
        </is>
      </c>
      <c r="B6" s="19" t="inlineStr">
        <is>
          <t>Cliente de muestra S.A.</t>
        </is>
      </c>
    </row>
    <row r="7">
      <c r="A7" s="18" t="inlineStr">
        <is>
          <t>RUC</t>
        </is>
      </c>
      <c r="B7" s="18" t="inlineStr">
        <is>
          <t>1790000000001</t>
        </is>
      </c>
    </row>
    <row r="8">
      <c r="A8" s="19" t="inlineStr">
        <is>
          <t>Ejercicio</t>
        </is>
      </c>
      <c r="B8" s="19" t="inlineStr">
        <is>
          <t>2025</t>
        </is>
      </c>
    </row>
    <row r="9">
      <c r="A9" s="18" t="inlineStr">
        <is>
          <t>Fecha de corte</t>
        </is>
      </c>
      <c r="B9" s="18" t="inlineStr">
        <is>
          <t>2025-12-31</t>
        </is>
      </c>
    </row>
    <row r="10">
      <c r="A10" s="19" t="inlineStr">
        <is>
          <t>Marco contable</t>
        </is>
      </c>
      <c r="B10" s="19" t="inlineStr">
        <is>
          <t>NIIF completas</t>
        </is>
      </c>
    </row>
    <row r="11">
      <c r="A11" s="18" t="inlineStr">
        <is>
          <t>Herramienta</t>
        </is>
      </c>
      <c r="B11" s="18" t="inlineStr">
        <is>
          <t>Impuesto corriente y diferido</t>
        </is>
      </c>
    </row>
    <row r="12">
      <c r="A12" s="19" t="inlineStr">
        <is>
          <t>Rubro</t>
        </is>
      </c>
      <c r="B12" s="19" t="inlineStr">
        <is>
          <t>Impuestos</t>
        </is>
      </c>
    </row>
    <row r="13">
      <c r="A13" s="18" t="inlineStr">
        <is>
          <t>Motor</t>
        </is>
      </c>
      <c r="B13" s="18" t="inlineStr">
        <is>
          <t>impuesto_corriente_diferido 1.0</t>
        </is>
      </c>
    </row>
    <row r="14">
      <c r="A14" s="19" t="inlineStr">
        <is>
          <t>Versión del papel</t>
        </is>
      </c>
      <c r="B14" s="19" t="inlineStr">
        <is>
          <t>v1</t>
        </is>
      </c>
    </row>
    <row r="15">
      <c r="A15" s="18" t="inlineStr">
        <is>
          <t>Estado</t>
        </is>
      </c>
      <c r="B15" s="18" t="inlineStr">
        <is>
          <t>MUESTRA</t>
        </is>
      </c>
    </row>
    <row r="16">
      <c r="A16" s="19" t="inlineStr">
        <is>
          <t>Preparó</t>
        </is>
      </c>
      <c r="B16" s="19" t="inlineStr">
        <is>
          <t>Ejercicio modelo</t>
        </is>
      </c>
    </row>
    <row r="17">
      <c r="A17" s="18" t="inlineStr">
        <is>
          <t>Revisó</t>
        </is>
      </c>
      <c r="B17" s="18" t="inlineStr">
        <is>
          <t>Pendiente</t>
        </is>
      </c>
    </row>
    <row r="18">
      <c r="A18" s="19" t="inlineStr">
        <is>
          <t>Aprobó</t>
        </is>
      </c>
      <c r="B18" s="19" t="inlineStr"/>
    </row>
    <row r="19">
      <c r="A19" s="18" t="inlineStr">
        <is>
          <t>Fecha de aprobación</t>
        </is>
      </c>
      <c r="B19" s="18" t="inlineStr"/>
    </row>
    <row r="20">
      <c r="A20" s="19" t="inlineStr">
        <is>
          <t>Huella de la ejecución (SHA-256)</t>
        </is>
      </c>
      <c r="B20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J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6" customWidth="1" min="3" max="3"/>
    <col width="60" customWidth="1" min="4" max="4"/>
    <col width="48" customWidth="1" min="5" max="5"/>
    <col width="60" customWidth="1" min="6" max="6"/>
    <col width="60" customWidth="1" min="7" max="7"/>
  </cols>
  <sheetData>
    <row r="1">
      <c r="A1" s="3" t="inlineStr">
        <is>
          <t>Programa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Objetivo</t>
        </is>
      </c>
      <c r="C4" s="17" t="inlineStr">
        <is>
          <t>Afirmación</t>
        </is>
      </c>
      <c r="D4" s="17" t="inlineStr">
        <is>
          <t>Procedimiento</t>
        </is>
      </c>
      <c r="E4" s="17" t="inlineStr">
        <is>
          <t>Evidencia</t>
        </is>
      </c>
      <c r="F4" s="17" t="inlineStr">
        <is>
          <t>Criterio</t>
        </is>
      </c>
      <c r="G4" s="17" t="inlineStr">
        <is>
          <t>Referencia</t>
        </is>
      </c>
    </row>
    <row r="5">
      <c r="A5" s="18" t="inlineStr">
        <is>
          <t>TAX-01</t>
        </is>
      </c>
      <c r="B5" s="18" t="inlineStr">
        <is>
          <t>Conciliación tributaria</t>
        </is>
      </c>
      <c r="C5" s="18" t="inlineStr">
        <is>
          <t>Exactitud / Integridad</t>
        </is>
      </c>
      <c r="D5" s="18" t="inlineStr">
        <is>
          <t>Cotejar la conciliación con el F-101 y el mayor; recalcular participación y revisar gastos no deducibles</t>
        </is>
      </c>
      <c r="E5" s="18" t="inlineStr">
        <is>
          <t>F-101, mayor, soporte de gastos</t>
        </is>
      </c>
      <c r="F5" s="18" t="inlineStr">
        <is>
          <t>Base imponible recalculada igual a la declarada o diferencia ajustada</t>
        </is>
      </c>
      <c r="G5" s="18" t="inlineStr">
        <is>
          <t>LRTI arts. 9, 10 · NIA 500</t>
        </is>
      </c>
    </row>
    <row r="6">
      <c r="A6" s="19" t="inlineStr">
        <is>
          <t>TAX-02</t>
        </is>
      </c>
      <c r="B6" s="19" t="inlineStr">
        <is>
          <t>Impuesto corriente</t>
        </is>
      </c>
      <c r="C6" s="19" t="inlineStr">
        <is>
          <t>Valoración</t>
        </is>
      </c>
      <c r="D6" s="19" t="inlineStr">
        <is>
          <t>Recalcular el impuesto causado con la tarifa vigente y el saldo por pagar neto de retenciones, anticipos y crédito</t>
        </is>
      </c>
      <c r="E6" s="19" t="inlineStr">
        <is>
          <t>F-101, comprobantes de retención</t>
        </is>
      </c>
      <c r="F6" s="19" t="inlineStr">
        <is>
          <t>Diferencia cero</t>
        </is>
      </c>
      <c r="G6" s="19" t="inlineStr">
        <is>
          <t>NIC 12.12, 46 · PYMES 29</t>
        </is>
      </c>
    </row>
    <row r="7">
      <c r="A7" s="18" t="inlineStr">
        <is>
          <t>TAX-03</t>
        </is>
      </c>
      <c r="B7" s="18" t="inlineStr">
        <is>
          <t>Pérdidas tributarias</t>
        </is>
      </c>
      <c r="C7" s="18" t="inlineStr">
        <is>
          <t>Exactitud</t>
        </is>
      </c>
      <c r="D7" s="18" t="inlineStr">
        <is>
          <t>Recalcular el límite anual, el plazo y el saldo por año de origen</t>
        </is>
      </c>
      <c r="E7" s="18" t="inlineStr">
        <is>
          <t>Declaraciones de años anteriores</t>
        </is>
      </c>
      <c r="F7" s="18" t="inlineStr">
        <is>
          <t>Amortización dentro del límite y del plazo</t>
        </is>
      </c>
      <c r="G7" s="18" t="inlineStr">
        <is>
          <t>LRTI art. 11 · NIC 12.34</t>
        </is>
      </c>
    </row>
    <row r="8">
      <c r="A8" s="19" t="inlineStr">
        <is>
          <t>TAX-04</t>
        </is>
      </c>
      <c r="B8" s="19" t="inlineStr">
        <is>
          <t>Bases fiscales y diferencias temporarias</t>
        </is>
      </c>
      <c r="C8" s="19" t="inlineStr">
        <is>
          <t>Valoración / Integridad</t>
        </is>
      </c>
      <c r="D8" s="19" t="inlineStr">
        <is>
          <t>Comparar libros NIIF con la base fiscal por partida y medir activo y pasivo diferidos</t>
        </is>
      </c>
      <c r="E8" s="19" t="inlineStr">
        <is>
          <t>Auxiliares NIIF y fiscales</t>
        </is>
      </c>
      <c r="F8" s="19" t="inlineStr">
        <is>
          <t>Diferido requerido igual al registrado</t>
        </is>
      </c>
      <c r="G8" s="19" t="inlineStr">
        <is>
          <t>NIC 12.5, 15, 24 · PYMES 29</t>
        </is>
      </c>
    </row>
    <row r="9">
      <c r="A9" s="18" t="inlineStr">
        <is>
          <t>TAX-05</t>
        </is>
      </c>
      <c r="B9" s="18" t="inlineStr">
        <is>
          <t>Recuperabilidad del activo diferido</t>
        </is>
      </c>
      <c r="C9" s="18" t="inlineStr">
        <is>
          <t>Valoración</t>
        </is>
      </c>
      <c r="D9" s="18" t="inlineStr">
        <is>
          <t>Evaluar proyecciones fiscales y el Reglamento LRTI, art. innumerado a continuación del art. 28 (num. 5: provisiones distintas de cuentas incobrables y desmantelamiento, utilizables cuando se paguen —jubilación y desahucio solo por la parte no deducible, interpretación: LRTI art. 10 num. 13—; num. 8: pérdidas tributarias); revisar el importe en libros al cierre</t>
        </is>
      </c>
      <c r="E9" s="18" t="inlineStr">
        <is>
          <t>Proyecciones, historial de resultados fiscales</t>
        </is>
      </c>
      <c r="F9" s="18" t="inlineStr">
        <is>
          <t>Activo diferido solo por lo probable y admitido</t>
        </is>
      </c>
      <c r="G9" s="18" t="inlineStr">
        <is>
          <t>NIC 12.24, 34–36, 56 · Reglamento LRTI, art. innumerado a continuación del art. 28 (num. 5: provisiones distintas de cuentas incobrables y desmantelamiento, utilizables cuando se paguen —jubilación y desahucio solo por la parte no deducible, interpretación: LRTI art. 10 num. 13—; num. 8: pérdidas tributarias)</t>
        </is>
      </c>
    </row>
    <row r="10">
      <c r="A10" s="19" t="inlineStr">
        <is>
          <t>TAX-06</t>
        </is>
      </c>
      <c r="B10" s="19" t="inlineStr">
        <is>
          <t>Tasa de reversión</t>
        </is>
      </c>
      <c r="C10" s="19" t="inlineStr">
        <is>
          <t>Valoración</t>
        </is>
      </c>
      <c r="D10" s="19" t="inlineStr">
        <is>
          <t>Comparar la tasa usada con la aprobada al cierre para el año de reversión</t>
        </is>
      </c>
      <c r="E10" s="19" t="inlineStr">
        <is>
          <t>Ley vigente y reformas publicadas</t>
        </is>
      </c>
      <c r="F10" s="19" t="inlineStr">
        <is>
          <t>Tasa esperada del año de reversión (aprobada + recargo del art. 37), sin descuento</t>
        </is>
      </c>
      <c r="G10" s="19" t="inlineStr">
        <is>
          <t>NIC 12.47, 49, 53 · LRTI art. 37</t>
        </is>
      </c>
    </row>
    <row r="11">
      <c r="A11" s="18" t="inlineStr">
        <is>
          <t>TAX-07</t>
        </is>
      </c>
      <c r="B11" s="18" t="inlineStr">
        <is>
          <t>Resultados frente a ORI y compensación</t>
        </is>
      </c>
      <c r="C11" s="18" t="inlineStr">
        <is>
          <t>Presentación</t>
        </is>
      </c>
      <c r="D11" s="18" t="inlineStr">
        <is>
          <t>Separar el movimiento por origen y probar la compensación de saldos</t>
        </is>
      </c>
      <c r="E11" s="18" t="inlineStr">
        <is>
          <t>Estados financieros</t>
        </is>
      </c>
      <c r="F11" s="18" t="inlineStr">
        <is>
          <t>Presentación conforme</t>
        </is>
      </c>
      <c r="G11" s="18" t="inlineStr">
        <is>
          <t>NIC 12.58, 61A, 71, 74</t>
        </is>
      </c>
    </row>
    <row r="12">
      <c r="A12" s="19" t="inlineStr">
        <is>
          <t>TAX-08</t>
        </is>
      </c>
      <c r="B12" s="19" t="inlineStr">
        <is>
          <t>Tasa efectiva</t>
        </is>
      </c>
      <c r="C12" s="19" t="inlineStr">
        <is>
          <t>Exactitud / Presentación</t>
        </is>
      </c>
      <c r="D12" s="19" t="inlineStr">
        <is>
          <t>Conciliar el gasto con el resultado contable × tasa aplicable</t>
        </is>
      </c>
      <c r="E12" s="19" t="inlineStr">
        <is>
          <t>Estado de resultados, nota de impuestos</t>
        </is>
      </c>
      <c r="F12" s="19" t="inlineStr">
        <is>
          <t>Diferencia dentro del umbral</t>
        </is>
      </c>
      <c r="G12" s="19" t="inlineStr">
        <is>
          <t>NIC 12.81 c)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5" customWidth="1" min="3" max="3"/>
    <col width="12" customWidth="1" min="4" max="4"/>
    <col width="12" customWidth="1" min="5" max="5"/>
  </cols>
  <sheetData>
    <row r="1">
      <c r="A1" s="3" t="inlineStr">
        <is>
          <t>Base técnica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Documento</t>
        </is>
      </c>
      <c r="C4" s="17" t="inlineStr">
        <is>
          <t>Párrafos</t>
        </is>
      </c>
      <c r="D4" s="17" t="inlineStr">
        <is>
          <t>URL</t>
        </is>
      </c>
      <c r="E4" s="17" t="inlineStr">
        <is>
          <t>Verificada</t>
        </is>
      </c>
    </row>
    <row r="5">
      <c r="A5" s="18" t="inlineStr">
        <is>
          <t>NIA · NIA 500</t>
        </is>
      </c>
      <c r="B5" s="18" t="inlineStr">
        <is>
          <t>Exactitud e integridad de la conciliación tributaria frente al F-101 y al mayor.</t>
        </is>
      </c>
      <c r="C5" s="18" t="inlineStr">
        <is>
          <t>párr. 9</t>
        </is>
      </c>
      <c r="D5" s="18" t="inlineStr"/>
      <c r="E5" s="18" t="inlineStr"/>
    </row>
    <row r="6">
      <c r="A6" s="19" t="inlineStr">
        <is>
          <t>NIA · NIA 540 (Revisada)</t>
        </is>
      </c>
      <c r="B6" s="19" t="inlineStr">
        <is>
          <t>La probabilidad de ganancias fiscales futuras y la tasa de reversión son supuestos de una estimación.</t>
        </is>
      </c>
      <c r="C6" s="19" t="inlineStr">
        <is>
          <t>párr. 13 y 24</t>
        </is>
      </c>
      <c r="D6" s="19" t="inlineStr"/>
      <c r="E6" s="19" t="inlineStr"/>
    </row>
    <row r="7">
      <c r="A7" s="18" t="inlineStr">
        <is>
          <t>NIA · NIA 250 (Revisada)</t>
        </is>
      </c>
      <c r="B7" s="18" t="inlineStr">
        <is>
          <t>Cumplimiento de disposiciones legales tributarias (LRTI y Reglamento).</t>
        </is>
      </c>
      <c r="C7" s="18" t="inlineStr">
        <is>
          <t>párr. 14</t>
        </is>
      </c>
      <c r="D7" s="18" t="inlineStr"/>
      <c r="E7" s="18" t="inlineStr"/>
    </row>
    <row r="8">
      <c r="A8" s="19" t="inlineStr">
        <is>
          <t>NIA · NIA 330</t>
        </is>
      </c>
      <c r="B8" s="19" t="inlineStr">
        <is>
          <t>Procedimientos sustantivos sobre saldos y transacciones materiales.</t>
        </is>
      </c>
      <c r="C8" s="19" t="inlineStr">
        <is>
          <t>párr. 18</t>
        </is>
      </c>
      <c r="D8" s="19" t="inlineStr"/>
      <c r="E8" s="19" t="inlineStr"/>
    </row>
    <row r="9">
      <c r="A9" s="18" t="inlineStr">
        <is>
          <t>NIA · NIA 450</t>
        </is>
      </c>
      <c r="B9" s="18" t="inlineStr">
        <is>
          <t>Acumular las incorrecciones (ajustes propuestos) y comunicarlas.</t>
        </is>
      </c>
      <c r="C9" s="18" t="inlineStr">
        <is>
          <t>párr. 5 y 8</t>
        </is>
      </c>
      <c r="D9" s="18" t="inlineStr"/>
      <c r="E9" s="18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</cols>
  <sheetData>
    <row r="1">
      <c r="A1" s="3" t="inlineStr">
        <is>
          <t>Resumen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Base imponible según el cliente (total de control)</t>
        </is>
      </c>
      <c r="B5" s="20">
        <f>'04_Impuesto_corriente'!B17</f>
        <v/>
      </c>
    </row>
    <row r="6">
      <c r="A6" s="19" t="inlineStr">
        <is>
          <t>Base imponible auditada</t>
        </is>
      </c>
      <c r="B6" s="21">
        <f>'04_Impuesto_corriente'!C17</f>
        <v/>
      </c>
    </row>
    <row r="7">
      <c r="A7" s="18" t="inlineStr">
        <is>
          <t>Impuesto corriente recalculado</t>
        </is>
      </c>
      <c r="B7" s="20">
        <f>'12_Ajustes'!B5</f>
        <v/>
      </c>
    </row>
    <row r="8">
      <c r="A8" s="19" t="inlineStr">
        <is>
          <t>Impuesto corriente registrado</t>
        </is>
      </c>
      <c r="B8" s="21">
        <f>'12_Ajustes'!B6</f>
        <v/>
      </c>
    </row>
    <row r="9">
      <c r="A9" s="18" t="inlineStr">
        <is>
          <t>Ajuste al impuesto corriente</t>
        </is>
      </c>
      <c r="B9" s="20">
        <f>'12_Ajustes'!B7</f>
        <v/>
      </c>
    </row>
    <row r="10">
      <c r="A10" s="19" t="inlineStr">
        <is>
          <t>Impuesto por pagar (− saldo a favor) recalculado</t>
        </is>
      </c>
      <c r="B10" s="21">
        <f>'12_Ajustes'!B8</f>
        <v/>
      </c>
    </row>
    <row r="11">
      <c r="A11" s="18" t="inlineStr">
        <is>
          <t>Impuesto por pagar registrado</t>
        </is>
      </c>
      <c r="B11" s="20">
        <f>'12_Ajustes'!B9</f>
        <v/>
      </c>
    </row>
    <row r="12">
      <c r="A12" s="19" t="inlineStr">
        <is>
          <t>Ajuste al saldo de impuesto corriente</t>
        </is>
      </c>
      <c r="B12" s="21">
        <f>'12_Ajustes'!B10</f>
        <v/>
      </c>
    </row>
    <row r="13">
      <c r="A13" s="18" t="inlineStr">
        <is>
          <t>Amortización de pérdidas en exceso</t>
        </is>
      </c>
      <c r="B13" s="20">
        <f>'12_Ajustes'!B11</f>
        <v/>
      </c>
    </row>
    <row r="14">
      <c r="A14" s="19" t="inlineStr">
        <is>
          <t>Pérdidas vencidas sin amortizar</t>
        </is>
      </c>
      <c r="B14" s="21">
        <f>'12_Ajustes'!B12</f>
        <v/>
      </c>
    </row>
    <row r="15">
      <c r="A15" s="18" t="inlineStr">
        <is>
          <t>Activo por impuesto diferido requerido</t>
        </is>
      </c>
      <c r="B15" s="20">
        <f>'12_Ajustes'!B13</f>
        <v/>
      </c>
    </row>
    <row r="16">
      <c r="A16" s="19" t="inlineStr">
        <is>
          <t>Pasivo por impuesto diferido requerido</t>
        </is>
      </c>
      <c r="B16" s="21">
        <f>'12_Ajustes'!B14</f>
        <v/>
      </c>
    </row>
    <row r="17">
      <c r="A17" s="18" t="inlineStr">
        <is>
          <t>Activo diferido no reconocido (revelar, NIC 12.81 e)</t>
        </is>
      </c>
      <c r="B17" s="20">
        <f>'12_Ajustes'!B15</f>
        <v/>
      </c>
    </row>
    <row r="18">
      <c r="A18" s="19" t="inlineStr">
        <is>
          <t>Impuesto diferido neto requerido (+ activo)</t>
        </is>
      </c>
      <c r="B18" s="21">
        <f>'12_Ajustes'!B16</f>
        <v/>
      </c>
    </row>
    <row r="19">
      <c r="A19" s="18" t="inlineStr">
        <is>
          <t>Impuesto diferido neto registrado (+ activo)</t>
        </is>
      </c>
      <c r="B19" s="20">
        <f>'12_Ajustes'!B17</f>
        <v/>
      </c>
    </row>
    <row r="20">
      <c r="A20" s="19" t="inlineStr">
        <is>
          <t>Ajuste al impuesto diferido neto</t>
        </is>
      </c>
      <c r="B20" s="21">
        <f>'12_Ajustes'!B18</f>
        <v/>
      </c>
    </row>
    <row r="21">
      <c r="A21" s="18" t="inlineStr">
        <is>
          <t>Ajuste al diferido: parte contra resultados</t>
        </is>
      </c>
      <c r="B21" s="20">
        <f>'12_Ajustes'!B19</f>
        <v/>
      </c>
    </row>
    <row r="22">
      <c r="A22" s="19" t="inlineStr">
        <is>
          <t>Ajuste al diferido: parte contra ORI</t>
        </is>
      </c>
      <c r="B22" s="21">
        <f>'12_Ajustes'!B20</f>
        <v/>
      </c>
    </row>
    <row r="23">
      <c r="A23" s="18" t="inlineStr">
        <is>
          <t>Gasto (ingreso) por impuesto diferido requerido en resultados</t>
        </is>
      </c>
      <c r="B23" s="20">
        <f>'12_Ajustes'!B21</f>
        <v/>
      </c>
    </row>
    <row r="24">
      <c r="A24" s="19" t="inlineStr">
        <is>
          <t>Gasto (ingreso) por impuesto diferido registrado</t>
        </is>
      </c>
      <c r="B24" s="21">
        <f>'12_Ajustes'!B23</f>
        <v/>
      </c>
    </row>
    <row r="25">
      <c r="A25" s="18" t="inlineStr">
        <is>
          <t>Gasto diferido llevado a resultados que corresponde a ORI u otro origen</t>
        </is>
      </c>
      <c r="B25" s="20">
        <f>'12_Ajustes'!B24</f>
        <v/>
      </c>
    </row>
    <row r="26">
      <c r="A26" s="19" t="inlineStr">
        <is>
          <t>Gasto total por impuesto requerido</t>
        </is>
      </c>
      <c r="B26" s="21">
        <f>'12_Ajustes'!B25</f>
        <v/>
      </c>
    </row>
    <row r="27">
      <c r="A27" s="18" t="inlineStr">
        <is>
          <t>Gasto total por impuesto registrado</t>
        </is>
      </c>
      <c r="B27" s="20">
        <f>'12_Ajustes'!B26</f>
        <v/>
      </c>
    </row>
    <row r="28">
      <c r="A28" s="19" t="inlineStr">
        <is>
          <t>Gasto registrado no explicado por la conciliación</t>
        </is>
      </c>
      <c r="B28" s="21">
        <f>'12_Ajustes'!B27</f>
        <v/>
      </c>
    </row>
    <row r="29">
      <c r="A29" s="18" t="inlineStr">
        <is>
          <t>Tasa efectiva requerida (%)</t>
        </is>
      </c>
      <c r="B29" s="20">
        <f>'11_Tasa_efectiva'!C18*100</f>
        <v/>
      </c>
    </row>
    <row r="30">
      <c r="A30" s="19" t="inlineStr">
        <is>
          <t>Tasa efectiva registrada (%)</t>
        </is>
      </c>
      <c r="B30" s="21">
        <f>'11_Tasa_efectiva'!C19*100</f>
        <v/>
      </c>
    </row>
    <row r="31">
      <c r="A31" s="18" t="inlineStr">
        <is>
          <t>Ajuste neto al gasto por impuesto en resultados (+ más gasto)</t>
        </is>
      </c>
      <c r="B31" s="20">
        <f>'12_Ajustes'!B28</f>
        <v/>
      </c>
    </row>
    <row r="33">
      <c r="A33" s="22" t="inlineStr">
        <is>
          <t>ⓘ  Cómo se calcula esta hoja</t>
        </is>
      </c>
    </row>
    <row r="34">
      <c r="A34" s="23" t="inlineStr">
        <is>
          <t>Columna</t>
        </is>
      </c>
      <c r="B34" s="23" t="inlineStr">
        <is>
          <t>Fórmula (Excel)</t>
        </is>
      </c>
      <c r="C34" s="23" t="inlineStr">
        <is>
          <t>Cómo se calcula (sencillo)</t>
        </is>
      </c>
      <c r="D34" s="23" t="inlineStr">
        <is>
          <t>Ejemplo con números reales</t>
        </is>
      </c>
      <c r="E34" s="23" t="inlineStr">
        <is>
          <t>De dónde viene</t>
        </is>
      </c>
      <c r="F34" s="23" t="inlineStr">
        <is>
          <t>Norma</t>
        </is>
      </c>
    </row>
    <row r="35">
      <c r="A35" s="24" t="inlineStr">
        <is>
          <t>Importe</t>
        </is>
      </c>
      <c r="B35" s="25" t="inlineStr">
        <is>
          <t>'='04_Impuesto_corriente'!B17</t>
        </is>
      </c>
      <c r="C35" s="24" t="inlineStr">
        <is>
          <t>Trae cada importe de la hoja 12 (Ajustes propuestos), concepto por concepto; las bases imponibles vienen de la hoja 04 (Impuesto corriente) y las tasas efectivas de la hoja 11 (Tasa efectiva), multiplicadas por 100 para mostrarlas en %.</t>
        </is>
      </c>
      <c r="D35" s="24" t="inlineStr">
        <is>
          <t>Fila 1: 624.550,00 → 624.550,00</t>
        </is>
      </c>
      <c r="E35" s="24" t="inlineStr">
        <is>
          <t>hoja «Impuesto corriente»</t>
        </is>
      </c>
      <c r="F35" s="24" t="inlineStr">
        <is>
          <t>—</t>
        </is>
      </c>
    </row>
  </sheetData>
  <mergeCells count="3">
    <mergeCell ref="A2:F2"/>
    <mergeCell ref="A33:F33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60" customWidth="1" min="3" max="3"/>
  </cols>
  <sheetData>
    <row r="1">
      <c r="A1" s="3" t="inlineStr">
        <is>
          <t>Parámetros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Parámetro</t>
        </is>
      </c>
      <c r="B4" s="17" t="inlineStr">
        <is>
          <t>Valor</t>
        </is>
      </c>
      <c r="C4" s="17" t="inlineStr">
        <is>
          <t>Sustento</t>
        </is>
      </c>
    </row>
    <row r="5">
      <c r="A5" s="18" t="inlineStr">
        <is>
          <t>Corte del ejercicio</t>
        </is>
      </c>
      <c r="B5" s="26" t="n">
        <v>46022</v>
      </c>
      <c r="C5" s="18" t="inlineStr">
        <is>
          <t>Ficha del encargo</t>
        </is>
      </c>
    </row>
    <row r="6">
      <c r="A6" s="19" t="inlineStr">
        <is>
          <t>Marco contable</t>
        </is>
      </c>
      <c r="B6" s="19" t="inlineStr">
        <is>
          <t>NIIF completas</t>
        </is>
      </c>
      <c r="C6" s="19" t="inlineStr">
        <is>
          <t>NIC 12 — mismo cálculo en ambos marcos; cambian las citas</t>
        </is>
      </c>
    </row>
    <row r="7">
      <c r="A7" s="18" t="inlineStr">
        <is>
          <t>Tarifa general del impuesto a la renta (%)</t>
        </is>
      </c>
      <c r="B7" s="27" t="n">
        <v>25</v>
      </c>
      <c r="C7" s="18" t="inlineStr">
        <is>
          <t>LRTI art. 37 — vigente al corte</t>
        </is>
      </c>
    </row>
    <row r="8">
      <c r="A8" s="19" t="inlineStr">
        <is>
          <t>Puntos adicionales (paraísos fiscales / composición societaria)</t>
        </is>
      </c>
      <c r="B8" s="28" t="n">
        <v>3</v>
      </c>
      <c r="C8" s="19" t="inlineStr">
        <is>
          <t>LRTI art. 37 — vigente al corte</t>
        </is>
      </c>
    </row>
    <row r="9">
      <c r="A9" s="18" t="inlineStr">
        <is>
          <t>Composición societaria en paraísos fiscales o no informada (%)</t>
        </is>
      </c>
      <c r="B9" s="27" t="n">
        <v>0</v>
      </c>
      <c r="C9" s="18" t="inlineStr">
        <is>
          <t>Reglamento art. 51: el recargo grava esa misma proporción de la base y el 100 % cuando llega al 50 % — aplicada 0.0 %</t>
        </is>
      </c>
    </row>
    <row r="10">
      <c r="A10" s="19" t="inlineStr">
        <is>
          <t>Participación de trabajadores (%)</t>
        </is>
      </c>
      <c r="B10" s="28" t="n">
        <v>15</v>
      </c>
      <c r="C10" s="19" t="inlineStr">
        <is>
          <t>Código del Trabajo art. 97 — vigente al corte</t>
        </is>
      </c>
    </row>
    <row r="11">
      <c r="A11" s="18" t="inlineStr">
        <is>
          <t>Ingreso exento bruto del ejercicio (antes de gastos atribuibles)</t>
        </is>
      </c>
      <c r="B11" s="27" t="n">
        <v>60000</v>
      </c>
      <c r="C11" s="18" t="inlineStr">
        <is>
          <t>Reglamento LRTI art. 46 num. 5: «el 15% de tales ingresos» — vigente al corte; vacío: no se recalcula la participación atribuible</t>
        </is>
      </c>
    </row>
    <row r="12">
      <c r="A12" s="19" t="inlineStr">
        <is>
          <t>Participación atribuible a exentos informada por el cliente</t>
        </is>
      </c>
      <c r="B12" s="28" t="n">
        <v>8550</v>
      </c>
      <c r="C12" s="19" t="inlineStr">
        <is>
          <t>Papel de trabajo del cliente / casillero del F-101</t>
        </is>
      </c>
    </row>
    <row r="13">
      <c r="A13" s="18" t="inlineStr">
        <is>
          <t>Límite anual de amortización de pérdidas (%)</t>
        </is>
      </c>
      <c r="B13" s="27" t="n">
        <v>25</v>
      </c>
      <c r="C13" s="18" t="inlineStr">
        <is>
          <t>LRTI art. 11 — vigente al corte</t>
        </is>
      </c>
    </row>
    <row r="14">
      <c r="A14" s="19" t="inlineStr">
        <is>
          <t>Plazo para amortizar pérdidas (años)</t>
        </is>
      </c>
      <c r="B14" s="28" t="n">
        <v>5</v>
      </c>
      <c r="C14" s="19" t="inlineStr">
        <is>
          <t>LRTI art. 11 — vigente al corte</t>
        </is>
      </c>
    </row>
    <row r="15">
      <c r="A15" s="18" t="inlineStr">
        <is>
          <t>Tasa aprobada para años futuros (%)</t>
        </is>
      </c>
      <c r="B15" s="18" t="n"/>
      <c r="C15" s="18" t="inlineStr">
        <is>
          <t>NIC 12.47, 53 — tasa aprobada o prácticamente aprobada al cierre</t>
        </is>
      </c>
    </row>
    <row r="16">
      <c r="A16" s="19" t="inlineStr">
        <is>
          <t>Año desde el que rige la tasa futura</t>
        </is>
      </c>
      <c r="B16" s="19" t="n"/>
      <c r="C16" s="19" t="inlineStr">
        <is>
          <t>Ley publicada al cierre</t>
        </is>
      </c>
    </row>
    <row r="17">
      <c r="A17" s="18" t="inlineStr">
        <is>
          <t>Ley admite diferido por pérdidas</t>
        </is>
      </c>
      <c r="B17" s="18" t="inlineStr">
        <is>
          <t>Sí</t>
        </is>
      </c>
      <c r="C17" s="18" t="inlineStr">
        <is>
          <t>Reglamento LRTI, art. innumerado a continuación del art. 28 (num. 5: provisiones distintas de cuentas incobrables y desmantelamiento, utilizables cuando se paguen —jubilación y desahucio solo por la parte no deducible, interpretación: LRTI art. 10 num. 13—; num. 8: pérdidas tributarias)</t>
        </is>
      </c>
    </row>
    <row r="18">
      <c r="A18" s="19" t="inlineStr">
        <is>
          <t>Probable ganancia fiscal para las pérdidas</t>
        </is>
      </c>
      <c r="B18" s="19" t="inlineStr">
        <is>
          <t>Sí</t>
        </is>
      </c>
      <c r="C18" s="19" t="inlineStr">
        <is>
          <t>NIC 12.35–36 — proyecciones fiscales</t>
        </is>
      </c>
    </row>
    <row r="19">
      <c r="A19" s="18" t="inlineStr">
        <is>
          <t>Retenciones en la fuente del ejercicio</t>
        </is>
      </c>
      <c r="B19" s="27" t="n">
        <v>70000</v>
      </c>
      <c r="C19" s="18" t="inlineStr">
        <is>
          <t>Comprobantes de retención / F-101</t>
        </is>
      </c>
    </row>
    <row r="20">
      <c r="A20" s="19" t="inlineStr">
        <is>
          <t>Anticipos pagados</t>
        </is>
      </c>
      <c r="B20" s="28" t="n">
        <v>10000</v>
      </c>
      <c r="C20" s="19" t="inlineStr">
        <is>
          <t>F-115 / F-101</t>
        </is>
      </c>
    </row>
    <row r="21">
      <c r="A21" s="18" t="inlineStr">
        <is>
          <t>Crédito tributario de años anteriores</t>
        </is>
      </c>
      <c r="B21" s="27" t="n">
        <v>5000</v>
      </c>
      <c r="C21" s="18" t="inlineStr">
        <is>
          <t>F-101</t>
        </is>
      </c>
    </row>
    <row r="22">
      <c r="A22" s="19" t="inlineStr">
        <is>
          <t>Gasto por impuesto corriente registrado</t>
        </is>
      </c>
      <c r="B22" s="28" t="n">
        <v>156137.5</v>
      </c>
      <c r="C22" s="19" t="inlineStr">
        <is>
          <t>Mayor</t>
        </is>
      </c>
    </row>
    <row r="23">
      <c r="A23" s="18" t="inlineStr">
        <is>
          <t>Impuesto por pagar registrado (+) / saldo a favor (−)</t>
        </is>
      </c>
      <c r="B23" s="27" t="n">
        <v>71137.5</v>
      </c>
      <c r="C23" s="18" t="inlineStr">
        <is>
          <t>Estado de situación financiera</t>
        </is>
      </c>
    </row>
    <row r="24">
      <c r="A24" s="19" t="inlineStr">
        <is>
          <t>Gasto (ingreso) por impuesto diferido registrado</t>
        </is>
      </c>
      <c r="B24" s="28" t="n">
        <v>19700</v>
      </c>
      <c r="C24" s="19" t="inlineStr">
        <is>
          <t>Estado de resultados</t>
        </is>
      </c>
    </row>
    <row r="25">
      <c r="A25" s="18" t="inlineStr">
        <is>
          <t>Activo diferido por pérdidas al inicio</t>
        </is>
      </c>
      <c r="B25" s="27" t="n">
        <v>45000</v>
      </c>
      <c r="C25" s="18" t="inlineStr">
        <is>
          <t>Mayor</t>
        </is>
      </c>
    </row>
    <row r="26">
      <c r="A26" s="19" t="inlineStr">
        <is>
          <t>Activo diferido por pérdidas al cierre</t>
        </is>
      </c>
      <c r="B26" s="28" t="n">
        <v>20000</v>
      </c>
      <c r="C26" s="19" t="inlineStr">
        <is>
          <t>Mayor</t>
        </is>
      </c>
    </row>
    <row r="27">
      <c r="A27" s="18" t="inlineStr">
        <is>
          <t>Derecho legal de compensar (misma autoridad)</t>
        </is>
      </c>
      <c r="B27" s="18" t="inlineStr">
        <is>
          <t>Sí</t>
        </is>
      </c>
      <c r="C27" s="18" t="inlineStr">
        <is>
          <t>NIC 12.71, 74</t>
        </is>
      </c>
    </row>
    <row r="28">
      <c r="A28" s="19" t="inlineStr">
        <is>
          <t>Activo por impuesto diferido presentado</t>
        </is>
      </c>
      <c r="B28" s="28" t="n">
        <v>76300</v>
      </c>
      <c r="C28" s="19" t="inlineStr">
        <is>
          <t>Estado de situación financiera</t>
        </is>
      </c>
    </row>
    <row r="29">
      <c r="A29" s="18" t="inlineStr">
        <is>
          <t>Pasivo por impuesto diferido presentado</t>
        </is>
      </c>
      <c r="B29" s="27" t="n">
        <v>70000</v>
      </c>
      <c r="C29" s="18" t="inlineStr">
        <is>
          <t>Estado de situación financiera</t>
        </is>
      </c>
    </row>
    <row r="30">
      <c r="A30" s="19" t="inlineStr">
        <is>
          <t>Diferencia tolerable en la tasa efectiva (p.p.)</t>
        </is>
      </c>
      <c r="B30" s="28" t="n">
        <v>1</v>
      </c>
      <c r="C30" s="19" t="inlineStr">
        <is>
          <t>Juicio del auditor (materialidad)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3" customWidth="1" min="3" max="3"/>
    <col width="15" customWidth="1" min="4" max="4"/>
    <col width="23" customWidth="1" min="5" max="5"/>
    <col width="23" customWidth="1" min="6" max="6"/>
    <col width="18" customWidth="1" min="7" max="7"/>
    <col width="12" customWidth="1" min="8" max="8"/>
  </cols>
  <sheetData>
    <row r="1">
      <c r="A1" s="3" t="inlineStr">
        <is>
          <t>Conciliación tributaria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Renglón</t>
        </is>
      </c>
      <c r="B4" s="17" t="inlineStr">
        <is>
          <t>Concepto</t>
        </is>
      </c>
      <c r="C4" s="17" t="inlineStr">
        <is>
          <t>Tipo</t>
        </is>
      </c>
      <c r="D4" s="17" t="inlineStr">
        <is>
          <t>Signo exigido</t>
        </is>
      </c>
      <c r="E4" s="17" t="inlineStr">
        <is>
          <t>Importe según cliente</t>
        </is>
      </c>
      <c r="F4" s="17" t="inlineStr">
        <is>
          <t>Importe según auditor</t>
        </is>
      </c>
      <c r="G4" s="17" t="inlineStr">
        <is>
          <t>Importe auditado</t>
        </is>
      </c>
      <c r="H4" s="17" t="inlineStr">
        <is>
          <t>Diferencia</t>
        </is>
      </c>
    </row>
    <row r="5">
      <c r="A5" s="18" t="inlineStr">
        <is>
          <t>801</t>
        </is>
      </c>
      <c r="B5" s="18" t="inlineStr">
        <is>
          <t>Utilidad del ejercicio</t>
        </is>
      </c>
      <c r="C5" s="18" t="inlineStr">
        <is>
          <t>utilidad</t>
        </is>
      </c>
      <c r="D5" s="18" t="inlineStr">
        <is>
          <t>± según signo</t>
        </is>
      </c>
      <c r="E5" s="20" t="n">
        <v>1000000</v>
      </c>
      <c r="F5" s="20" t="n"/>
      <c r="G5" s="20">
        <f>IF(F5&lt;&gt;"",F5,E5)</f>
        <v/>
      </c>
      <c r="H5" s="20">
        <f>G5-E5</f>
        <v/>
      </c>
    </row>
    <row r="6">
      <c r="A6" s="19" t="inlineStr">
        <is>
          <t>803</t>
        </is>
      </c>
      <c r="B6" s="19" t="inlineStr">
        <is>
          <t>(-) Participación a trabajadores</t>
        </is>
      </c>
      <c r="C6" s="19" t="inlineStr">
        <is>
          <t>participacion</t>
        </is>
      </c>
      <c r="D6" s="19" t="inlineStr">
        <is>
          <t>− resta</t>
        </is>
      </c>
      <c r="E6" s="21" t="n">
        <v>-150000</v>
      </c>
      <c r="F6" s="21" t="n"/>
      <c r="G6" s="21">
        <f>IF(F6&lt;&gt;"",F6,E6)</f>
        <v/>
      </c>
      <c r="H6" s="21">
        <f>G6-E6</f>
        <v/>
      </c>
    </row>
    <row r="7">
      <c r="A7" s="18" t="inlineStr">
        <is>
          <t>804</t>
        </is>
      </c>
      <c r="B7" s="18" t="inlineStr">
        <is>
          <t>(-) Dividendos exentos</t>
        </is>
      </c>
      <c r="C7" s="18" t="inlineStr">
        <is>
          <t>exentos</t>
        </is>
      </c>
      <c r="D7" s="18" t="inlineStr">
        <is>
          <t>− resta</t>
        </is>
      </c>
      <c r="E7" s="20" t="n">
        <v>-60000</v>
      </c>
      <c r="F7" s="20" t="n"/>
      <c r="G7" s="20">
        <f>IF(F7&lt;&gt;"",F7,E7)</f>
        <v/>
      </c>
      <c r="H7" s="20">
        <f>G7-E7</f>
        <v/>
      </c>
    </row>
    <row r="8">
      <c r="A8" s="19" t="inlineStr">
        <is>
          <t>806</t>
        </is>
      </c>
      <c r="B8" s="19" t="inlineStr">
        <is>
          <t>(+) Gastos no deducibles locales (multas, intereses)</t>
        </is>
      </c>
      <c r="C8" s="19" t="inlineStr">
        <is>
          <t>no_deducibles</t>
        </is>
      </c>
      <c r="D8" s="19" t="inlineStr">
        <is>
          <t>'+ suma</t>
        </is>
      </c>
      <c r="E8" s="21" t="n">
        <v>45000</v>
      </c>
      <c r="F8" s="21" t="n"/>
      <c r="G8" s="21">
        <f>IF(F8&lt;&gt;"",F8,E8)</f>
        <v/>
      </c>
      <c r="H8" s="21">
        <f>G8-E8</f>
        <v/>
      </c>
    </row>
    <row r="9">
      <c r="A9" s="18" t="inlineStr">
        <is>
          <t>807</t>
        </is>
      </c>
      <c r="B9" s="18" t="inlineStr">
        <is>
          <t>(+) Gastos incurridos para generar ingresos exentos</t>
        </is>
      </c>
      <c r="C9" s="18" t="inlineStr">
        <is>
          <t>gastos_exentos</t>
        </is>
      </c>
      <c r="D9" s="18" t="inlineStr">
        <is>
          <t>'+ suma</t>
        </is>
      </c>
      <c r="E9" s="20" t="n">
        <v>3000</v>
      </c>
      <c r="F9" s="20" t="n"/>
      <c r="G9" s="20">
        <f>IF(F9&lt;&gt;"",F9,E9)</f>
        <v/>
      </c>
      <c r="H9" s="20">
        <f>G9-E9</f>
        <v/>
      </c>
    </row>
    <row r="10">
      <c r="A10" s="19" t="inlineStr">
        <is>
          <t>808</t>
        </is>
      </c>
      <c r="B10" s="19" t="inlineStr">
        <is>
          <t>(+) Participación atribuible a ingresos exentos</t>
        </is>
      </c>
      <c r="C10" s="19" t="inlineStr">
        <is>
          <t>participacion_exentos</t>
        </is>
      </c>
      <c r="D10" s="19" t="inlineStr">
        <is>
          <t>'+ suma</t>
        </is>
      </c>
      <c r="E10" s="21" t="n">
        <v>8550</v>
      </c>
      <c r="F10" s="21" t="n"/>
      <c r="G10" s="21">
        <f>IF(F10&lt;&gt;"",F10,E10)</f>
        <v/>
      </c>
      <c r="H10" s="21">
        <f>G10-E10</f>
        <v/>
      </c>
    </row>
    <row r="11">
      <c r="A11" s="18" t="inlineStr">
        <is>
          <t>811</t>
        </is>
      </c>
      <c r="B11" s="18" t="inlineStr">
        <is>
          <t>(-) Deducción por incremento neto de empleos</t>
        </is>
      </c>
      <c r="C11" s="18" t="inlineStr">
        <is>
          <t>deducciones</t>
        </is>
      </c>
      <c r="D11" s="18" t="inlineStr">
        <is>
          <t>− resta</t>
        </is>
      </c>
      <c r="E11" s="20" t="n">
        <v>-12000</v>
      </c>
      <c r="F11" s="20" t="n"/>
      <c r="G11" s="20">
        <f>IF(F11&lt;&gt;"",F11,E11)</f>
        <v/>
      </c>
      <c r="H11" s="20">
        <f>G11-E11</f>
        <v/>
      </c>
    </row>
    <row r="12">
      <c r="A12" s="19" t="inlineStr">
        <is>
          <t>814</t>
        </is>
      </c>
      <c r="B12" s="19" t="inlineStr">
        <is>
          <t>(-) Amortización de pérdidas tributarias</t>
        </is>
      </c>
      <c r="C12" s="19" t="inlineStr">
        <is>
          <t>perdidas</t>
        </is>
      </c>
      <c r="D12" s="19" t="inlineStr">
        <is>
          <t>− resta</t>
        </is>
      </c>
      <c r="E12" s="21" t="n">
        <v>-240000</v>
      </c>
      <c r="F12" s="21" t="n"/>
      <c r="G12" s="21">
        <f>IF(F12&lt;&gt;"",F12,E12)</f>
        <v/>
      </c>
      <c r="H12" s="21">
        <f>G12-E12</f>
        <v/>
      </c>
    </row>
    <row r="13">
      <c r="A13" s="18" t="inlineStr">
        <is>
          <t>816</t>
        </is>
      </c>
      <c r="B13" s="18" t="inlineStr">
        <is>
          <t>(+) Generación de diferencias temporarias (jubilación, garantías)</t>
        </is>
      </c>
      <c r="C13" s="18" t="inlineStr">
        <is>
          <t>otros</t>
        </is>
      </c>
      <c r="D13" s="18" t="inlineStr">
        <is>
          <t>± según signo</t>
        </is>
      </c>
      <c r="E13" s="20" t="n">
        <v>30000</v>
      </c>
      <c r="F13" s="20" t="n"/>
      <c r="G13" s="20">
        <f>IF(F13&lt;&gt;"",F13,E13)</f>
        <v/>
      </c>
      <c r="H13" s="20">
        <f>G13-E13</f>
        <v/>
      </c>
    </row>
    <row r="14">
      <c r="A14" s="19" t="inlineStr">
        <is>
          <t>AUD-1</t>
        </is>
      </c>
      <c r="B14" s="19" t="inlineStr">
        <is>
          <t>Gastos sin comprobante de venta válido (hallazgo)</t>
        </is>
      </c>
      <c r="C14" s="19" t="inlineStr">
        <is>
          <t>no_deducibles</t>
        </is>
      </c>
      <c r="D14" s="19" t="inlineStr">
        <is>
          <t>'+ suma</t>
        </is>
      </c>
      <c r="E14" s="21" t="n">
        <v>0</v>
      </c>
      <c r="F14" s="21" t="n">
        <v>20000</v>
      </c>
      <c r="G14" s="21">
        <f>IF(F14&lt;&gt;"",F14,E14)</f>
        <v/>
      </c>
      <c r="H14" s="21">
        <f>G14-E14</f>
        <v/>
      </c>
    </row>
    <row r="15">
      <c r="A15" s="29" t="inlineStr">
        <is>
          <t>TOTAL</t>
        </is>
      </c>
      <c r="B15" s="29" t="inlineStr"/>
      <c r="C15" s="29" t="inlineStr"/>
      <c r="D15" s="29" t="inlineStr"/>
      <c r="E15" s="30">
        <f>SUM(E5:E14)</f>
        <v/>
      </c>
      <c r="F15" s="30" t="n"/>
      <c r="G15" s="30">
        <f>SUM(G5:G14)</f>
        <v/>
      </c>
      <c r="H15" s="30">
        <f>SUM(H5:H14)</f>
        <v/>
      </c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Importe auditado</t>
        </is>
      </c>
      <c r="B19" s="25" t="inlineStr">
        <is>
          <t>'=IF(F5&lt;&gt;"",F5,E5)</t>
        </is>
      </c>
      <c r="C19" s="24" t="inlineStr">
        <is>
          <t>Usa el importe según el auditor cuando lo hay y, si está vacío, conserva el importe según el cliente.</t>
        </is>
      </c>
      <c r="D19" s="24" t="inlineStr">
        <is>
          <t>Fila 1: IF((vacío)&lt;&gt;""; (vacío); 1.000.000,00) → 1.000.000,00</t>
        </is>
      </c>
      <c r="E19" s="24" t="inlineStr">
        <is>
          <t>«Importe según auditor» (esta hoja), «Importe según cliente» (esta hoja)</t>
        </is>
      </c>
      <c r="F19" s="24" t="inlineStr">
        <is>
          <t>—</t>
        </is>
      </c>
    </row>
    <row r="20">
      <c r="A20" s="24" t="inlineStr">
        <is>
          <t>Diferencia</t>
        </is>
      </c>
      <c r="B20" s="25" t="inlineStr">
        <is>
          <t>'=G5-E5</t>
        </is>
      </c>
      <c r="C20" s="24" t="inlineStr">
        <is>
          <t>Resta el importe según el cliente al importe auditado: muestra cuánto cambió el auditor en cada renglón.</t>
        </is>
      </c>
      <c r="D20" s="24" t="inlineStr">
        <is>
          <t>Fila 1: 1.000.000,00-1.000.000,00 → 0,00</t>
        </is>
      </c>
      <c r="E20" s="24" t="inlineStr">
        <is>
          <t>«Importe auditado» (esta hoja), «Importe según cliente» (esta hoja)</t>
        </is>
      </c>
      <c r="F20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2" customWidth="1" min="4" max="4"/>
    <col width="60" customWidth="1" min="5" max="5"/>
  </cols>
  <sheetData>
    <row r="1">
      <c r="A1" s="3" t="inlineStr">
        <is>
          <t>Impuesto corriente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Según cliente</t>
        </is>
      </c>
      <c r="C4" s="17" t="inlineStr">
        <is>
          <t>Auditado</t>
        </is>
      </c>
      <c r="D4" s="17" t="inlineStr">
        <is>
          <t>Diferencia</t>
        </is>
      </c>
      <c r="E4" s="17" t="inlineStr">
        <is>
          <t>Referencia</t>
        </is>
      </c>
    </row>
    <row r="5">
      <c r="A5" s="18" t="inlineStr">
        <is>
          <t>Utilidad (pérdida) contable antes de participación e impuesto</t>
        </is>
      </c>
      <c r="B5" s="20">
        <f>SUMIF('03_Conciliacion'!$C$5:$C$14,"utilidad",'03_Conciliacion'!$E$5:$E$14)</f>
        <v/>
      </c>
      <c r="C5" s="20">
        <f>SUMIF('03_Conciliacion'!$C$5:$C$14,"utilidad",'03_Conciliacion'!$G$5:$G$14)</f>
        <v/>
      </c>
      <c r="D5" s="20">
        <f>C5-B5</f>
        <v/>
      </c>
      <c r="E5" s="18" t="inlineStr">
        <is>
          <t>03_Conciliacion</t>
        </is>
      </c>
    </row>
    <row r="6">
      <c r="A6" s="19" t="inlineStr">
        <is>
          <t>(−) Participación trabajadores</t>
        </is>
      </c>
      <c r="B6" s="21">
        <f>SUMIF('03_Conciliacion'!$C$5:$C$14,"participacion",'03_Conciliacion'!$E$5:$E$14)</f>
        <v/>
      </c>
      <c r="C6" s="21">
        <f>-MAX(C5,0)*'02_Parametros'!$B$10/100</f>
        <v/>
      </c>
      <c r="D6" s="21">
        <f>C6-B6</f>
        <v/>
      </c>
      <c r="E6" s="19" t="inlineStr">
        <is>
          <t>Recalculada: % × utilidad</t>
        </is>
      </c>
    </row>
    <row r="7">
      <c r="A7" s="18" t="inlineStr">
        <is>
          <t>(−) Ingresos exentos</t>
        </is>
      </c>
      <c r="B7" s="20">
        <f>SUMIF('03_Conciliacion'!$C$5:$C$14,"exentos",'03_Conciliacion'!$E$5:$E$14)</f>
        <v/>
      </c>
      <c r="C7" s="20">
        <f>SUMIF('03_Conciliacion'!$C$5:$C$14,"exentos",'03_Conciliacion'!$G$5:$G$14)</f>
        <v/>
      </c>
      <c r="D7" s="20">
        <f>C7-B7</f>
        <v/>
      </c>
      <c r="E7" s="18" t="inlineStr">
        <is>
          <t>LRTI art. 9 (texto oficial hasta 2-jul-2021: contrastar reformas posteriores)</t>
        </is>
      </c>
    </row>
    <row r="8">
      <c r="A8" s="19" t="inlineStr">
        <is>
          <t>(+) Gastos no deducibles</t>
        </is>
      </c>
      <c r="B8" s="21">
        <f>SUMIF('03_Conciliacion'!$C$5:$C$14,"no_deducibles",'03_Conciliacion'!$E$5:$E$14)</f>
        <v/>
      </c>
      <c r="C8" s="21">
        <f>SUMIF('03_Conciliacion'!$C$5:$C$14,"no_deducibles",'03_Conciliacion'!$G$5:$G$14)</f>
        <v/>
      </c>
      <c r="D8" s="21">
        <f>C8-B8</f>
        <v/>
      </c>
      <c r="E8" s="19" t="inlineStr">
        <is>
          <t>LRTI art. 10</t>
        </is>
      </c>
    </row>
    <row r="9">
      <c r="A9" s="18" t="inlineStr">
        <is>
          <t>(+) Gastos atribuibles a ingresos exentos</t>
        </is>
      </c>
      <c r="B9" s="20">
        <f>SUMIF('03_Conciliacion'!$C$5:$C$14,"gastos_exentos",'03_Conciliacion'!$E$5:$E$14)</f>
        <v/>
      </c>
      <c r="C9" s="20">
        <f>SUMIF('03_Conciliacion'!$C$5:$C$14,"gastos_exentos",'03_Conciliacion'!$G$5:$G$14)</f>
        <v/>
      </c>
      <c r="D9" s="20">
        <f>C9-B9</f>
        <v/>
      </c>
      <c r="E9" s="18" t="inlineStr">
        <is>
          <t>Reglamento LRTI art. 46 num. 4 (y art. 47, prorrateo)</t>
        </is>
      </c>
    </row>
    <row r="10">
      <c r="A10" s="19" t="inlineStr">
        <is>
          <t>(+) Participación atribuible a ingresos exentos</t>
        </is>
      </c>
      <c r="B10" s="21">
        <f>SUMIF('03_Conciliacion'!$C$5:$C$14,"participacion_exentos",'03_Conciliacion'!$E$5:$E$14)</f>
        <v/>
      </c>
      <c r="C10" s="21">
        <f>IF('13_Partic_exentos'!B8="",B10,'13_Partic_exentos'!B8)</f>
        <v/>
      </c>
      <c r="D10" s="21">
        <f>C10-B10</f>
        <v/>
      </c>
      <c r="E10" s="19" t="inlineStr">
        <is>
          <t>Reglamento LRTI art. 46 num. 5: «el 15% de tales ingresos» (base bruta) — ver 13_Partic_exentos; sin el ingreso exento bruto informado el recálculo queda bloqueado y se conserva el importe del cliente</t>
        </is>
      </c>
    </row>
    <row r="11">
      <c r="A11" s="18" t="inlineStr">
        <is>
          <t>(−) Deducciones adicionales</t>
        </is>
      </c>
      <c r="B11" s="20">
        <f>SUMIF('03_Conciliacion'!$C$5:$C$14,"deducciones",'03_Conciliacion'!$E$5:$E$14)</f>
        <v/>
      </c>
      <c r="C11" s="20">
        <f>SUMIF('03_Conciliacion'!$C$5:$C$14,"deducciones",'03_Conciliacion'!$G$5:$G$14)</f>
        <v/>
      </c>
      <c r="D11" s="20">
        <f>C11-B11</f>
        <v/>
      </c>
      <c r="E11" s="18" t="inlineStr">
        <is>
          <t>LRTI art. 10</t>
        </is>
      </c>
    </row>
    <row r="12">
      <c r="A12" s="19" t="inlineStr">
        <is>
          <t>(±) Otras partidas de conciliación</t>
        </is>
      </c>
      <c r="B12" s="21">
        <f>SUMIF('03_Conciliacion'!$C$5:$C$14,"otros",'03_Conciliacion'!$E$5:$E$14)</f>
        <v/>
      </c>
      <c r="C12" s="21">
        <f>SUMIF('03_Conciliacion'!$C$5:$C$14,"otros",'03_Conciliacion'!$G$5:$G$14)</f>
        <v/>
      </c>
      <c r="D12" s="21">
        <f>C12-B12</f>
        <v/>
      </c>
      <c r="E12" s="19" t="inlineStr">
        <is>
          <t>03_Conciliacion</t>
        </is>
      </c>
    </row>
    <row r="13">
      <c r="A13" s="18" t="inlineStr">
        <is>
          <t>Utilidad gravable antes de amortizar pérdidas</t>
        </is>
      </c>
      <c r="B13" s="20">
        <f>SUM(B5:B12)</f>
        <v/>
      </c>
      <c r="C13" s="20">
        <f>SUM(C5:C12)</f>
        <v/>
      </c>
      <c r="D13" s="20">
        <f>C13-B13</f>
        <v/>
      </c>
      <c r="E13" s="18" t="inlineStr"/>
    </row>
    <row r="14">
      <c r="A14" s="19" t="inlineStr">
        <is>
          <t>Límite de amortización de pérdidas</t>
        </is>
      </c>
      <c r="B14" s="21">
        <f>MAX(B13,0)*'02_Parametros'!$B$13/100</f>
        <v/>
      </c>
      <c r="C14" s="21">
        <f>MAX(C13,0)*'02_Parametros'!$B$13/100</f>
        <v/>
      </c>
      <c r="D14" s="21">
        <f>C14-B14</f>
        <v/>
      </c>
      <c r="E14" s="19" t="inlineStr">
        <is>
          <t>LRTI art. 11</t>
        </is>
      </c>
    </row>
    <row r="15">
      <c r="A15" s="18" t="inlineStr">
        <is>
          <t>Pérdidas disponibles no vencidas</t>
        </is>
      </c>
      <c r="B15" s="20">
        <f>SUM('05_Perdidas'!$G$5:$G$8)</f>
        <v/>
      </c>
      <c r="C15" s="20">
        <f>SUM('05_Perdidas'!$G$5:$G$8)</f>
        <v/>
      </c>
      <c r="D15" s="20">
        <f>C15-B15</f>
        <v/>
      </c>
      <c r="E15" s="18" t="inlineStr">
        <is>
          <t>05_Perdidas</t>
        </is>
      </c>
    </row>
    <row r="16">
      <c r="A16" s="19" t="inlineStr">
        <is>
          <t>(−) Amortización de pérdidas</t>
        </is>
      </c>
      <c r="B16" s="21">
        <f>SUMIF('03_Conciliacion'!$C$5:$C$14,"perdidas",'03_Conciliacion'!$E$5:$E$14)</f>
        <v/>
      </c>
      <c r="C16" s="21">
        <f>-MIN(-SUMIF('03_Conciliacion'!$C$5:$C$14,"perdidas",'03_Conciliacion'!$G$5:$G$14),C14,C15)</f>
        <v/>
      </c>
      <c r="D16" s="21">
        <f>C16-B16</f>
        <v/>
      </c>
      <c r="E16" s="19" t="inlineStr">
        <is>
          <t>mín(solicitada, límite, disponible)</t>
        </is>
      </c>
    </row>
    <row r="17">
      <c r="A17" s="18" t="inlineStr">
        <is>
          <t>Base imponible</t>
        </is>
      </c>
      <c r="B17" s="20">
        <f>B13+B16</f>
        <v/>
      </c>
      <c r="C17" s="20">
        <f>C13+C16</f>
        <v/>
      </c>
      <c r="D17" s="20">
        <f>C17-B17</f>
        <v/>
      </c>
      <c r="E17" s="18" t="inlineStr">
        <is>
          <t>Total de control = suma de 03_Conciliacion</t>
        </is>
      </c>
    </row>
    <row r="18">
      <c r="A18" s="19" t="inlineStr">
        <is>
          <t>Tarifa aplicable (%) = general + puntos × proporción (100 % si ≥ 50 %)</t>
        </is>
      </c>
      <c r="B18" s="21">
        <f>'02_Parametros'!$B$7+'02_Parametros'!$B$8*IF('02_Parametros'!$B$9&gt;=50,100,'02_Parametros'!$B$9)/100</f>
        <v/>
      </c>
      <c r="C18" s="21">
        <f>'02_Parametros'!$B$7+'02_Parametros'!$B$8*IF('02_Parametros'!$B$9&gt;=50,100,'02_Parametros'!$B$9)/100</f>
        <v/>
      </c>
      <c r="D18" s="21">
        <f>C18-B18</f>
        <v/>
      </c>
      <c r="E18" s="19" t="inlineStr">
        <is>
          <t>LRTI art. 37; Reglamento art. 51</t>
        </is>
      </c>
    </row>
    <row r="19">
      <c r="A19" s="18" t="inlineStr">
        <is>
          <t>Impuesto a la renta causado</t>
        </is>
      </c>
      <c r="B19" s="20">
        <f>MAX(B17,0)*B18/100</f>
        <v/>
      </c>
      <c r="C19" s="20">
        <f>MAX(C17,0)*C18/100</f>
        <v/>
      </c>
      <c r="D19" s="20">
        <f>C19-B19</f>
        <v/>
      </c>
      <c r="E19" s="18" t="inlineStr">
        <is>
          <t>NIC 12.12–14, 46</t>
        </is>
      </c>
    </row>
    <row r="20">
      <c r="A20" s="19" t="inlineStr">
        <is>
          <t>(−) Retenciones en la fuente</t>
        </is>
      </c>
      <c r="B20" s="21">
        <f>'02_Parametros'!$B$19</f>
        <v/>
      </c>
      <c r="C20" s="21">
        <f>'02_Parametros'!$B$19</f>
        <v/>
      </c>
      <c r="D20" s="21">
        <f>C20-B20</f>
        <v/>
      </c>
      <c r="E20" s="19" t="inlineStr">
        <is>
          <t>Parámetros</t>
        </is>
      </c>
    </row>
    <row r="21">
      <c r="A21" s="18" t="inlineStr">
        <is>
          <t>(−) Anticipos pagados</t>
        </is>
      </c>
      <c r="B21" s="20">
        <f>'02_Parametros'!$B$20</f>
        <v/>
      </c>
      <c r="C21" s="20">
        <f>'02_Parametros'!$B$20</f>
        <v/>
      </c>
      <c r="D21" s="20">
        <f>C21-B21</f>
        <v/>
      </c>
      <c r="E21" s="18" t="inlineStr">
        <is>
          <t>Parámetros</t>
        </is>
      </c>
    </row>
    <row r="22">
      <c r="A22" s="19" t="inlineStr">
        <is>
          <t>(−) Crédito tributario de años anteriores</t>
        </is>
      </c>
      <c r="B22" s="21">
        <f>'02_Parametros'!$B$21</f>
        <v/>
      </c>
      <c r="C22" s="21">
        <f>'02_Parametros'!$B$21</f>
        <v/>
      </c>
      <c r="D22" s="21">
        <f>C22-B22</f>
        <v/>
      </c>
      <c r="E22" s="19" t="inlineStr">
        <is>
          <t>Parámetros</t>
        </is>
      </c>
    </row>
    <row r="23">
      <c r="A23" s="18" t="inlineStr">
        <is>
          <t>Impuesto por pagar (− saldo a favor)</t>
        </is>
      </c>
      <c r="B23" s="20">
        <f>B19-B20-B21-B22</f>
        <v/>
      </c>
      <c r="C23" s="20">
        <f>C19-C20-C21-C22</f>
        <v/>
      </c>
      <c r="D23" s="20">
        <f>C23-B23</f>
        <v/>
      </c>
      <c r="E23" s="18" t="inlineStr">
        <is>
          <t>NIC 12.12–14, 46: pasivo o activo corriente</t>
        </is>
      </c>
    </row>
    <row r="24">
      <c r="A24" s="19" t="inlineStr">
        <is>
          <t>Impuesto corriente registrado (B) frente a recalculado (C)</t>
        </is>
      </c>
      <c r="B24" s="21">
        <f>IF('02_Parametros'!$B$22="",B19,'02_Parametros'!$B$22)</f>
        <v/>
      </c>
      <c r="C24" s="21">
        <f>C19</f>
        <v/>
      </c>
      <c r="D24" s="21">
        <f>C24-B24</f>
        <v/>
      </c>
      <c r="E24" s="19" t="inlineStr">
        <is>
          <t>Vacío: el de la conciliación del cliente</t>
        </is>
      </c>
    </row>
    <row r="25">
      <c r="A25" s="18" t="inlineStr">
        <is>
          <t>Saldo corriente registrado (B) frente a recalculado (C)</t>
        </is>
      </c>
      <c r="B25" s="20">
        <f>IF('02_Parametros'!$B$23="",B23,'02_Parametros'!$B$23)</f>
        <v/>
      </c>
      <c r="C25" s="20">
        <f>C23</f>
        <v/>
      </c>
      <c r="D25" s="20">
        <f>C25-B25</f>
        <v/>
      </c>
      <c r="E25" s="18" t="inlineStr">
        <is>
          <t>Vacío: el de la conciliación del cliente</t>
        </is>
      </c>
    </row>
    <row r="27">
      <c r="A27" s="22" t="inlineStr">
        <is>
          <t>ⓘ  Cómo se calcula esta hoja</t>
        </is>
      </c>
    </row>
    <row r="28">
      <c r="A28" s="23" t="inlineStr">
        <is>
          <t>Columna</t>
        </is>
      </c>
      <c r="B28" s="23" t="inlineStr">
        <is>
          <t>Fórmula (Excel)</t>
        </is>
      </c>
      <c r="C28" s="23" t="inlineStr">
        <is>
          <t>Cómo se calcula (sencillo)</t>
        </is>
      </c>
      <c r="D28" s="23" t="inlineStr">
        <is>
          <t>Ejemplo con números reales</t>
        </is>
      </c>
      <c r="E28" s="23" t="inlineStr">
        <is>
          <t>De dónde viene</t>
        </is>
      </c>
      <c r="F28" s="23" t="inlineStr">
        <is>
          <t>Norma</t>
        </is>
      </c>
    </row>
    <row r="29">
      <c r="A29" s="24" t="inlineStr">
        <is>
          <t>Según cliente</t>
        </is>
      </c>
      <c r="B29" s="25" t="inlineStr">
        <is>
          <t>'=SUMIF('03_Conciliacion'!$C$5:$C$14,"utilidad",'03_Conciliacion'!$E$5:$E$14)</t>
        </is>
      </c>
      <c r="C29" s="24" t="inlineStr">
        <is>
          <t>Arma la liquidación con los importes del cliente: cada renglón suma en la hoja 03 (Conciliación tributaria) el «Importe según cliente» de su tipo y luego calcula subtotales, límite de pérdidas, base, tarifa, impuesto y saldo con los parámetros de la hoja 02 y las pérdidas disponibles de la hoja 05; las dos últimas filas usan lo registrado en la hoja 02 y, si está vacío, lo calculado.</t>
        </is>
      </c>
      <c r="D29" s="24" t="inlineStr">
        <is>
          <t>Fila 1: SUMIF([«Tipo» de «Conciliación tributaria», 10 filas]; "utilidad"; [«Importe según cliente» de «Conciliación tributaria», 10 filas]) → 1.000.000,00</t>
        </is>
      </c>
      <c r="E29" s="24" t="inlineStr">
        <is>
          <t>hoja «Conciliación tributaria»</t>
        </is>
      </c>
      <c r="F29" s="24" t="inlineStr">
        <is>
          <t>—</t>
        </is>
      </c>
    </row>
    <row r="30">
      <c r="A30" s="24" t="inlineStr">
        <is>
          <t>Auditado</t>
        </is>
      </c>
      <c r="B30" s="25" t="inlineStr">
        <is>
          <t>'=SUMIF('03_Conciliacion'!$C$5:$C$14,"utilidad",'03_Conciliacion'!$G$5:$G$14)</t>
        </is>
      </c>
      <c r="C30" s="24" t="inlineStr">
        <is>
          <t>Hace la misma liquidación con el «Importe auditado» de la hoja 03, pero recalcula la participación trabajadores (% × utilidad), la participación atribuible a exentos (hoja 13, o la del cliente si no se puede recalcular) y la amortización de pérdidas como el menor entre la solicitada, el límite y lo disponible en la hoja 05.</t>
        </is>
      </c>
      <c r="D30" s="24" t="inlineStr">
        <is>
          <t>Fila 1: SUMIF([«Tipo» de «Conciliación tributaria», 10 filas]; "utilidad"; [«Importe auditado» de «Conciliación tributaria», 10 filas]) → 1.000.000,00</t>
        </is>
      </c>
      <c r="E30" s="24" t="inlineStr">
        <is>
          <t>hoja «Conciliación tributaria»</t>
        </is>
      </c>
      <c r="F30" s="24" t="inlineStr">
        <is>
          <t>—</t>
        </is>
      </c>
    </row>
    <row r="31">
      <c r="A31" s="24" t="inlineStr">
        <is>
          <t>Diferencia</t>
        </is>
      </c>
      <c r="B31" s="25" t="inlineStr">
        <is>
          <t>'=C5-B5</t>
        </is>
      </c>
      <c r="C31" s="24" t="inlineStr">
        <is>
          <t>Resta el valor según cliente al valor auditado en cada renglón, para ver en qué punto cambia la liquidación.</t>
        </is>
      </c>
      <c r="D31" s="24" t="inlineStr">
        <is>
          <t>Fila 1: 1.000.000,00-1.000.000,00 → 0,00</t>
        </is>
      </c>
      <c r="E31" s="24" t="inlineStr">
        <is>
          <t>«Auditado» (esta hoja), «Según cliente» (esta hoja)</t>
        </is>
      </c>
      <c r="F31" s="24" t="inlineStr">
        <is>
          <t>—</t>
        </is>
      </c>
    </row>
  </sheetData>
  <mergeCells count="3">
    <mergeCell ref="A2:F2"/>
    <mergeCell ref="A1:F1"/>
    <mergeCell ref="A27:F2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23" customWidth="1" min="7" max="7"/>
    <col width="15" customWidth="1" min="8" max="8"/>
    <col width="22" customWidth="1" min="9" max="9"/>
    <col width="12" customWidth="1" min="10" max="10"/>
    <col width="28" customWidth="1" min="11" max="11"/>
    <col width="27" customWidth="1" min="12" max="12"/>
    <col width="31" customWidth="1" min="13" max="13"/>
  </cols>
  <sheetData>
    <row r="1">
      <c r="A1" s="3" t="inlineStr">
        <is>
          <t>Pérdidas tributarias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4" ht="30" customHeight="1">
      <c r="A4" s="17" t="inlineStr">
        <is>
          <t>Año de origen</t>
        </is>
      </c>
      <c r="B4" s="17" t="inlineStr">
        <is>
          <t>Pérdida</t>
        </is>
      </c>
      <c r="C4" s="17" t="inlineStr">
        <is>
          <t>Amortizado años anteriores</t>
        </is>
      </c>
      <c r="D4" s="17" t="inlineStr">
        <is>
          <t>Último año</t>
        </is>
      </c>
      <c r="E4" s="17" t="inlineStr">
        <is>
          <t>Disponible</t>
        </is>
      </c>
      <c r="F4" s="17" t="inlineStr">
        <is>
          <t>Vencida</t>
        </is>
      </c>
      <c r="G4" s="17" t="inlineStr">
        <is>
          <t>Disponible no vencido</t>
        </is>
      </c>
      <c r="H4" s="17" t="inlineStr">
        <is>
          <t>Saldo vencido</t>
        </is>
      </c>
      <c r="I4" s="17" t="inlineStr">
        <is>
          <t>Amortización del año</t>
        </is>
      </c>
      <c r="J4" s="17" t="inlineStr">
        <is>
          <t>Remanente</t>
        </is>
      </c>
      <c r="K4" s="17" t="inlineStr">
        <is>
          <t>Arrastrable a años futuros</t>
        </is>
      </c>
      <c r="L4" s="17" t="inlineStr">
        <is>
          <t>Activo diferido requerido</t>
        </is>
      </c>
      <c r="M4" s="17" t="inlineStr">
        <is>
          <t>Activo diferido no reconocido</t>
        </is>
      </c>
    </row>
    <row r="5">
      <c r="A5" s="31" t="n">
        <v>2019</v>
      </c>
      <c r="B5" s="20" t="n">
        <v>100000</v>
      </c>
      <c r="C5" s="20" t="n">
        <v>60000</v>
      </c>
      <c r="D5" s="31">
        <f>A5+'02_Parametros'!$B$14</f>
        <v/>
      </c>
      <c r="E5" s="20">
        <f>B5-C5</f>
        <v/>
      </c>
      <c r="F5" s="18">
        <f>IF(D5&lt;YEAR('02_Parametros'!$B$5),"Sí","No")</f>
        <v/>
      </c>
      <c r="G5" s="20">
        <f>IF(F5="No",E5,0)</f>
        <v/>
      </c>
      <c r="H5" s="20">
        <f>IF(F5="Sí",E5,0)</f>
        <v/>
      </c>
      <c r="I5" s="20">
        <f>MAX(0,MIN(G5,-'04_Impuesto_corriente'!$C$16-SUM(I$4:I4)))</f>
        <v/>
      </c>
      <c r="J5" s="20">
        <f>G5-I5</f>
        <v/>
      </c>
      <c r="K5" s="20">
        <f>IF(D5&gt;YEAR('02_Parametros'!$B$5),J5,0)</f>
        <v/>
      </c>
      <c r="L5" s="20">
        <f>IF(AND('02_Parametros'!$B$17="Sí",'02_Parametros'!$B$18="Sí"),K5*'04_Impuesto_corriente'!$C$18/100,0)</f>
        <v/>
      </c>
      <c r="M5" s="20">
        <f>K5*'04_Impuesto_corriente'!$C$18/100-L5</f>
        <v/>
      </c>
    </row>
    <row r="6">
      <c r="A6" s="32" t="n">
        <v>2020</v>
      </c>
      <c r="B6" s="21" t="n">
        <v>60000</v>
      </c>
      <c r="C6" s="21" t="n">
        <v>30000</v>
      </c>
      <c r="D6" s="32">
        <f>A6+'02_Parametros'!$B$14</f>
        <v/>
      </c>
      <c r="E6" s="21">
        <f>B6-C6</f>
        <v/>
      </c>
      <c r="F6" s="19">
        <f>IF(D6&lt;YEAR('02_Parametros'!$B$5),"Sí","No")</f>
        <v/>
      </c>
      <c r="G6" s="21">
        <f>IF(F6="No",E6,0)</f>
        <v/>
      </c>
      <c r="H6" s="21">
        <f>IF(F6="Sí",E6,0)</f>
        <v/>
      </c>
      <c r="I6" s="21">
        <f>MAX(0,MIN(G6,-'04_Impuesto_corriente'!$C$16-SUM(I$4:I5)))</f>
        <v/>
      </c>
      <c r="J6" s="21">
        <f>G6-I6</f>
        <v/>
      </c>
      <c r="K6" s="21">
        <f>IF(D6&gt;YEAR('02_Parametros'!$B$5),J6,0)</f>
        <v/>
      </c>
      <c r="L6" s="21">
        <f>IF(AND('02_Parametros'!$B$17="Sí",'02_Parametros'!$B$18="Sí"),K6*'04_Impuesto_corriente'!$C$18/100,0)</f>
        <v/>
      </c>
      <c r="M6" s="21">
        <f>K6*'04_Impuesto_corriente'!$C$18/100-L6</f>
        <v/>
      </c>
    </row>
    <row r="7">
      <c r="A7" s="31" t="n">
        <v>2021</v>
      </c>
      <c r="B7" s="20" t="n">
        <v>150000</v>
      </c>
      <c r="C7" s="20" t="n">
        <v>50000</v>
      </c>
      <c r="D7" s="31">
        <f>A7+'02_Parametros'!$B$14</f>
        <v/>
      </c>
      <c r="E7" s="20">
        <f>B7-C7</f>
        <v/>
      </c>
      <c r="F7" s="18">
        <f>IF(D7&lt;YEAR('02_Parametros'!$B$5),"Sí","No")</f>
        <v/>
      </c>
      <c r="G7" s="20">
        <f>IF(F7="No",E7,0)</f>
        <v/>
      </c>
      <c r="H7" s="20">
        <f>IF(F7="Sí",E7,0)</f>
        <v/>
      </c>
      <c r="I7" s="20">
        <f>MAX(0,MIN(G7,-'04_Impuesto_corriente'!$C$16-SUM(I$4:I6)))</f>
        <v/>
      </c>
      <c r="J7" s="20">
        <f>G7-I7</f>
        <v/>
      </c>
      <c r="K7" s="20">
        <f>IF(D7&gt;YEAR('02_Parametros'!$B$5),J7,0)</f>
        <v/>
      </c>
      <c r="L7" s="20">
        <f>IF(AND('02_Parametros'!$B$17="Sí",'02_Parametros'!$B$18="Sí"),K7*'04_Impuesto_corriente'!$C$18/100,0)</f>
        <v/>
      </c>
      <c r="M7" s="20">
        <f>K7*'04_Impuesto_corriente'!$C$18/100-L7</f>
        <v/>
      </c>
    </row>
    <row r="8">
      <c r="A8" s="32" t="n">
        <v>2023</v>
      </c>
      <c r="B8" s="21" t="n">
        <v>120000</v>
      </c>
      <c r="C8" s="21" t="n">
        <v>0</v>
      </c>
      <c r="D8" s="32">
        <f>A8+'02_Parametros'!$B$14</f>
        <v/>
      </c>
      <c r="E8" s="21">
        <f>B8-C8</f>
        <v/>
      </c>
      <c r="F8" s="19">
        <f>IF(D8&lt;YEAR('02_Parametros'!$B$5),"Sí","No")</f>
        <v/>
      </c>
      <c r="G8" s="21">
        <f>IF(F8="No",E8,0)</f>
        <v/>
      </c>
      <c r="H8" s="21">
        <f>IF(F8="Sí",E8,0)</f>
        <v/>
      </c>
      <c r="I8" s="21">
        <f>MAX(0,MIN(G8,-'04_Impuesto_corriente'!$C$16-SUM(I$4:I7)))</f>
        <v/>
      </c>
      <c r="J8" s="21">
        <f>G8-I8</f>
        <v/>
      </c>
      <c r="K8" s="21">
        <f>IF(D8&gt;YEAR('02_Parametros'!$B$5),J8,0)</f>
        <v/>
      </c>
      <c r="L8" s="21">
        <f>IF(AND('02_Parametros'!$B$17="Sí",'02_Parametros'!$B$18="Sí"),K8*'04_Impuesto_corriente'!$C$18/100,0)</f>
        <v/>
      </c>
      <c r="M8" s="21">
        <f>K8*'04_Impuesto_corriente'!$C$18/100-L8</f>
        <v/>
      </c>
    </row>
    <row r="9">
      <c r="A9" s="33" t="inlineStr">
        <is>
          <t>TOTAL</t>
        </is>
      </c>
      <c r="B9" s="30">
        <f>SUM(B5:B8)</f>
        <v/>
      </c>
      <c r="C9" s="30">
        <f>SUM(C5:C8)</f>
        <v/>
      </c>
      <c r="D9" s="33" t="n"/>
      <c r="E9" s="30">
        <f>SUM(E5:E8)</f>
        <v/>
      </c>
      <c r="F9" s="29" t="inlineStr"/>
      <c r="G9" s="30">
        <f>SUM(G5:G8)</f>
        <v/>
      </c>
      <c r="H9" s="30">
        <f>SUM(H5:H8)</f>
        <v/>
      </c>
      <c r="I9" s="30">
        <f>SUM(I5:I8)</f>
        <v/>
      </c>
      <c r="J9" s="30">
        <f>SUM(J5:J8)</f>
        <v/>
      </c>
      <c r="K9" s="30">
        <f>SUM(K5:K8)</f>
        <v/>
      </c>
      <c r="L9" s="30">
        <f>SUM(L5:L8)</f>
        <v/>
      </c>
      <c r="M9" s="30">
        <f>SUM(M5:M8)</f>
        <v/>
      </c>
    </row>
    <row r="11">
      <c r="A11" s="22" t="inlineStr">
        <is>
          <t>ⓘ  Cómo se calcula esta hoja</t>
        </is>
      </c>
    </row>
    <row r="12">
      <c r="A12" s="23" t="inlineStr">
        <is>
          <t>Columna</t>
        </is>
      </c>
      <c r="B12" s="23" t="inlineStr">
        <is>
          <t>Fórmula (Excel)</t>
        </is>
      </c>
      <c r="C12" s="23" t="inlineStr">
        <is>
          <t>Cómo se calcula (sencillo)</t>
        </is>
      </c>
      <c r="D12" s="23" t="inlineStr">
        <is>
          <t>Ejemplo con números reales</t>
        </is>
      </c>
      <c r="E12" s="23" t="inlineStr">
        <is>
          <t>De dónde viene</t>
        </is>
      </c>
      <c r="F12" s="23" t="inlineStr">
        <is>
          <t>Norma</t>
        </is>
      </c>
    </row>
    <row r="13">
      <c r="A13" s="24" t="inlineStr">
        <is>
          <t>Último año</t>
        </is>
      </c>
      <c r="B13" s="25" t="inlineStr">
        <is>
          <t>'=A5+'02_Parametros'!$B$14</t>
        </is>
      </c>
      <c r="C13" s="24" t="inlineStr">
        <is>
          <t>Suma al año de origen de la pérdida el plazo para amortizarla de la hoja 02 (Parámetros); si el cliente informó el año de vencimiento, se usa ese dato.</t>
        </is>
      </c>
      <c r="D13" s="24" t="inlineStr">
        <is>
          <t>Fila 1: 2019+5,00 → 2024</t>
        </is>
      </c>
      <c r="E13" s="24" t="inlineStr">
        <is>
          <t>«Año de origen» (esta hoja), hoja «Parámetros»</t>
        </is>
      </c>
      <c r="F13" s="24" t="inlineStr">
        <is>
          <t>—</t>
        </is>
      </c>
    </row>
    <row r="14">
      <c r="A14" s="24" t="inlineStr">
        <is>
          <t>Disponible</t>
        </is>
      </c>
      <c r="B14" s="25" t="inlineStr">
        <is>
          <t>'=B5-C5</t>
        </is>
      </c>
      <c r="C14" s="24" t="inlineStr">
        <is>
          <t>Resta a la pérdida lo ya amortizado en años anteriores: es lo que queda por amortizar.</t>
        </is>
      </c>
      <c r="D14" s="24" t="inlineStr">
        <is>
          <t>Fila 1: 100.000,00-60.000,00 → 40.000,00</t>
        </is>
      </c>
      <c r="E14" s="24" t="inlineStr">
        <is>
          <t>«Pérdida» (esta hoja), «Amortizado años anteriores» (esta hoja)</t>
        </is>
      </c>
      <c r="F14" s="24" t="inlineStr">
        <is>
          <t>—</t>
        </is>
      </c>
    </row>
    <row r="15">
      <c r="A15" s="24" t="inlineStr">
        <is>
          <t>Vencida</t>
        </is>
      </c>
      <c r="B15" s="25" t="inlineStr">
        <is>
          <t>'=IF(D5&lt;YEAR('02_Parametros'!$B$5),"Sí","No")</t>
        </is>
      </c>
      <c r="C15" s="24" t="inlineStr">
        <is>
          <t>Marca «Sí» si el último año para amortizar es anterior al año del corte de la hoja 02 (Parámetros).</t>
        </is>
      </c>
      <c r="D15" s="24" t="inlineStr">
        <is>
          <t>Fila 1: IF(2024&lt;YEAR(«2025-12-31»); "Sí"; "No") → Sí</t>
        </is>
      </c>
      <c r="E15" s="24" t="inlineStr">
        <is>
          <t>«Último año» (esta hoja), hoja «Parámetros»</t>
        </is>
      </c>
      <c r="F15" s="24" t="inlineStr">
        <is>
          <t>—</t>
        </is>
      </c>
    </row>
    <row r="16">
      <c r="A16" s="24" t="inlineStr">
        <is>
          <t>Disponible no vencido</t>
        </is>
      </c>
      <c r="B16" s="25" t="inlineStr">
        <is>
          <t>'=IF(F5="No",E5,0)</t>
        </is>
      </c>
      <c r="C16" s="24" t="inlineStr">
        <is>
          <t>Si la pérdida no está vencida, toma su saldo disponible; si está vencida, cero.</t>
        </is>
      </c>
      <c r="D16" s="24" t="inlineStr">
        <is>
          <t>Fila 1: IF(«Sí»="No"; 40.000,00; 0) → 0,00</t>
        </is>
      </c>
      <c r="E16" s="24" t="inlineStr">
        <is>
          <t>«Vencida» (esta hoja), «Disponible» (esta hoja)</t>
        </is>
      </c>
      <c r="F16" s="24" t="inlineStr">
        <is>
          <t>—</t>
        </is>
      </c>
    </row>
    <row r="17">
      <c r="A17" s="24" t="inlineStr">
        <is>
          <t>Saldo vencido</t>
        </is>
      </c>
      <c r="B17" s="25" t="inlineStr">
        <is>
          <t>'=IF(F5="Sí",E5,0)</t>
        </is>
      </c>
      <c r="C17" s="24" t="inlineStr">
        <is>
          <t>Si la pérdida está vencida, toma su saldo disponible, que ya no se puede amortizar; si no, cero.</t>
        </is>
      </c>
      <c r="D17" s="24" t="inlineStr">
        <is>
          <t>Fila 1: IF(«Sí»="Sí"; 40.000,00; 0) → 40.000,00</t>
        </is>
      </c>
      <c r="E17" s="24" t="inlineStr">
        <is>
          <t>«Vencida» (esta hoja), «Disponible» (esta hoja)</t>
        </is>
      </c>
      <c r="F17" s="24" t="inlineStr">
        <is>
          <t>—</t>
        </is>
      </c>
    </row>
    <row r="18">
      <c r="A18" s="24" t="inlineStr">
        <is>
          <t>Amortización del año</t>
        </is>
      </c>
      <c r="B18" s="25" t="inlineStr">
        <is>
          <t>'=MAX(0,MIN(G5,-'04_Impuesto_corriente'!$C$16-SUM(I$4:I4)))</t>
        </is>
      </c>
      <c r="C18" s="24" t="inlineStr">
        <is>
          <t>Reparte la amortización auditada de la hoja 04 (Impuesto corriente) entre las pérdidas, de la más antigua a la más reciente, sin pasar del saldo no vencido de cada una.</t>
        </is>
      </c>
      <c r="D18" s="24" t="inlineStr">
        <is>
          <t>Fila 1: MAX(0; MIN(0,00; --221.250,00-SUM([«Amortización del año», 1 fila]))) → 0,00</t>
        </is>
      </c>
      <c r="E18" s="24" t="inlineStr">
        <is>
          <t>«Disponible no vencido» (esta hoja), «Amortización del año» (esta hoja), hoja «Impuesto corriente»</t>
        </is>
      </c>
      <c r="F18" s="24" t="inlineStr">
        <is>
          <t>—</t>
        </is>
      </c>
    </row>
    <row r="19">
      <c r="A19" s="24" t="inlineStr">
        <is>
          <t>Remanente</t>
        </is>
      </c>
      <c r="B19" s="25" t="inlineStr">
        <is>
          <t>'=G5-I5</t>
        </is>
      </c>
      <c r="C19" s="24" t="inlineStr">
        <is>
          <t>Resta la amortización del año al disponible no vencido: es lo que sigue pendiente de cada pérdida.</t>
        </is>
      </c>
      <c r="D19" s="24" t="inlineStr">
        <is>
          <t>Fila 1: 0,00-0,00 → 0,00</t>
        </is>
      </c>
      <c r="E19" s="24" t="inlineStr">
        <is>
          <t>«Disponible no vencido» (esta hoja), «Amortización del año» (esta hoja)</t>
        </is>
      </c>
      <c r="F19" s="24" t="inlineStr">
        <is>
          <t>—</t>
        </is>
      </c>
    </row>
    <row r="20">
      <c r="A20" s="24" t="inlineStr">
        <is>
          <t>Arrastrable a años futuros</t>
        </is>
      </c>
      <c r="B20" s="25" t="inlineStr">
        <is>
          <t>'=IF(D5&gt;YEAR('02_Parametros'!$B$5),J5,0)</t>
        </is>
      </c>
      <c r="C20" s="24" t="inlineStr">
        <is>
          <t>Si el último año para amortizar es posterior al año del corte, el remanente se puede usar en años futuros; si no, cero.</t>
        </is>
      </c>
      <c r="D20" s="24" t="inlineStr">
        <is>
          <t>Fila 1: IF(2024&gt;YEAR(«2025-12-31»); 0,00; 0) → 0,00</t>
        </is>
      </c>
      <c r="E20" s="24" t="inlineStr">
        <is>
          <t>«Último año» (esta hoja), «Remanente» (esta hoja), hoja «Parámetros»</t>
        </is>
      </c>
      <c r="F20" s="24" t="inlineStr">
        <is>
          <t>—</t>
        </is>
      </c>
    </row>
    <row r="21">
      <c r="A21" s="24" t="inlineStr">
        <is>
          <t>Activo diferido requerido</t>
        </is>
      </c>
      <c r="B21" s="25" t="inlineStr">
        <is>
          <t>'=IF(AND('02_Parametros'!$B$17="Sí",'02_Parametros'!$B$18="Sí"),K5*'04_Impuesto_corriente'!$C$18/100,0)</t>
        </is>
      </c>
      <c r="C21" s="24" t="inlineStr">
        <is>
          <t>Si la ley admite diferido por pérdidas y hay probable ganancia fiscal (ambos «Sí» en la hoja 02), multiplica lo arrastrable por la tarifa aplicable de la hoja 04; si no, cero.</t>
        </is>
      </c>
      <c r="D21" s="24" t="inlineStr">
        <is>
          <t>Fila 1: IF(AND(«Sí»="Sí"; «Sí»="Sí"); 0,00*25,00/100; 0) → 0,00</t>
        </is>
      </c>
      <c r="E21" s="24" t="inlineStr">
        <is>
          <t>«Arrastrable a años futuros» (esta hoja), hoja «Parámetros», hoja «Impuesto corriente»</t>
        </is>
      </c>
      <c r="F21" s="24" t="inlineStr">
        <is>
          <t>—</t>
        </is>
      </c>
    </row>
    <row r="22">
      <c r="A22" s="24" t="inlineStr">
        <is>
          <t>Activo diferido no reconocido</t>
        </is>
      </c>
      <c r="B22" s="25" t="inlineStr">
        <is>
          <t>'=K5*'04_Impuesto_corriente'!$C$18/100-L5</t>
        </is>
      </c>
      <c r="C22" s="24" t="inlineStr">
        <is>
          <t>Multiplica lo arrastrable por la tarifa aplicable de la hoja 04 y le resta el activo diferido requerido: es el activo que no se reconoce y se revela.</t>
        </is>
      </c>
      <c r="D22" s="24" t="inlineStr">
        <is>
          <t>Fila 1: 0,00*25,00/100-0,00 → 0,00</t>
        </is>
      </c>
      <c r="E22" s="24" t="inlineStr">
        <is>
          <t>«Arrastrable a años futuros» (esta hoja), «Activo diferido requerido» (esta hoja), hoja «Impuesto corriente»</t>
        </is>
      </c>
      <c r="F22" s="24" t="inlineStr">
        <is>
          <t>—</t>
        </is>
      </c>
    </row>
  </sheetData>
  <mergeCells count="3">
    <mergeCell ref="A2:F2"/>
    <mergeCell ref="A11:F11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3" customWidth="1" min="4" max="4"/>
    <col width="37" customWidth="1" min="5" max="5"/>
    <col width="12" customWidth="1" min="6" max="6"/>
    <col width="18" customWidth="1" min="7" max="7"/>
    <col width="12" customWidth="1" min="8" max="8"/>
    <col width="17" customWidth="1" min="9" max="9"/>
    <col width="23" customWidth="1" min="10" max="10"/>
    <col width="12" customWidth="1" min="11" max="11"/>
    <col width="12" customWidth="1" min="12" max="12"/>
    <col width="28" customWidth="1" min="13" max="13"/>
    <col width="31" customWidth="1" min="14" max="14"/>
    <col width="31" customWidth="1" min="15" max="15"/>
    <col width="22" customWidth="1" min="16" max="16"/>
    <col width="22" customWidth="1" min="17" max="17"/>
    <col width="12" customWidth="1" min="18" max="18"/>
    <col width="12" customWidth="1" min="19" max="19"/>
    <col width="22" customWidth="1" min="20" max="20"/>
    <col width="24" customWidth="1" min="21" max="21"/>
    <col width="17" customWidth="1" min="22" max="22"/>
  </cols>
  <sheetData>
    <row r="1">
      <c r="A1" s="3" t="inlineStr">
        <is>
          <t>Diferencias temporarias y diferido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</row>
    <row r="4" ht="30" customHeight="1">
      <c r="A4" s="17" t="inlineStr">
        <is>
          <t>Partida</t>
        </is>
      </c>
      <c r="B4" s="17" t="inlineStr">
        <is>
          <t>Naturaleza</t>
        </is>
      </c>
      <c r="C4" s="17" t="inlineStr">
        <is>
          <t>Libros NIIF</t>
        </is>
      </c>
      <c r="D4" s="17" t="inlineStr">
        <is>
          <t>Base fiscal</t>
        </is>
      </c>
      <c r="E4" s="17" t="inlineStr">
        <is>
          <t>Diferencia temporaria (+ imponible)</t>
        </is>
      </c>
      <c r="F4" s="17" t="inlineStr">
        <is>
          <t>Clase</t>
        </is>
      </c>
      <c r="G4" s="17" t="inlineStr">
        <is>
          <t>Año de reversión</t>
        </is>
      </c>
      <c r="H4" s="17" t="inlineStr">
        <is>
          <t>Tasa (%)</t>
        </is>
      </c>
      <c r="I4" s="17" t="inlineStr">
        <is>
          <t>Pasivo diferido</t>
        </is>
      </c>
      <c r="J4" s="17" t="inlineStr">
        <is>
          <t>Activo diferido bruto</t>
        </is>
      </c>
      <c r="K4" s="17" t="inlineStr">
        <is>
          <t>Permitido</t>
        </is>
      </c>
      <c r="L4" s="17" t="inlineStr">
        <is>
          <t>Probable</t>
        </is>
      </c>
      <c r="M4" s="17" t="inlineStr">
        <is>
          <t>Activo diferido reconocido</t>
        </is>
      </c>
      <c r="N4" s="17" t="inlineStr">
        <is>
          <t>Activo diferido no reconocido</t>
        </is>
      </c>
      <c r="O4" s="17" t="inlineStr">
        <is>
          <t>Diferido requerido (+ activo)</t>
        </is>
      </c>
      <c r="P4" s="17" t="inlineStr">
        <is>
          <t>Registrado al inicio</t>
        </is>
      </c>
      <c r="Q4" s="17" t="inlineStr">
        <is>
          <t>Registrado al cierre</t>
        </is>
      </c>
      <c r="R4" s="17" t="inlineStr">
        <is>
          <t>Ajuste</t>
        </is>
      </c>
      <c r="S4" s="17" t="inlineStr">
        <is>
          <t>ORI</t>
        </is>
      </c>
      <c r="T4" s="17" t="inlineStr">
        <is>
          <t>Movimiento requerido</t>
        </is>
      </c>
      <c r="U4" s="17" t="inlineStr">
        <is>
          <t>A resultados (+ gasto)</t>
        </is>
      </c>
      <c r="V4" s="17" t="inlineStr">
        <is>
          <t>A ORI (+ cargo)</t>
        </is>
      </c>
    </row>
    <row r="5">
      <c r="A5" s="18" t="inlineStr">
        <is>
          <t>PPE — depreciación fiscal acelerada</t>
        </is>
      </c>
      <c r="B5" s="18" t="inlineStr">
        <is>
          <t>Activo</t>
        </is>
      </c>
      <c r="C5" s="20" t="n">
        <v>500000</v>
      </c>
      <c r="D5" s="20" t="n">
        <v>420000</v>
      </c>
      <c r="E5" s="20">
        <f>IF(B5="Activo",C5-D5,D5-C5)</f>
        <v/>
      </c>
      <c r="F5" s="18">
        <f>IF(E5&gt;0,"Imponible",IF(E5&lt;0,"Deducible","Sin diferencia"))</f>
        <v/>
      </c>
      <c r="G5" s="31" t="n">
        <v>2028</v>
      </c>
      <c r="H5" s="27">
        <f>'07_Tasa_reversion'!D5</f>
        <v/>
      </c>
      <c r="I5" s="20">
        <f>IF(E5&gt;0,E5*H5/100,0)</f>
        <v/>
      </c>
      <c r="J5" s="20">
        <f>IF(E5&lt;0,-E5*H5/100,0)</f>
        <v/>
      </c>
      <c r="K5" s="18" t="inlineStr">
        <is>
          <t>Sí</t>
        </is>
      </c>
      <c r="L5" s="18" t="inlineStr">
        <is>
          <t>Sí</t>
        </is>
      </c>
      <c r="M5" s="20">
        <f>IF(AND(K5="Sí",L5="Sí"),J5,0)</f>
        <v/>
      </c>
      <c r="N5" s="20">
        <f>J5-M5</f>
        <v/>
      </c>
      <c r="O5" s="20">
        <f>M5-I5</f>
        <v/>
      </c>
      <c r="P5" s="20" t="n">
        <v>-15000</v>
      </c>
      <c r="Q5" s="20" t="n">
        <v>-20000</v>
      </c>
      <c r="R5" s="20">
        <f>O5-Q5</f>
        <v/>
      </c>
      <c r="S5" s="18" t="inlineStr">
        <is>
          <t>No</t>
        </is>
      </c>
      <c r="T5" s="20">
        <f>O5-P5</f>
        <v/>
      </c>
      <c r="U5" s="20">
        <f>IF(S5="No",-T5,0)</f>
        <v/>
      </c>
      <c r="V5" s="20">
        <f>IF(S5="Sí",-T5,0)</f>
        <v/>
      </c>
    </row>
    <row r="6">
      <c r="A6" s="19" t="inlineStr">
        <is>
          <t>Provisión jubilación patronal</t>
        </is>
      </c>
      <c r="B6" s="19" t="inlineStr">
        <is>
          <t>Pasivo</t>
        </is>
      </c>
      <c r="C6" s="21" t="n">
        <v>120000</v>
      </c>
      <c r="D6" s="21" t="n">
        <v>0</v>
      </c>
      <c r="E6" s="21">
        <f>IF(B6="Activo",C6-D6,D6-C6)</f>
        <v/>
      </c>
      <c r="F6" s="19">
        <f>IF(E6&gt;0,"Imponible",IF(E6&lt;0,"Deducible","Sin diferencia"))</f>
        <v/>
      </c>
      <c r="G6" s="32" t="n">
        <v>2030</v>
      </c>
      <c r="H6" s="28">
        <f>'07_Tasa_reversion'!D6</f>
        <v/>
      </c>
      <c r="I6" s="21">
        <f>IF(E6&gt;0,E6*H6/100,0)</f>
        <v/>
      </c>
      <c r="J6" s="21">
        <f>IF(E6&lt;0,-E6*H6/100,0)</f>
        <v/>
      </c>
      <c r="K6" s="19" t="inlineStr">
        <is>
          <t>Sí</t>
        </is>
      </c>
      <c r="L6" s="19" t="inlineStr">
        <is>
          <t>Sí</t>
        </is>
      </c>
      <c r="M6" s="21">
        <f>IF(AND(K6="Sí",L6="Sí"),J6,0)</f>
        <v/>
      </c>
      <c r="N6" s="21">
        <f>J6-M6</f>
        <v/>
      </c>
      <c r="O6" s="21">
        <f>M6-I6</f>
        <v/>
      </c>
      <c r="P6" s="21" t="n">
        <v>25000</v>
      </c>
      <c r="Q6" s="21" t="n">
        <v>30000</v>
      </c>
      <c r="R6" s="21">
        <f>O6-Q6</f>
        <v/>
      </c>
      <c r="S6" s="19" t="inlineStr">
        <is>
          <t>No</t>
        </is>
      </c>
      <c r="T6" s="21">
        <f>O6-P6</f>
        <v/>
      </c>
      <c r="U6" s="21">
        <f>IF(S6="No",-T6,0)</f>
        <v/>
      </c>
      <c r="V6" s="21">
        <f>IF(S6="Sí",-T6,0)</f>
        <v/>
      </c>
    </row>
    <row r="7">
      <c r="A7" s="18" t="inlineStr">
        <is>
          <t>Provisión por garantías</t>
        </is>
      </c>
      <c r="B7" s="18" t="inlineStr">
        <is>
          <t>Pasivo</t>
        </is>
      </c>
      <c r="C7" s="20" t="n">
        <v>40000</v>
      </c>
      <c r="D7" s="20" t="n">
        <v>0</v>
      </c>
      <c r="E7" s="20">
        <f>IF(B7="Activo",C7-D7,D7-C7)</f>
        <v/>
      </c>
      <c r="F7" s="18">
        <f>IF(E7&gt;0,"Imponible",IF(E7&lt;0,"Deducible","Sin diferencia"))</f>
        <v/>
      </c>
      <c r="G7" s="31" t="n">
        <v>2026</v>
      </c>
      <c r="H7" s="27">
        <f>'07_Tasa_reversion'!D7</f>
        <v/>
      </c>
      <c r="I7" s="20">
        <f>IF(E7&gt;0,E7*H7/100,0)</f>
        <v/>
      </c>
      <c r="J7" s="20">
        <f>IF(E7&lt;0,-E7*H7/100,0)</f>
        <v/>
      </c>
      <c r="K7" s="18" t="inlineStr">
        <is>
          <t>Sí</t>
        </is>
      </c>
      <c r="L7" s="18" t="inlineStr">
        <is>
          <t>Sí</t>
        </is>
      </c>
      <c r="M7" s="20">
        <f>IF(AND(K7="Sí",L7="Sí"),J7,0)</f>
        <v/>
      </c>
      <c r="N7" s="20">
        <f>J7-M7</f>
        <v/>
      </c>
      <c r="O7" s="20">
        <f>M7-I7</f>
        <v/>
      </c>
      <c r="P7" s="20" t="n">
        <v>6000</v>
      </c>
      <c r="Q7" s="20" t="n">
        <v>8800</v>
      </c>
      <c r="R7" s="20">
        <f>O7-Q7</f>
        <v/>
      </c>
      <c r="S7" s="18" t="inlineStr">
        <is>
          <t>No</t>
        </is>
      </c>
      <c r="T7" s="20">
        <f>O7-P7</f>
        <v/>
      </c>
      <c r="U7" s="20">
        <f>IF(S7="No",-T7,0)</f>
        <v/>
      </c>
      <c r="V7" s="20">
        <f>IF(S7="Sí",-T7,0)</f>
        <v/>
      </c>
    </row>
    <row r="8">
      <c r="A8" s="19" t="inlineStr">
        <is>
          <t>Deterioro de inventarios (VNR)</t>
        </is>
      </c>
      <c r="B8" s="19" t="inlineStr">
        <is>
          <t>Activo</t>
        </is>
      </c>
      <c r="C8" s="21" t="n">
        <v>200000</v>
      </c>
      <c r="D8" s="21" t="n">
        <v>230000</v>
      </c>
      <c r="E8" s="21">
        <f>IF(B8="Activo",C8-D8,D8-C8)</f>
        <v/>
      </c>
      <c r="F8" s="19">
        <f>IF(E8&gt;0,"Imponible",IF(E8&lt;0,"Deducible","Sin diferencia"))</f>
        <v/>
      </c>
      <c r="G8" s="32" t="n">
        <v>2026</v>
      </c>
      <c r="H8" s="28">
        <f>'07_Tasa_reversion'!D8</f>
        <v/>
      </c>
      <c r="I8" s="21">
        <f>IF(E8&gt;0,E8*H8/100,0)</f>
        <v/>
      </c>
      <c r="J8" s="21">
        <f>IF(E8&lt;0,-E8*H8/100,0)</f>
        <v/>
      </c>
      <c r="K8" s="19" t="inlineStr">
        <is>
          <t>Sí</t>
        </is>
      </c>
      <c r="L8" s="19" t="inlineStr">
        <is>
          <t>Sí</t>
        </is>
      </c>
      <c r="M8" s="21">
        <f>IF(AND(K8="Sí",L8="Sí"),J8,0)</f>
        <v/>
      </c>
      <c r="N8" s="21">
        <f>J8-M8</f>
        <v/>
      </c>
      <c r="O8" s="21">
        <f>M8-I8</f>
        <v/>
      </c>
      <c r="P8" s="21" t="n">
        <v>5000</v>
      </c>
      <c r="Q8" s="21" t="n">
        <v>7500</v>
      </c>
      <c r="R8" s="21">
        <f>O8-Q8</f>
        <v/>
      </c>
      <c r="S8" s="19" t="inlineStr">
        <is>
          <t>No</t>
        </is>
      </c>
      <c r="T8" s="21">
        <f>O8-P8</f>
        <v/>
      </c>
      <c r="U8" s="21">
        <f>IF(S8="No",-T8,0)</f>
        <v/>
      </c>
      <c r="V8" s="21">
        <f>IF(S8="Sí",-T8,0)</f>
        <v/>
      </c>
    </row>
    <row r="9">
      <c r="A9" s="18" t="inlineStr">
        <is>
          <t>Deterioro de cartera sobre el límite fiscal</t>
        </is>
      </c>
      <c r="B9" s="18" t="inlineStr">
        <is>
          <t>Activo</t>
        </is>
      </c>
      <c r="C9" s="20" t="n">
        <v>300000</v>
      </c>
      <c r="D9" s="20" t="n">
        <v>315000</v>
      </c>
      <c r="E9" s="20">
        <f>IF(B9="Activo",C9-D9,D9-C9)</f>
        <v/>
      </c>
      <c r="F9" s="18">
        <f>IF(E9&gt;0,"Imponible",IF(E9&lt;0,"Deducible","Sin diferencia"))</f>
        <v/>
      </c>
      <c r="G9" s="31" t="n"/>
      <c r="H9" s="27">
        <f>'07_Tasa_reversion'!D9</f>
        <v/>
      </c>
      <c r="I9" s="20">
        <f>IF(E9&gt;0,E9*H9/100,0)</f>
        <v/>
      </c>
      <c r="J9" s="20">
        <f>IF(E9&lt;0,-E9*H9/100,0)</f>
        <v/>
      </c>
      <c r="K9" s="18" t="inlineStr">
        <is>
          <t>Sí</t>
        </is>
      </c>
      <c r="L9" s="18" t="inlineStr">
        <is>
          <t>Sí</t>
        </is>
      </c>
      <c r="M9" s="20">
        <f>IF(AND(K9="Sí",L9="Sí"),J9,0)</f>
        <v/>
      </c>
      <c r="N9" s="20">
        <f>J9-M9</f>
        <v/>
      </c>
      <c r="O9" s="20">
        <f>M9-I9</f>
        <v/>
      </c>
      <c r="P9" s="20" t="n">
        <v>0</v>
      </c>
      <c r="Q9" s="20" t="n">
        <v>3750</v>
      </c>
      <c r="R9" s="20">
        <f>O9-Q9</f>
        <v/>
      </c>
      <c r="S9" s="18" t="inlineStr">
        <is>
          <t>No</t>
        </is>
      </c>
      <c r="T9" s="20">
        <f>O9-P9</f>
        <v/>
      </c>
      <c r="U9" s="20">
        <f>IF(S9="No",-T9,0)</f>
        <v/>
      </c>
      <c r="V9" s="20">
        <f>IF(S9="Sí",-T9,0)</f>
        <v/>
      </c>
    </row>
    <row r="10">
      <c r="A10" s="19" t="inlineStr">
        <is>
          <t>Revaluación de terrenos</t>
        </is>
      </c>
      <c r="B10" s="19" t="inlineStr">
        <is>
          <t>Activo</t>
        </is>
      </c>
      <c r="C10" s="21" t="n">
        <v>900000</v>
      </c>
      <c r="D10" s="21" t="n">
        <v>700000</v>
      </c>
      <c r="E10" s="21">
        <f>IF(B10="Activo",C10-D10,D10-C10)</f>
        <v/>
      </c>
      <c r="F10" s="19">
        <f>IF(E10&gt;0,"Imponible",IF(E10&lt;0,"Deducible","Sin diferencia"))</f>
        <v/>
      </c>
      <c r="G10" s="32" t="n"/>
      <c r="H10" s="28">
        <f>'07_Tasa_reversion'!D10</f>
        <v/>
      </c>
      <c r="I10" s="21">
        <f>IF(E10&gt;0,E10*H10/100,0)</f>
        <v/>
      </c>
      <c r="J10" s="21">
        <f>IF(E10&lt;0,-E10*H10/100,0)</f>
        <v/>
      </c>
      <c r="K10" s="19" t="inlineStr">
        <is>
          <t>Sí</t>
        </is>
      </c>
      <c r="L10" s="19" t="inlineStr">
        <is>
          <t>Sí</t>
        </is>
      </c>
      <c r="M10" s="21">
        <f>IF(AND(K10="Sí",L10="Sí"),J10,0)</f>
        <v/>
      </c>
      <c r="N10" s="21">
        <f>J10-M10</f>
        <v/>
      </c>
      <c r="O10" s="21">
        <f>M10-I10</f>
        <v/>
      </c>
      <c r="P10" s="21" t="n">
        <v>-40000</v>
      </c>
      <c r="Q10" s="21" t="n">
        <v>-50000</v>
      </c>
      <c r="R10" s="21">
        <f>O10-Q10</f>
        <v/>
      </c>
      <c r="S10" s="19" t="inlineStr">
        <is>
          <t>Sí</t>
        </is>
      </c>
      <c r="T10" s="21">
        <f>O10-P10</f>
        <v/>
      </c>
      <c r="U10" s="21">
        <f>IF(S10="No",-T10,0)</f>
        <v/>
      </c>
      <c r="V10" s="21">
        <f>IF(S10="Sí",-T10,0)</f>
        <v/>
      </c>
    </row>
    <row r="11">
      <c r="A11" s="18" t="inlineStr">
        <is>
          <t>Activo por derecho de uso</t>
        </is>
      </c>
      <c r="B11" s="18" t="inlineStr">
        <is>
          <t>Activo</t>
        </is>
      </c>
      <c r="C11" s="20" t="n">
        <v>90000</v>
      </c>
      <c r="D11" s="20" t="n">
        <v>0</v>
      </c>
      <c r="E11" s="20">
        <f>IF(B11="Activo",C11-D11,D11-C11)</f>
        <v/>
      </c>
      <c r="F11" s="18">
        <f>IF(E11&gt;0,"Imponible",IF(E11&lt;0,"Deducible","Sin diferencia"))</f>
        <v/>
      </c>
      <c r="G11" s="31" t="n">
        <v>2027</v>
      </c>
      <c r="H11" s="27">
        <f>'07_Tasa_reversion'!D11</f>
        <v/>
      </c>
      <c r="I11" s="20">
        <f>IF(E11&gt;0,E11*H11/100,0)</f>
        <v/>
      </c>
      <c r="J11" s="20">
        <f>IF(E11&lt;0,-E11*H11/100,0)</f>
        <v/>
      </c>
      <c r="K11" s="18" t="inlineStr">
        <is>
          <t>Sí</t>
        </is>
      </c>
      <c r="L11" s="18" t="inlineStr">
        <is>
          <t>Sí</t>
        </is>
      </c>
      <c r="M11" s="20">
        <f>IF(AND(K11="Sí",L11="Sí"),J11,0)</f>
        <v/>
      </c>
      <c r="N11" s="20">
        <f>J11-M11</f>
        <v/>
      </c>
      <c r="O11" s="20">
        <f>M11-I11</f>
        <v/>
      </c>
      <c r="P11" s="20" t="n">
        <v>0</v>
      </c>
      <c r="Q11" s="20" t="n">
        <v>0</v>
      </c>
      <c r="R11" s="20">
        <f>O11-Q11</f>
        <v/>
      </c>
      <c r="S11" s="18" t="inlineStr">
        <is>
          <t>No</t>
        </is>
      </c>
      <c r="T11" s="20">
        <f>O11-P11</f>
        <v/>
      </c>
      <c r="U11" s="20">
        <f>IF(S11="No",-T11,0)</f>
        <v/>
      </c>
      <c r="V11" s="20">
        <f>IF(S11="Sí",-T11,0)</f>
        <v/>
      </c>
    </row>
    <row r="12">
      <c r="A12" s="19" t="inlineStr">
        <is>
          <t>Pasivo por arrendamiento</t>
        </is>
      </c>
      <c r="B12" s="19" t="inlineStr">
        <is>
          <t>Pasivo</t>
        </is>
      </c>
      <c r="C12" s="21" t="n">
        <v>95000</v>
      </c>
      <c r="D12" s="21" t="n">
        <v>0</v>
      </c>
      <c r="E12" s="21">
        <f>IF(B12="Activo",C12-D12,D12-C12)</f>
        <v/>
      </c>
      <c r="F12" s="19">
        <f>IF(E12&gt;0,"Imponible",IF(E12&lt;0,"Deducible","Sin diferencia"))</f>
        <v/>
      </c>
      <c r="G12" s="32" t="n">
        <v>2027</v>
      </c>
      <c r="H12" s="28">
        <f>'07_Tasa_reversion'!D12</f>
        <v/>
      </c>
      <c r="I12" s="21">
        <f>IF(E12&gt;0,E12*H12/100,0)</f>
        <v/>
      </c>
      <c r="J12" s="21">
        <f>IF(E12&lt;0,-E12*H12/100,0)</f>
        <v/>
      </c>
      <c r="K12" s="19" t="inlineStr">
        <is>
          <t>Sí</t>
        </is>
      </c>
      <c r="L12" s="19" t="inlineStr">
        <is>
          <t>Sí</t>
        </is>
      </c>
      <c r="M12" s="21">
        <f>IF(AND(K12="Sí",L12="Sí"),J12,0)</f>
        <v/>
      </c>
      <c r="N12" s="21">
        <f>J12-M12</f>
        <v/>
      </c>
      <c r="O12" s="21">
        <f>M12-I12</f>
        <v/>
      </c>
      <c r="P12" s="21" t="n">
        <v>0</v>
      </c>
      <c r="Q12" s="21" t="n">
        <v>0</v>
      </c>
      <c r="R12" s="21">
        <f>O12-Q12</f>
        <v/>
      </c>
      <c r="S12" s="19" t="inlineStr">
        <is>
          <t>No</t>
        </is>
      </c>
      <c r="T12" s="21">
        <f>O12-P12</f>
        <v/>
      </c>
      <c r="U12" s="21">
        <f>IF(S12="No",-T12,0)</f>
        <v/>
      </c>
      <c r="V12" s="21">
        <f>IF(S12="Sí",-T12,0)</f>
        <v/>
      </c>
    </row>
    <row r="13">
      <c r="A13" s="18" t="inlineStr">
        <is>
          <t>Provisión por litigio laboral</t>
        </is>
      </c>
      <c r="B13" s="18" t="inlineStr">
        <is>
          <t>Pasivo</t>
        </is>
      </c>
      <c r="C13" s="20" t="n">
        <v>25000</v>
      </c>
      <c r="D13" s="20" t="n">
        <v>0</v>
      </c>
      <c r="E13" s="20">
        <f>IF(B13="Activo",C13-D13,D13-C13)</f>
        <v/>
      </c>
      <c r="F13" s="18">
        <f>IF(E13&gt;0,"Imponible",IF(E13&lt;0,"Deducible","Sin diferencia"))</f>
        <v/>
      </c>
      <c r="G13" s="31" t="n"/>
      <c r="H13" s="27">
        <f>'07_Tasa_reversion'!D13</f>
        <v/>
      </c>
      <c r="I13" s="20">
        <f>IF(E13&gt;0,E13*H13/100,0)</f>
        <v/>
      </c>
      <c r="J13" s="20">
        <f>IF(E13&lt;0,-E13*H13/100,0)</f>
        <v/>
      </c>
      <c r="K13" s="18" t="inlineStr">
        <is>
          <t>Sí</t>
        </is>
      </c>
      <c r="L13" s="18" t="inlineStr">
        <is>
          <t>No</t>
        </is>
      </c>
      <c r="M13" s="20">
        <f>IF(AND(K13="Sí",L13="Sí"),J13,0)</f>
        <v/>
      </c>
      <c r="N13" s="20">
        <f>J13-M13</f>
        <v/>
      </c>
      <c r="O13" s="20">
        <f>M13-I13</f>
        <v/>
      </c>
      <c r="P13" s="20" t="n">
        <v>0</v>
      </c>
      <c r="Q13" s="20" t="n">
        <v>6250</v>
      </c>
      <c r="R13" s="20">
        <f>O13-Q13</f>
        <v/>
      </c>
      <c r="S13" s="18" t="inlineStr">
        <is>
          <t>No</t>
        </is>
      </c>
      <c r="T13" s="20">
        <f>O13-P13</f>
        <v/>
      </c>
      <c r="U13" s="20">
        <f>IF(S13="No",-T13,0)</f>
        <v/>
      </c>
      <c r="V13" s="20">
        <f>IF(S13="Sí",-T13,0)</f>
        <v/>
      </c>
    </row>
    <row r="14">
      <c r="A14" s="29" t="inlineStr">
        <is>
          <t>TOTAL</t>
        </is>
      </c>
      <c r="B14" s="29" t="inlineStr"/>
      <c r="C14" s="30">
        <f>SUM(C5:C13)</f>
        <v/>
      </c>
      <c r="D14" s="30">
        <f>SUM(D5:D13)</f>
        <v/>
      </c>
      <c r="E14" s="30">
        <f>SUM(E5:E13)</f>
        <v/>
      </c>
      <c r="F14" s="29" t="inlineStr"/>
      <c r="G14" s="33" t="n"/>
      <c r="H14" s="29" t="n"/>
      <c r="I14" s="30">
        <f>SUM(I5:I13)</f>
        <v/>
      </c>
      <c r="J14" s="30">
        <f>SUM(J5:J13)</f>
        <v/>
      </c>
      <c r="K14" s="29" t="inlineStr"/>
      <c r="L14" s="29" t="inlineStr"/>
      <c r="M14" s="30">
        <f>SUM(M5:M13)</f>
        <v/>
      </c>
      <c r="N14" s="30">
        <f>SUM(N5:N13)</f>
        <v/>
      </c>
      <c r="O14" s="30">
        <f>SUM(O5:O13)</f>
        <v/>
      </c>
      <c r="P14" s="30">
        <f>SUM(P5:P13)</f>
        <v/>
      </c>
      <c r="Q14" s="30">
        <f>SUM(Q5:Q13)</f>
        <v/>
      </c>
      <c r="R14" s="30">
        <f>SUM(R5:R13)</f>
        <v/>
      </c>
      <c r="S14" s="29" t="inlineStr"/>
      <c r="T14" s="30">
        <f>SUM(T5:T13)</f>
        <v/>
      </c>
      <c r="U14" s="30">
        <f>SUM(U5:U13)</f>
        <v/>
      </c>
      <c r="V14" s="30">
        <f>SUM(V5:V13)</f>
        <v/>
      </c>
    </row>
    <row r="16">
      <c r="A16" s="22" t="inlineStr">
        <is>
          <t>ⓘ  Cómo se calcula esta hoja</t>
        </is>
      </c>
    </row>
    <row r="17">
      <c r="A17" s="23" t="inlineStr">
        <is>
          <t>Columna</t>
        </is>
      </c>
      <c r="B17" s="23" t="inlineStr">
        <is>
          <t>Fórmula (Excel)</t>
        </is>
      </c>
      <c r="C17" s="23" t="inlineStr">
        <is>
          <t>Cómo se calcula (sencillo)</t>
        </is>
      </c>
      <c r="D17" s="23" t="inlineStr">
        <is>
          <t>Ejemplo con números reales</t>
        </is>
      </c>
      <c r="E17" s="23" t="inlineStr">
        <is>
          <t>De dónde viene</t>
        </is>
      </c>
      <c r="F17" s="23" t="inlineStr">
        <is>
          <t>Norma</t>
        </is>
      </c>
    </row>
    <row r="18">
      <c r="A18" s="24" t="inlineStr">
        <is>
          <t>Diferencia temporaria (+ imponible)</t>
        </is>
      </c>
      <c r="B18" s="25" t="inlineStr">
        <is>
          <t>'=IF(B5="Activo",C5-D5,D5-C5)</t>
        </is>
      </c>
      <c r="C18" s="24" t="inlineStr">
        <is>
          <t>En un activo resta la base fiscal al valor en libros; en un pasivo, resta el valor en libros a la base fiscal. Positiva es imponible y negativa, deducible.</t>
        </is>
      </c>
      <c r="D18" s="24" t="inlineStr">
        <is>
          <t>Fila 1: IF(«Activo»="Activo"; 500.000,00-420.000,00; 420.000,00-500.000,00) → 80.000,00</t>
        </is>
      </c>
      <c r="E18" s="24" t="inlineStr">
        <is>
          <t>«Naturaleza» (esta hoja), «Libros NIIF» (esta hoja), «Base fiscal» (esta hoja)</t>
        </is>
      </c>
      <c r="F18" s="24" t="inlineStr">
        <is>
          <t>—</t>
        </is>
      </c>
    </row>
    <row r="19">
      <c r="A19" s="24" t="inlineStr">
        <is>
          <t>Clase</t>
        </is>
      </c>
      <c r="B19" s="25" t="inlineStr">
        <is>
          <t>'=IF(E5&gt;0,"Imponible",IF(E5&lt;0,"Deducible","Sin diferencia"))</t>
        </is>
      </c>
      <c r="C19" s="24" t="inlineStr">
        <is>
          <t>Clasifica la diferencia: mayor que cero es «Imponible», menor que cero «Deducible» y cero «Sin diferencia».</t>
        </is>
      </c>
      <c r="D19" s="24" t="inlineStr">
        <is>
          <t>Fila 1: IF(80.000,00&gt;0; "Imponible"; IF(80.000,00&lt;0; "Deducible"; "Sin diferencia")) → Imponible</t>
        </is>
      </c>
      <c r="E19" s="24" t="inlineStr">
        <is>
          <t>«Diferencia temporaria (+ imponible)» (esta hoja)</t>
        </is>
      </c>
      <c r="F19" s="24" t="inlineStr">
        <is>
          <t>—</t>
        </is>
      </c>
    </row>
    <row r="20">
      <c r="A20" s="24" t="inlineStr">
        <is>
          <t>Tasa (%)</t>
        </is>
      </c>
      <c r="B20" s="25" t="inlineStr">
        <is>
          <t>'='07_Tasa_reversion'!D5</t>
        </is>
      </c>
      <c r="C20" s="24" t="inlineStr">
        <is>
          <t>Trae la tasa esperada para el año de reversión desde la hoja 07 (Tasa de reversión).</t>
        </is>
      </c>
      <c r="D20" s="24" t="inlineStr">
        <is>
          <t>Fila 1: 25,00 → 25,00</t>
        </is>
      </c>
      <c r="E20" s="24" t="inlineStr">
        <is>
          <t>hoja «Tasa de reversión»</t>
        </is>
      </c>
      <c r="F20" s="24" t="inlineStr">
        <is>
          <t>—</t>
        </is>
      </c>
    </row>
    <row r="21">
      <c r="A21" s="24" t="inlineStr">
        <is>
          <t>Pasivo diferido</t>
        </is>
      </c>
      <c r="B21" s="25" t="inlineStr">
        <is>
          <t>'=IF(E5&gt;0,E5*H5/100,0)</t>
        </is>
      </c>
      <c r="C21" s="24" t="inlineStr">
        <is>
          <t>Si la diferencia es imponible, la multiplica por la tasa: es el pasivo por impuesto diferido; si no, cero.</t>
        </is>
      </c>
      <c r="D21" s="24" t="inlineStr">
        <is>
          <t>Fila 1: IF(80.000,00&gt;0; 80.000,00*25,00/100; 0) → 20.000,00</t>
        </is>
      </c>
      <c r="E21" s="24" t="inlineStr">
        <is>
          <t>«Diferencia temporaria (+ imponible)» (esta hoja), «Tasa (%)» (esta hoja)</t>
        </is>
      </c>
      <c r="F21" s="24" t="inlineStr">
        <is>
          <t>—</t>
        </is>
      </c>
    </row>
    <row r="22">
      <c r="A22" s="24" t="inlineStr">
        <is>
          <t>Activo diferido bruto</t>
        </is>
      </c>
      <c r="B22" s="25" t="inlineStr">
        <is>
          <t>'=IF(E5&lt;0,-E5*H5/100,0)</t>
        </is>
      </c>
      <c r="C22" s="24" t="inlineStr">
        <is>
          <t>Si la diferencia es deducible, multiplica su valor absoluto por la tasa: es el activo diferido antes de evaluar si se recupera; si no, cero.</t>
        </is>
      </c>
      <c r="D22" s="24" t="inlineStr">
        <is>
          <t>Fila 1: IF(80.000,00&lt;0; -80.000,00*25,00/100; 0) → 0,00</t>
        </is>
      </c>
      <c r="E22" s="24" t="inlineStr">
        <is>
          <t>«Diferencia temporaria (+ imponible)» (esta hoja), «Tasa (%)» (esta hoja)</t>
        </is>
      </c>
      <c r="F22" s="24" t="inlineStr">
        <is>
          <t>—</t>
        </is>
      </c>
    </row>
    <row r="23">
      <c r="A23" s="24" t="inlineStr">
        <is>
          <t>Activo diferido reconocido</t>
        </is>
      </c>
      <c r="B23" s="25" t="inlineStr">
        <is>
          <t>'=IF(AND(K5="Sí",L5="Sí"),J5,0)</t>
        </is>
      </c>
      <c r="C23" s="24" t="inlineStr">
        <is>
          <t>Reconoce el activo diferido bruto solo si la ley lo permite y es probable recuperarlo (columnas «Permitido» y «Probable» en «Sí»); si no, cero.</t>
        </is>
      </c>
      <c r="D23" s="24" t="inlineStr">
        <is>
          <t>Fila 1: IF(AND(«Sí»="Sí"; «Sí»="Sí"); 0,00; 0) → 0,00</t>
        </is>
      </c>
      <c r="E23" s="24" t="inlineStr">
        <is>
          <t>«Permitido» (esta hoja), «Probable» (esta hoja), «Activo diferido bruto» (esta hoja)</t>
        </is>
      </c>
      <c r="F23" s="24" t="inlineStr">
        <is>
          <t>—</t>
        </is>
      </c>
    </row>
    <row r="24">
      <c r="A24" s="24" t="inlineStr">
        <is>
          <t>Activo diferido no reconocido</t>
        </is>
      </c>
      <c r="B24" s="25" t="inlineStr">
        <is>
          <t>'=J5-M5</t>
        </is>
      </c>
      <c r="C24" s="24" t="inlineStr">
        <is>
          <t>Resta el activo reconocido al activo bruto: es la parte que no se registra y se revela.</t>
        </is>
      </c>
      <c r="D24" s="24" t="inlineStr">
        <is>
          <t>Fila 1: 0,00-0,00 → 0,00</t>
        </is>
      </c>
      <c r="E24" s="24" t="inlineStr">
        <is>
          <t>«Activo diferido bruto» (esta hoja), «Activo diferido reconocido» (esta hoja)</t>
        </is>
      </c>
      <c r="F24" s="24" t="inlineStr">
        <is>
          <t>—</t>
        </is>
      </c>
    </row>
    <row r="25">
      <c r="A25" s="24" t="inlineStr">
        <is>
          <t>Diferido requerido (+ activo)</t>
        </is>
      </c>
      <c r="B25" s="25" t="inlineStr">
        <is>
          <t>'=M5-I5</t>
        </is>
      </c>
      <c r="C25" s="24" t="inlineStr">
        <is>
          <t>Resta el pasivo diferido al activo diferido reconocido: positivo es activo neto y negativo, pasivo neto.</t>
        </is>
      </c>
      <c r="D25" s="24" t="inlineStr">
        <is>
          <t>Fila 1: 0,00-20.000,00 → -20.000,00</t>
        </is>
      </c>
      <c r="E25" s="24" t="inlineStr">
        <is>
          <t>«Activo diferido reconocido» (esta hoja), «Pasivo diferido» (esta hoja)</t>
        </is>
      </c>
      <c r="F25" s="24" t="inlineStr">
        <is>
          <t>—</t>
        </is>
      </c>
    </row>
    <row r="26">
      <c r="A26" s="24" t="inlineStr">
        <is>
          <t>Ajuste</t>
        </is>
      </c>
      <c r="B26" s="25" t="inlineStr">
        <is>
          <t>'=O5-Q5</t>
        </is>
      </c>
      <c r="C26" s="24" t="inlineStr">
        <is>
          <t>Resta el saldo registrado al cierre al diferido requerido: es lo que falta (+) o sobra (−) en los libros.</t>
        </is>
      </c>
      <c r="D26" s="24" t="inlineStr">
        <is>
          <t>Fila 1: -20.000,00--20.000,00 → 0,00</t>
        </is>
      </c>
      <c r="E26" s="24" t="inlineStr">
        <is>
          <t>«Diferido requerido (+ activo)» (esta hoja), «Registrado al cierre» (esta hoja)</t>
        </is>
      </c>
      <c r="F26" s="24" t="inlineStr">
        <is>
          <t>—</t>
        </is>
      </c>
    </row>
    <row r="27">
      <c r="A27" s="24" t="inlineStr">
        <is>
          <t>Movimiento requerido</t>
        </is>
      </c>
      <c r="B27" s="25" t="inlineStr">
        <is>
          <t>'=O5-P5</t>
        </is>
      </c>
      <c r="C27" s="24" t="inlineStr">
        <is>
          <t>Resta el saldo registrado al inicio al diferido requerido: es cuánto debió moverse el diferido en el año.</t>
        </is>
      </c>
      <c r="D27" s="24" t="inlineStr">
        <is>
          <t>Fila 1: -20.000,00--15.000,00 → -5.000,00</t>
        </is>
      </c>
      <c r="E27" s="24" t="inlineStr">
        <is>
          <t>«Diferido requerido (+ activo)» (esta hoja), «Registrado al inicio» (esta hoja)</t>
        </is>
      </c>
      <c r="F27" s="24" t="inlineStr">
        <is>
          <t>—</t>
        </is>
      </c>
    </row>
    <row r="28">
      <c r="A28" s="24" t="inlineStr">
        <is>
          <t>A resultados (+ gasto)</t>
        </is>
      </c>
      <c r="B28" s="25" t="inlineStr">
        <is>
          <t>'=IF(S5="No",-T5,0)</t>
        </is>
      </c>
      <c r="C28" s="24" t="inlineStr">
        <is>
          <t>Si la partida no es de ORI, lleva el movimiento a resultados con el signo cambiado (un aumento del activo es ingreso y se muestra negativo); si es de ORI, cero.</t>
        </is>
      </c>
      <c r="D28" s="24" t="inlineStr">
        <is>
          <t>Fila 1: IF(«No»="No"; --5.000,00; 0) → 5.000,00</t>
        </is>
      </c>
      <c r="E28" s="24" t="inlineStr">
        <is>
          <t>«ORI» (esta hoja), «Movimiento requerido» (esta hoja)</t>
        </is>
      </c>
      <c r="F28" s="24" t="inlineStr">
        <is>
          <t>—</t>
        </is>
      </c>
    </row>
    <row r="29">
      <c r="A29" s="24" t="inlineStr">
        <is>
          <t>A ORI (+ cargo)</t>
        </is>
      </c>
      <c r="B29" s="25" t="inlineStr">
        <is>
          <t>'=IF(S5="Sí",-T5,0)</t>
        </is>
      </c>
      <c r="C29" s="24" t="inlineStr">
        <is>
          <t>Si la partida es de ORI, lleva el movimiento al otro resultado integral con el signo cambiado; si no, cero.</t>
        </is>
      </c>
      <c r="D29" s="24" t="inlineStr">
        <is>
          <t>Fila 1: IF(«No»="Sí"; --5.000,00; 0) → 0,00</t>
        </is>
      </c>
      <c r="E29" s="24" t="inlineStr">
        <is>
          <t>«ORI» (esta hoja), «Movimiento requerido» (esta hoja)</t>
        </is>
      </c>
      <c r="F29" s="24" t="inlineStr">
        <is>
          <t>—</t>
        </is>
      </c>
    </row>
  </sheetData>
  <mergeCells count="3">
    <mergeCell ref="A2:F2"/>
    <mergeCell ref="A16:F16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31" customWidth="1" min="3" max="3"/>
    <col width="40" customWidth="1" min="4" max="4"/>
    <col width="27" customWidth="1" min="5" max="5"/>
    <col width="23" customWidth="1" min="6" max="6"/>
    <col width="23" customWidth="1" min="7" max="7"/>
    <col width="60" customWidth="1" min="8" max="8"/>
  </cols>
  <sheetData>
    <row r="1">
      <c r="A1" s="3" t="inlineStr">
        <is>
          <t>Tasa de reversión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Partida</t>
        </is>
      </c>
      <c r="B4" s="17" t="inlineStr">
        <is>
          <t>Año de reversión</t>
        </is>
      </c>
      <c r="C4" s="17" t="inlineStr">
        <is>
          <t>Tasa usada por el cliente (%)</t>
        </is>
      </c>
      <c r="D4" s="17" t="inlineStr">
        <is>
          <t>Tasa esperada = aprobada + recargo (%)</t>
        </is>
      </c>
      <c r="E4" s="17" t="inlineStr">
        <is>
          <t>Diferencia de tasa (p.p.)</t>
        </is>
      </c>
      <c r="F4" s="17" t="inlineStr">
        <is>
          <t>Diferencia temporaria</t>
        </is>
      </c>
      <c r="G4" s="17" t="inlineStr">
        <is>
          <t>Efecto en el diferido</t>
        </is>
      </c>
      <c r="H4" s="17" t="inlineStr">
        <is>
          <t>Fórmula de la tasa esperada</t>
        </is>
      </c>
    </row>
    <row r="5">
      <c r="A5" s="18" t="inlineStr">
        <is>
          <t>PPE — depreciación fiscal acelerada</t>
        </is>
      </c>
      <c r="B5" s="27">
        <f>IF('06_Diferencias_temp'!G5="","",'06_Diferencias_temp'!G5)</f>
        <v/>
      </c>
      <c r="C5" s="27">
        <f>D5</f>
        <v/>
      </c>
      <c r="D5" s="27">
        <f>IF(AND('02_Parametros'!$B$15&lt;&gt;"",'02_Parametros'!$B$16&lt;&gt;"",B5&lt;&gt;""),IF(B5&gt;='02_Parametros'!$B$16,'02_Parametros'!$B$15+('04_Impuesto_corriente'!$C$18-'02_Parametros'!$B$7),'04_Impuesto_corriente'!$C$18),'04_Impuesto_corriente'!$C$18)</f>
        <v/>
      </c>
      <c r="E5" s="27">
        <f>C5-D5</f>
        <v/>
      </c>
      <c r="F5" s="20">
        <f>'06_Diferencias_temp'!E5</f>
        <v/>
      </c>
      <c r="G5" s="20">
        <f>ABS(F5)*E5/100</f>
        <v/>
      </c>
      <c r="H5" s="18" t="inlineStr">
        <is>
          <t>Tasa esperada = tarifa del año de reversión + recargo = 25.0 % + 3.0 puntos × 0.0 % = 25.0 % (NIC 12.47, 49)</t>
        </is>
      </c>
    </row>
    <row r="6">
      <c r="A6" s="19" t="inlineStr">
        <is>
          <t>Provisión jubilación patronal</t>
        </is>
      </c>
      <c r="B6" s="28">
        <f>IF('06_Diferencias_temp'!G6="","",'06_Diferencias_temp'!G6)</f>
        <v/>
      </c>
      <c r="C6" s="28">
        <f>D6</f>
        <v/>
      </c>
      <c r="D6" s="28">
        <f>IF(AND('02_Parametros'!$B$15&lt;&gt;"",'02_Parametros'!$B$16&lt;&gt;"",B6&lt;&gt;""),IF(B6&gt;='02_Parametros'!$B$16,'02_Parametros'!$B$15+('04_Impuesto_corriente'!$C$18-'02_Parametros'!$B$7),'04_Impuesto_corriente'!$C$18),'04_Impuesto_corriente'!$C$18)</f>
        <v/>
      </c>
      <c r="E6" s="28">
        <f>C6-D6</f>
        <v/>
      </c>
      <c r="F6" s="21">
        <f>'06_Diferencias_temp'!E6</f>
        <v/>
      </c>
      <c r="G6" s="21">
        <f>ABS(F6)*E6/100</f>
        <v/>
      </c>
      <c r="H6" s="19" t="inlineStr">
        <is>
          <t>Tasa esperada = tarifa del año de reversión + recargo = 25.0 % + 3.0 puntos × 0.0 % = 25.0 % (NIC 12.47, 49)</t>
        </is>
      </c>
    </row>
    <row r="7">
      <c r="A7" s="18" t="inlineStr">
        <is>
          <t>Provisión por garantías</t>
        </is>
      </c>
      <c r="B7" s="27">
        <f>IF('06_Diferencias_temp'!G7="","",'06_Diferencias_temp'!G7)</f>
        <v/>
      </c>
      <c r="C7" s="27" t="n">
        <v>22</v>
      </c>
      <c r="D7" s="27">
        <f>IF(AND('02_Parametros'!$B$15&lt;&gt;"",'02_Parametros'!$B$16&lt;&gt;"",B7&lt;&gt;""),IF(B7&gt;='02_Parametros'!$B$16,'02_Parametros'!$B$15+('04_Impuesto_corriente'!$C$18-'02_Parametros'!$B$7),'04_Impuesto_corriente'!$C$18),'04_Impuesto_corriente'!$C$18)</f>
        <v/>
      </c>
      <c r="E7" s="27">
        <f>C7-D7</f>
        <v/>
      </c>
      <c r="F7" s="20">
        <f>'06_Diferencias_temp'!E7</f>
        <v/>
      </c>
      <c r="G7" s="20">
        <f>ABS(F7)*E7/100</f>
        <v/>
      </c>
      <c r="H7" s="18" t="inlineStr">
        <is>
          <t>Tasa esperada = tarifa del año de reversión + recargo = 25.0 % + 3.0 puntos × 0.0 % = 25.0 % (NIC 12.47, 49)</t>
        </is>
      </c>
    </row>
    <row r="8">
      <c r="A8" s="19" t="inlineStr">
        <is>
          <t>Deterioro de inventarios (VNR)</t>
        </is>
      </c>
      <c r="B8" s="28">
        <f>IF('06_Diferencias_temp'!G8="","",'06_Diferencias_temp'!G8)</f>
        <v/>
      </c>
      <c r="C8" s="28">
        <f>D8</f>
        <v/>
      </c>
      <c r="D8" s="28">
        <f>IF(AND('02_Parametros'!$B$15&lt;&gt;"",'02_Parametros'!$B$16&lt;&gt;"",B8&lt;&gt;""),IF(B8&gt;='02_Parametros'!$B$16,'02_Parametros'!$B$15+('04_Impuesto_corriente'!$C$18-'02_Parametros'!$B$7),'04_Impuesto_corriente'!$C$18),'04_Impuesto_corriente'!$C$18)</f>
        <v/>
      </c>
      <c r="E8" s="28">
        <f>C8-D8</f>
        <v/>
      </c>
      <c r="F8" s="21">
        <f>'06_Diferencias_temp'!E8</f>
        <v/>
      </c>
      <c r="G8" s="21">
        <f>ABS(F8)*E8/100</f>
        <v/>
      </c>
      <c r="H8" s="19" t="inlineStr">
        <is>
          <t>Tasa esperada = tarifa del año de reversión + recargo = 25.0 % + 3.0 puntos × 0.0 % = 25.0 % (NIC 12.47, 49)</t>
        </is>
      </c>
    </row>
    <row r="9">
      <c r="A9" s="18" t="inlineStr">
        <is>
          <t>Deterioro de cartera sobre el límite fiscal</t>
        </is>
      </c>
      <c r="B9" s="18">
        <f>IF('06_Diferencias_temp'!G9="","",'06_Diferencias_temp'!G9)</f>
        <v/>
      </c>
      <c r="C9" s="27">
        <f>D9</f>
        <v/>
      </c>
      <c r="D9" s="27">
        <f>IF(AND('02_Parametros'!$B$15&lt;&gt;"",'02_Parametros'!$B$16&lt;&gt;"",B9&lt;&gt;""),IF(B9&gt;='02_Parametros'!$B$16,'02_Parametros'!$B$15+('04_Impuesto_corriente'!$C$18-'02_Parametros'!$B$7),'04_Impuesto_corriente'!$C$18),'04_Impuesto_corriente'!$C$18)</f>
        <v/>
      </c>
      <c r="E9" s="27">
        <f>C9-D9</f>
        <v/>
      </c>
      <c r="F9" s="20">
        <f>'06_Diferencias_temp'!E9</f>
        <v/>
      </c>
      <c r="G9" s="20">
        <f>ABS(F9)*E9/100</f>
        <v/>
      </c>
      <c r="H9" s="18" t="inlineStr">
        <is>
          <t>Tasa esperada = tarifa del año de reversión + recargo = 25.0 % + 3.0 puntos × 0.0 % = 25.0 % (NIC 12.47, 49)</t>
        </is>
      </c>
    </row>
    <row r="10">
      <c r="A10" s="19" t="inlineStr">
        <is>
          <t>Revaluación de terrenos</t>
        </is>
      </c>
      <c r="B10" s="19">
        <f>IF('06_Diferencias_temp'!G10="","",'06_Diferencias_temp'!G10)</f>
        <v/>
      </c>
      <c r="C10" s="28">
        <f>D10</f>
        <v/>
      </c>
      <c r="D10" s="28">
        <f>IF(AND('02_Parametros'!$B$15&lt;&gt;"",'02_Parametros'!$B$16&lt;&gt;"",B10&lt;&gt;""),IF(B10&gt;='02_Parametros'!$B$16,'02_Parametros'!$B$15+('04_Impuesto_corriente'!$C$18-'02_Parametros'!$B$7),'04_Impuesto_corriente'!$C$18),'04_Impuesto_corriente'!$C$18)</f>
        <v/>
      </c>
      <c r="E10" s="28">
        <f>C10-D10</f>
        <v/>
      </c>
      <c r="F10" s="21">
        <f>'06_Diferencias_temp'!E10</f>
        <v/>
      </c>
      <c r="G10" s="21">
        <f>ABS(F10)*E10/100</f>
        <v/>
      </c>
      <c r="H10" s="19" t="inlineStr">
        <is>
          <t>Tasa esperada = tarifa del año de reversión + recargo = 25.0 % + 3.0 puntos × 0.0 % = 25.0 % (NIC 12.47, 49)</t>
        </is>
      </c>
    </row>
    <row r="11">
      <c r="A11" s="18" t="inlineStr">
        <is>
          <t>Activo por derecho de uso</t>
        </is>
      </c>
      <c r="B11" s="27">
        <f>IF('06_Diferencias_temp'!G11="","",'06_Diferencias_temp'!G11)</f>
        <v/>
      </c>
      <c r="C11" s="27">
        <f>D11</f>
        <v/>
      </c>
      <c r="D11" s="27">
        <f>IF(AND('02_Parametros'!$B$15&lt;&gt;"",'02_Parametros'!$B$16&lt;&gt;"",B11&lt;&gt;""),IF(B11&gt;='02_Parametros'!$B$16,'02_Parametros'!$B$15+('04_Impuesto_corriente'!$C$18-'02_Parametros'!$B$7),'04_Impuesto_corriente'!$C$18),'04_Impuesto_corriente'!$C$18)</f>
        <v/>
      </c>
      <c r="E11" s="27">
        <f>C11-D11</f>
        <v/>
      </c>
      <c r="F11" s="20">
        <f>'06_Diferencias_temp'!E11</f>
        <v/>
      </c>
      <c r="G11" s="20">
        <f>ABS(F11)*E11/100</f>
        <v/>
      </c>
      <c r="H11" s="18" t="inlineStr">
        <is>
          <t>Tasa esperada = tarifa del año de reversión + recargo = 25.0 % + 3.0 puntos × 0.0 % = 25.0 % (NIC 12.47, 49)</t>
        </is>
      </c>
    </row>
    <row r="12">
      <c r="A12" s="19" t="inlineStr">
        <is>
          <t>Pasivo por arrendamiento</t>
        </is>
      </c>
      <c r="B12" s="28">
        <f>IF('06_Diferencias_temp'!G12="","",'06_Diferencias_temp'!G12)</f>
        <v/>
      </c>
      <c r="C12" s="28">
        <f>D12</f>
        <v/>
      </c>
      <c r="D12" s="28">
        <f>IF(AND('02_Parametros'!$B$15&lt;&gt;"",'02_Parametros'!$B$16&lt;&gt;"",B12&lt;&gt;""),IF(B12&gt;='02_Parametros'!$B$16,'02_Parametros'!$B$15+('04_Impuesto_corriente'!$C$18-'02_Parametros'!$B$7),'04_Impuesto_corriente'!$C$18),'04_Impuesto_corriente'!$C$18)</f>
        <v/>
      </c>
      <c r="E12" s="28">
        <f>C12-D12</f>
        <v/>
      </c>
      <c r="F12" s="21">
        <f>'06_Diferencias_temp'!E12</f>
        <v/>
      </c>
      <c r="G12" s="21">
        <f>ABS(F12)*E12/100</f>
        <v/>
      </c>
      <c r="H12" s="19" t="inlineStr">
        <is>
          <t>Tasa esperada = tarifa del año de reversión + recargo = 25.0 % + 3.0 puntos × 0.0 % = 25.0 % (NIC 12.47, 49)</t>
        </is>
      </c>
    </row>
    <row r="13">
      <c r="A13" s="18" t="inlineStr">
        <is>
          <t>Provisión por litigio laboral</t>
        </is>
      </c>
      <c r="B13" s="18">
        <f>IF('06_Diferencias_temp'!G13="","",'06_Diferencias_temp'!G13)</f>
        <v/>
      </c>
      <c r="C13" s="27">
        <f>D13</f>
        <v/>
      </c>
      <c r="D13" s="27">
        <f>IF(AND('02_Parametros'!$B$15&lt;&gt;"",'02_Parametros'!$B$16&lt;&gt;"",B13&lt;&gt;""),IF(B13&gt;='02_Parametros'!$B$16,'02_Parametros'!$B$15+('04_Impuesto_corriente'!$C$18-'02_Parametros'!$B$7),'04_Impuesto_corriente'!$C$18),'04_Impuesto_corriente'!$C$18)</f>
        <v/>
      </c>
      <c r="E13" s="27">
        <f>C13-D13</f>
        <v/>
      </c>
      <c r="F13" s="20">
        <f>'06_Diferencias_temp'!E13</f>
        <v/>
      </c>
      <c r="G13" s="20">
        <f>ABS(F13)*E13/100</f>
        <v/>
      </c>
      <c r="H13" s="18" t="inlineStr">
        <is>
          <t>Tasa esperada = tarifa del año de reversión + recargo = 25.0 % + 3.0 puntos × 0.0 % = 25.0 % (NIC 12.47, 49)</t>
        </is>
      </c>
    </row>
    <row r="14">
      <c r="A14" s="29" t="inlineStr">
        <is>
          <t>TOTAL</t>
        </is>
      </c>
      <c r="B14" s="29" t="n"/>
      <c r="C14" s="29" t="n"/>
      <c r="D14" s="29" t="n"/>
      <c r="E14" s="29" t="n"/>
      <c r="F14" s="30" t="n"/>
      <c r="G14" s="30">
        <f>SUM(G5:G13)</f>
        <v/>
      </c>
      <c r="H14" s="29" t="inlineStr"/>
    </row>
    <row r="16">
      <c r="A16" s="22" t="inlineStr">
        <is>
          <t>ⓘ  Cómo se calcula esta hoja</t>
        </is>
      </c>
    </row>
    <row r="17">
      <c r="A17" s="23" t="inlineStr">
        <is>
          <t>Columna</t>
        </is>
      </c>
      <c r="B17" s="23" t="inlineStr">
        <is>
          <t>Fórmula (Excel)</t>
        </is>
      </c>
      <c r="C17" s="23" t="inlineStr">
        <is>
          <t>Cómo se calcula (sencillo)</t>
        </is>
      </c>
      <c r="D17" s="23" t="inlineStr">
        <is>
          <t>Ejemplo con números reales</t>
        </is>
      </c>
      <c r="E17" s="23" t="inlineStr">
        <is>
          <t>De dónde viene</t>
        </is>
      </c>
      <c r="F17" s="23" t="inlineStr">
        <is>
          <t>Norma</t>
        </is>
      </c>
    </row>
    <row r="18">
      <c r="A18" s="24" t="inlineStr">
        <is>
          <t>Año de reversión</t>
        </is>
      </c>
      <c r="B18" s="25" t="inlineStr">
        <is>
          <t>'=IF('06_Diferencias_temp'!G5="","",'06_Diferencias_temp'!G5)</t>
        </is>
      </c>
      <c r="C18" s="24" t="inlineStr">
        <is>
          <t>Trae el año en que se revierte la diferencia desde la hoja 06 (Diferencias temporarias); vacío si no se informó.</t>
        </is>
      </c>
      <c r="D18" s="24" t="inlineStr">
        <is>
          <t>Fila 1: IF(2028=""; ""; 2028) → 2.028,00</t>
        </is>
      </c>
      <c r="E18" s="24" t="inlineStr">
        <is>
          <t>hoja «Diferencias temporarias y diferido»</t>
        </is>
      </c>
      <c r="F18" s="24" t="inlineStr">
        <is>
          <t>—</t>
        </is>
      </c>
    </row>
    <row r="19">
      <c r="A19" s="24" t="inlineStr">
        <is>
          <t>Tasa usada por el cliente (%)</t>
        </is>
      </c>
      <c r="B19" s="25" t="inlineStr">
        <is>
          <t>'=D5</t>
        </is>
      </c>
      <c r="C19" s="24" t="inlineStr">
        <is>
          <t>Es la tasa que informó el cliente; si no la informó, repite la tasa esperada, de modo que la diferencia de tasa queda en cero.</t>
        </is>
      </c>
      <c r="D19" s="24" t="inlineStr">
        <is>
          <t>Fila 1: 25,00 → 25,00</t>
        </is>
      </c>
      <c r="E19" s="24" t="inlineStr">
        <is>
          <t>«Tasa esperada = aprobada + recargo (%)» (esta hoja)</t>
        </is>
      </c>
      <c r="F19" s="24" t="inlineStr">
        <is>
          <t>—</t>
        </is>
      </c>
    </row>
    <row r="20">
      <c r="A20" s="24" t="inlineStr">
        <is>
          <t>Tasa esperada = aprobada + recargo (%)</t>
        </is>
      </c>
      <c r="B20" s="25" t="inlineStr">
        <is>
          <t>'=IF(AND('02_Parametros'!$B$15&lt;&gt;"",'02_Parametros'!$B$16&lt;&gt;"",B5&lt;&gt;""),IF(B5&gt;='02_Parametros'!$B$16,'02_Parametros'!$B$15+('04_Impuesto_corriente'!$C$18-'02_Parametros'!$B$7),'04_Impuesto_corriente'!$C$18),'04_Impuesto_corriente'!$C$18)</t>
        </is>
      </c>
      <c r="C20" s="24" t="inlineStr">
        <is>
          <t>Si hay tasa futura aprobada, su año de inicio y año de reversión, y la reversión cae desde ese año, suma a la tasa futura el recargo (tarifa aplicable − tarifa general); en los demás casos usa la tarifa aplicable de la hoja 04 (Impuesto corriente).</t>
        </is>
      </c>
      <c r="D20" s="24" t="inlineStr">
        <is>
          <t>Fila 1: IF(AND((vacío)&lt;&gt;""; (vacío)&lt;&gt;""; 2.028,00&lt;&gt;""); IF(2.028,00&gt;=(vacío); (vacío)+(25,00-25,00); 25,00); 25,00) → 25,00</t>
        </is>
      </c>
      <c r="E20" s="24" t="inlineStr">
        <is>
          <t>«Año de reversión» (esta hoja), hoja «Parámetros», hoja «Impuesto corriente»</t>
        </is>
      </c>
      <c r="F20" s="24" t="inlineStr">
        <is>
          <t>—</t>
        </is>
      </c>
    </row>
    <row r="21">
      <c r="A21" s="24" t="inlineStr">
        <is>
          <t>Diferencia de tasa (p.p.)</t>
        </is>
      </c>
      <c r="B21" s="25" t="inlineStr">
        <is>
          <t>'=C5-D5</t>
        </is>
      </c>
      <c r="C21" s="24" t="inlineStr">
        <is>
          <t>Resta la tasa esperada a la tasa usada por el cliente, en puntos porcentuales.</t>
        </is>
      </c>
      <c r="D21" s="24" t="inlineStr">
        <is>
          <t>Fila 1: 25,00-25,00 → 0,00</t>
        </is>
      </c>
      <c r="E21" s="24" t="inlineStr">
        <is>
          <t>«Tasa usada por el cliente (%)» (esta hoja), «Tasa esperada = aprobada + recargo (%)» (esta hoja)</t>
        </is>
      </c>
      <c r="F21" s="24" t="inlineStr">
        <is>
          <t>—</t>
        </is>
      </c>
    </row>
    <row r="22">
      <c r="A22" s="24" t="inlineStr">
        <is>
          <t>Diferencia temporaria</t>
        </is>
      </c>
      <c r="B22" s="25" t="inlineStr">
        <is>
          <t>'='06_Diferencias_temp'!E5</t>
        </is>
      </c>
      <c r="C22" s="24" t="inlineStr">
        <is>
          <t>Trae la diferencia temporaria de la partida desde la hoja 06 (Diferencias temporarias).</t>
        </is>
      </c>
      <c r="D22" s="24" t="inlineStr">
        <is>
          <t>Fila 1: 80.000,00 → 80.000,00</t>
        </is>
      </c>
      <c r="E22" s="24" t="inlineStr">
        <is>
          <t>hoja «Diferencias temporarias y diferido»</t>
        </is>
      </c>
      <c r="F22" s="24" t="inlineStr">
        <is>
          <t>—</t>
        </is>
      </c>
    </row>
    <row r="23">
      <c r="A23" s="24" t="inlineStr">
        <is>
          <t>Efecto en el diferido</t>
        </is>
      </c>
      <c r="B23" s="25" t="inlineStr">
        <is>
          <t>'=ABS(F5)*E5/100</t>
        </is>
      </c>
      <c r="C23" s="24" t="inlineStr">
        <is>
          <t>Multiplica el valor absoluto de la diferencia temporaria por la diferencia de tasa: es el error en el diferido por usar una tasa distinta.</t>
        </is>
      </c>
      <c r="D23" s="24" t="inlineStr">
        <is>
          <t>Fila 1: ABS(80.000,00)*0,00/100 → 0,00</t>
        </is>
      </c>
      <c r="E23" s="24" t="inlineStr">
        <is>
          <t>«Diferencia temporaria» (esta hoja), «Diferencia de tasa (p.p.)» (esta hoja)</t>
        </is>
      </c>
      <c r="F23" s="24" t="inlineStr">
        <is>
          <t>—</t>
        </is>
      </c>
    </row>
  </sheetData>
  <mergeCells count="3">
    <mergeCell ref="A2:F2"/>
    <mergeCell ref="A16:F16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12" customWidth="1" min="3" max="3"/>
    <col width="12" customWidth="1" min="4" max="4"/>
    <col width="13" customWidth="1" min="5" max="5"/>
    <col width="22" customWidth="1" min="6" max="6"/>
    <col width="22" customWidth="1" min="7" max="7"/>
    <col width="37" customWidth="1" min="8" max="8"/>
  </cols>
  <sheetData>
    <row r="1">
      <c r="A1" s="3" t="inlineStr">
        <is>
          <t>Recuperabilidad del activo diferido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Partida</t>
        </is>
      </c>
      <c r="B4" s="17" t="inlineStr">
        <is>
          <t>Activo diferido bruto</t>
        </is>
      </c>
      <c r="C4" s="17" t="inlineStr">
        <is>
          <t>Permitido</t>
        </is>
      </c>
      <c r="D4" s="17" t="inlineStr">
        <is>
          <t>Probable</t>
        </is>
      </c>
      <c r="E4" s="17" t="inlineStr">
        <is>
          <t>Reconocible</t>
        </is>
      </c>
      <c r="F4" s="17" t="inlineStr">
        <is>
          <t>Registrado al cierre</t>
        </is>
      </c>
      <c r="G4" s="17" t="inlineStr">
        <is>
          <t>Registrado en exceso</t>
        </is>
      </c>
      <c r="H4" s="17" t="inlineStr">
        <is>
          <t>Conclusión</t>
        </is>
      </c>
    </row>
    <row r="5">
      <c r="A5" s="18" t="inlineStr">
        <is>
          <t>Provisión jubilación patronal</t>
        </is>
      </c>
      <c r="B5" s="20">
        <f>'06_Diferencias_temp'!J6</f>
        <v/>
      </c>
      <c r="C5" s="18">
        <f>'06_Diferencias_temp'!K6</f>
        <v/>
      </c>
      <c r="D5" s="18">
        <f>'06_Diferencias_temp'!L6</f>
        <v/>
      </c>
      <c r="E5" s="20">
        <f>'06_Diferencias_temp'!M6</f>
        <v/>
      </c>
      <c r="F5" s="20">
        <f>MAX('06_Diferencias_temp'!Q6,0)</f>
        <v/>
      </c>
      <c r="G5" s="20">
        <f>MAX(F5-E5,0)</f>
        <v/>
      </c>
      <c r="H5" s="18">
        <f>IF(C5="No","No admitido tributariamente",IF(D5="No","Sin probabilidad de ganancia fiscal","Reconocible"))</f>
        <v/>
      </c>
    </row>
    <row r="6">
      <c r="A6" s="19" t="inlineStr">
        <is>
          <t>Provisión por garantías</t>
        </is>
      </c>
      <c r="B6" s="21">
        <f>'06_Diferencias_temp'!J7</f>
        <v/>
      </c>
      <c r="C6" s="19">
        <f>'06_Diferencias_temp'!K7</f>
        <v/>
      </c>
      <c r="D6" s="19">
        <f>'06_Diferencias_temp'!L7</f>
        <v/>
      </c>
      <c r="E6" s="21">
        <f>'06_Diferencias_temp'!M7</f>
        <v/>
      </c>
      <c r="F6" s="21">
        <f>MAX('06_Diferencias_temp'!Q7,0)</f>
        <v/>
      </c>
      <c r="G6" s="21">
        <f>MAX(F6-E6,0)</f>
        <v/>
      </c>
      <c r="H6" s="19">
        <f>IF(C6="No","No admitido tributariamente",IF(D6="No","Sin probabilidad de ganancia fiscal","Reconocible"))</f>
        <v/>
      </c>
    </row>
    <row r="7">
      <c r="A7" s="18" t="inlineStr">
        <is>
          <t>Deterioro de inventarios (VNR)</t>
        </is>
      </c>
      <c r="B7" s="20">
        <f>'06_Diferencias_temp'!J8</f>
        <v/>
      </c>
      <c r="C7" s="18">
        <f>'06_Diferencias_temp'!K8</f>
        <v/>
      </c>
      <c r="D7" s="18">
        <f>'06_Diferencias_temp'!L8</f>
        <v/>
      </c>
      <c r="E7" s="20">
        <f>'06_Diferencias_temp'!M8</f>
        <v/>
      </c>
      <c r="F7" s="20">
        <f>MAX('06_Diferencias_temp'!Q8,0)</f>
        <v/>
      </c>
      <c r="G7" s="20">
        <f>MAX(F7-E7,0)</f>
        <v/>
      </c>
      <c r="H7" s="18">
        <f>IF(C7="No","No admitido tributariamente",IF(D7="No","Sin probabilidad de ganancia fiscal","Reconocible"))</f>
        <v/>
      </c>
    </row>
    <row r="8">
      <c r="A8" s="19" t="inlineStr">
        <is>
          <t>Deterioro de cartera sobre el límite fiscal</t>
        </is>
      </c>
      <c r="B8" s="21">
        <f>'06_Diferencias_temp'!J9</f>
        <v/>
      </c>
      <c r="C8" s="19">
        <f>'06_Diferencias_temp'!K9</f>
        <v/>
      </c>
      <c r="D8" s="19">
        <f>'06_Diferencias_temp'!L9</f>
        <v/>
      </c>
      <c r="E8" s="21">
        <f>'06_Diferencias_temp'!M9</f>
        <v/>
      </c>
      <c r="F8" s="21">
        <f>MAX('06_Diferencias_temp'!Q9,0)</f>
        <v/>
      </c>
      <c r="G8" s="21">
        <f>MAX(F8-E8,0)</f>
        <v/>
      </c>
      <c r="H8" s="19">
        <f>IF(C8="No","No admitido tributariamente",IF(D8="No","Sin probabilidad de ganancia fiscal","Reconocible"))</f>
        <v/>
      </c>
    </row>
    <row r="9">
      <c r="A9" s="18" t="inlineStr">
        <is>
          <t>Pasivo por arrendamiento</t>
        </is>
      </c>
      <c r="B9" s="20">
        <f>'06_Diferencias_temp'!J12</f>
        <v/>
      </c>
      <c r="C9" s="18">
        <f>'06_Diferencias_temp'!K12</f>
        <v/>
      </c>
      <c r="D9" s="18">
        <f>'06_Diferencias_temp'!L12</f>
        <v/>
      </c>
      <c r="E9" s="20">
        <f>'06_Diferencias_temp'!M12</f>
        <v/>
      </c>
      <c r="F9" s="20">
        <f>MAX('06_Diferencias_temp'!Q12,0)</f>
        <v/>
      </c>
      <c r="G9" s="20">
        <f>MAX(F9-E9,0)</f>
        <v/>
      </c>
      <c r="H9" s="18">
        <f>IF(C9="No","No admitido tributariamente",IF(D9="No","Sin probabilidad de ganancia fiscal","Reconocible"))</f>
        <v/>
      </c>
    </row>
    <row r="10">
      <c r="A10" s="19" t="inlineStr">
        <is>
          <t>Provisión por litigio laboral</t>
        </is>
      </c>
      <c r="B10" s="21">
        <f>'06_Diferencias_temp'!J13</f>
        <v/>
      </c>
      <c r="C10" s="19">
        <f>'06_Diferencias_temp'!K13</f>
        <v/>
      </c>
      <c r="D10" s="19">
        <f>'06_Diferencias_temp'!L13</f>
        <v/>
      </c>
      <c r="E10" s="21">
        <f>'06_Diferencias_temp'!M13</f>
        <v/>
      </c>
      <c r="F10" s="21">
        <f>MAX('06_Diferencias_temp'!Q13,0)</f>
        <v/>
      </c>
      <c r="G10" s="21">
        <f>MAX(F10-E10,0)</f>
        <v/>
      </c>
      <c r="H10" s="19">
        <f>IF(C10="No","No admitido tributariamente",IF(D10="No","Sin probabilidad de ganancia fiscal","Reconocible"))</f>
        <v/>
      </c>
    </row>
    <row r="11">
      <c r="A11" s="18" t="inlineStr">
        <is>
          <t>Pérdidas tributarias no utilizadas</t>
        </is>
      </c>
      <c r="B11" s="20">
        <f>SUM('05_Perdidas'!$K$5:$K$8)*'04_Impuesto_corriente'!$C$18/100</f>
        <v/>
      </c>
      <c r="C11" s="18">
        <f>'02_Parametros'!$B$17</f>
        <v/>
      </c>
      <c r="D11" s="18">
        <f>'02_Parametros'!$B$18</f>
        <v/>
      </c>
      <c r="E11" s="20">
        <f>SUM('05_Perdidas'!$L$5:$L$8)</f>
        <v/>
      </c>
      <c r="F11" s="20">
        <f>MAX('02_Parametros'!$B$26,0)</f>
        <v/>
      </c>
      <c r="G11" s="20">
        <f>MAX(F11-E11,0)</f>
        <v/>
      </c>
      <c r="H11" s="18">
        <f>IF(C11="No","No admitido tributariamente",IF(D11="No","Sin probabilidad de ganancia fiscal","Reconocible"))</f>
        <v/>
      </c>
    </row>
    <row r="12">
      <c r="A12" s="29" t="inlineStr">
        <is>
          <t>TOTAL</t>
        </is>
      </c>
      <c r="B12" s="30">
        <f>SUM(B5:B11)</f>
        <v/>
      </c>
      <c r="C12" s="29" t="inlineStr"/>
      <c r="D12" s="29" t="inlineStr"/>
      <c r="E12" s="30">
        <f>SUM(E5:E11)</f>
        <v/>
      </c>
      <c r="F12" s="30">
        <f>SUM(F5:F11)</f>
        <v/>
      </c>
      <c r="G12" s="30">
        <f>SUM(G5:G11)</f>
        <v/>
      </c>
      <c r="H12" s="29" t="inlineStr"/>
    </row>
    <row r="14">
      <c r="A14" s="22" t="inlineStr">
        <is>
          <t>ⓘ  Cómo se calcula esta hoja</t>
        </is>
      </c>
    </row>
    <row r="15">
      <c r="A15" s="23" t="inlineStr">
        <is>
          <t>Columna</t>
        </is>
      </c>
      <c r="B15" s="23" t="inlineStr">
        <is>
          <t>Fórmula (Excel)</t>
        </is>
      </c>
      <c r="C15" s="23" t="inlineStr">
        <is>
          <t>Cómo se calcula (sencillo)</t>
        </is>
      </c>
      <c r="D15" s="23" t="inlineStr">
        <is>
          <t>Ejemplo con números reales</t>
        </is>
      </c>
      <c r="E15" s="23" t="inlineStr">
        <is>
          <t>De dónde viene</t>
        </is>
      </c>
      <c r="F15" s="23" t="inlineStr">
        <is>
          <t>Norma</t>
        </is>
      </c>
    </row>
    <row r="16">
      <c r="A16" s="24" t="inlineStr">
        <is>
          <t>Activo diferido bruto</t>
        </is>
      </c>
      <c r="B16" s="25" t="inlineStr">
        <is>
          <t>'='06_Diferencias_temp'!J6</t>
        </is>
      </c>
      <c r="C16" s="24" t="inlineStr">
        <is>
          <t>Trae el activo diferido bruto de la partida desde la hoja 06; en la fila de pérdidas, multiplica lo arrastrable de la hoja 05 por la tarifa aplicable.</t>
        </is>
      </c>
      <c r="D16" s="24" t="inlineStr">
        <is>
          <t>Fila 1: 30.000,00 → 30.000,00</t>
        </is>
      </c>
      <c r="E16" s="24" t="inlineStr">
        <is>
          <t>hoja «Diferencias temporarias y diferido»</t>
        </is>
      </c>
      <c r="F16" s="24" t="inlineStr">
        <is>
          <t>—</t>
        </is>
      </c>
    </row>
    <row r="17">
      <c r="A17" s="24" t="inlineStr">
        <is>
          <t>Permitido</t>
        </is>
      </c>
      <c r="B17" s="25" t="inlineStr">
        <is>
          <t>'='06_Diferencias_temp'!K6</t>
        </is>
      </c>
      <c r="C17" s="24" t="inlineStr">
        <is>
          <t>Trae de la hoja 06 si la ley admite el diferido de la partida; en la fila de pérdidas, el parámetro de la hoja 02 (Parámetros).</t>
        </is>
      </c>
      <c r="D17" s="24" t="inlineStr">
        <is>
          <t>Fila 1: «Sí» → Sí</t>
        </is>
      </c>
      <c r="E17" s="24" t="inlineStr">
        <is>
          <t>hoja «Diferencias temporarias y diferido»</t>
        </is>
      </c>
      <c r="F17" s="24" t="inlineStr">
        <is>
          <t>—</t>
        </is>
      </c>
    </row>
    <row r="18">
      <c r="A18" s="24" t="inlineStr">
        <is>
          <t>Probable</t>
        </is>
      </c>
      <c r="B18" s="25" t="inlineStr">
        <is>
          <t>'='06_Diferencias_temp'!L6</t>
        </is>
      </c>
      <c r="C18" s="24" t="inlineStr">
        <is>
          <t>Trae de la hoja 06 si es probable recuperar el activo; en la fila de pérdidas, el parámetro de probable ganancia fiscal de la hoja 02.</t>
        </is>
      </c>
      <c r="D18" s="24" t="inlineStr">
        <is>
          <t>Fila 1: «Sí» → Sí</t>
        </is>
      </c>
      <c r="E18" s="24" t="inlineStr">
        <is>
          <t>hoja «Diferencias temporarias y diferido»</t>
        </is>
      </c>
      <c r="F18" s="24" t="inlineStr">
        <is>
          <t>—</t>
        </is>
      </c>
    </row>
    <row r="19">
      <c r="A19" s="24" t="inlineStr">
        <is>
          <t>Reconocible</t>
        </is>
      </c>
      <c r="B19" s="25" t="inlineStr">
        <is>
          <t>'='06_Diferencias_temp'!M6</t>
        </is>
      </c>
      <c r="C19" s="24" t="inlineStr">
        <is>
          <t>Trae el activo diferido reconocido de la hoja 06; en la fila de pérdidas, suma el activo diferido requerido de la hoja 05 (Pérdidas tributarias).</t>
        </is>
      </c>
      <c r="D19" s="24" t="inlineStr">
        <is>
          <t>Fila 1: 30.000,00 → 30.000,00</t>
        </is>
      </c>
      <c r="E19" s="24" t="inlineStr">
        <is>
          <t>hoja «Diferencias temporarias y diferido»</t>
        </is>
      </c>
      <c r="F19" s="24" t="inlineStr">
        <is>
          <t>—</t>
        </is>
      </c>
    </row>
    <row r="20">
      <c r="A20" s="24" t="inlineStr">
        <is>
          <t>Registrado al cierre</t>
        </is>
      </c>
      <c r="B20" s="25" t="inlineStr">
        <is>
          <t>'=MAX('06_Diferencias_temp'!Q6,0)</t>
        </is>
      </c>
      <c r="C20" s="24" t="inlineStr">
        <is>
          <t>Toma el saldo registrado al cierre de la hoja 06 (en pérdidas, el parámetro de la hoja 02) y lo deja en cero si es negativo, porque aquí solo cuenta el activo.</t>
        </is>
      </c>
      <c r="D20" s="24" t="inlineStr">
        <is>
          <t>Fila 1: MAX(30.000,00; 0) → 30.000,00</t>
        </is>
      </c>
      <c r="E20" s="24" t="inlineStr">
        <is>
          <t>hoja «Diferencias temporarias y diferido»</t>
        </is>
      </c>
      <c r="F20" s="24" t="inlineStr">
        <is>
          <t>—</t>
        </is>
      </c>
    </row>
    <row r="21">
      <c r="A21" s="24" t="inlineStr">
        <is>
          <t>Registrado en exceso</t>
        </is>
      </c>
      <c r="B21" s="25" t="inlineStr">
        <is>
          <t>'=MAX(F5-E5,0)</t>
        </is>
      </c>
      <c r="C21" s="24" t="inlineStr">
        <is>
          <t>Resta lo reconocible a lo registrado al cierre, sin bajar de cero: es el activo registrado que no se puede sostener.</t>
        </is>
      </c>
      <c r="D21" s="24" t="inlineStr">
        <is>
          <t>Fila 1: MAX(30.000,00-30.000,00; 0) → 0,00</t>
        </is>
      </c>
      <c r="E21" s="24" t="inlineStr">
        <is>
          <t>«Registrado al cierre» (esta hoja), «Reconocible» (esta hoja)</t>
        </is>
      </c>
      <c r="F21" s="24" t="inlineStr">
        <is>
          <t>—</t>
        </is>
      </c>
    </row>
    <row r="22">
      <c r="A22" s="24" t="inlineStr">
        <is>
          <t>Conclusión</t>
        </is>
      </c>
      <c r="B22" s="25" t="inlineStr">
        <is>
          <t>'=IF(C5="No","No admitido tributariamente",IF(D5="No","Sin probabilidad de ganancia fiscal","Reconocible"))</t>
        </is>
      </c>
      <c r="C22" s="24" t="inlineStr">
        <is>
          <t>Si la ley no lo admite, «No admitido tributariamente»; si no hay probable ganancia fiscal, «Sin probabilidad de ganancia fiscal»; en otro caso, «Reconocible».</t>
        </is>
      </c>
      <c r="D22" s="24" t="inlineStr">
        <is>
          <t>Fila 1: IF(«Sí»="No"; "No admitido tributariamente"; IF(«Sí»="No"; "Sin probabilidad de ganancia fiscal"; "Reconocible")) → Reconocible</t>
        </is>
      </c>
      <c r="E22" s="24" t="inlineStr">
        <is>
          <t>«Permitido» (esta hoja), «Probable» (esta hoja)</t>
        </is>
      </c>
      <c r="F22" s="24" t="inlineStr">
        <is>
          <t>—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21" customWidth="1" min="3" max="3"/>
    <col width="12" customWidth="1" min="4" max="4"/>
    <col width="24" customWidth="1" min="5" max="5"/>
    <col width="17" customWidth="1" min="6" max="6"/>
    <col width="22" customWidth="1" min="7" max="7"/>
    <col width="12" customWidth="1" min="8" max="8"/>
  </cols>
  <sheetData>
    <row r="1">
      <c r="A1" s="3" t="inlineStr">
        <is>
          <t>Movimiento: resultados y ORI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Concepto</t>
        </is>
      </c>
      <c r="B4" s="17" t="inlineStr">
        <is>
          <t>Registrado al inicio</t>
        </is>
      </c>
      <c r="C4" s="17" t="inlineStr">
        <is>
          <t>Requerido al cierre</t>
        </is>
      </c>
      <c r="D4" s="17" t="inlineStr">
        <is>
          <t>Movimiento</t>
        </is>
      </c>
      <c r="E4" s="17" t="inlineStr">
        <is>
          <t>A resultados (+ gasto)</t>
        </is>
      </c>
      <c r="F4" s="17" t="inlineStr">
        <is>
          <t>A ORI (+ cargo)</t>
        </is>
      </c>
      <c r="G4" s="17" t="inlineStr">
        <is>
          <t>Registrado al cierre</t>
        </is>
      </c>
      <c r="H4" s="17" t="inlineStr">
        <is>
          <t>Ajuste</t>
        </is>
      </c>
    </row>
    <row r="5">
      <c r="A5" s="18" t="inlineStr">
        <is>
          <t>Diferencias temporarias con efecto en resultados</t>
        </is>
      </c>
      <c r="B5" s="20">
        <f>SUMIF('06_Diferencias_temp'!$S$5:$S$13,"No",'06_Diferencias_temp'!$P$5:$P$13)</f>
        <v/>
      </c>
      <c r="C5" s="20">
        <f>SUMIF('06_Diferencias_temp'!$S$5:$S$13,"No",'06_Diferencias_temp'!$O$5:$O$13)</f>
        <v/>
      </c>
      <c r="D5" s="20">
        <f>C5-B5</f>
        <v/>
      </c>
      <c r="E5" s="20">
        <f>-D5</f>
        <v/>
      </c>
      <c r="F5" s="20">
        <f>0</f>
        <v/>
      </c>
      <c r="G5" s="20">
        <f>SUMIF('06_Diferencias_temp'!$S$5:$S$13,"No",'06_Diferencias_temp'!$Q$5:$Q$13)</f>
        <v/>
      </c>
      <c r="H5" s="20">
        <f>C5-G5</f>
        <v/>
      </c>
    </row>
    <row r="6">
      <c r="A6" s="19" t="inlineStr">
        <is>
          <t>Diferencias temporarias de partidas de ORI / patrimonio</t>
        </is>
      </c>
      <c r="B6" s="21">
        <f>SUMIF('06_Diferencias_temp'!$S$5:$S$13,"Sí",'06_Diferencias_temp'!$P$5:$P$13)</f>
        <v/>
      </c>
      <c r="C6" s="21">
        <f>SUMIF('06_Diferencias_temp'!$S$5:$S$13,"Sí",'06_Diferencias_temp'!$O$5:$O$13)</f>
        <v/>
      </c>
      <c r="D6" s="21">
        <f>C6-B6</f>
        <v/>
      </c>
      <c r="E6" s="21">
        <f>0</f>
        <v/>
      </c>
      <c r="F6" s="21">
        <f>-D6</f>
        <v/>
      </c>
      <c r="G6" s="21">
        <f>SUMIF('06_Diferencias_temp'!$S$5:$S$13,"Sí",'06_Diferencias_temp'!$Q$5:$Q$13)</f>
        <v/>
      </c>
      <c r="H6" s="21">
        <f>C6-G6</f>
        <v/>
      </c>
    </row>
    <row r="7">
      <c r="A7" s="18" t="inlineStr">
        <is>
          <t>Pérdidas tributarias no utilizadas</t>
        </is>
      </c>
      <c r="B7" s="20">
        <f>'02_Parametros'!$B$25</f>
        <v/>
      </c>
      <c r="C7" s="20">
        <f>SUM('05_Perdidas'!$L$5:$L$8)</f>
        <v/>
      </c>
      <c r="D7" s="20">
        <f>C7-B7</f>
        <v/>
      </c>
      <c r="E7" s="20">
        <f>-D7</f>
        <v/>
      </c>
      <c r="F7" s="20">
        <f>0</f>
        <v/>
      </c>
      <c r="G7" s="20">
        <f>'02_Parametros'!$B$26</f>
        <v/>
      </c>
      <c r="H7" s="20">
        <f>C7-G7</f>
        <v/>
      </c>
    </row>
    <row r="8">
      <c r="A8" s="29" t="inlineStr">
        <is>
          <t>TOTAL</t>
        </is>
      </c>
      <c r="B8" s="30">
        <f>SUM(B5:B7)</f>
        <v/>
      </c>
      <c r="C8" s="30">
        <f>SUM(C5:C7)</f>
        <v/>
      </c>
      <c r="D8" s="30">
        <f>SUM(D5:D7)</f>
        <v/>
      </c>
      <c r="E8" s="30">
        <f>SUM(E5:E7)</f>
        <v/>
      </c>
      <c r="F8" s="30">
        <f>SUM(F5:F7)</f>
        <v/>
      </c>
      <c r="G8" s="30">
        <f>SUM(G5:G7)</f>
        <v/>
      </c>
      <c r="H8" s="30">
        <f>SUM(H5:H7)</f>
        <v/>
      </c>
    </row>
    <row r="10">
      <c r="A10" s="22" t="inlineStr">
        <is>
          <t>ⓘ  Cómo se calcula esta hoja</t>
        </is>
      </c>
    </row>
    <row r="11">
      <c r="A11" s="23" t="inlineStr">
        <is>
          <t>Columna</t>
        </is>
      </c>
      <c r="B11" s="23" t="inlineStr">
        <is>
          <t>Fórmula (Excel)</t>
        </is>
      </c>
      <c r="C11" s="23" t="inlineStr">
        <is>
          <t>Cómo se calcula (sencillo)</t>
        </is>
      </c>
      <c r="D11" s="23" t="inlineStr">
        <is>
          <t>Ejemplo con números reales</t>
        </is>
      </c>
      <c r="E11" s="23" t="inlineStr">
        <is>
          <t>De dónde viene</t>
        </is>
      </c>
      <c r="F11" s="23" t="inlineStr">
        <is>
          <t>Norma</t>
        </is>
      </c>
    </row>
    <row r="12">
      <c r="A12" s="24" t="inlineStr">
        <is>
          <t>Registrado al inicio</t>
        </is>
      </c>
      <c r="B12" s="25" t="inlineStr">
        <is>
          <t>'=SUMIF('06_Diferencias_temp'!$S$5:$S$13,"No",'06_Diferencias_temp'!$P$5:$P$13)</t>
        </is>
      </c>
      <c r="C12" s="24" t="inlineStr">
        <is>
          <t>Suma el saldo registrado al inicio de la hoja 06 para las partidas sin ORI (primera fila) o con ORI (segunda); la fila de pérdidas toma el activo por pérdidas al inicio de la hoja 02.</t>
        </is>
      </c>
      <c r="D12" s="24" t="inlineStr">
        <is>
          <t>Fila 1: SUMIF([«ORI» de «Diferencias temporarias y diferido», 9 filas]; "No"; [«Registrado al inicio» de «Diferencias temporarias y diferido», 9 filas]) → 21.000,00</t>
        </is>
      </c>
      <c r="E12" s="24" t="inlineStr">
        <is>
          <t>hoja «Diferencias temporarias y diferido»</t>
        </is>
      </c>
      <c r="F12" s="24" t="inlineStr">
        <is>
          <t>—</t>
        </is>
      </c>
    </row>
    <row r="13">
      <c r="A13" s="24" t="inlineStr">
        <is>
          <t>Requerido al cierre</t>
        </is>
      </c>
      <c r="B13" s="25" t="inlineStr">
        <is>
          <t>'=SUMIF('06_Diferencias_temp'!$S$5:$S$13,"No",'06_Diferencias_temp'!$O$5:$O$13)</t>
        </is>
      </c>
      <c r="C13" s="24" t="inlineStr">
        <is>
          <t>Suma el diferido requerido de la hoja 06 para las partidas sin ORI o con ORI; la fila de pérdidas suma el activo diferido requerido de la hoja 05 (Pérdidas tributarias).</t>
        </is>
      </c>
      <c r="D13" s="24" t="inlineStr">
        <is>
          <t>Fila 1: SUMIF([«ORI» de «Diferencias temporarias y diferido», 9 filas]; "No"; [«Diferido requerido (+ activo)» de «Diferencias temporarias y diferido», 9 filas]) → 32.500,00</t>
        </is>
      </c>
      <c r="E13" s="24" t="inlineStr">
        <is>
          <t>hoja «Diferencias temporarias y diferido»</t>
        </is>
      </c>
      <c r="F13" s="24" t="inlineStr">
        <is>
          <t>—</t>
        </is>
      </c>
    </row>
    <row r="14">
      <c r="A14" s="24" t="inlineStr">
        <is>
          <t>Movimiento</t>
        </is>
      </c>
      <c r="B14" s="25" t="inlineStr">
        <is>
          <t>'=C5-B5</t>
        </is>
      </c>
      <c r="C14" s="24" t="inlineStr">
        <is>
          <t>Resta lo registrado al inicio a lo requerido al cierre: es el movimiento del diferido que corresponde al año.</t>
        </is>
      </c>
      <c r="D14" s="24" t="inlineStr">
        <is>
          <t>Fila 1: 32.500,00-21.000,00 → 11.500,00</t>
        </is>
      </c>
      <c r="E14" s="24" t="inlineStr">
        <is>
          <t>«Requerido al cierre» (esta hoja), «Registrado al inicio» (esta hoja)</t>
        </is>
      </c>
      <c r="F14" s="24" t="inlineStr">
        <is>
          <t>—</t>
        </is>
      </c>
    </row>
    <row r="15">
      <c r="A15" s="24" t="inlineStr">
        <is>
          <t>A resultados (+ gasto)</t>
        </is>
      </c>
      <c r="B15" s="25" t="inlineStr">
        <is>
          <t>'=-D5</t>
        </is>
      </c>
      <c r="C15" s="24" t="inlineStr">
        <is>
          <t>Lleva el movimiento a resultados con el signo cambiado en la fila sin ORI y en la de pérdidas; en la fila de ORI, cero.</t>
        </is>
      </c>
      <c r="D15" s="24" t="inlineStr">
        <is>
          <t>Fila 1: -11.500,00 → -11.500,00</t>
        </is>
      </c>
      <c r="E15" s="24" t="inlineStr">
        <is>
          <t>«Movimiento» (esta hoja)</t>
        </is>
      </c>
      <c r="F15" s="24" t="inlineStr">
        <is>
          <t>—</t>
        </is>
      </c>
    </row>
    <row r="16">
      <c r="A16" s="24" t="inlineStr">
        <is>
          <t>A ORI (+ cargo)</t>
        </is>
      </c>
      <c r="B16" s="25" t="inlineStr">
        <is>
          <t>'=0</t>
        </is>
      </c>
      <c r="C16" s="24" t="inlineStr">
        <is>
          <t>Lleva el movimiento al otro resultado integral con el signo cambiado solo en la fila de partidas de ORI; en las demás, cero.</t>
        </is>
      </c>
      <c r="D16" s="24" t="inlineStr">
        <is>
          <t>Fila 1: 0 → 0,00</t>
        </is>
      </c>
      <c r="E16" s="24" t="inlineStr">
        <is>
          <t>datos cargados del cliente</t>
        </is>
      </c>
      <c r="F16" s="24" t="inlineStr">
        <is>
          <t>—</t>
        </is>
      </c>
    </row>
    <row r="17">
      <c r="A17" s="24" t="inlineStr">
        <is>
          <t>Registrado al cierre</t>
        </is>
      </c>
      <c r="B17" s="25" t="inlineStr">
        <is>
          <t>'=SUMIF('06_Diferencias_temp'!$S$5:$S$13,"No",'06_Diferencias_temp'!$Q$5:$Q$13)</t>
        </is>
      </c>
      <c r="C17" s="24" t="inlineStr">
        <is>
          <t>Suma el saldo registrado al cierre de la hoja 06 para las partidas sin ORI o con ORI; la fila de pérdidas toma el activo por pérdidas al cierre de la hoja 02.</t>
        </is>
      </c>
      <c r="D17" s="24" t="inlineStr">
        <is>
          <t>Fila 1: SUMIF([«ORI» de «Diferencias temporarias y diferido», 9 filas]; "No"; [«Registrado al cierre» de «Diferencias temporarias y diferido», 9 filas]) → 36.300,00</t>
        </is>
      </c>
      <c r="E17" s="24" t="inlineStr">
        <is>
          <t>hoja «Diferencias temporarias y diferido»</t>
        </is>
      </c>
      <c r="F17" s="24" t="inlineStr">
        <is>
          <t>—</t>
        </is>
      </c>
    </row>
    <row r="18">
      <c r="A18" s="24" t="inlineStr">
        <is>
          <t>Ajuste</t>
        </is>
      </c>
      <c r="B18" s="25" t="inlineStr">
        <is>
          <t>'=C5-G5</t>
        </is>
      </c>
      <c r="C18" s="24" t="inlineStr">
        <is>
          <t>Resta lo registrado al cierre a lo requerido al cierre: es la corrección que necesita el saldo del diferido (+ más activo o menos pasivo).</t>
        </is>
      </c>
      <c r="D18" s="24" t="inlineStr">
        <is>
          <t>Fila 1: 32.500,00-36.300,00 → -3.800,00</t>
        </is>
      </c>
      <c r="E18" s="24" t="inlineStr">
        <is>
          <t>«Requerido al cierre» (esta hoja), «Registrado al cierre» (esta hoja)</t>
        </is>
      </c>
      <c r="F18" s="24" t="inlineStr">
        <is>
          <t>—</t>
        </is>
      </c>
    </row>
  </sheetData>
  <mergeCells count="3">
    <mergeCell ref="A2:F2"/>
    <mergeCell ref="A1:F1"/>
    <mergeCell ref="A10:F10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38" customWidth="1" min="3" max="3"/>
  </cols>
  <sheetData>
    <row r="1">
      <c r="A1" s="3" t="inlineStr">
        <is>
          <t>Compensación y presentación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  <c r="C4" s="17" t="inlineStr">
        <is>
          <t>Referencia</t>
        </is>
      </c>
    </row>
    <row r="5">
      <c r="A5" s="18" t="inlineStr">
        <is>
          <t>Activo diferido bruto registrado</t>
        </is>
      </c>
      <c r="B5" s="27">
        <f>SUMIF('06_Diferencias_temp'!$Q$5:$Q$13,"&gt;0")+MAX('02_Parametros'!$B$26,0)</f>
        <v/>
      </c>
      <c r="C5" s="18" t="inlineStr">
        <is>
          <t>06_Diferencias_temp Q &gt; 0 + pérdidas</t>
        </is>
      </c>
    </row>
    <row r="6">
      <c r="A6" s="19" t="inlineStr">
        <is>
          <t>Pasivo diferido bruto registrado</t>
        </is>
      </c>
      <c r="B6" s="28">
        <f>-SUMIF('06_Diferencias_temp'!$Q$5:$Q$13,"&lt;0")</f>
        <v/>
      </c>
      <c r="C6" s="19" t="inlineStr">
        <is>
          <t>06_Diferencias_temp Q &lt; 0</t>
        </is>
      </c>
    </row>
    <row r="7">
      <c r="A7" s="18" t="inlineStr">
        <is>
          <t>Derecho legal de compensar</t>
        </is>
      </c>
      <c r="B7" s="18">
        <f>'02_Parametros'!$B$27</f>
        <v/>
      </c>
      <c r="C7" s="18" t="inlineStr">
        <is>
          <t>NIC 12.71, 74</t>
        </is>
      </c>
    </row>
    <row r="8">
      <c r="A8" s="19" t="inlineStr">
        <is>
          <t>Activo diferido a presentar (saldos registrados)</t>
        </is>
      </c>
      <c r="B8" s="28">
        <f>IF(B7="Sí",MAX(B5-B6,0),B5)</f>
        <v/>
      </c>
      <c r="C8" s="19" t="inlineStr">
        <is>
          <t>Neto si hay derecho</t>
        </is>
      </c>
    </row>
    <row r="9">
      <c r="A9" s="18" t="inlineStr">
        <is>
          <t>Pasivo diferido a presentar (saldos registrados)</t>
        </is>
      </c>
      <c r="B9" s="27">
        <f>IF(B7="Sí",MAX(B6-B5,0),B6)</f>
        <v/>
      </c>
      <c r="C9" s="18" t="inlineStr">
        <is>
          <t>Neto si hay derecho</t>
        </is>
      </c>
    </row>
    <row r="10">
      <c r="A10" s="19" t="inlineStr">
        <is>
          <t>Activo diferido presentado</t>
        </is>
      </c>
      <c r="B10" s="28">
        <f>IF('02_Parametros'!$B$28&lt;&gt;"",'02_Parametros'!$B$28,"")</f>
        <v/>
      </c>
      <c r="C10" s="19" t="inlineStr">
        <is>
          <t>Parámetros</t>
        </is>
      </c>
    </row>
    <row r="11">
      <c r="A11" s="18" t="inlineStr">
        <is>
          <t>Pasivo diferido presentado</t>
        </is>
      </c>
      <c r="B11" s="27">
        <f>IF('02_Parametros'!$B$29&lt;&gt;"",'02_Parametros'!$B$29,"")</f>
        <v/>
      </c>
      <c r="C11" s="18" t="inlineStr">
        <is>
          <t>Parámetros</t>
        </is>
      </c>
    </row>
    <row r="12">
      <c r="A12" s="19" t="inlineStr">
        <is>
          <t>Diferencia de presentación del activo</t>
        </is>
      </c>
      <c r="B12" s="28">
        <f>IF(B10="","",B10-B8)</f>
        <v/>
      </c>
      <c r="C12" s="19" t="inlineStr">
        <is>
          <t>Compensación indebida o faltante</t>
        </is>
      </c>
    </row>
    <row r="13">
      <c r="A13" s="18" t="inlineStr">
        <is>
          <t>Diferencia de presentación del pasivo</t>
        </is>
      </c>
      <c r="B13" s="27">
        <f>IF(B11="","",B11-B9)</f>
        <v/>
      </c>
      <c r="C13" s="18" t="inlineStr"/>
    </row>
    <row r="14">
      <c r="A14" s="19" t="inlineStr">
        <is>
          <t>Activo diferido requerido (auditado, bruto)</t>
        </is>
      </c>
      <c r="B14" s="28">
        <f>SUM('06_Diferencias_temp'!$M$5:$M$13)+SUM('05_Perdidas'!$L$5:$L$8)</f>
        <v/>
      </c>
      <c r="C14" s="19" t="inlineStr">
        <is>
          <t>06 + 05</t>
        </is>
      </c>
    </row>
    <row r="15">
      <c r="A15" s="18" t="inlineStr">
        <is>
          <t>Pasivo diferido requerido (auditado, bruto)</t>
        </is>
      </c>
      <c r="B15" s="27">
        <f>SUM('06_Diferencias_temp'!$I$5:$I$13)</f>
        <v/>
      </c>
      <c r="C15" s="18" t="inlineStr">
        <is>
          <t>06</t>
        </is>
      </c>
    </row>
    <row r="16">
      <c r="A16" s="19" t="inlineStr">
        <is>
          <t>Activo diferido a presentar (auditado)</t>
        </is>
      </c>
      <c r="B16" s="28">
        <f>IF(B7="Sí",MAX(B14-B15,0),B14)</f>
        <v/>
      </c>
      <c r="C16" s="19" t="inlineStr">
        <is>
          <t>NIC 12.71, 74</t>
        </is>
      </c>
    </row>
    <row r="17">
      <c r="A17" s="18" t="inlineStr">
        <is>
          <t>Pasivo diferido a presentar (auditado)</t>
        </is>
      </c>
      <c r="B17" s="27">
        <f>IF(B7="Sí",MAX(B15-B14,0),B15)</f>
        <v/>
      </c>
      <c r="C17" s="18" t="inlineStr">
        <is>
          <t>NIC 12.71, 74</t>
        </is>
      </c>
    </row>
    <row r="19">
      <c r="A19" s="22" t="inlineStr">
        <is>
          <t>ⓘ  Cómo se calcula esta hoja</t>
        </is>
      </c>
    </row>
    <row r="20">
      <c r="A20" s="23" t="inlineStr">
        <is>
          <t>Columna</t>
        </is>
      </c>
      <c r="B20" s="23" t="inlineStr">
        <is>
          <t>Fórmula (Excel)</t>
        </is>
      </c>
      <c r="C20" s="23" t="inlineStr">
        <is>
          <t>Cómo se calcula (sencillo)</t>
        </is>
      </c>
      <c r="D20" s="23" t="inlineStr">
        <is>
          <t>Ejemplo con números reales</t>
        </is>
      </c>
      <c r="E20" s="23" t="inlineStr">
        <is>
          <t>De dónde viene</t>
        </is>
      </c>
      <c r="F20" s="23" t="inlineStr">
        <is>
          <t>Norma</t>
        </is>
      </c>
    </row>
    <row r="21">
      <c r="A21" s="24" t="inlineStr">
        <is>
          <t>Importe</t>
        </is>
      </c>
      <c r="B21" s="25" t="inlineStr">
        <is>
          <t>'=SUMIF('06_Diferencias_temp'!$Q$5:$Q$13,"&gt;0")+MAX('02_Parametros'!$B$26,0)</t>
        </is>
      </c>
      <c r="C21" s="24" t="inlineStr">
        <is>
          <t>Suma los saldos registrados de la hoja 06 (activos, más el activo por pérdidas de la hoja 02, y pasivos por separado) y los requeridos de las hojas 06 y 05; con derecho legal de compensar presenta solo el neto, y compara lo presentado según la hoja 02 con lo que corresponde.</t>
        </is>
      </c>
      <c r="D21" s="24" t="inlineStr">
        <is>
          <t>Fila 1: SUMIF([«Registrado al cierre» de «Diferencias temporarias y diferido», 9 filas]; "&gt;0")+MAX(20.000,00; 0) → 76.300,00</t>
        </is>
      </c>
      <c r="E21" s="24" t="inlineStr">
        <is>
          <t>hoja «Diferencias temporarias y diferido», hoja «Parámetros»</t>
        </is>
      </c>
      <c r="F21" s="24" t="inlineStr">
        <is>
          <t>—</t>
        </is>
      </c>
    </row>
  </sheetData>
  <mergeCells count="3">
    <mergeCell ref="A19:F19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4" customWidth="1" min="3" max="3"/>
  </cols>
  <sheetData>
    <row r="1">
      <c r="A1" s="3" t="inlineStr">
        <is>
          <t>Tasa efectiva (NIC 12.81 c)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  <c r="C4" s="17" t="inlineStr">
        <is>
          <t>% del resultado</t>
        </is>
      </c>
    </row>
    <row r="5">
      <c r="A5" s="18" t="inlineStr">
        <is>
          <t>Resultado contable antes del impuesto (utilidad − participación)</t>
        </is>
      </c>
      <c r="B5" s="20">
        <f>'04_Impuesto_corriente'!C5+'04_Impuesto_corriente'!C6</f>
        <v/>
      </c>
      <c r="C5" s="34" t="n"/>
    </row>
    <row r="6">
      <c r="A6" s="19" t="inlineStr">
        <is>
          <t>Impuesto teórico = resultado × tasa aplicable</t>
        </is>
      </c>
      <c r="B6" s="21">
        <f>B5*'04_Impuesto_corriente'!$C$18/100</f>
        <v/>
      </c>
      <c r="C6" s="35">
        <f>IF(OR(B6="",$B$5=0),"",B6/$B$5)</f>
        <v/>
      </c>
    </row>
    <row r="7">
      <c r="A7" s="18" t="inlineStr">
        <is>
          <t>Efecto de gastos no deducibles y atribuibles a exentos</t>
        </is>
      </c>
      <c r="B7" s="20">
        <f>('04_Impuesto_corriente'!C8+'04_Impuesto_corriente'!C9+'04_Impuesto_corriente'!C10)*'04_Impuesto_corriente'!$C$18/100</f>
        <v/>
      </c>
      <c r="C7" s="34">
        <f>IF(OR(B7="",$B$5=0),"",B7/$B$5)</f>
        <v/>
      </c>
    </row>
    <row r="8">
      <c r="A8" s="19" t="inlineStr">
        <is>
          <t>Efecto de ingresos exentos</t>
        </is>
      </c>
      <c r="B8" s="21">
        <f>'04_Impuesto_corriente'!C7*'04_Impuesto_corriente'!$C$18/100</f>
        <v/>
      </c>
      <c r="C8" s="35">
        <f>IF(OR(B8="",$B$5=0),"",B8/$B$5)</f>
        <v/>
      </c>
    </row>
    <row r="9">
      <c r="A9" s="18" t="inlineStr">
        <is>
          <t>Efecto de deducciones adicionales</t>
        </is>
      </c>
      <c r="B9" s="20">
        <f>'04_Impuesto_corriente'!C11*'04_Impuesto_corriente'!$C$18/100</f>
        <v/>
      </c>
      <c r="C9" s="34">
        <f>IF(OR(B9="",$B$5=0),"",B9/$B$5)</f>
        <v/>
      </c>
    </row>
    <row r="10">
      <c r="A10" s="19" t="inlineStr">
        <is>
          <t>Efecto de la amortización de pérdidas</t>
        </is>
      </c>
      <c r="B10" s="21">
        <f>'04_Impuesto_corriente'!C16*'04_Impuesto_corriente'!$C$18/100</f>
        <v/>
      </c>
      <c r="C10" s="35">
        <f>IF(OR(B10="",$B$5=0),"",B10/$B$5)</f>
        <v/>
      </c>
    </row>
    <row r="11">
      <c r="A11" s="18" t="inlineStr">
        <is>
          <t>Efecto de otras partidas de conciliación</t>
        </is>
      </c>
      <c r="B11" s="20">
        <f>'04_Impuesto_corriente'!C12*'04_Impuesto_corriente'!$C$18/100</f>
        <v/>
      </c>
      <c r="C11" s="34">
        <f>IF(OR(B11="",$B$5=0),"",B11/$B$5)</f>
        <v/>
      </c>
    </row>
    <row r="12">
      <c r="A12" s="19" t="inlineStr">
        <is>
          <t>Efecto de base imponible negativa (sin impuesto causado)</t>
        </is>
      </c>
      <c r="B12" s="21">
        <f>'04_Impuesto_corriente'!C19-SUM(B6:B11)</f>
        <v/>
      </c>
      <c r="C12" s="35">
        <f>IF(OR(B12="",$B$5=0),"",B12/$B$5)</f>
        <v/>
      </c>
    </row>
    <row r="13">
      <c r="A13" s="18" t="inlineStr">
        <is>
          <t>Impuesto corriente recalculado</t>
        </is>
      </c>
      <c r="B13" s="20">
        <f>SUM(B6:B12)</f>
        <v/>
      </c>
      <c r="C13" s="34">
        <f>IF(OR(B13="",$B$5=0),"",B13/$B$5)</f>
        <v/>
      </c>
    </row>
    <row r="14">
      <c r="A14" s="19" t="inlineStr">
        <is>
          <t>Gasto (ingreso) por impuesto diferido requerido</t>
        </is>
      </c>
      <c r="B14" s="21">
        <f>'09_Movimiento'!E8</f>
        <v/>
      </c>
      <c r="C14" s="35">
        <f>IF(OR(B14="",$B$5=0),"",B14/$B$5)</f>
        <v/>
      </c>
    </row>
    <row r="15">
      <c r="A15" s="18" t="inlineStr">
        <is>
          <t>Gasto total por impuesto requerido</t>
        </is>
      </c>
      <c r="B15" s="20">
        <f>B13+B14</f>
        <v/>
      </c>
      <c r="C15" s="34">
        <f>IF(OR(B15="",$B$5=0),"",B15/$B$5)</f>
        <v/>
      </c>
    </row>
    <row r="16">
      <c r="A16" s="19" t="inlineStr">
        <is>
          <t>Gasto total por impuesto registrado</t>
        </is>
      </c>
      <c r="B16" s="21">
        <f>'04_Impuesto_corriente'!B24+IF('02_Parametros'!$B$24="",'12_Ajustes'!B22,'02_Parametros'!$B$24)</f>
        <v/>
      </c>
      <c r="C16" s="35">
        <f>IF(OR(B16="",$B$5=0),"",B16/$B$5)</f>
        <v/>
      </c>
    </row>
    <row r="17">
      <c r="A17" s="18" t="inlineStr">
        <is>
          <t>Gasto registrado no explicado</t>
        </is>
      </c>
      <c r="B17" s="20">
        <f>B16-B15</f>
        <v/>
      </c>
      <c r="C17" s="34">
        <f>IF(OR(B17="",$B$5=0),"",B17/$B$5)</f>
        <v/>
      </c>
    </row>
    <row r="18">
      <c r="A18" s="19" t="inlineStr">
        <is>
          <t>Tasa efectiva requerida</t>
        </is>
      </c>
      <c r="B18" s="21" t="n"/>
      <c r="C18" s="35">
        <f>IF($B$5=0,"",B15/$B$5)</f>
        <v/>
      </c>
    </row>
    <row r="19">
      <c r="A19" s="18" t="inlineStr">
        <is>
          <t>Tasa efectiva registrada</t>
        </is>
      </c>
      <c r="B19" s="20" t="n"/>
      <c r="C19" s="34">
        <f>IF($B$5=0,"",B16/$B$5)</f>
        <v/>
      </c>
    </row>
    <row r="20">
      <c r="A20" s="19" t="inlineStr">
        <is>
          <t>Tasa aplicable</t>
        </is>
      </c>
      <c r="B20" s="21" t="n"/>
      <c r="C20" s="35">
        <f>'04_Impuesto_corriente'!$C$18/100</f>
        <v/>
      </c>
    </row>
    <row r="22">
      <c r="A22" s="22" t="inlineStr">
        <is>
          <t>ⓘ  Cómo se calcula esta hoja</t>
        </is>
      </c>
    </row>
    <row r="23">
      <c r="A23" s="23" t="inlineStr">
        <is>
          <t>Columna</t>
        </is>
      </c>
      <c r="B23" s="23" t="inlineStr">
        <is>
          <t>Fórmula (Excel)</t>
        </is>
      </c>
      <c r="C23" s="23" t="inlineStr">
        <is>
          <t>Cómo se calcula (sencillo)</t>
        </is>
      </c>
      <c r="D23" s="23" t="inlineStr">
        <is>
          <t>Ejemplo con números reales</t>
        </is>
      </c>
      <c r="E23" s="23" t="inlineStr">
        <is>
          <t>De dónde viene</t>
        </is>
      </c>
      <c r="F23" s="23" t="inlineStr">
        <is>
          <t>Norma</t>
        </is>
      </c>
    </row>
    <row r="24">
      <c r="A24" s="24" t="inlineStr">
        <is>
          <t>Importe</t>
        </is>
      </c>
      <c r="B24" s="25" t="inlineStr">
        <is>
          <t>'='04_Impuesto_corriente'!C5+'04_Impuesto_corriente'!C6</t>
        </is>
      </c>
      <c r="C24" s="24" t="inlineStr">
        <is>
          <t>Parte del resultado antes del impuesto (hoja 04) por la tarifa aplicable, suma el efecto de cada partida de conciliación de la hoja 04 × tarifa hasta llegar al impuesto corriente recalculado, añade el diferido de la hoja 09 y lo compara con el gasto registrado.</t>
        </is>
      </c>
      <c r="D24" s="24" t="inlineStr">
        <is>
          <t>Fila 1: 1.000.000,00+-150.000,00 → 850.000,00</t>
        </is>
      </c>
      <c r="E24" s="24" t="inlineStr">
        <is>
          <t>hoja «Impuesto corriente»</t>
        </is>
      </c>
      <c r="F24" s="24" t="inlineStr">
        <is>
          <t>—</t>
        </is>
      </c>
    </row>
    <row r="25">
      <c r="A25" s="24" t="inlineStr">
        <is>
          <t>% del resultado</t>
        </is>
      </c>
      <c r="B25" s="25" t="inlineStr">
        <is>
          <t>'=IF(OR(B6="",$B$5=0),"",B6/$B$5)</t>
        </is>
      </c>
      <c r="C25" s="24" t="inlineStr">
        <is>
          <t>Divide cada importe para el resultado contable antes del impuesto; las tres últimas filas muestran la tasa efectiva requerida, la registrada y la tarifa aplicable.</t>
        </is>
      </c>
      <c r="D25" s="24" t="inlineStr">
        <is>
          <t>Fila 2: IF(OR(212.500,00=""; 850.000,00=0); ""; 212.500,00/850.000,00) → 25,00 %</t>
        </is>
      </c>
      <c r="E25" s="24" t="inlineStr">
        <is>
          <t>«Importe» (esta hoja)</t>
        </is>
      </c>
      <c r="F25" s="24" t="inlineStr">
        <is>
          <t>—</t>
        </is>
      </c>
    </row>
  </sheetData>
  <mergeCells count="3">
    <mergeCell ref="A2:F2"/>
    <mergeCell ref="A22:F2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53" customWidth="1" min="3" max="3"/>
  </cols>
  <sheetData>
    <row r="1">
      <c r="A1" s="3" t="inlineStr">
        <is>
          <t>Ajustes propuestos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  <c r="C4" s="17" t="inlineStr">
        <is>
          <t>Referencia</t>
        </is>
      </c>
    </row>
    <row r="5">
      <c r="A5" s="18" t="inlineStr">
        <is>
          <t>Impuesto corriente recalculado</t>
        </is>
      </c>
      <c r="B5" s="20">
        <f>'04_Impuesto_corriente'!C19</f>
        <v/>
      </c>
      <c r="C5" s="18" t="inlineStr">
        <is>
          <t>04_Impuesto_corriente</t>
        </is>
      </c>
    </row>
    <row r="6">
      <c r="A6" s="19" t="inlineStr">
        <is>
          <t>Impuesto corriente registrado</t>
        </is>
      </c>
      <c r="B6" s="21">
        <f>'04_Impuesto_corriente'!B24</f>
        <v/>
      </c>
      <c r="C6" s="19" t="inlineStr">
        <is>
          <t>04 (vacío: el de la conciliación)</t>
        </is>
      </c>
    </row>
    <row r="7">
      <c r="A7" s="18" t="inlineStr">
        <is>
          <t>Ajuste al impuesto corriente (+ más gasto y pasivo)</t>
        </is>
      </c>
      <c r="B7" s="20">
        <f>B5-B6</f>
        <v/>
      </c>
      <c r="C7" s="18" t="inlineStr">
        <is>
          <t>NIC 12.12–14, 46</t>
        </is>
      </c>
    </row>
    <row r="8">
      <c r="A8" s="19" t="inlineStr">
        <is>
          <t>Impuesto por pagar recalculado (− saldo a favor)</t>
        </is>
      </c>
      <c r="B8" s="21">
        <f>'04_Impuesto_corriente'!C23</f>
        <v/>
      </c>
      <c r="C8" s="19" t="inlineStr">
        <is>
          <t>04_Impuesto_corriente</t>
        </is>
      </c>
    </row>
    <row r="9">
      <c r="A9" s="18" t="inlineStr">
        <is>
          <t>Impuesto por pagar registrado</t>
        </is>
      </c>
      <c r="B9" s="20">
        <f>'04_Impuesto_corriente'!B25</f>
        <v/>
      </c>
      <c r="C9" s="18" t="inlineStr">
        <is>
          <t>04 (vacío: el de la conciliación)</t>
        </is>
      </c>
    </row>
    <row r="10">
      <c r="A10" s="19" t="inlineStr">
        <is>
          <t>Ajuste al saldo de impuesto corriente</t>
        </is>
      </c>
      <c r="B10" s="21">
        <f>B8-B9</f>
        <v/>
      </c>
      <c r="C10" s="19" t="inlineStr"/>
    </row>
    <row r="11">
      <c r="A11" s="18" t="inlineStr">
        <is>
          <t>Amortización de pérdidas en exceso</t>
        </is>
      </c>
      <c r="B11" s="20">
        <f>MAX('04_Impuesto_corriente'!C16-SUMIF('03_Conciliacion'!$C$5:$C$14,"perdidas",'03_Conciliacion'!$G$5:$G$14),0)</f>
        <v/>
      </c>
      <c r="C11" s="18" t="inlineStr">
        <is>
          <t>LRTI art. 11</t>
        </is>
      </c>
    </row>
    <row r="12">
      <c r="A12" s="19" t="inlineStr">
        <is>
          <t>Pérdidas vencidas sin amortizar</t>
        </is>
      </c>
      <c r="B12" s="21">
        <f>SUM('05_Perdidas'!$H$5:$H$8)</f>
        <v/>
      </c>
      <c r="C12" s="19" t="inlineStr">
        <is>
          <t>05_Perdidas</t>
        </is>
      </c>
    </row>
    <row r="13">
      <c r="A13" s="18" t="inlineStr">
        <is>
          <t>Activo por impuesto diferido requerido</t>
        </is>
      </c>
      <c r="B13" s="20">
        <f>SUM('06_Diferencias_temp'!$M$5:$M$13)+SUM('05_Perdidas'!$L$5:$L$8)</f>
        <v/>
      </c>
      <c r="C13" s="18" t="inlineStr">
        <is>
          <t>NIC 12.24, 34–36, 56</t>
        </is>
      </c>
    </row>
    <row r="14">
      <c r="A14" s="19" t="inlineStr">
        <is>
          <t>Pasivo por impuesto diferido requerido</t>
        </is>
      </c>
      <c r="B14" s="21">
        <f>SUM('06_Diferencias_temp'!$I$5:$I$13)</f>
        <v/>
      </c>
      <c r="C14" s="19" t="inlineStr">
        <is>
          <t>NIC 12.15</t>
        </is>
      </c>
    </row>
    <row r="15">
      <c r="A15" s="18" t="inlineStr">
        <is>
          <t>Activo diferido no reconocido (revelar)</t>
        </is>
      </c>
      <c r="B15" s="20">
        <f>SUM('06_Diferencias_temp'!$N$5:$N$13)+SUM('05_Perdidas'!$M$5:$M$8)</f>
        <v/>
      </c>
      <c r="C15" s="18" t="inlineStr">
        <is>
          <t>NIC 12.81 e)</t>
        </is>
      </c>
    </row>
    <row r="16">
      <c r="A16" s="19" t="inlineStr">
        <is>
          <t>Impuesto diferido neto requerido (+ activo)</t>
        </is>
      </c>
      <c r="B16" s="21">
        <f>SUM('06_Diferencias_temp'!$O$5:$O$13)+SUM('05_Perdidas'!$L$5:$L$8)</f>
        <v/>
      </c>
      <c r="C16" s="19" t="inlineStr"/>
    </row>
    <row r="17">
      <c r="A17" s="18" t="inlineStr">
        <is>
          <t>Impuesto diferido neto registrado (+ activo)</t>
        </is>
      </c>
      <c r="B17" s="20">
        <f>SUM('06_Diferencias_temp'!$Q$5:$Q$13)+'02_Parametros'!$B$26</f>
        <v/>
      </c>
      <c r="C17" s="18" t="inlineStr">
        <is>
          <t>06 + parámetros</t>
        </is>
      </c>
    </row>
    <row r="18">
      <c r="A18" s="19" t="inlineStr">
        <is>
          <t>Ajuste al impuesto diferido neto</t>
        </is>
      </c>
      <c r="B18" s="21">
        <f>B16-B17</f>
        <v/>
      </c>
      <c r="C18" s="19" t="inlineStr">
        <is>
          <t>NIC 12.5, 15, 24</t>
        </is>
      </c>
    </row>
    <row r="19">
      <c r="A19" s="18" t="inlineStr">
        <is>
          <t>Ajuste al diferido: parte contra resultados</t>
        </is>
      </c>
      <c r="B19" s="20">
        <f>'09_Movimiento'!H5+'09_Movimiento'!H7</f>
        <v/>
      </c>
      <c r="C19" s="18" t="inlineStr">
        <is>
          <t>09_Movimiento</t>
        </is>
      </c>
    </row>
    <row r="20">
      <c r="A20" s="19" t="inlineStr">
        <is>
          <t>Ajuste al diferido: parte contra ORI</t>
        </is>
      </c>
      <c r="B20" s="21">
        <f>'09_Movimiento'!H6</f>
        <v/>
      </c>
      <c r="C20" s="19" t="inlineStr">
        <is>
          <t>NIC 12.58, 61A</t>
        </is>
      </c>
    </row>
    <row r="21">
      <c r="A21" s="18" t="inlineStr">
        <is>
          <t>Gasto (ingreso) diferido requerido en resultados</t>
        </is>
      </c>
      <c r="B21" s="20">
        <f>'09_Movimiento'!E8</f>
        <v/>
      </c>
      <c r="C21" s="18" t="inlineStr">
        <is>
          <t>09_Movimiento</t>
        </is>
      </c>
    </row>
    <row r="22">
      <c r="A22" s="19" t="inlineStr">
        <is>
          <t>Gasto diferido según la variación de los saldos registrados sin ORI</t>
        </is>
      </c>
      <c r="B22" s="21">
        <f>-('09_Movimiento'!G5-'09_Movimiento'!B5)-('09_Movimiento'!G7-'09_Movimiento'!B7)</f>
        <v/>
      </c>
      <c r="C22" s="19" t="inlineStr">
        <is>
          <t>09_Movimiento</t>
        </is>
      </c>
    </row>
    <row r="23">
      <c r="A23" s="18" t="inlineStr">
        <is>
          <t>Gasto (ingreso) diferido registrado en resultados</t>
        </is>
      </c>
      <c r="B23" s="20">
        <f>IF('02_Parametros'!$B$24="","",'02_Parametros'!$B$24)</f>
        <v/>
      </c>
      <c r="C23" s="18" t="inlineStr">
        <is>
          <t>Parámetros</t>
        </is>
      </c>
    </row>
    <row r="24">
      <c r="A24" s="19" t="inlineStr">
        <is>
          <t>Gasto diferido en resultados que corresponde a ORI u otro origen</t>
        </is>
      </c>
      <c r="B24" s="21">
        <f>IF('02_Parametros'!$B$24="",0,'02_Parametros'!$B$24-B22)</f>
        <v/>
      </c>
      <c r="C24" s="19" t="inlineStr">
        <is>
          <t>NIC 12.58, 61A</t>
        </is>
      </c>
    </row>
    <row r="25">
      <c r="A25" s="18" t="inlineStr">
        <is>
          <t>Gasto total por impuesto requerido</t>
        </is>
      </c>
      <c r="B25" s="20">
        <f>'11_Tasa_efectiva'!B15</f>
        <v/>
      </c>
      <c r="C25" s="18" t="inlineStr">
        <is>
          <t>11_Tasa_efectiva</t>
        </is>
      </c>
    </row>
    <row r="26">
      <c r="A26" s="19" t="inlineStr">
        <is>
          <t>Gasto total por impuesto registrado</t>
        </is>
      </c>
      <c r="B26" s="21">
        <f>'11_Tasa_efectiva'!B16</f>
        <v/>
      </c>
      <c r="C26" s="19" t="inlineStr">
        <is>
          <t>11_Tasa_efectiva</t>
        </is>
      </c>
    </row>
    <row r="27">
      <c r="A27" s="18" t="inlineStr">
        <is>
          <t>Gasto registrado no explicado</t>
        </is>
      </c>
      <c r="B27" s="20">
        <f>'11_Tasa_efectiva'!B17</f>
        <v/>
      </c>
      <c r="C27" s="18" t="inlineStr">
        <is>
          <t>11_Tasa_efectiva</t>
        </is>
      </c>
    </row>
    <row r="28">
      <c r="A28" s="19" t="inlineStr">
        <is>
          <t>Ajuste neto al gasto por impuesto en resultados (+ más gasto)</t>
        </is>
      </c>
      <c r="B28" s="21">
        <f>B7-B19-B24</f>
        <v/>
      </c>
      <c r="C28" s="19" t="inlineStr">
        <is>
          <t>Corriente − diferido a resultados − reclasificación</t>
        </is>
      </c>
    </row>
    <row r="30">
      <c r="A30" s="22" t="inlineStr">
        <is>
          <t>ⓘ  Cómo se calcula esta hoja</t>
        </is>
      </c>
    </row>
    <row r="31">
      <c r="A31" s="23" t="inlineStr">
        <is>
          <t>Columna</t>
        </is>
      </c>
      <c r="B31" s="23" t="inlineStr">
        <is>
          <t>Fórmula (Excel)</t>
        </is>
      </c>
      <c r="C31" s="23" t="inlineStr">
        <is>
          <t>Cómo se calcula (sencillo)</t>
        </is>
      </c>
      <c r="D31" s="23" t="inlineStr">
        <is>
          <t>Ejemplo con números reales</t>
        </is>
      </c>
      <c r="E31" s="23" t="inlineStr">
        <is>
          <t>De dónde viene</t>
        </is>
      </c>
      <c r="F31" s="23" t="inlineStr">
        <is>
          <t>Norma</t>
        </is>
      </c>
    </row>
    <row r="32">
      <c r="A32" s="24" t="inlineStr">
        <is>
          <t>Importe</t>
        </is>
      </c>
      <c r="B32" s="25" t="inlineStr">
        <is>
          <t>'='04_Impuesto_corriente'!C19</t>
        </is>
      </c>
      <c r="C32" s="24" t="inlineStr">
        <is>
          <t>Trae los importes recalculados y registrados de las hojas 04, 05, 06, 09 y 11 y de la hoja 02 (Parámetros); cada ajuste es recalculado − registrado y el ajuste neto al gasto = ajuste corriente − ajuste del diferido a resultados − reclasificación.</t>
        </is>
      </c>
      <c r="D32" s="24" t="inlineStr">
        <is>
          <t>Fila 1: 165.937,50 → 165.937,50</t>
        </is>
      </c>
      <c r="E32" s="24" t="inlineStr">
        <is>
          <t>hoja «Impuesto corriente»</t>
        </is>
      </c>
      <c r="F32" s="24" t="inlineStr">
        <is>
          <t>—</t>
        </is>
      </c>
    </row>
  </sheetData>
  <mergeCells count="3">
    <mergeCell ref="A2:F2"/>
    <mergeCell ref="A1:F1"/>
    <mergeCell ref="A30:F30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60" customWidth="1" min="3" max="3"/>
  </cols>
  <sheetData>
    <row r="1">
      <c r="A1" s="3" t="inlineStr">
        <is>
          <t>Participación atribuible a exentos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 / estado</t>
        </is>
      </c>
      <c r="C4" s="17" t="inlineStr">
        <is>
          <t>Sustento</t>
        </is>
      </c>
    </row>
    <row r="5">
      <c r="A5" s="18" t="inlineStr">
        <is>
          <t>Ingreso exento bruto informado por el cliente</t>
        </is>
      </c>
      <c r="B5" s="27">
        <f>IF('02_Parametros'!$B$11&lt;&gt;"",'02_Parametros'!$B$11,"")</f>
        <v/>
      </c>
      <c r="C5" s="18" t="inlineStr">
        <is>
          <t>Parámetros — base del «15% de tales ingresos» (Reglamento LRTI art. 46 num. 5); vacío: no informado</t>
        </is>
      </c>
    </row>
    <row r="6">
      <c r="A6" s="19" t="inlineStr">
        <is>
          <t>Ingresos exentos restados en la conciliación (renglón del cliente)</t>
        </is>
      </c>
      <c r="B6" s="28">
        <f>-'04_Impuesto_corriente'!C7</f>
        <v/>
      </c>
      <c r="C6" s="19" t="inlineStr">
        <is>
          <t>04_Impuesto_corriente — puede venir neto de los gastos atribuibles</t>
        </is>
      </c>
    </row>
    <row r="7">
      <c r="A7" s="18" t="inlineStr">
        <is>
          <t>Gastos atribuibles a ingresos exentos sumados en la conciliación</t>
        </is>
      </c>
      <c r="B7" s="27">
        <f>'04_Impuesto_corriente'!C9</f>
        <v/>
      </c>
      <c r="C7" s="18" t="inlineStr">
        <is>
          <t>Reglamento LRTI art. 46 num. 4 y art. 47 (prorrateo): se suman aparte, no minoran la base del num. 5</t>
        </is>
      </c>
    </row>
    <row r="8">
      <c r="A8" s="19" t="inlineStr">
        <is>
          <t>Participación atribuible recalculada = 15.0 % del ingreso exento bruto</t>
        </is>
      </c>
      <c r="B8" s="28">
        <f>IF(OR(B6&lt;=0.005,'04_Impuesto_corriente'!C5&lt;=0),0,IF(B5="","",B5*'02_Parametros'!$B$10/100))</f>
        <v/>
      </c>
      <c r="C8" s="19" t="inlineStr">
        <is>
          <t>Reglamento LRTI art. 46 num. 5: «el 15% de tales ingresos» — vacío si falta el ingreso exento bruto</t>
        </is>
      </c>
    </row>
    <row r="9">
      <c r="A9" s="18" t="inlineStr">
        <is>
          <t>Participación atribuible registrada por el cliente en la conciliación</t>
        </is>
      </c>
      <c r="B9" s="27">
        <f>'04_Impuesto_corriente'!B10</f>
        <v/>
      </c>
      <c r="C9" s="18" t="inlineStr">
        <is>
          <t>03_Conciliacion</t>
        </is>
      </c>
    </row>
    <row r="10">
      <c r="A10" s="19" t="inlineStr">
        <is>
          <t>Participación atribuible informada por el cliente en su papel de trabajo</t>
        </is>
      </c>
      <c r="B10" s="28">
        <f>IF('02_Parametros'!$B$12&lt;&gt;"",'02_Parametros'!$B$12,"")</f>
        <v/>
      </c>
      <c r="C10" s="19" t="inlineStr">
        <is>
          <t>Parámetros</t>
        </is>
      </c>
    </row>
    <row r="11">
      <c r="A11" s="18" t="inlineStr">
        <is>
          <t>Diferencia (recalculada − registrada)</t>
        </is>
      </c>
      <c r="B11" s="27">
        <f>IF(B8="","",B8-B9)</f>
        <v/>
      </c>
      <c r="C11" s="18" t="inlineStr">
        <is>
          <t>Ajuste al renglón de la conciliación</t>
        </is>
      </c>
    </row>
    <row r="12">
      <c r="A12" s="19" t="inlineStr">
        <is>
          <t>Estado del cálculo normativo</t>
        </is>
      </c>
      <c r="B12" s="19">
        <f>IF(B6&lt;=0.005,"Sin ingresos exentos",IF(B8="","Bloqueado por falta de soporte","Calculado"))</f>
        <v/>
      </c>
      <c r="C12" s="19" t="inlineStr">
        <is>
          <t>Bloqueado: la herramienta no reconstruye la base bruta sin soporte del cliente</t>
        </is>
      </c>
    </row>
    <row r="14">
      <c r="A14" s="22" t="inlineStr">
        <is>
          <t>ⓘ  Cómo se calcula esta hoja</t>
        </is>
      </c>
    </row>
    <row r="15">
      <c r="A15" s="23" t="inlineStr">
        <is>
          <t>Columna</t>
        </is>
      </c>
      <c r="B15" s="23" t="inlineStr">
        <is>
          <t>Fórmula (Excel)</t>
        </is>
      </c>
      <c r="C15" s="23" t="inlineStr">
        <is>
          <t>Cómo se calcula (sencillo)</t>
        </is>
      </c>
      <c r="D15" s="23" t="inlineStr">
        <is>
          <t>Ejemplo con números reales</t>
        </is>
      </c>
      <c r="E15" s="23" t="inlineStr">
        <is>
          <t>De dónde viene</t>
        </is>
      </c>
      <c r="F15" s="23" t="inlineStr">
        <is>
          <t>Norma</t>
        </is>
      </c>
    </row>
    <row r="16">
      <c r="A16" s="24" t="inlineStr">
        <is>
          <t>Importe / estado</t>
        </is>
      </c>
      <c r="B16" s="25" t="inlineStr">
        <is>
          <t>'=IF('02_Parametros'!$B$11&lt;&gt;"",'02_Parametros'!$B$11,"")</t>
        </is>
      </c>
      <c r="C16" s="24" t="inlineStr">
        <is>
          <t>Toma el ingreso exento bruto de la hoja 02 y los renglones de la hoja 04; recalcula la participación atribuible como % de participación × ingreso exento bruto (cero si no hay exentos o la utilidad no es positiva; vacío si falta el ingreso bruto), la compara con la registrada e indica si el cálculo quedó hecho o bloqueado.</t>
        </is>
      </c>
      <c r="D16" s="24" t="inlineStr">
        <is>
          <t>Fila 1: IF(60.000,00&lt;&gt;""; 60.000,00; "") → 60.000,00</t>
        </is>
      </c>
      <c r="E16" s="24" t="inlineStr">
        <is>
          <t>hoja «Parámetros»</t>
        </is>
      </c>
      <c r="F16" s="24" t="inlineStr">
        <is>
          <t>—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2" customWidth="1" min="3" max="3"/>
    <col width="12" customWidth="1" min="4" max="4"/>
  </cols>
  <sheetData>
    <row r="1">
      <c r="A1" s="3" t="inlineStr">
        <is>
          <t>Asientos propuestos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Asiento</t>
        </is>
      </c>
      <c r="B4" s="17" t="inlineStr">
        <is>
          <t>Cuenta</t>
        </is>
      </c>
      <c r="C4" s="17" t="inlineStr">
        <is>
          <t>Debe</t>
        </is>
      </c>
      <c r="D4" s="17" t="inlineStr">
        <is>
          <t>Haber</t>
        </is>
      </c>
    </row>
    <row r="5">
      <c r="A5" s="18" t="inlineStr">
        <is>
          <t>1 · Impuesto corriente</t>
        </is>
      </c>
      <c r="B5" s="18" t="inlineStr">
        <is>
          <t>Gasto por impuesto a la renta corriente</t>
        </is>
      </c>
      <c r="C5" s="20">
        <f>ABS('12_Ajustes'!B7)</f>
        <v/>
      </c>
      <c r="D5" s="20" t="n"/>
    </row>
    <row r="6">
      <c r="A6" s="19" t="inlineStr"/>
      <c r="B6" s="19" t="inlineStr">
        <is>
          <t>Impuesto a la renta por pagar</t>
        </is>
      </c>
      <c r="C6" s="21" t="n"/>
      <c r="D6" s="21">
        <f>ABS('12_Ajustes'!B7)</f>
        <v/>
      </c>
    </row>
    <row r="7">
      <c r="A7" s="18" t="inlineStr">
        <is>
          <t>2 · Impuesto diferido contra resultados</t>
        </is>
      </c>
      <c r="B7" s="18" t="inlineStr">
        <is>
          <t>Activo / pasivo por impuesto diferido</t>
        </is>
      </c>
      <c r="C7" s="20" t="n"/>
      <c r="D7" s="20">
        <f>ABS('12_Ajustes'!B19)</f>
        <v/>
      </c>
    </row>
    <row r="8">
      <c r="A8" s="19" t="inlineStr"/>
      <c r="B8" s="19" t="inlineStr">
        <is>
          <t>Ingreso (gasto) por impuesto a la renta diferido</t>
        </is>
      </c>
      <c r="C8" s="21">
        <f>ABS('12_Ajustes'!B19)</f>
        <v/>
      </c>
      <c r="D8" s="21" t="n"/>
    </row>
    <row r="9">
      <c r="A9" s="18" t="inlineStr">
        <is>
          <t>4 · Reclasificación del diferido llevado a resultados</t>
        </is>
      </c>
      <c r="B9" s="18" t="inlineStr">
        <is>
          <t>Otro resultado integral (impuesto diferido)</t>
        </is>
      </c>
      <c r="C9" s="20">
        <f>ABS('12_Ajustes'!B24)</f>
        <v/>
      </c>
      <c r="D9" s="20" t="n"/>
    </row>
    <row r="10">
      <c r="A10" s="19" t="inlineStr"/>
      <c r="B10" s="19" t="inlineStr">
        <is>
          <t>Gasto por impuesto a la renta diferido</t>
        </is>
      </c>
      <c r="C10" s="21" t="n"/>
      <c r="D10" s="21">
        <f>ABS('12_Ajustes'!B24)</f>
        <v/>
      </c>
    </row>
    <row r="12">
      <c r="A12" s="22" t="inlineStr">
        <is>
          <t>ⓘ  Cómo se calcula esta hoja</t>
        </is>
      </c>
    </row>
    <row r="13">
      <c r="A13" s="23" t="inlineStr">
        <is>
          <t>Columna</t>
        </is>
      </c>
      <c r="B13" s="23" t="inlineStr">
        <is>
          <t>Fórmula (Excel)</t>
        </is>
      </c>
      <c r="C13" s="23" t="inlineStr">
        <is>
          <t>Cómo se calcula (sencillo)</t>
        </is>
      </c>
      <c r="D13" s="23" t="inlineStr">
        <is>
          <t>Ejemplo con números reales</t>
        </is>
      </c>
      <c r="E13" s="23" t="inlineStr">
        <is>
          <t>De dónde viene</t>
        </is>
      </c>
      <c r="F13" s="23" t="inlineStr">
        <is>
          <t>Norma</t>
        </is>
      </c>
    </row>
    <row r="14">
      <c r="A14" s="24" t="inlineStr">
        <is>
          <t>Debe</t>
        </is>
      </c>
      <c r="B14" s="25" t="inlineStr">
        <is>
          <t>'=ABS('12_Ajustes'!B7)</t>
        </is>
      </c>
      <c r="C14" s="24" t="inlineStr">
        <is>
          <t>Trae de la hoja 12 (Ajustes propuestos), en valor absoluto, el ajuste de cada asiento en la cuenta que se debita según su signo.</t>
        </is>
      </c>
      <c r="D14" s="24" t="inlineStr">
        <is>
          <t>Fila 1: ABS(9.800,00) → 9.800,00</t>
        </is>
      </c>
      <c r="E14" s="24" t="inlineStr">
        <is>
          <t>hoja «Ajustes propuestos»</t>
        </is>
      </c>
      <c r="F14" s="24" t="inlineStr">
        <is>
          <t>—</t>
        </is>
      </c>
    </row>
    <row r="15">
      <c r="A15" s="24" t="inlineStr">
        <is>
          <t>Haber</t>
        </is>
      </c>
      <c r="B15" s="25" t="inlineStr">
        <is>
          <t>'=ABS('12_Ajustes'!B7)</t>
        </is>
      </c>
      <c r="C15" s="24" t="inlineStr">
        <is>
          <t>Trae el mismo ajuste de la hoja 12 (Ajustes propuestos), en valor absoluto, en la cuenta que se acredita, para que el asiento cuadre.</t>
        </is>
      </c>
      <c r="D15" s="24" t="inlineStr">
        <is>
          <t>Fila 2: ABS(9.800,00) → 9.800,00</t>
        </is>
      </c>
      <c r="E15" s="24" t="inlineStr">
        <is>
          <t>hoja «Ajustes propuestos»</t>
        </is>
      </c>
      <c r="F15" s="24" t="inlineStr">
        <is>
          <t>—</t>
        </is>
      </c>
    </row>
  </sheetData>
  <mergeCells count="3">
    <mergeCell ref="A2:F2"/>
    <mergeCell ref="A1:F1"/>
    <mergeCell ref="A12:F12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2" customWidth="1" min="3" max="3"/>
  </cols>
  <sheetData>
    <row r="1">
      <c r="A1" s="3" t="inlineStr">
        <is>
          <t>Problemas encontrados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Importe</t>
        </is>
      </c>
    </row>
    <row r="5">
      <c r="A5" s="18" t="inlineStr">
        <is>
          <t>IR_CORRIENTE_MAL_CALCULADO</t>
        </is>
      </c>
      <c r="B5" s="18" t="inlineStr">
        <is>
          <t>Impuesto corriente recalculado 165.937,50 frente a 156.137,50 registrado: diferencia 9.800,00. Se mide con la tarifa vigente al cierre sobre la base imponible auditada (NIC 12.12–14, 46; LRTI).</t>
        </is>
      </c>
      <c r="C5" s="20" t="n">
        <v>9800</v>
      </c>
    </row>
    <row r="6">
      <c r="A6" s="19" t="inlineStr">
        <is>
          <t>PARTICIPACION_EXENTOS</t>
        </is>
      </c>
      <c r="B6" s="19" t="inlineStr">
        <is>
          <t>Participación atribuible a ingresos exentos 8.550,00 en la conciliación frente a 9.000,00 recalculada: 15,00 % del ingreso exento bruto informado (60.000,00). Reglamento LRTI art. 46 num. 5: «el 15% de tales ingresos» (base bruta; los gastos atribuibles se suman aparte por el num. 4, no la minoran). Confirmar que el art. 46 num. 5 sigue vigente al corte.</t>
        </is>
      </c>
      <c r="C6" s="21" t="n">
        <v>450</v>
      </c>
    </row>
    <row r="7">
      <c r="A7" s="18" t="inlineStr">
        <is>
          <t>NO_DEDUCIBLES_OMITIDOS</t>
        </is>
      </c>
      <c r="B7" s="18" t="inlineStr">
        <is>
          <t>Gastos no deducibles omitidos en la conciliación por 20.000,00: AUD-1 Gastos sin comprobante de venta válido (hallazgo) 20.000,00 (LRTI art. 10 y Reglamento art. 35).</t>
        </is>
      </c>
      <c r="C7" s="20" t="n">
        <v>20000</v>
      </c>
    </row>
    <row r="8">
      <c r="A8" s="19" t="inlineStr">
        <is>
          <t>PERDIDAS_SOBRE_LIMITE</t>
        </is>
      </c>
      <c r="B8" s="19" t="inlineStr">
        <is>
          <t>Amortización de pérdidas solicitada 240.000,00: supera el 25,00 % de la utilidad gravable (221.250,00). Permitida 221.250,00 (LRTI art. 11: 25,00 % anual, 5 años).</t>
        </is>
      </c>
      <c r="C8" s="21" t="n">
        <v>18750</v>
      </c>
    </row>
    <row r="9">
      <c r="A9" s="18" t="inlineStr">
        <is>
          <t>PERDIDAS_VENCIDAS</t>
        </is>
      </c>
      <c r="B9" s="18" t="inlineStr">
        <is>
          <t>Pérdidas con plazo vencido y saldo sin amortizar 40.000,00 (años 2019): ya no se amortizan y no sustentan activo diferido.</t>
        </is>
      </c>
      <c r="C9" s="20" t="n">
        <v>40000</v>
      </c>
    </row>
    <row r="10">
      <c r="A10" s="19" t="inlineStr">
        <is>
          <t>DTA_SIN_PROBABILIDAD</t>
        </is>
      </c>
      <c r="B10" s="19" t="inlineStr">
        <is>
          <t>Provisión por litigio laboral: activo diferido registrado 6.250,00 sin probabilidad de ganancia fiscal futura (NIC 12.24, 34–36, 56).</t>
        </is>
      </c>
      <c r="C10" s="21" t="n">
        <v>6250</v>
      </c>
    </row>
    <row r="11">
      <c r="A11" s="18" t="inlineStr">
        <is>
          <t>TASA_REVERSION_INCORRECTA</t>
        </is>
      </c>
      <c r="B11" s="18" t="inlineStr">
        <is>
          <t>1 partida(s) medida(s) a una tasa distinta de la aprobada para el año de reversión: Provisión por garantías 22,00 % frente a 25,00 % (NIC 12.47, 53).</t>
        </is>
      </c>
      <c r="C11" s="20" t="n">
        <v>-1200</v>
      </c>
    </row>
    <row r="12">
      <c r="A12" s="19" t="inlineStr">
        <is>
          <t>DTA_PERDIDAS_EXCESO</t>
        </is>
      </c>
      <c r="B12" s="19" t="inlineStr">
        <is>
          <t>Activo diferido por pérdidas registrado 20.000,00 frente a 7.187,50 sustentado por el remanente no vencido tras la amortización del año.</t>
        </is>
      </c>
      <c r="C12" s="21" t="n">
        <v>12812.5</v>
      </c>
    </row>
    <row r="13">
      <c r="A13" s="18" t="inlineStr">
        <is>
          <t>DIFERIDO_MAL_MEDIDO</t>
        </is>
      </c>
      <c r="B13" s="18" t="inlineStr">
        <is>
          <t>Impuesto diferido neto requerido -10.312,50 frente a 6.300,00 registrado (5 partida(s) con diferencia): ajuste -16.612,50 (NIC 12.5, 15, 24).</t>
        </is>
      </c>
      <c r="C13" s="20" t="n">
        <v>-16612.5</v>
      </c>
    </row>
    <row r="14">
      <c r="A14" s="19" t="inlineStr">
        <is>
          <t>ORI_EN_RESULTADOS</t>
        </is>
      </c>
      <c r="B14" s="19" t="inlineStr">
        <is>
          <t>El gasto diferido registrado en resultados (19.700,00) incluye 10.000,00 del diferido de partidas reconocidas en ORI: debe ir a ORI (NIC 12.58, 61A).</t>
        </is>
      </c>
      <c r="C14" s="21" t="n">
        <v>10000</v>
      </c>
    </row>
    <row r="15">
      <c r="A15" s="18" t="inlineStr">
        <is>
          <t>FALTA_COMPENSAR</t>
        </is>
      </c>
      <c r="B15" s="18" t="inlineStr">
        <is>
          <t>Activo diferido 76.300,00 y pasivo diferido 70.000,00 presentados sin compensar pese al derecho legal y la misma autoridad fiscal: presentar el neto (NIC 12.71, 74).</t>
        </is>
      </c>
      <c r="C15" s="20" t="n">
        <v>70000</v>
      </c>
    </row>
    <row r="16">
      <c r="A16" s="19" t="inlineStr">
        <is>
          <t>TASA_EFECTIVA_INEXPLICADA</t>
        </is>
      </c>
      <c r="B16" s="19" t="inlineStr">
        <is>
          <t>Tasa efectiva registrada 20,69 % frente a 22,62 % explicada por la conciliación (tasa aplicable 25,00 %): gasto sin explicar -16.412,50 (NIC 12.81 c)).</t>
        </is>
      </c>
      <c r="C16" s="21" t="n">
        <v>-16412.5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3" t="inlineStr">
        <is>
          <t>Conclusión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Conciliación con el mayor</t>
        </is>
      </c>
      <c r="B5" s="18" t="inlineStr">
        <is>
          <t>Población None · mayor None · diferencia None</t>
        </is>
      </c>
    </row>
    <row r="6">
      <c r="A6" s="19" t="inlineStr">
        <is>
          <t>Evaluación de excepciones</t>
        </is>
      </c>
      <c r="B6" s="19" t="inlineStr"/>
    </row>
    <row r="7">
      <c r="A7" s="18" t="inlineStr">
        <is>
          <t>Análisis</t>
        </is>
      </c>
      <c r="B7" s="18" t="inlineStr"/>
    </row>
    <row r="8">
      <c r="A8" s="19" t="inlineStr">
        <is>
          <t>Conclusión</t>
        </is>
      </c>
      <c r="B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Control de revisión</t>
        </is>
      </c>
      <c r="H1" s="14" t="inlineStr">
        <is>
          <t>⟵ Inicio</t>
        </is>
      </c>
      <c r="I1" s="14" t="inlineStr">
        <is>
          <t>◀ Anterior</t>
        </is>
      </c>
    </row>
    <row r="2">
      <c r="A2" s="15" t="inlineStr">
        <is>
          <t>Impuesto corriente y diferido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Fecha</t>
        </is>
      </c>
      <c r="B4" s="17" t="inlineStr">
        <is>
          <t>Acción</t>
        </is>
      </c>
      <c r="C4" s="17" t="inlineStr">
        <is>
          <t>Estado anterior</t>
        </is>
      </c>
      <c r="D4" s="17" t="inlineStr">
        <is>
          <t>Estado nuevo</t>
        </is>
      </c>
      <c r="E4" s="17" t="inlineStr">
        <is>
          <t>Actor</t>
        </is>
      </c>
      <c r="F4" s="17" t="inlineStr">
        <is>
          <t>Comentario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2026-09-24T04:20:33Z</dcterms:created>
  <dcterms:modified xmlns:dcterms="http://purl.org/dc/terms/" xmlns:xsi="http://www.w3.org/2001/XMLSchema-instance" xsi:type="dcterms:W3CDTF">2026-09-24T04:20:33Z</dcterms:modified>
</cp:coreProperties>
</file>