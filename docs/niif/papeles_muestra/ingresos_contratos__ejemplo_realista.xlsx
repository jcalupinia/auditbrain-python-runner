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icio" sheetId="1" state="visible" r:id="rId1"/>
    <sheet xmlns:r="http://schemas.openxmlformats.org/officeDocument/2006/relationships" name="00_Caratula" sheetId="2" state="visible" r:id="rId2"/>
    <sheet xmlns:r="http://schemas.openxmlformats.org/officeDocument/2006/relationships" name="00_Programa" sheetId="3" state="visible" r:id="rId3"/>
    <sheet xmlns:r="http://schemas.openxmlformats.org/officeDocument/2006/relationships" name="00_Fuentes" sheetId="4" state="visible" r:id="rId4"/>
    <sheet xmlns:r="http://schemas.openxmlformats.org/officeDocument/2006/relationships" name="01_Resumen" sheetId="5" state="visible" r:id="rId5"/>
    <sheet xmlns:r="http://schemas.openxmlformats.org/officeDocument/2006/relationships" name="02_Parametros" sheetId="6" state="visible" r:id="rId6"/>
    <sheet xmlns:r="http://schemas.openxmlformats.org/officeDocument/2006/relationships" name="03_Detalle" sheetId="7" state="visible" r:id="rId7"/>
    <sheet xmlns:r="http://schemas.openxmlformats.org/officeDocument/2006/relationships" name="04_Precio_variable" sheetId="8" state="visible" r:id="rId8"/>
    <sheet xmlns:r="http://schemas.openxmlformats.org/officeDocument/2006/relationships" name="05_Asignacion" sheetId="9" state="visible" r:id="rId9"/>
    <sheet xmlns:r="http://schemas.openxmlformats.org/officeDocument/2006/relationships" name="06_Satisfaccion" sheetId="10" state="visible" r:id="rId10"/>
    <sheet xmlns:r="http://schemas.openxmlformats.org/officeDocument/2006/relationships" name="07_Devoluciones" sheetId="11" state="visible" r:id="rId11"/>
    <sheet xmlns:r="http://schemas.openxmlformats.org/officeDocument/2006/relationships" name="08_Financiacion" sheetId="12" state="visible" r:id="rId12"/>
    <sheet xmlns:r="http://schemas.openxmlformats.org/officeDocument/2006/relationships" name="09_Reconocimiento" sheetId="13" state="visible" r:id="rId13"/>
    <sheet xmlns:r="http://schemas.openxmlformats.org/officeDocument/2006/relationships" name="10_Activo_pasivo" sheetId="14" state="visible" r:id="rId14"/>
    <sheet xmlns:r="http://schemas.openxmlformats.org/officeDocument/2006/relationships" name="11_Corte" sheetId="15" state="visible" r:id="rId15"/>
    <sheet xmlns:r="http://schemas.openxmlformats.org/officeDocument/2006/relationships" name="12_Modificaciones" sheetId="16" state="visible" r:id="rId16"/>
    <sheet xmlns:r="http://schemas.openxmlformats.org/officeDocument/2006/relationships" name="13_Conciliacion" sheetId="17" state="visible" r:id="rId17"/>
    <sheet xmlns:r="http://schemas.openxmlformats.org/officeDocument/2006/relationships" name="14_Asientos" sheetId="18" state="visible" r:id="rId18"/>
    <sheet xmlns:r="http://schemas.openxmlformats.org/officeDocument/2006/relationships" name="15_Problemas" sheetId="19" state="visible" r:id="rId19"/>
    <sheet xmlns:r="http://schemas.openxmlformats.org/officeDocument/2006/relationships" name="13_Conclusion" sheetId="20" state="visible" r:id="rId20"/>
    <sheet xmlns:r="http://schemas.openxmlformats.org/officeDocument/2006/relationships" name="14_Control_Revision" sheetId="21" state="visible" r:id="rId21"/>
  </sheets>
  <definedNames>
    <definedName name="_xlnm.Print_Area" localSheetId="0">'00_Inicio'!$A$1:$L$78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b val="1"/>
      <color rgb="000A2342"/>
      <sz val="15"/>
    </font>
    <font>
      <name val="Montserrat"/>
      <b val="1"/>
      <color rgb="000D7377"/>
      <sz val="9"/>
    </font>
    <font>
      <name val="Calibri"/>
      <color rgb="001A1A1A"/>
      <sz val="9"/>
    </font>
    <font>
      <name val="Montserrat"/>
      <b val="1"/>
      <color rgb="00C7A83C"/>
      <sz val="10"/>
    </font>
    <font>
      <name val="Consolas"/>
      <b val="1"/>
      <color rgb="000A2342"/>
      <sz val="18"/>
    </font>
    <font>
      <name val="Consolas"/>
      <b val="1"/>
      <color rgb="00C0392B"/>
      <sz val="18"/>
    </font>
    <font>
      <name val="Montserrat"/>
      <b val="1"/>
      <color rgb="00FFFFFF"/>
      <sz val="10"/>
    </font>
    <font>
      <name val="Calibri"/>
      <i val="1"/>
      <color rgb="006B7280"/>
      <sz val="8"/>
    </font>
    <font>
      <name val="Calibri"/>
      <color rgb="008A94A6"/>
      <sz val="8"/>
    </font>
    <font>
      <name val="Montserrat"/>
      <b val="1"/>
      <color rgb="000A2342"/>
      <sz val="9"/>
    </font>
    <font>
      <name val="Consolas"/>
      <color rgb="001A1A1A"/>
      <sz val="9"/>
    </font>
    <font>
      <name val="Consolas"/>
      <b val="1"/>
      <color rgb="000A2342"/>
      <sz val="10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F4F6F9"/>
      </patternFill>
    </fill>
    <fill>
      <patternFill patternType="solid">
        <fgColor rgb="000D7377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C7A83C"/>
      </patternFill>
    </fill>
  </fills>
  <borders count="5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bottom style="medium">
        <color rgb="00C7A83C"/>
      </bottom>
    </border>
    <border>
      <bottom style="thin">
        <color rgb="00E3E8EF"/>
      </bottom>
    </border>
    <border>
      <left style="thin">
        <color rgb="00B7C0CC"/>
      </left>
      <right style="thin">
        <color rgb="00B7C0CC"/>
      </right>
      <top style="double">
        <color rgb="000A2342"/>
      </top>
      <bottom style="double">
        <color rgb="000A2342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bottom" wrapText="1"/>
    </xf>
    <xf numFmtId="4" fontId="6" fillId="3" borderId="1" pivotButton="0" quotePrefix="0" xfId="0"/>
    <xf numFmtId="3" fontId="7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4" fontId="12" fillId="0" borderId="3" applyAlignment="1" pivotButton="0" quotePrefix="0" xfId="0">
      <alignment horizontal="right" vertical="center"/>
    </xf>
    <xf numFmtId="4" fontId="12" fillId="6" borderId="3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165" fontId="4" fillId="0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right" vertical="center"/>
    </xf>
    <xf numFmtId="0" fontId="12" fillId="0" borderId="3" applyAlignment="1" pivotButton="0" quotePrefix="0" xfId="0">
      <alignment horizontal="right" vertical="center"/>
    </xf>
    <xf numFmtId="165" fontId="12" fillId="0" borderId="3" applyAlignment="1" pivotButton="0" quotePrefix="0" xfId="0">
      <alignment horizontal="center" vertical="center" wrapText="1"/>
    </xf>
    <xf numFmtId="165" fontId="12" fillId="6" borderId="3" applyAlignment="1" pivotButton="0" quotePrefix="0" xfId="0">
      <alignment horizontal="right" vertical="center"/>
    </xf>
    <xf numFmtId="165" fontId="12" fillId="0" borderId="3" applyAlignment="1" pivotButton="0" quotePrefix="0" xfId="0">
      <alignment horizontal="right" vertical="center"/>
    </xf>
    <xf numFmtId="165" fontId="12" fillId="6" borderId="3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left" vertical="top" wrapText="1"/>
    </xf>
    <xf numFmtId="165" fontId="13" fillId="5" borderId="4" applyAlignment="1" pivotButton="0" quotePrefix="0" xfId="0">
      <alignment horizontal="right" vertical="center"/>
    </xf>
    <xf numFmtId="4" fontId="13" fillId="5" borderId="4" applyAlignment="1" pivotButton="0" quotePrefix="0" xfId="0">
      <alignment horizontal="right" vertical="center"/>
    </xf>
    <xf numFmtId="10" fontId="12" fillId="0" borderId="3" applyAlignment="1" pivotButton="0" quotePrefix="0" xfId="0">
      <alignment horizontal="right" vertical="center"/>
    </xf>
    <xf numFmtId="10" fontId="12" fillId="6" borderId="3" applyAlignment="1" pivotButton="0" quotePrefix="0" xfId="0">
      <alignment horizontal="right" vertical="center"/>
    </xf>
    <xf numFmtId="10" fontId="13" fillId="5" borderId="4" applyAlignment="1" pivotButton="0" quotePrefix="0" xfId="0">
      <alignment horizontal="right" vertical="center"/>
    </xf>
    <xf numFmtId="3" fontId="12" fillId="0" borderId="3" applyAlignment="1" pivotButton="0" quotePrefix="0" xfId="0">
      <alignment horizontal="right" vertical="center"/>
    </xf>
    <xf numFmtId="3" fontId="12" fillId="6" borderId="3" applyAlignment="1" pivotButton="0" quotePrefix="0" xfId="0">
      <alignment horizontal="right" vertical="center"/>
    </xf>
    <xf numFmtId="3" fontId="13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Cifras del resumen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'00_Inicio'!O23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'00_Inicio'!$N$24:$N$43</f>
            </numRef>
          </cat>
          <val>
            <numRef>
              <f>'00_Inicio'!$O$24:$O$43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Hallazgos de mayor impacto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'00_Inicio'!O45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'00_Inicio'!$N$46:$N$53</f>
            </numRef>
          </cat>
          <val>
            <numRef>
              <f>'00_Inicio'!$O$46:$O$53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7740000" cy="6263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58</row>
      <rowOff>0</rowOff>
    </from>
    <ext cx="7740000" cy="31536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Caratula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0_Fuentes'!A1" TargetMode="External" Id="rId3"/><Relationship Type="http://schemas.openxmlformats.org/officeDocument/2006/relationships/hyperlink" Target="#'01_Resumen'!A1" TargetMode="External" Id="rId4"/><Relationship Type="http://schemas.openxmlformats.org/officeDocument/2006/relationships/hyperlink" Target="#'02_Parametros'!A1" TargetMode="External" Id="rId5"/><Relationship Type="http://schemas.openxmlformats.org/officeDocument/2006/relationships/hyperlink" Target="#'03_Detalle'!A1" TargetMode="External" Id="rId6"/><Relationship Type="http://schemas.openxmlformats.org/officeDocument/2006/relationships/hyperlink" Target="#'04_Precio_variable'!A1" TargetMode="External" Id="rId7"/><Relationship Type="http://schemas.openxmlformats.org/officeDocument/2006/relationships/hyperlink" Target="#'05_Asignacion'!A1" TargetMode="External" Id="rId8"/><Relationship Type="http://schemas.openxmlformats.org/officeDocument/2006/relationships/hyperlink" Target="#'06_Satisfaccion'!A1" TargetMode="External" Id="rId9"/><Relationship Type="http://schemas.openxmlformats.org/officeDocument/2006/relationships/hyperlink" Target="#'07_Devoluciones'!A1" TargetMode="External" Id="rId10"/><Relationship Type="http://schemas.openxmlformats.org/officeDocument/2006/relationships/hyperlink" Target="#'08_Financiacion'!A1" TargetMode="External" Id="rId11"/><Relationship Type="http://schemas.openxmlformats.org/officeDocument/2006/relationships/hyperlink" Target="#'09_Reconocimiento'!A1" TargetMode="External" Id="rId12"/><Relationship Type="http://schemas.openxmlformats.org/officeDocument/2006/relationships/hyperlink" Target="#'10_Activo_pasivo'!A1" TargetMode="External" Id="rId13"/><Relationship Type="http://schemas.openxmlformats.org/officeDocument/2006/relationships/hyperlink" Target="#'11_Corte'!A1" TargetMode="External" Id="rId14"/><Relationship Type="http://schemas.openxmlformats.org/officeDocument/2006/relationships/hyperlink" Target="#'12_Modificaciones'!A1" TargetMode="External" Id="rId15"/><Relationship Type="http://schemas.openxmlformats.org/officeDocument/2006/relationships/hyperlink" Target="#'13_Conciliacion'!A1" TargetMode="External" Id="rId16"/><Relationship Type="http://schemas.openxmlformats.org/officeDocument/2006/relationships/hyperlink" Target="#'14_Asientos'!A1" TargetMode="External" Id="rId17"/><Relationship Type="http://schemas.openxmlformats.org/officeDocument/2006/relationships/hyperlink" Target="#'15_Problemas'!A1" TargetMode="External" Id="rId18"/><Relationship Type="http://schemas.openxmlformats.org/officeDocument/2006/relationships/hyperlink" Target="#'13_Conclusion'!A1" TargetMode="External" Id="rId19"/><Relationship Type="http://schemas.openxmlformats.org/officeDocument/2006/relationships/hyperlink" Target="#'14_Control_Revision'!A1" TargetMode="External" Id="rId20"/><Relationship Type="http://schemas.openxmlformats.org/officeDocument/2006/relationships/drawing" Target="/xl/drawings/drawing1.xml" Id="rId21"/></Relationships>
</file>

<file path=xl/worksheets/_rels/sheet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Caratula'!A1" TargetMode="External" Id="rId2"/><Relationship Type="http://schemas.openxmlformats.org/officeDocument/2006/relationships/hyperlink" Target="#'00_Fuentes'!A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1_Resumen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Fuentes'!A1" TargetMode="External" Id="rId2"/><Relationship Type="http://schemas.openxmlformats.org/officeDocument/2006/relationships/hyperlink" Target="#'02_Parametros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1_Resumen'!A1" TargetMode="External" Id="rId2"/><Relationship Type="http://schemas.openxmlformats.org/officeDocument/2006/relationships/hyperlink" Target="#'03_Detalle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2_Parametros'!A1" TargetMode="External" Id="rId2"/><Relationship Type="http://schemas.openxmlformats.org/officeDocument/2006/relationships/hyperlink" Target="#'04_Precio_variable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3_Detalle'!A1" TargetMode="External" Id="rId2"/><Relationship Type="http://schemas.openxmlformats.org/officeDocument/2006/relationships/hyperlink" Target="#'05_Asignacion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4_Precio_variable'!A1" TargetMode="External" Id="rId2"/><Relationship Type="http://schemas.openxmlformats.org/officeDocument/2006/relationships/hyperlink" Target="#'06_Satisfaccion'!A1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5_Asignacion'!A1" TargetMode="External" Id="rId2"/><Relationship Type="http://schemas.openxmlformats.org/officeDocument/2006/relationships/hyperlink" Target="#'07_Devoluciones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6_Satisfaccion'!A1" TargetMode="External" Id="rId2"/><Relationship Type="http://schemas.openxmlformats.org/officeDocument/2006/relationships/hyperlink" Target="#'08_Financiacion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7_Devoluciones'!A1" TargetMode="External" Id="rId2"/><Relationship Type="http://schemas.openxmlformats.org/officeDocument/2006/relationships/hyperlink" Target="#'09_Reconocimiento'!A1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8_Financiacion'!A1" TargetMode="External" Id="rId2"/><Relationship Type="http://schemas.openxmlformats.org/officeDocument/2006/relationships/hyperlink" Target="#'10_Activo_pasivo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9_Reconocimiento'!A1" TargetMode="External" Id="rId2"/><Relationship Type="http://schemas.openxmlformats.org/officeDocument/2006/relationships/hyperlink" Target="#'11_Corte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0_Activo_pasivo'!A1" TargetMode="External" Id="rId2"/><Relationship Type="http://schemas.openxmlformats.org/officeDocument/2006/relationships/hyperlink" Target="#'12_Modificaciones'!A1" TargetMode="External" Id="rId3"/></Relationships>
</file>

<file path=xl/worksheets/_rels/sheet1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1_Corte'!A1" TargetMode="External" Id="rId2"/><Relationship Type="http://schemas.openxmlformats.org/officeDocument/2006/relationships/hyperlink" Target="#'13_Conciliacion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2_Modificaciones'!A1" TargetMode="External" Id="rId2"/><Relationship Type="http://schemas.openxmlformats.org/officeDocument/2006/relationships/hyperlink" Target="#'14_Asientos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Conciliacion'!A1" TargetMode="External" Id="rId2"/><Relationship Type="http://schemas.openxmlformats.org/officeDocument/2006/relationships/hyperlink" Target="#'15_Problemas'!A1" TargetMode="External" Id="rId3"/></Relationships>
</file>

<file path=xl/worksheets/_rels/sheet1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4_Asientos'!A1" TargetMode="External" Id="rId2"/><Relationship Type="http://schemas.openxmlformats.org/officeDocument/2006/relationships/hyperlink" Target="#'13_Conclusion'!A1" TargetMode="External" Id="rId3"/></Relationships>
</file>

<file path=xl/worksheets/_rels/sheet2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5_Problemas'!A1" TargetMode="External" Id="rId2"/><Relationship Type="http://schemas.openxmlformats.org/officeDocument/2006/relationships/hyperlink" Target="#'14_Control_Revision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Conclusion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14" max="14"/>
    <col width="16" customWidth="1" min="15" max="15"/>
  </cols>
  <sheetData>
    <row r="2">
      <c r="B2" s="1" t="inlineStr">
        <is>
          <t>AuditConsulting Auditores Cía. Ltda.  ·  AUDIT-IA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>
      <c r="B4" s="3" t="inlineStr">
        <is>
          <t>Ingresos · contratos con clientes (existencia, precio, asignación, satisfacción, corte y devoluciones)</t>
        </is>
      </c>
    </row>
    <row r="6">
      <c r="B6" s="4" t="inlineStr">
        <is>
          <t>Cliente</t>
        </is>
      </c>
      <c r="C6" s="5" t="inlineStr">
        <is>
          <t>Cliente de muestra S.A.</t>
        </is>
      </c>
      <c r="D6" s="4" t="inlineStr">
        <is>
          <t>RUC</t>
        </is>
      </c>
      <c r="E6" s="5" t="inlineStr">
        <is>
          <t>1790000000001</t>
        </is>
      </c>
    </row>
    <row r="7">
      <c r="B7" s="4" t="inlineStr">
        <is>
          <t>Marco contable</t>
        </is>
      </c>
      <c r="C7" s="5" t="inlineStr">
        <is>
          <t>NIIF completas</t>
        </is>
      </c>
      <c r="D7" s="4" t="inlineStr">
        <is>
          <t>Fecha de corte</t>
        </is>
      </c>
      <c r="E7" s="5" t="inlineStr">
        <is>
          <t>2025-12-31</t>
        </is>
      </c>
    </row>
    <row r="8">
      <c r="B8" s="4" t="inlineStr">
        <is>
          <t>Preparó</t>
        </is>
      </c>
      <c r="C8" s="5" t="inlineStr">
        <is>
          <t>Ejercicio modelo</t>
        </is>
      </c>
      <c r="D8" s="4" t="inlineStr">
        <is>
          <t>Revisó</t>
        </is>
      </c>
      <c r="E8" s="5" t="inlineStr">
        <is>
          <t>Pendiente</t>
        </is>
      </c>
    </row>
    <row r="10">
      <c r="B10" s="6" t="inlineStr">
        <is>
          <t>INDICADORES CLAVE</t>
        </is>
      </c>
    </row>
    <row r="11" ht="30" customHeight="1">
      <c r="B11" s="7" t="inlineStr">
        <is>
          <t>Ajuste propuesto a ingresos</t>
        </is>
      </c>
      <c r="C11" s="7" t="inlineStr">
        <is>
          <t>Problemas encontrados</t>
        </is>
      </c>
    </row>
    <row r="12">
      <c r="B12" s="8" t="n">
        <v>-114620</v>
      </c>
      <c r="C12" s="9" t="n">
        <v>21</v>
      </c>
    </row>
    <row r="15">
      <c r="B15" s="6" t="inlineStr">
        <is>
          <t>IR A LA CÉDULA</t>
        </is>
      </c>
    </row>
    <row r="16" ht="32" customHeight="1">
      <c r="B16" s="10" t="inlineStr">
        <is>
          <t>Carátula</t>
        </is>
      </c>
      <c r="C16" s="10" t="inlineStr">
        <is>
          <t>Programa</t>
        </is>
      </c>
      <c r="D16" s="10" t="inlineStr">
        <is>
          <t>Base técnica</t>
        </is>
      </c>
      <c r="E16" s="10" t="inlineStr">
        <is>
          <t>Resumen</t>
        </is>
      </c>
    </row>
    <row r="17" ht="32" customHeight="1">
      <c r="B17" s="10" t="inlineStr">
        <is>
          <t>Parámetros</t>
        </is>
      </c>
      <c r="C17" s="10" t="inlineStr">
        <is>
          <t>Detalle por obligación</t>
        </is>
      </c>
      <c r="D17" s="10" t="inlineStr">
        <is>
          <t>Precio y contraprestación variable</t>
        </is>
      </c>
      <c r="E17" s="10" t="inlineStr">
        <is>
          <t>Asignación del precio</t>
        </is>
      </c>
    </row>
    <row r="18" ht="32" customHeight="1">
      <c r="B18" s="10" t="inlineStr">
        <is>
          <t>Satisfacción y porcentaje de avance</t>
        </is>
      </c>
      <c r="C18" s="10" t="inlineStr">
        <is>
          <t>Devoluciones y notas de crédito</t>
        </is>
      </c>
      <c r="D18" s="10" t="inlineStr">
        <is>
          <t>Componente de financiación</t>
        </is>
      </c>
      <c r="E18" s="10" t="inlineStr">
        <is>
          <t>Ingreso reconocible vs registrado</t>
        </is>
      </c>
    </row>
    <row r="19" ht="32" customHeight="1">
      <c r="B19" s="10" t="inlineStr">
        <is>
          <t>Activo y pasivo del contrato</t>
        </is>
      </c>
      <c r="C19" s="10" t="inlineStr">
        <is>
          <t>Corte de ingresos</t>
        </is>
      </c>
      <c r="D19" s="10" t="inlineStr">
        <is>
          <t>Modificaciones de contratos</t>
        </is>
      </c>
      <c r="E19" s="10" t="inlineStr">
        <is>
          <t>Conciliación y ajustes</t>
        </is>
      </c>
    </row>
    <row r="20" ht="32" customHeight="1">
      <c r="B20" s="10" t="inlineStr">
        <is>
          <t>Asientos propuestos</t>
        </is>
      </c>
      <c r="C20" s="10" t="inlineStr">
        <is>
          <t>Problemas encontrados</t>
        </is>
      </c>
      <c r="D20" s="10" t="inlineStr">
        <is>
          <t>Conclusión</t>
        </is>
      </c>
      <c r="E20" s="10" t="inlineStr">
        <is>
          <t>Control de revisión</t>
        </is>
      </c>
    </row>
    <row r="22">
      <c r="B22" s="6" t="inlineStr">
        <is>
          <t>PANORAMA</t>
        </is>
      </c>
      <c r="N22" s="11" t="inlineStr">
        <is>
          <t>Datos de los gráficos (fórmulas a las cédulas)</t>
        </is>
      </c>
    </row>
    <row r="23">
      <c r="N23" s="12" t="inlineStr">
        <is>
          <t>Cifras del resumen</t>
        </is>
      </c>
      <c r="O23" s="12" t="inlineStr">
        <is>
          <t>Importe (USD)</t>
        </is>
      </c>
    </row>
    <row r="24">
      <c r="N24" s="12">
        <f>'01_Resumen'!A5</f>
        <v/>
      </c>
      <c r="O24" s="13">
        <f>'01_Resumen'!B5</f>
        <v/>
      </c>
    </row>
    <row r="25">
      <c r="N25" s="12">
        <f>'01_Resumen'!A6</f>
        <v/>
      </c>
      <c r="O25" s="13">
        <f>'01_Resumen'!B6</f>
        <v/>
      </c>
    </row>
    <row r="26">
      <c r="N26" s="12">
        <f>'01_Resumen'!A7</f>
        <v/>
      </c>
      <c r="O26" s="13">
        <f>'01_Resumen'!B7</f>
        <v/>
      </c>
    </row>
    <row r="27">
      <c r="N27" s="12">
        <f>'01_Resumen'!A8</f>
        <v/>
      </c>
      <c r="O27" s="13">
        <f>'01_Resumen'!B8</f>
        <v/>
      </c>
    </row>
    <row r="28">
      <c r="N28" s="12">
        <f>'01_Resumen'!A9</f>
        <v/>
      </c>
      <c r="O28" s="13">
        <f>'01_Resumen'!B9</f>
        <v/>
      </c>
    </row>
    <row r="29">
      <c r="N29" s="12">
        <f>'01_Resumen'!A10</f>
        <v/>
      </c>
      <c r="O29" s="13">
        <f>'01_Resumen'!B10</f>
        <v/>
      </c>
    </row>
    <row r="30">
      <c r="N30" s="12">
        <f>'01_Resumen'!A11</f>
        <v/>
      </c>
      <c r="O30" s="13">
        <f>'01_Resumen'!B11</f>
        <v/>
      </c>
    </row>
    <row r="31">
      <c r="N31" s="12">
        <f>'01_Resumen'!A12</f>
        <v/>
      </c>
      <c r="O31" s="13">
        <f>'01_Resumen'!B12</f>
        <v/>
      </c>
    </row>
    <row r="32">
      <c r="N32" s="12">
        <f>'01_Resumen'!A13</f>
        <v/>
      </c>
      <c r="O32" s="13">
        <f>'01_Resumen'!B13</f>
        <v/>
      </c>
    </row>
    <row r="33">
      <c r="N33" s="12">
        <f>'01_Resumen'!A14</f>
        <v/>
      </c>
      <c r="O33" s="13">
        <f>'01_Resumen'!B14</f>
        <v/>
      </c>
    </row>
    <row r="34">
      <c r="N34" s="12">
        <f>'01_Resumen'!A15</f>
        <v/>
      </c>
      <c r="O34" s="13">
        <f>'01_Resumen'!B15</f>
        <v/>
      </c>
    </row>
    <row r="35">
      <c r="N35" s="12">
        <f>'01_Resumen'!A16</f>
        <v/>
      </c>
      <c r="O35" s="13">
        <f>'01_Resumen'!B16</f>
        <v/>
      </c>
    </row>
    <row r="36">
      <c r="N36" s="12">
        <f>'01_Resumen'!A17</f>
        <v/>
      </c>
      <c r="O36" s="13">
        <f>'01_Resumen'!B17</f>
        <v/>
      </c>
    </row>
    <row r="37">
      <c r="N37" s="12">
        <f>'01_Resumen'!A18</f>
        <v/>
      </c>
      <c r="O37" s="13">
        <f>'01_Resumen'!B18</f>
        <v/>
      </c>
    </row>
    <row r="38">
      <c r="N38" s="12">
        <f>'01_Resumen'!A19</f>
        <v/>
      </c>
      <c r="O38" s="13">
        <f>'01_Resumen'!B19</f>
        <v/>
      </c>
    </row>
    <row r="39">
      <c r="N39" s="12">
        <f>'01_Resumen'!A20</f>
        <v/>
      </c>
      <c r="O39" s="13">
        <f>'01_Resumen'!B20</f>
        <v/>
      </c>
    </row>
    <row r="40">
      <c r="N40" s="12">
        <f>'01_Resumen'!A21</f>
        <v/>
      </c>
      <c r="O40" s="13">
        <f>'01_Resumen'!B21</f>
        <v/>
      </c>
    </row>
    <row r="41">
      <c r="N41" s="12">
        <f>'01_Resumen'!A22</f>
        <v/>
      </c>
      <c r="O41" s="13">
        <f>'01_Resumen'!B22</f>
        <v/>
      </c>
    </row>
    <row r="42">
      <c r="N42" s="12">
        <f>'01_Resumen'!A23</f>
        <v/>
      </c>
      <c r="O42" s="13">
        <f>'01_Resumen'!B23</f>
        <v/>
      </c>
    </row>
    <row r="43">
      <c r="N43" s="12">
        <f>'01_Resumen'!A24</f>
        <v/>
      </c>
      <c r="O43" s="13">
        <f>'01_Resumen'!B24</f>
        <v/>
      </c>
    </row>
    <row r="45">
      <c r="N45" s="12" t="inlineStr">
        <is>
          <t>Hallazgos de mayor impacto</t>
        </is>
      </c>
      <c r="O45" s="12" t="inlineStr">
        <is>
          <t>Importe (USD)</t>
        </is>
      </c>
    </row>
    <row r="46">
      <c r="N46" s="12" t="inlineStr">
        <is>
          <t>Ajuste ingresos</t>
        </is>
      </c>
      <c r="O46" s="13">
        <f>SUMIFS('15_Problemas'!$C$5:$C$25,'15_Problemas'!$A$5:$A$25,"AJUSTE_INGRESOS",'15_Problemas'!$C$5:$C$25,"&gt;0")-SUMIFS('15_Problemas'!$C$5:$C$25,'15_Problemas'!$A$5:$A$25,"AJUSTE_INGRESOS",'15_Problemas'!$C$5:$C$25,"&lt;0")</f>
        <v/>
      </c>
    </row>
    <row r="47">
      <c r="N47" s="12" t="inlineStr">
        <is>
          <t>Pasivo contrato no presentado</t>
        </is>
      </c>
      <c r="O47" s="13">
        <f>SUMIFS('15_Problemas'!$C$5:$C$25,'15_Problemas'!$A$5:$A$25,"PASIVO_CONTRATO_NO_PRESENTADO",'15_Problemas'!$C$5:$C$25,"&gt;0")-SUMIFS('15_Problemas'!$C$5:$C$25,'15_Problemas'!$A$5:$A$25,"PASIVO_CONTRATO_NO_PRESENTADO",'15_Problemas'!$C$5:$C$25,"&lt;0")</f>
        <v/>
      </c>
    </row>
    <row r="48">
      <c r="N48" s="12" t="inlineStr">
        <is>
          <t>Variable sin restriccion (×2)</t>
        </is>
      </c>
      <c r="O48" s="13">
        <f>SUMIFS('15_Problemas'!$C$5:$C$25,'15_Problemas'!$A$5:$A$25,"VARIABLE_SIN_RESTRICCION",'15_Problemas'!$C$5:$C$25,"&gt;0")-SUMIFS('15_Problemas'!$C$5:$C$25,'15_Problemas'!$A$5:$A$25,"VARIABLE_SIN_RESTRICCION",'15_Problemas'!$C$5:$C$25,"&lt;0")</f>
        <v/>
      </c>
    </row>
    <row r="49">
      <c r="N49" s="12" t="inlineStr">
        <is>
          <t>Error corte (×2)</t>
        </is>
      </c>
      <c r="O49" s="13">
        <f>SUMIFS('15_Problemas'!$C$5:$C$25,'15_Problemas'!$A$5:$A$25,"ERROR_CORTE",'15_Problemas'!$C$5:$C$25,"&gt;0")-SUMIFS('15_Problemas'!$C$5:$C$25,'15_Problemas'!$A$5:$A$25,"ERROR_CORTE",'15_Problemas'!$C$5:$C$25,"&lt;0")</f>
        <v/>
      </c>
    </row>
    <row r="50">
      <c r="N50" s="12" t="inlineStr">
        <is>
          <t>Avance mal calculado</t>
        </is>
      </c>
      <c r="O50" s="13">
        <f>SUMIFS('15_Problemas'!$C$5:$C$25,'15_Problemas'!$A$5:$A$25,"AVANCE_MAL_CALCULADO",'15_Problemas'!$C$5:$C$25,"&gt;0")-SUMIFS('15_Problemas'!$C$5:$C$25,'15_Problemas'!$A$5:$A$25,"AVANCE_MAL_CALCULADO",'15_Problemas'!$C$5:$C$25,"&lt;0")</f>
        <v/>
      </c>
    </row>
    <row r="51">
      <c r="N51" s="12" t="inlineStr">
        <is>
          <t>Activo contrato no presentado</t>
        </is>
      </c>
      <c r="O51" s="13">
        <f>SUMIFS('15_Problemas'!$C$5:$C$25,'15_Problemas'!$A$5:$A$25,"ACTIVO_CONTRATO_NO_PRESENTADO",'15_Problemas'!$C$5:$C$25,"&gt;0")-SUMIFS('15_Problemas'!$C$5:$C$25,'15_Problemas'!$A$5:$A$25,"ACTIVO_CONTRATO_NO_PRESENTADO",'15_Problemas'!$C$5:$C$25,"&lt;0")</f>
        <v/>
      </c>
    </row>
    <row r="52">
      <c r="N52" s="12" t="inlineStr">
        <is>
          <t>Financiacion no separada</t>
        </is>
      </c>
      <c r="O52" s="13">
        <f>SUMIFS('15_Problemas'!$C$5:$C$25,'15_Problemas'!$A$5:$A$25,"FINANCIACION_NO_SEPARADA",'15_Problemas'!$C$5:$C$25,"&gt;0")-SUMIFS('15_Problemas'!$C$5:$C$25,'15_Problemas'!$A$5:$A$25,"FINANCIACION_NO_SEPARADA",'15_Problemas'!$C$5:$C$25,"&lt;0")</f>
        <v/>
      </c>
    </row>
    <row r="53">
      <c r="N53" s="12" t="inlineStr">
        <is>
          <t>Otros (7 tipos)</t>
        </is>
      </c>
      <c r="O53" s="13">
        <f>SUMIF('15_Problemas'!$C$5:$C$25,"&gt;0")-SUMIF('15_Problemas'!$C$5:$C$25,"&lt;0")-((SUMIFS('15_Problemas'!$C$5:$C$25,'15_Problemas'!$A$5:$A$25,"AJUSTE_INGRESOS",'15_Problemas'!$C$5:$C$25,"&gt;0")-SUMIFS('15_Problemas'!$C$5:$C$25,'15_Problemas'!$A$5:$A$25,"AJUSTE_INGRESOS",'15_Problemas'!$C$5:$C$25,"&lt;0"))+(SUMIFS('15_Problemas'!$C$5:$C$25,'15_Problemas'!$A$5:$A$25,"PASIVO_CONTRATO_NO_PRESENTADO",'15_Problemas'!$C$5:$C$25,"&gt;0")-SUMIFS('15_Problemas'!$C$5:$C$25,'15_Problemas'!$A$5:$A$25,"PASIVO_CONTRATO_NO_PRESENTADO",'15_Problemas'!$C$5:$C$25,"&lt;0"))+(SUMIFS('15_Problemas'!$C$5:$C$25,'15_Problemas'!$A$5:$A$25,"VARIABLE_SIN_RESTRICCION",'15_Problemas'!$C$5:$C$25,"&gt;0")-SUMIFS('15_Problemas'!$C$5:$C$25,'15_Problemas'!$A$5:$A$25,"VARIABLE_SIN_RESTRICCION",'15_Problemas'!$C$5:$C$25,"&lt;0"))+(SUMIFS('15_Problemas'!$C$5:$C$25,'15_Problemas'!$A$5:$A$25,"ERROR_CORTE",'15_Problemas'!$C$5:$C$25,"&gt;0")-SUMIFS('15_Problemas'!$C$5:$C$25,'15_Problemas'!$A$5:$A$25,"ERROR_CORTE",'15_Problemas'!$C$5:$C$25,"&lt;0"))+(SUMIFS('15_Problemas'!$C$5:$C$25,'15_Problemas'!$A$5:$A$25,"AVANCE_MAL_CALCULADO",'15_Problemas'!$C$5:$C$25,"&gt;0")-SUMIFS('15_Problemas'!$C$5:$C$25,'15_Problemas'!$A$5:$A$25,"AVANCE_MAL_CALCULADO",'15_Problemas'!$C$5:$C$25,"&lt;0"))+(SUMIFS('15_Problemas'!$C$5:$C$25,'15_Problemas'!$A$5:$A$25,"ACTIVO_CONTRATO_NO_PRESENTADO",'15_Problemas'!$C$5:$C$25,"&gt;0")-SUMIFS('15_Problemas'!$C$5:$C$25,'15_Problemas'!$A$5:$A$25,"ACTIVO_CONTRATO_NO_PRESENTADO",'15_Problemas'!$C$5:$C$25,"&lt;0"))+(SUMIFS('15_Problemas'!$C$5:$C$25,'15_Problemas'!$A$5:$A$25,"FINANCIACION_NO_SEPARADA",'15_Problemas'!$C$5:$C$25,"&gt;0")-SUMIFS('15_Problemas'!$C$5:$C$25,'15_Problemas'!$A$5:$A$25,"FINANCIACION_NO_SEPARADA",'15_Problemas'!$C$5:$C$25,"&lt;0")))</f>
        <v/>
      </c>
    </row>
  </sheetData>
  <mergeCells count="2">
    <mergeCell ref="B4:F4"/>
    <mergeCell ref="B2:F3"/>
  </mergeCell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B17" r:id="rId5"/>
    <hyperlink xmlns:r="http://schemas.openxmlformats.org/officeDocument/2006/relationships" ref="C17" r:id="rId6"/>
    <hyperlink xmlns:r="http://schemas.openxmlformats.org/officeDocument/2006/relationships" ref="D17" r:id="rId7"/>
    <hyperlink xmlns:r="http://schemas.openxmlformats.org/officeDocument/2006/relationships" ref="E17" r:id="rId8"/>
    <hyperlink xmlns:r="http://schemas.openxmlformats.org/officeDocument/2006/relationships" ref="B18" r:id="rId9"/>
    <hyperlink xmlns:r="http://schemas.openxmlformats.org/officeDocument/2006/relationships" ref="C18" r:id="rId10"/>
    <hyperlink xmlns:r="http://schemas.openxmlformats.org/officeDocument/2006/relationships" ref="D18" r:id="rId11"/>
    <hyperlink xmlns:r="http://schemas.openxmlformats.org/officeDocument/2006/relationships" ref="E18" r:id="rId12"/>
    <hyperlink xmlns:r="http://schemas.openxmlformats.org/officeDocument/2006/relationships" ref="B19" r:id="rId13"/>
    <hyperlink xmlns:r="http://schemas.openxmlformats.org/officeDocument/2006/relationships" ref="C19" r:id="rId14"/>
    <hyperlink xmlns:r="http://schemas.openxmlformats.org/officeDocument/2006/relationships" ref="D19" r:id="rId15"/>
    <hyperlink xmlns:r="http://schemas.openxmlformats.org/officeDocument/2006/relationships" ref="E19" r:id="rId16"/>
    <hyperlink xmlns:r="http://schemas.openxmlformats.org/officeDocument/2006/relationships" ref="B20" r:id="rId17"/>
    <hyperlink xmlns:r="http://schemas.openxmlformats.org/officeDocument/2006/relationships" ref="C20" r:id="rId18"/>
    <hyperlink xmlns:r="http://schemas.openxmlformats.org/officeDocument/2006/relationships" ref="D20" r:id="rId19"/>
    <hyperlink xmlns:r="http://schemas.openxmlformats.org/officeDocument/2006/relationships" ref="E20" r:id="rId20"/>
  </hyperlinks>
  <printOptions horizontalCentered="1"/>
  <pageMargins left="0.75" right="0.75" top="1" bottom="1" header="0.5" footer="0.5"/>
  <pageSetup orientation="landscape" fitToHeight="0" fitToWidth="1"/>
  <headerFooter>
    <oddHeader/>
    <oddFooter>&amp;LAuditConsulting Auditores Cía. Ltda.&amp;CCliente de muestra S.A.&amp;RPágina &amp;P de &amp;N</oddFooter>
    <evenHeader/>
    <evenFooter/>
    <firstHeader/>
    <firstFooter/>
  </headerFooter>
  <drawing xmlns:r="http://schemas.openxmlformats.org/officeDocument/2006/relationships" r:id="rId2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3" t="inlineStr">
        <is>
          <t>Carátula</t>
        </is>
      </c>
      <c r="H1" s="14" t="inlineStr">
        <is>
          <t>⟵ Inicio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Firma</t>
        </is>
      </c>
      <c r="B5" s="18" t="inlineStr">
        <is>
          <t>AuditConsulting Auditores Cía. Ltda.</t>
        </is>
      </c>
    </row>
    <row r="6">
      <c r="A6" s="19" t="inlineStr">
        <is>
          <t>Cliente</t>
        </is>
      </c>
      <c r="B6" s="19" t="inlineStr">
        <is>
          <t>Cliente de muestra S.A.</t>
        </is>
      </c>
    </row>
    <row r="7">
      <c r="A7" s="18" t="inlineStr">
        <is>
          <t>RUC</t>
        </is>
      </c>
      <c r="B7" s="18" t="inlineStr">
        <is>
          <t>1790000000001</t>
        </is>
      </c>
    </row>
    <row r="8">
      <c r="A8" s="19" t="inlineStr">
        <is>
          <t>Ejercicio</t>
        </is>
      </c>
      <c r="B8" s="19" t="inlineStr">
        <is>
          <t>2025</t>
        </is>
      </c>
    </row>
    <row r="9">
      <c r="A9" s="18" t="inlineStr">
        <is>
          <t>Fecha de corte</t>
        </is>
      </c>
      <c r="B9" s="18" t="inlineStr">
        <is>
          <t>2025-12-31</t>
        </is>
      </c>
    </row>
    <row r="10">
      <c r="A10" s="19" t="inlineStr">
        <is>
          <t>Marco contable</t>
        </is>
      </c>
      <c r="B10" s="19" t="inlineStr">
        <is>
          <t>NIIF completas</t>
        </is>
      </c>
    </row>
    <row r="11">
      <c r="A11" s="18" t="inlineStr">
        <is>
          <t>Herramienta</t>
        </is>
      </c>
      <c r="B11" s="18" t="inlineStr">
        <is>
          <t>Ingresos · contratos con clientes (existencia, precio, asignación, satisfacción, corte y devoluciones)</t>
        </is>
      </c>
    </row>
    <row r="12">
      <c r="A12" s="19" t="inlineStr">
        <is>
          <t>Rubro</t>
        </is>
      </c>
      <c r="B12" s="19" t="inlineStr">
        <is>
          <t>Ingresos</t>
        </is>
      </c>
    </row>
    <row r="13">
      <c r="A13" s="18" t="inlineStr">
        <is>
          <t>Motor</t>
        </is>
      </c>
      <c r="B13" s="18" t="inlineStr">
        <is>
          <t>ingresos_contratos 1.0</t>
        </is>
      </c>
    </row>
    <row r="14">
      <c r="A14" s="19" t="inlineStr">
        <is>
          <t>Versión del papel</t>
        </is>
      </c>
      <c r="B14" s="19" t="inlineStr">
        <is>
          <t>v1</t>
        </is>
      </c>
    </row>
    <row r="15">
      <c r="A15" s="18" t="inlineStr">
        <is>
          <t>Estado</t>
        </is>
      </c>
      <c r="B15" s="18" t="inlineStr">
        <is>
          <t>MUESTRA</t>
        </is>
      </c>
    </row>
    <row r="16">
      <c r="A16" s="19" t="inlineStr">
        <is>
          <t>Preparó</t>
        </is>
      </c>
      <c r="B16" s="19" t="inlineStr">
        <is>
          <t>Ejercicio modelo</t>
        </is>
      </c>
    </row>
    <row r="17">
      <c r="A17" s="18" t="inlineStr">
        <is>
          <t>Revisó</t>
        </is>
      </c>
      <c r="B17" s="18" t="inlineStr">
        <is>
          <t>Pendiente</t>
        </is>
      </c>
    </row>
    <row r="18">
      <c r="A18" s="19" t="inlineStr">
        <is>
          <t>Aprobó</t>
        </is>
      </c>
      <c r="B18" s="19" t="inlineStr"/>
    </row>
    <row r="19">
      <c r="A19" s="18" t="inlineStr">
        <is>
          <t>Fecha de aprobación</t>
        </is>
      </c>
      <c r="B19" s="18" t="inlineStr"/>
    </row>
    <row r="20">
      <c r="A20" s="19" t="inlineStr">
        <is>
          <t>Huella de la ejecución (SHA-256)</t>
        </is>
      </c>
      <c r="B20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J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4" customWidth="1" min="3" max="3"/>
    <col width="60" customWidth="1" min="4" max="4"/>
    <col width="60" customWidth="1" min="5" max="5"/>
    <col width="57" customWidth="1" min="6" max="6"/>
    <col width="60" customWidth="1" min="7" max="7"/>
  </cols>
  <sheetData>
    <row r="1">
      <c r="A1" s="3" t="inlineStr">
        <is>
          <t>Programa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Código</t>
        </is>
      </c>
      <c r="B4" s="17" t="inlineStr">
        <is>
          <t>Objetivo</t>
        </is>
      </c>
      <c r="C4" s="17" t="inlineStr">
        <is>
          <t>Afirmación</t>
        </is>
      </c>
      <c r="D4" s="17" t="inlineStr">
        <is>
          <t>Procedimiento</t>
        </is>
      </c>
      <c r="E4" s="17" t="inlineStr">
        <is>
          <t>Evidencia</t>
        </is>
      </c>
      <c r="F4" s="17" t="inlineStr">
        <is>
          <t>Criterio</t>
        </is>
      </c>
      <c r="G4" s="17" t="inlineStr">
        <is>
          <t>Referencia</t>
        </is>
      </c>
    </row>
    <row r="5">
      <c r="A5" s="18" t="inlineStr">
        <is>
          <t>ING-01</t>
        </is>
      </c>
      <c r="B5" s="18" t="inlineStr">
        <is>
          <t>Existencia del contrato (REV-FULL-01 / REV-SME25-01)</t>
        </is>
      </c>
      <c r="C5" s="18" t="inlineStr">
        <is>
          <t>Ocurrencia</t>
        </is>
      </c>
      <c r="D5" s="18" t="inlineStr">
        <is>
          <t>Obtener contratos u órdenes aprobadas y evaluar los criterios de existencia</t>
        </is>
      </c>
      <c r="E5" s="18" t="inlineStr">
        <is>
          <t>Contratos, órdenes de compra, adendas</t>
        </is>
      </c>
      <c r="F5" s="18" t="inlineStr">
        <is>
          <t>Ingreso solo con contrato válido</t>
        </is>
      </c>
      <c r="G5" s="18" t="inlineStr">
        <is>
          <t>NIIF 15 9 · PYMES 2025 23.7 · PYMES 2015 23.10 a)-e) y 23.14 a)-d)</t>
        </is>
      </c>
    </row>
    <row r="6">
      <c r="A6" s="19" t="inlineStr">
        <is>
          <t>ING-02</t>
        </is>
      </c>
      <c r="B6" s="19" t="inlineStr">
        <is>
          <t>Obligaciones y asignación (REV-FULL-02, 06 / REV-SME25-02, 04)</t>
        </is>
      </c>
      <c r="C6" s="19" t="inlineStr">
        <is>
          <t>Exactitud</t>
        </is>
      </c>
      <c r="D6" s="19" t="inlineStr">
        <is>
          <t>Identificar obligaciones diferenciadas y recalcular la asignación por precio de venta independiente relativo</t>
        </is>
      </c>
      <c r="E6" s="19" t="inlineStr">
        <is>
          <t>Listas de precios, cotizaciones</t>
        </is>
      </c>
      <c r="F6" s="19" t="inlineStr">
        <is>
          <t>Diferencia de asignación cuantificada</t>
        </is>
      </c>
      <c r="G6" s="19" t="inlineStr">
        <is>
          <t>NIIF 15 22-30, 73-80 · PYMES 2025 23.14-23.22, 23.42</t>
        </is>
      </c>
    </row>
    <row r="7">
      <c r="A7" s="18" t="inlineStr">
        <is>
          <t>ING-03</t>
        </is>
      </c>
      <c r="B7" s="18" t="inlineStr">
        <is>
          <t>Precio y contraprestación variable (REV-FULL-03, 04 / REV-SME25-03, 06 / REV-SME15-05)</t>
        </is>
      </c>
      <c r="C7" s="18" t="inlineStr">
        <is>
          <t>Exactitud / Valoración</t>
        </is>
      </c>
      <c r="D7" s="18" t="inlineStr">
        <is>
          <t>Revisar bonos, descuentos y rappels y su probabilidad; aplicar la restricción</t>
        </is>
      </c>
      <c r="E7" s="18" t="inlineStr">
        <is>
          <t>Contratos, historia de cumplimiento</t>
        </is>
      </c>
      <c r="F7" s="18" t="inlineStr">
        <is>
          <t>Variable altamente probable</t>
        </is>
      </c>
      <c r="G7" s="18" t="inlineStr">
        <is>
          <t>NIIF 15 50-59 · PYMES 2025 23.26-23.31 · PYMES 2015 23.3</t>
        </is>
      </c>
    </row>
    <row r="8">
      <c r="A8" s="19" t="inlineStr">
        <is>
          <t>ING-04</t>
        </is>
      </c>
      <c r="B8" s="19" t="inlineStr">
        <is>
          <t>Satisfacción y avance (REV-FULL-07, 08 / REV-SME25-05 / REV-SME15-01..03)</t>
        </is>
      </c>
      <c r="C8" s="19" t="inlineStr">
        <is>
          <t>Ocurrencia / Exactitud</t>
        </is>
      </c>
      <c r="D8" s="19" t="inlineStr">
        <is>
          <t>Recalcular el avance por costos y verificar la transferencia del control</t>
        </is>
      </c>
      <c r="E8" s="19" t="inlineStr">
        <is>
          <t>Presupuestos, costos incurridos, actas de entrega</t>
        </is>
      </c>
      <c r="F8" s="19" t="inlineStr">
        <is>
          <t>Avance y transferencia recalculados</t>
        </is>
      </c>
      <c r="G8" s="19" t="inlineStr">
        <is>
          <t>NIIF 15 31-45 · PYMES 2025 23.49-23.66 · PYMES 2015 23.10-23.22</t>
        </is>
      </c>
    </row>
    <row r="9">
      <c r="A9" s="18" t="inlineStr">
        <is>
          <t>ING-05</t>
        </is>
      </c>
      <c r="B9" s="18" t="inlineStr">
        <is>
          <t>Corte (REV-03)</t>
        </is>
      </c>
      <c r="C9" s="18" t="inlineStr">
        <is>
          <t>Corte</t>
        </is>
      </c>
      <c r="D9" s="18" t="inlineStr">
        <is>
          <t>Comparar fecha de registro con fecha de transferencia alrededor del cierre</t>
        </is>
      </c>
      <c r="E9" s="18" t="inlineStr">
        <is>
          <t>Guías de remisión, actas, facturas</t>
        </is>
      </c>
      <c r="F9" s="18" t="inlineStr">
        <is>
          <t>Ingreso en el período de la transferencia</t>
        </is>
      </c>
      <c r="G9" s="18" t="inlineStr">
        <is>
          <t>NIIF 15 38 · NIA 330</t>
        </is>
      </c>
    </row>
    <row r="10">
      <c r="A10" s="19" t="inlineStr">
        <is>
          <t>ING-06</t>
        </is>
      </c>
      <c r="B10" s="19" t="inlineStr">
        <is>
          <t>Devoluciones y notas de crédito (REV-04 / REV-FULL-11 / REV-SME15-07)</t>
        </is>
      </c>
      <c r="C10" s="19" t="inlineStr">
        <is>
          <t>Valoración</t>
        </is>
      </c>
      <c r="D10" s="19" t="inlineStr">
        <is>
          <t>Evaluar la tasa de devolución esperada, recalcular el pasivo por reembolso y el activo por el derecho a recuperar los productos (con su ajuste al costo de ventas) y cotejar notas de crédito posteriores al cierre</t>
        </is>
      </c>
      <c r="E10" s="19" t="inlineStr">
        <is>
          <t>Estadística de devoluciones, costo de ventas, NC posteriores</t>
        </is>
      </c>
      <c r="F10" s="19" t="inlineStr">
        <is>
          <t>Pasivo por reembolso y activo por recuperar reconocidos</t>
        </is>
      </c>
      <c r="G10" s="19" t="inlineStr">
        <is>
          <t>NIIF 15 B20-B27 (B21 c, B25) · PYMES 2025 23.33-23.35 y 23A.23-23A.27 (23A.24 c) · NIA 560</t>
        </is>
      </c>
    </row>
    <row r="11">
      <c r="A11" s="18" t="inlineStr">
        <is>
          <t>ING-07</t>
        </is>
      </c>
      <c r="B11" s="18" t="inlineStr">
        <is>
          <t>Componente de financiación (REV-FULL-05 / REV-SME15-06)</t>
        </is>
      </c>
      <c r="C11" s="18" t="inlineStr">
        <is>
          <t>Clasificación</t>
        </is>
      </c>
      <c r="D11" s="18" t="inlineStr">
        <is>
          <t>Identificar cobros diferidos más allá del umbral y descontar a la tasa de mercado</t>
        </is>
      </c>
      <c r="E11" s="18" t="inlineStr">
        <is>
          <t>Contratos, tasas de mercado</t>
        </is>
      </c>
      <c r="F11" s="18" t="inlineStr">
        <is>
          <t>Interés separado del ingreso</t>
        </is>
      </c>
      <c r="G11" s="18" t="inlineStr">
        <is>
          <t>NIIF 15 60-65 · PYMES 2025 23.36-23.38 · PYMES 2015 23.5</t>
        </is>
      </c>
    </row>
    <row r="12">
      <c r="A12" s="19" t="inlineStr">
        <is>
          <t>ING-08</t>
        </is>
      </c>
      <c r="B12" s="19" t="inlineStr">
        <is>
          <t>Activo y pasivo del contrato (REV-FULL-12)</t>
        </is>
      </c>
      <c r="C12" s="19" t="inlineStr">
        <is>
          <t>Presentación</t>
        </is>
      </c>
      <c r="D12" s="19" t="inlineStr">
        <is>
          <t>Determinar por contrato la posición reconocido − facturado y compararla con el mayor</t>
        </is>
      </c>
      <c r="E12" s="19" t="inlineStr">
        <is>
          <t>Facturación, mayor</t>
        </is>
      </c>
      <c r="F12" s="19" t="inlineStr">
        <is>
          <t>Activo/pasivo presentados</t>
        </is>
      </c>
      <c r="G12" s="19" t="inlineStr">
        <is>
          <t>NIIF 15 105-109 · PYMES 2025 23.77-23.80</t>
        </is>
      </c>
    </row>
    <row r="13">
      <c r="A13" s="18" t="inlineStr">
        <is>
          <t>ING-09</t>
        </is>
      </c>
      <c r="B13" s="18" t="inlineStr">
        <is>
          <t>Modificaciones (REV-FULL-09)</t>
        </is>
      </c>
      <c r="C13" s="18" t="inlineStr">
        <is>
          <t>Exactitud</t>
        </is>
      </c>
      <c r="D13" s="18" t="inlineStr">
        <is>
          <t>Revisar adendas y su tratamiento (separado, prospectivo, acumulativo)</t>
        </is>
      </c>
      <c r="E13" s="18" t="inlineStr">
        <is>
          <t>Adendas, órdenes de cambio</t>
        </is>
      </c>
      <c r="F13" s="18" t="inlineStr">
        <is>
          <t>Tratamiento documentado</t>
        </is>
      </c>
      <c r="G13" s="18" t="inlineStr">
        <is>
          <t>NIIF 15 18-21 · PYMES 2025 23.12, 23A.2-23A.4</t>
        </is>
      </c>
    </row>
    <row r="14">
      <c r="A14" s="19" t="inlineStr">
        <is>
          <t>ING-10</t>
        </is>
      </c>
      <c r="B14" s="19" t="inlineStr">
        <is>
          <t>Sumaria e integridad (REV-01, REV-02)</t>
        </is>
      </c>
      <c r="C14" s="19" t="inlineStr">
        <is>
          <t>Integridad</t>
        </is>
      </c>
      <c r="D14" s="19" t="inlineStr">
        <is>
          <t>Conciliar el anexo de contratos con los ingresos del mayor</t>
        </is>
      </c>
      <c r="E14" s="19" t="inlineStr">
        <is>
          <t>Mayor de ingresos</t>
        </is>
      </c>
      <c r="F14" s="19" t="inlineStr">
        <is>
          <t>Diferencia explicada</t>
        </is>
      </c>
      <c r="G14" s="19" t="inlineStr">
        <is>
          <t>NIA 500 párr. 9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  <col width="12" customWidth="1" min="4" max="4"/>
    <col width="12" customWidth="1" min="5" max="5"/>
  </cols>
  <sheetData>
    <row r="1">
      <c r="A1" s="3" t="inlineStr">
        <is>
          <t>Base técnica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Categoría</t>
        </is>
      </c>
      <c r="B4" s="17" t="inlineStr">
        <is>
          <t>Documento</t>
        </is>
      </c>
      <c r="C4" s="17" t="inlineStr">
        <is>
          <t>Párrafos</t>
        </is>
      </c>
      <c r="D4" s="17" t="inlineStr">
        <is>
          <t>URL</t>
        </is>
      </c>
      <c r="E4" s="17" t="inlineStr">
        <is>
          <t>Verificada</t>
        </is>
      </c>
    </row>
    <row r="5">
      <c r="A5" s="18" t="inlineStr">
        <is>
          <t>NIA · NIA 240</t>
        </is>
      </c>
      <c r="B5" s="18" t="inlineStr">
        <is>
          <t>Presunción de riesgo de fraude en el reconocimiento de ingresos.</t>
        </is>
      </c>
      <c r="C5" s="18" t="inlineStr">
        <is>
          <t>párr. 26-27 (la NIA 240 Revisada rige para períodos que empiecen desde el 15-12-2026 y cambia la numeración; se permite su aplicación anticipada)</t>
        </is>
      </c>
      <c r="D5" s="18" t="inlineStr"/>
      <c r="E5" s="18" t="inlineStr"/>
    </row>
    <row r="6">
      <c r="A6" s="19" t="inlineStr">
        <is>
          <t>NIA · NIA 500</t>
        </is>
      </c>
      <c r="B6" s="19" t="inlineStr">
        <is>
          <t>Exactitud e integridad del anexo de contratos contra el mayor.</t>
        </is>
      </c>
      <c r="C6" s="19" t="inlineStr">
        <is>
          <t>párr. 9</t>
        </is>
      </c>
      <c r="D6" s="19" t="inlineStr"/>
      <c r="E6" s="19" t="inlineStr"/>
    </row>
    <row r="7">
      <c r="A7" s="18" t="inlineStr">
        <is>
          <t>NIA · NIA 540 (Revisada)</t>
        </is>
      </c>
      <c r="B7" s="18" t="inlineStr">
        <is>
          <t>Estimaciones: variable, avance por costos, devoluciones y tasa de descuento.</t>
        </is>
      </c>
      <c r="C7" s="18" t="inlineStr">
        <is>
          <t>párr. 13 y 17-30</t>
        </is>
      </c>
      <c r="D7" s="18" t="inlineStr"/>
      <c r="E7" s="18" t="inlineStr"/>
    </row>
    <row r="8">
      <c r="A8" s="19" t="inlineStr">
        <is>
          <t>NIA · NIA 560</t>
        </is>
      </c>
      <c r="B8" s="19" t="inlineStr">
        <is>
          <t>Notas de crédito y devoluciones posteriores al cierre.</t>
        </is>
      </c>
      <c r="C8" s="19" t="inlineStr">
        <is>
          <t>párr. 6</t>
        </is>
      </c>
      <c r="D8" s="19" t="inlineStr"/>
      <c r="E8" s="19" t="inlineStr"/>
    </row>
    <row r="9">
      <c r="A9" s="18" t="inlineStr">
        <is>
          <t>NIA · NIA 330</t>
        </is>
      </c>
      <c r="B9" s="18" t="inlineStr">
        <is>
          <t>Procedimientos sustantivos de corte y ocurrencia.</t>
        </is>
      </c>
      <c r="C9" s="18" t="inlineStr">
        <is>
          <t>párr. 18-20</t>
        </is>
      </c>
      <c r="D9" s="18" t="inlineStr"/>
      <c r="E9" s="18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3" t="inlineStr">
        <is>
          <t>Resumen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Ingreso reconocible del año (líneas medidas)</t>
        </is>
      </c>
      <c r="B5" s="20">
        <f>'13_Conciliacion'!B8</f>
        <v/>
      </c>
    </row>
    <row r="6">
      <c r="A6" s="19" t="inlineStr">
        <is>
          <t>Ingreso registrado en el año (anexo)</t>
        </is>
      </c>
      <c r="B6" s="21">
        <f>'13_Conciliacion'!B5</f>
        <v/>
      </c>
    </row>
    <row r="7">
      <c r="A7" s="18" t="inlineStr">
        <is>
          <t>Ingresos según el mayor</t>
        </is>
      </c>
      <c r="B7" s="20">
        <f>'13_Conciliacion'!B6</f>
        <v/>
      </c>
    </row>
    <row r="8">
      <c r="A8" s="19" t="inlineStr">
        <is>
          <t>Diferencia anexo − mayor</t>
        </is>
      </c>
      <c r="B8" s="21">
        <f>'13_Conciliacion'!B7</f>
        <v/>
      </c>
    </row>
    <row r="9">
      <c r="A9" s="18" t="inlineStr">
        <is>
          <t>Ajuste propuesto a ingresos</t>
        </is>
      </c>
      <c r="B9" s="20">
        <f>'13_Conciliacion'!B9</f>
        <v/>
      </c>
    </row>
    <row r="10">
      <c r="A10" s="19" t="inlineStr">
        <is>
          <t>Corte: registrado antes de la transferencia</t>
        </is>
      </c>
      <c r="B10" s="21">
        <f>'13_Conciliacion'!B10</f>
        <v/>
      </c>
    </row>
    <row r="11">
      <c r="A11" s="18" t="inlineStr">
        <is>
          <t>Corte: transferido sin registrar en el ejercicio</t>
        </is>
      </c>
      <c r="B11" s="20">
        <f>'13_Conciliacion'!B11</f>
        <v/>
      </c>
    </row>
    <row r="12">
      <c r="A12" s="19" t="inlineStr">
        <is>
          <t>Componente de financiación a separar</t>
        </is>
      </c>
      <c r="B12" s="21">
        <f>'13_Conciliacion'!B12</f>
        <v/>
      </c>
    </row>
    <row r="13">
      <c r="A13" s="18" t="inlineStr">
        <is>
          <t>Interés devengado al corte</t>
        </is>
      </c>
      <c r="B13" s="20">
        <f>'13_Conciliacion'!B13</f>
        <v/>
      </c>
    </row>
    <row r="14">
      <c r="A14" s="19" t="inlineStr">
        <is>
          <t>Pasivo por reembolso (devoluciones esperadas)</t>
        </is>
      </c>
      <c r="B14" s="21">
        <f>'13_Conciliacion'!B14</f>
        <v/>
      </c>
    </row>
    <row r="15">
      <c r="A15" s="18" t="inlineStr">
        <is>
          <t>Activo por el derecho a recuperar los productos (contra el costo de ventas)</t>
        </is>
      </c>
      <c r="B15" s="20">
        <f>'13_Conciliacion'!B15</f>
        <v/>
      </c>
    </row>
    <row r="16">
      <c r="A16" s="19" t="inlineStr">
        <is>
          <t>Notas de crédito posteriores no provisionadas</t>
        </is>
      </c>
      <c r="B16" s="21">
        <f>'13_Conciliacion'!B16</f>
        <v/>
      </c>
    </row>
    <row r="17">
      <c r="A17" s="18" t="inlineStr">
        <is>
          <t>Activo del contrato requerido</t>
        </is>
      </c>
      <c r="B17" s="20">
        <f>'13_Conciliacion'!B17</f>
        <v/>
      </c>
    </row>
    <row r="18">
      <c r="A18" s="19" t="inlineStr">
        <is>
          <t>Activo del contrato registrado</t>
        </is>
      </c>
      <c r="B18" s="21">
        <f>'13_Conciliacion'!B18</f>
        <v/>
      </c>
    </row>
    <row r="19">
      <c r="A19" s="18" t="inlineStr">
        <is>
          <t>Activo del contrato: diferencia</t>
        </is>
      </c>
      <c r="B19" s="20">
        <f>'13_Conciliacion'!B19</f>
        <v/>
      </c>
    </row>
    <row r="20">
      <c r="A20" s="19" t="inlineStr">
        <is>
          <t>Pasivo del contrato (ingreso diferido) requerido</t>
        </is>
      </c>
      <c r="B20" s="21">
        <f>'13_Conciliacion'!B20</f>
        <v/>
      </c>
    </row>
    <row r="21">
      <c r="A21" s="18" t="inlineStr">
        <is>
          <t>Pasivo del contrato (ingreso diferido) registrado (no informado: se toma 0)</t>
        </is>
      </c>
      <c r="B21" s="20">
        <f>'13_Conciliacion'!B21</f>
        <v/>
      </c>
    </row>
    <row r="22">
      <c r="A22" s="19" t="inlineStr">
        <is>
          <t>Pasivo del contrato (ingreso diferido): diferencia</t>
        </is>
      </c>
      <c r="B22" s="21">
        <f>'13_Conciliacion'!B22</f>
        <v/>
      </c>
    </row>
    <row r="23">
      <c r="A23" s="18" t="inlineStr">
        <is>
          <t>Diferencias de asignación (absolutas)</t>
        </is>
      </c>
      <c r="B23" s="20">
        <f>'13_Conciliacion'!B23</f>
        <v/>
      </c>
    </row>
    <row r="24">
      <c r="A24" s="19" t="inlineStr">
        <is>
          <t>Variable incluida sin cumplir la restricción</t>
        </is>
      </c>
      <c r="B24" s="21">
        <f>'13_Conciliacion'!B24</f>
        <v/>
      </c>
    </row>
    <row r="26">
      <c r="A26" s="22" t="inlineStr">
        <is>
          <t>ⓘ  Cómo se calcula esta hoja</t>
        </is>
      </c>
    </row>
    <row r="27">
      <c r="A27" s="23" t="inlineStr">
        <is>
          <t>Columna</t>
        </is>
      </c>
      <c r="B27" s="23" t="inlineStr">
        <is>
          <t>Fórmula (Excel)</t>
        </is>
      </c>
      <c r="C27" s="23" t="inlineStr">
        <is>
          <t>Cómo se calcula (sencillo)</t>
        </is>
      </c>
      <c r="D27" s="23" t="inlineStr">
        <is>
          <t>Ejemplo con números reales</t>
        </is>
      </c>
      <c r="E27" s="23" t="inlineStr">
        <is>
          <t>De dónde viene</t>
        </is>
      </c>
      <c r="F27" s="23" t="inlineStr">
        <is>
          <t>Norma</t>
        </is>
      </c>
    </row>
    <row r="28">
      <c r="A28" s="24" t="inlineStr">
        <is>
          <t>Importe</t>
        </is>
      </c>
      <c r="B28" s="25" t="inlineStr">
        <is>
          <t>'='13_Conciliacion'!B8</t>
        </is>
      </c>
      <c r="C28" s="24" t="inlineStr">
        <is>
          <t>Trae cada importe de la hoja 13 (Conciliación y ajustes), concepto por concepto, para que el resumen muestre siempre las mismas cifras que la conciliación.</t>
        </is>
      </c>
      <c r="D28" s="24" t="inlineStr">
        <is>
          <t>Fila 1: 544.546,67 → 544.546,67</t>
        </is>
      </c>
      <c r="E28" s="24" t="inlineStr">
        <is>
          <t>hoja «Conciliación y ajustes»</t>
        </is>
      </c>
      <c r="F28" s="24" t="inlineStr">
        <is>
          <t>—</t>
        </is>
      </c>
    </row>
  </sheetData>
  <mergeCells count="3">
    <mergeCell ref="A26:F26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33" customWidth="1" min="2" max="2"/>
    <col width="60" customWidth="1" min="3" max="3"/>
  </cols>
  <sheetData>
    <row r="1">
      <c r="A1" s="3" t="inlineStr">
        <is>
          <t>Parámetros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Parámetro</t>
        </is>
      </c>
      <c r="B4" s="17" t="inlineStr">
        <is>
          <t>Valor</t>
        </is>
      </c>
      <c r="C4" s="17" t="inlineStr">
        <is>
          <t>Sustento</t>
        </is>
      </c>
    </row>
    <row r="5">
      <c r="A5" s="18" t="inlineStr">
        <is>
          <t>Corte del ejercicio</t>
        </is>
      </c>
      <c r="B5" s="26" t="n">
        <v>46022</v>
      </c>
      <c r="C5" s="18" t="inlineStr">
        <is>
          <t>Ficha del encargo</t>
        </is>
      </c>
    </row>
    <row r="6">
      <c r="A6" s="19" t="inlineStr">
        <is>
          <t>Marco contable</t>
        </is>
      </c>
      <c r="B6" s="19" t="inlineStr">
        <is>
          <t>NIIF completas</t>
        </is>
      </c>
      <c r="C6" s="19" t="inlineStr">
        <is>
          <t>Ficha del encargo: enruta el modelo de reconocimiento</t>
        </is>
      </c>
    </row>
    <row r="7">
      <c r="A7" s="18" t="inlineStr">
        <is>
          <t>Modelo aplicado</t>
        </is>
      </c>
      <c r="B7" s="18" t="inlineStr">
        <is>
          <t>NIIF 15 · modelo de cinco pasos</t>
        </is>
      </c>
      <c r="C7" s="18" t="inlineStr">
        <is>
          <t>Paso 1 contrato · 2 obligaciones · 3 precio · 4 asignación · 5 satisfacción</t>
        </is>
      </c>
    </row>
    <row r="8">
      <c r="A8" s="19" t="inlineStr">
        <is>
          <t>Tasa de descuento anual para la financiación (%)</t>
        </is>
      </c>
      <c r="B8" s="27" t="n">
        <v>10</v>
      </c>
      <c r="C8" s="19" t="inlineStr">
        <is>
          <t>NIIF 15 60-65 — tasa de una financiación separada con el cliente al inicio del contrato</t>
        </is>
      </c>
    </row>
    <row r="9">
      <c r="A9" s="18" t="inlineStr">
        <is>
          <t>Plazo de cobro que se considera financiación significativa (meses)</t>
        </is>
      </c>
      <c r="B9" s="28" t="n">
        <v>12</v>
      </c>
      <c r="C9" s="18" t="inlineStr">
        <is>
          <t>NIIF 15 63 / PYMES 2025 23.38: solución práctica de un año; más de 12 meses habilita evaluar (NIIF 15.61-62); no es concluyente por sí solo; PYMES 2015: plazo mayor al normal (11.13)</t>
        </is>
      </c>
    </row>
    <row r="10">
      <c r="A10" s="19" t="inlineStr">
        <is>
          <t>Probabilidad mínima para incluir la variable «altamente probable» (%)</t>
        </is>
      </c>
      <c r="B10" s="27" t="n">
        <v>75</v>
      </c>
      <c r="C10" s="19" t="inlineStr">
        <is>
          <t>«Altamente probable» (NIIF 15 56: que no ocurra una reversión significativa; PYMES 2025 23.30: que la entidad tenga derecho al importe; criterios distintos): ninguna fija un porcentaje; umbral de juicio del auditor. Simplificación: la variable se incluye si su probabilidad supera el umbral; la NIIF 15.56 exige que sea altamente probable que no haya reversión significativa</t>
        </is>
      </c>
    </row>
    <row r="11">
      <c r="A11" s="18" t="inlineStr">
        <is>
          <t>Método de estimación de la variable (Importe más probable / Valor esperado)</t>
        </is>
      </c>
      <c r="B11" s="18" t="inlineStr">
        <is>
          <t>Importe más probable</t>
        </is>
      </c>
      <c r="C11" s="18" t="inlineStr">
        <is>
          <t>NIIF 15 53; PYMES 2025 23.28</t>
        </is>
      </c>
    </row>
    <row r="12">
      <c r="A12" s="19" t="inlineStr">
        <is>
          <t>Ingresos de actividades ordinarias según el mayor</t>
        </is>
      </c>
      <c r="B12" s="27" t="n">
        <v>670000</v>
      </c>
      <c r="C12" s="19" t="inlineStr">
        <is>
          <t>Mayor contable (en blanco: se toma el anexo)</t>
        </is>
      </c>
    </row>
    <row r="13">
      <c r="A13" s="18" t="inlineStr">
        <is>
          <t>Activo del contrato registrado (mayor)</t>
        </is>
      </c>
      <c r="B13" s="28" t="n">
        <v>20000</v>
      </c>
      <c r="C13" s="18" t="inlineStr">
        <is>
          <t>Mayor contable</t>
        </is>
      </c>
    </row>
    <row r="14">
      <c r="A14" s="19" t="inlineStr">
        <is>
          <t>Pasivo del contrato / ingreso diferido registrado (mayor)</t>
        </is>
      </c>
      <c r="B14" s="19" t="n"/>
      <c r="C14" s="19" t="inlineStr">
        <is>
          <t>Mayor contable</t>
        </is>
      </c>
    </row>
    <row r="15">
      <c r="A15" s="18" t="inlineStr">
        <is>
          <t>Activo por derecho a recuperar productos</t>
        </is>
      </c>
      <c r="B15" s="18" t="inlineStr">
        <is>
          <t>Sí</t>
        </is>
      </c>
      <c r="C15" s="18" t="inlineStr">
        <is>
          <t>NIIF 15 B21 c) y B25 / PYMES 2025 23A.24 c): activo por el derecho a recuperar los productos, medido al importe en libros anterior menos los costos de recuperación, con el ajuste correlativo al costo de ventas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7" customWidth="1" min="4" max="4"/>
    <col width="24" customWidth="1" min="5" max="5"/>
    <col width="23" customWidth="1" min="6" max="6"/>
    <col width="27" customWidth="1" min="7" max="7"/>
    <col width="22" customWidth="1" min="8" max="8"/>
    <col width="31" customWidth="1" min="9" max="9"/>
    <col width="21" customWidth="1" min="10" max="10"/>
    <col width="19" customWidth="1" min="11" max="11"/>
    <col width="18" customWidth="1" min="12" max="12"/>
    <col width="22" customWidth="1" min="13" max="13"/>
    <col width="19" customWidth="1" min="14" max="14"/>
    <col width="16" customWidth="1" min="15" max="15"/>
    <col width="24" customWidth="1" min="16" max="16"/>
    <col width="22" customWidth="1" min="17" max="17"/>
    <col width="28" customWidth="1" min="18" max="18"/>
    <col width="21" customWidth="1" min="19" max="19"/>
    <col width="19" customWidth="1" min="20" max="20"/>
    <col width="24" customWidth="1" min="21" max="21"/>
    <col width="28" customWidth="1" min="22" max="22"/>
    <col width="16" customWidth="1" min="23" max="23"/>
    <col width="18" customWidth="1" min="24" max="24"/>
    <col width="22" customWidth="1" min="25" max="25"/>
    <col width="36" customWidth="1" min="26" max="26"/>
    <col width="30" customWidth="1" min="27" max="27"/>
    <col width="17" customWidth="1" min="28" max="28"/>
  </cols>
  <sheetData>
    <row r="1">
      <c r="A1" s="3" t="inlineStr">
        <is>
          <t>Detalle por obligación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</row>
    <row r="4" ht="30" customHeight="1">
      <c r="A4" s="17" t="inlineStr">
        <is>
          <t>Línea</t>
        </is>
      </c>
      <c r="B4" s="17" t="inlineStr">
        <is>
          <t>Contrato</t>
        </is>
      </c>
      <c r="C4" s="17" t="inlineStr">
        <is>
          <t>Cliente</t>
        </is>
      </c>
      <c r="D4" s="17" t="inlineStr">
        <is>
          <t>Obligación</t>
        </is>
      </c>
      <c r="E4" s="17" t="inlineStr">
        <is>
          <t>Evidencia del contrato</t>
        </is>
      </c>
      <c r="F4" s="17" t="inlineStr">
        <is>
          <t>Modo</t>
        </is>
      </c>
      <c r="G4" s="17" t="inlineStr">
        <is>
          <t>Transferencia del control</t>
        </is>
      </c>
      <c r="H4" s="17" t="inlineStr">
        <is>
          <t>Registro del ingreso</t>
        </is>
      </c>
      <c r="I4" s="17" t="inlineStr">
        <is>
          <t>Precio de venta independiente</t>
        </is>
      </c>
      <c r="J4" s="17" t="inlineStr">
        <is>
          <t>Precio del contrato</t>
        </is>
      </c>
      <c r="K4" s="17" t="inlineStr">
        <is>
          <t>Variable estimada</t>
        </is>
      </c>
      <c r="L4" s="17" t="inlineStr">
        <is>
          <t>Probabilidad (%)</t>
        </is>
      </c>
      <c r="M4" s="17" t="inlineStr">
        <is>
          <t>Variable del cliente</t>
        </is>
      </c>
      <c r="N4" s="17" t="inlineStr">
        <is>
          <t>Costos incurridos</t>
        </is>
      </c>
      <c r="O4" s="17" t="inlineStr">
        <is>
          <t>Costos totales</t>
        </is>
      </c>
      <c r="P4" s="17" t="inlineStr">
        <is>
          <t>Avance del cliente (%)</t>
        </is>
      </c>
      <c r="Q4" s="17" t="inlineStr">
        <is>
          <t>Registrado en el año</t>
        </is>
      </c>
      <c r="R4" s="17" t="inlineStr">
        <is>
          <t>Reconocido años anteriores</t>
        </is>
      </c>
      <c r="S4" s="17" t="inlineStr">
        <is>
          <t>Facturado acumulado</t>
        </is>
      </c>
      <c r="T4" s="17" t="inlineStr">
        <is>
          <t>Cobrado acumulado</t>
        </is>
      </c>
      <c r="U4" s="17" t="inlineStr">
        <is>
          <t>Plazo de cobro (meses)</t>
        </is>
      </c>
      <c r="V4" s="17" t="inlineStr">
        <is>
          <t>Devoluciones esperadas (%)</t>
        </is>
      </c>
      <c r="W4" s="17" t="inlineStr">
        <is>
          <t>NC posteriores</t>
        </is>
      </c>
      <c r="X4" s="17" t="inlineStr">
        <is>
          <t>Modificación</t>
        </is>
      </c>
      <c r="Y4" s="17" t="inlineStr">
        <is>
          <t>Importe modificación</t>
        </is>
      </c>
      <c r="Z4" s="17" t="inlineStr">
        <is>
          <t>Variable que supera la restricción</t>
        </is>
      </c>
      <c r="AA4" s="17" t="inlineStr">
        <is>
          <t>Costo de los bienes vendidos</t>
        </is>
      </c>
      <c r="AB4" s="17" t="inlineStr">
        <is>
          <t>Contrato válido</t>
        </is>
      </c>
    </row>
    <row r="5">
      <c r="A5" s="18" t="inlineStr">
        <is>
          <t>C-01-1</t>
        </is>
      </c>
      <c r="B5" s="18" t="inlineStr">
        <is>
          <t>C-01</t>
        </is>
      </c>
      <c r="C5" s="18" t="inlineStr">
        <is>
          <t>Comercial Andina</t>
        </is>
      </c>
      <c r="D5" s="18" t="inlineStr">
        <is>
          <t>Equipo</t>
        </is>
      </c>
      <c r="E5" s="18" t="inlineStr">
        <is>
          <t>Sí</t>
        </is>
      </c>
      <c r="F5" s="18" t="inlineStr">
        <is>
          <t>En un momento</t>
        </is>
      </c>
      <c r="G5" s="29" t="n">
        <v>45976</v>
      </c>
      <c r="H5" s="29" t="n">
        <v>45976</v>
      </c>
      <c r="I5" s="20" t="n">
        <v>100000</v>
      </c>
      <c r="J5" s="20" t="n">
        <v>90000</v>
      </c>
      <c r="K5" s="20" t="n"/>
      <c r="L5" s="18" t="n"/>
      <c r="M5" s="20" t="n"/>
      <c r="N5" s="20" t="n"/>
      <c r="O5" s="20" t="n"/>
      <c r="P5" s="18" t="n"/>
      <c r="Q5" s="20" t="n">
        <v>90000</v>
      </c>
      <c r="R5" s="20" t="n"/>
      <c r="S5" s="20" t="n">
        <v>90000</v>
      </c>
      <c r="T5" s="20" t="n">
        <v>60000</v>
      </c>
      <c r="U5" s="18" t="n"/>
      <c r="V5" s="18" t="n"/>
      <c r="W5" s="20" t="n"/>
      <c r="X5" s="18" t="inlineStr"/>
      <c r="Y5" s="20" t="n"/>
      <c r="Z5" s="20" t="n"/>
      <c r="AA5" s="20" t="n"/>
      <c r="AB5" s="18">
        <f>IF(E5="No","No",IF(E5="","Sin dato","Sí"))</f>
        <v/>
      </c>
    </row>
    <row r="6">
      <c r="A6" s="19" t="inlineStr">
        <is>
          <t>C-01-2</t>
        </is>
      </c>
      <c r="B6" s="19" t="inlineStr">
        <is>
          <t>C-01</t>
        </is>
      </c>
      <c r="C6" s="19" t="inlineStr">
        <is>
          <t>Comercial Andina</t>
        </is>
      </c>
      <c r="D6" s="19" t="inlineStr">
        <is>
          <t>Mantenimiento 12 meses</t>
        </is>
      </c>
      <c r="E6" s="19" t="inlineStr">
        <is>
          <t>Sí</t>
        </is>
      </c>
      <c r="F6" s="19" t="inlineStr">
        <is>
          <t>A lo largo del tiempo</t>
        </is>
      </c>
      <c r="G6" s="30" t="n"/>
      <c r="H6" s="30" t="n"/>
      <c r="I6" s="21" t="n">
        <v>25000</v>
      </c>
      <c r="J6" s="21" t="n">
        <v>10000</v>
      </c>
      <c r="K6" s="21" t="n"/>
      <c r="L6" s="19" t="n"/>
      <c r="M6" s="21" t="n"/>
      <c r="N6" s="21" t="n">
        <v>3000</v>
      </c>
      <c r="O6" s="21" t="n">
        <v>12000</v>
      </c>
      <c r="P6" s="27" t="n">
        <v>25</v>
      </c>
      <c r="Q6" s="21" t="n">
        <v>2500</v>
      </c>
      <c r="R6" s="21" t="n"/>
      <c r="S6" s="21" t="n">
        <v>10000</v>
      </c>
      <c r="T6" s="21" t="n"/>
      <c r="U6" s="19" t="n"/>
      <c r="V6" s="19" t="n"/>
      <c r="W6" s="21" t="n"/>
      <c r="X6" s="19" t="inlineStr"/>
      <c r="Y6" s="21" t="n"/>
      <c r="Z6" s="21" t="n"/>
      <c r="AA6" s="21" t="n"/>
      <c r="AB6" s="19">
        <f>IF(E6="No","No",IF(E6="","Sin dato","Sí"))</f>
        <v/>
      </c>
    </row>
    <row r="7">
      <c r="A7" s="18" t="inlineStr">
        <is>
          <t>C-02-1</t>
        </is>
      </c>
      <c r="B7" s="18" t="inlineStr">
        <is>
          <t>C-02</t>
        </is>
      </c>
      <c r="C7" s="18" t="inlineStr">
        <is>
          <t>Constructora Sur</t>
        </is>
      </c>
      <c r="D7" s="18" t="inlineStr">
        <is>
          <t>Obra civil</t>
        </is>
      </c>
      <c r="E7" s="18" t="inlineStr">
        <is>
          <t>Sí</t>
        </is>
      </c>
      <c r="F7" s="18" t="inlineStr">
        <is>
          <t>A lo largo del tiempo</t>
        </is>
      </c>
      <c r="G7" s="31" t="n"/>
      <c r="H7" s="31" t="n"/>
      <c r="I7" s="20" t="n">
        <v>500000</v>
      </c>
      <c r="J7" s="20" t="n">
        <v>500000</v>
      </c>
      <c r="K7" s="20" t="n">
        <v>50000</v>
      </c>
      <c r="L7" s="28" t="n">
        <v>60</v>
      </c>
      <c r="M7" s="20" t="n">
        <v>50000</v>
      </c>
      <c r="N7" s="20" t="n">
        <v>180000</v>
      </c>
      <c r="O7" s="20" t="n">
        <v>400000</v>
      </c>
      <c r="P7" s="28" t="n">
        <v>50</v>
      </c>
      <c r="Q7" s="20" t="n">
        <v>275000</v>
      </c>
      <c r="R7" s="20" t="n"/>
      <c r="S7" s="20" t="n">
        <v>200000</v>
      </c>
      <c r="T7" s="20" t="n">
        <v>150000</v>
      </c>
      <c r="U7" s="18" t="n"/>
      <c r="V7" s="18" t="n"/>
      <c r="W7" s="20" t="n"/>
      <c r="X7" s="18" t="inlineStr"/>
      <c r="Y7" s="20" t="n"/>
      <c r="Z7" s="20" t="n"/>
      <c r="AA7" s="20" t="n"/>
      <c r="AB7" s="18">
        <f>IF(E7="No","No",IF(E7="","Sin dato","Sí"))</f>
        <v/>
      </c>
    </row>
    <row r="8">
      <c r="A8" s="19" t="inlineStr">
        <is>
          <t>C-03-1</t>
        </is>
      </c>
      <c r="B8" s="19" t="inlineStr">
        <is>
          <t>C-03</t>
        </is>
      </c>
      <c r="C8" s="19" t="inlineStr">
        <is>
          <t>Distribuidora Norte</t>
        </is>
      </c>
      <c r="D8" s="19" t="inlineStr">
        <is>
          <t>Mercadería</t>
        </is>
      </c>
      <c r="E8" s="19" t="inlineStr">
        <is>
          <t>Sí</t>
        </is>
      </c>
      <c r="F8" s="19" t="inlineStr">
        <is>
          <t>En un momento</t>
        </is>
      </c>
      <c r="G8" s="32" t="n">
        <v>46027</v>
      </c>
      <c r="H8" s="32" t="n">
        <v>46019</v>
      </c>
      <c r="I8" s="21" t="n"/>
      <c r="J8" s="21" t="n">
        <v>30000</v>
      </c>
      <c r="K8" s="21" t="n"/>
      <c r="L8" s="19" t="n"/>
      <c r="M8" s="21" t="n"/>
      <c r="N8" s="21" t="n"/>
      <c r="O8" s="21" t="n"/>
      <c r="P8" s="19" t="n"/>
      <c r="Q8" s="21" t="n">
        <v>30000</v>
      </c>
      <c r="R8" s="21" t="n"/>
      <c r="S8" s="21" t="n">
        <v>30000</v>
      </c>
      <c r="T8" s="21" t="n"/>
      <c r="U8" s="19" t="n"/>
      <c r="V8" s="19" t="n"/>
      <c r="W8" s="21" t="n"/>
      <c r="X8" s="19" t="inlineStr"/>
      <c r="Y8" s="21" t="n"/>
      <c r="Z8" s="21" t="n"/>
      <c r="AA8" s="21" t="n"/>
      <c r="AB8" s="19">
        <f>IF(E8="No","No",IF(E8="","Sin dato","Sí"))</f>
        <v/>
      </c>
    </row>
    <row r="9">
      <c r="A9" s="18" t="inlineStr">
        <is>
          <t>C-04-1</t>
        </is>
      </c>
      <c r="B9" s="18" t="inlineStr">
        <is>
          <t>C-04</t>
        </is>
      </c>
      <c r="C9" s="18" t="inlineStr">
        <is>
          <t>Retail Express</t>
        </is>
      </c>
      <c r="D9" s="18" t="inlineStr">
        <is>
          <t>Mercadería con derecho a devolución</t>
        </is>
      </c>
      <c r="E9" s="18" t="inlineStr">
        <is>
          <t>Sí</t>
        </is>
      </c>
      <c r="F9" s="18" t="inlineStr">
        <is>
          <t>En un momento</t>
        </is>
      </c>
      <c r="G9" s="29" t="n">
        <v>46001</v>
      </c>
      <c r="H9" s="29" t="n">
        <v>46001</v>
      </c>
      <c r="I9" s="20" t="n"/>
      <c r="J9" s="20" t="n">
        <v>40000</v>
      </c>
      <c r="K9" s="20" t="n"/>
      <c r="L9" s="18" t="n"/>
      <c r="M9" s="20" t="n"/>
      <c r="N9" s="20" t="n"/>
      <c r="O9" s="20" t="n"/>
      <c r="P9" s="18" t="n"/>
      <c r="Q9" s="20" t="n">
        <v>40000</v>
      </c>
      <c r="R9" s="20" t="n"/>
      <c r="S9" s="20" t="n">
        <v>40000</v>
      </c>
      <c r="T9" s="20" t="n">
        <v>20000</v>
      </c>
      <c r="U9" s="18" t="n"/>
      <c r="V9" s="28" t="n">
        <v>5</v>
      </c>
      <c r="W9" s="20" t="n">
        <v>3500</v>
      </c>
      <c r="X9" s="18" t="inlineStr"/>
      <c r="Y9" s="20" t="n"/>
      <c r="Z9" s="20" t="n"/>
      <c r="AA9" s="20" t="n">
        <v>24000</v>
      </c>
      <c r="AB9" s="18">
        <f>IF(E9="No","No",IF(E9="","Sin dato","Sí"))</f>
        <v/>
      </c>
    </row>
    <row r="10">
      <c r="A10" s="19" t="inlineStr">
        <is>
          <t>C-05-1</t>
        </is>
      </c>
      <c r="B10" s="19" t="inlineStr">
        <is>
          <t>C-05</t>
        </is>
      </c>
      <c r="C10" s="19" t="inlineStr">
        <is>
          <t>Agro Plazo</t>
        </is>
      </c>
      <c r="D10" s="19" t="inlineStr">
        <is>
          <t>Maquinaria a 24 meses</t>
        </is>
      </c>
      <c r="E10" s="19" t="inlineStr">
        <is>
          <t>Sí</t>
        </is>
      </c>
      <c r="F10" s="19" t="inlineStr">
        <is>
          <t>En un momento</t>
        </is>
      </c>
      <c r="G10" s="32" t="n">
        <v>45839</v>
      </c>
      <c r="H10" s="32" t="n">
        <v>45839</v>
      </c>
      <c r="I10" s="21" t="n"/>
      <c r="J10" s="21" t="n">
        <v>121000</v>
      </c>
      <c r="K10" s="21" t="n"/>
      <c r="L10" s="19" t="n"/>
      <c r="M10" s="21" t="n"/>
      <c r="N10" s="21" t="n"/>
      <c r="O10" s="21" t="n"/>
      <c r="P10" s="19" t="n"/>
      <c r="Q10" s="21" t="n">
        <v>121000</v>
      </c>
      <c r="R10" s="21" t="n"/>
      <c r="S10" s="21" t="n">
        <v>121000</v>
      </c>
      <c r="T10" s="21" t="n"/>
      <c r="U10" s="27" t="n">
        <v>24</v>
      </c>
      <c r="V10" s="19" t="n"/>
      <c r="W10" s="21" t="n"/>
      <c r="X10" s="19" t="inlineStr"/>
      <c r="Y10" s="21" t="n"/>
      <c r="Z10" s="21" t="n"/>
      <c r="AA10" s="21" t="n"/>
      <c r="AB10" s="19">
        <f>IF(E10="No","No",IF(E10="","Sin dato","Sí"))</f>
        <v/>
      </c>
    </row>
    <row r="11">
      <c r="A11" s="18" t="inlineStr">
        <is>
          <t>C-06-1</t>
        </is>
      </c>
      <c r="B11" s="18" t="inlineStr">
        <is>
          <t>C-06</t>
        </is>
      </c>
      <c r="C11" s="18" t="inlineStr">
        <is>
          <t>Servicios Beta</t>
        </is>
      </c>
      <c r="D11" s="18" t="inlineStr">
        <is>
          <t>Consultoría</t>
        </is>
      </c>
      <c r="E11" s="18" t="inlineStr">
        <is>
          <t>No</t>
        </is>
      </c>
      <c r="F11" s="18" t="inlineStr">
        <is>
          <t>A lo largo del tiempo</t>
        </is>
      </c>
      <c r="G11" s="31" t="n"/>
      <c r="H11" s="31" t="n"/>
      <c r="I11" s="20" t="n"/>
      <c r="J11" s="20" t="n">
        <v>15000</v>
      </c>
      <c r="K11" s="20" t="n"/>
      <c r="L11" s="18" t="n"/>
      <c r="M11" s="20" t="n"/>
      <c r="N11" s="20" t="n">
        <v>5000</v>
      </c>
      <c r="O11" s="20" t="n">
        <v>5000</v>
      </c>
      <c r="P11" s="18" t="n"/>
      <c r="Q11" s="20" t="n">
        <v>15000</v>
      </c>
      <c r="R11" s="20" t="n"/>
      <c r="S11" s="20" t="n">
        <v>15000</v>
      </c>
      <c r="T11" s="20" t="n">
        <v>15000</v>
      </c>
      <c r="U11" s="18" t="n"/>
      <c r="V11" s="18" t="n"/>
      <c r="W11" s="20" t="n"/>
      <c r="X11" s="18" t="inlineStr"/>
      <c r="Y11" s="20" t="n"/>
      <c r="Z11" s="20" t="n"/>
      <c r="AA11" s="20" t="n"/>
      <c r="AB11" s="18">
        <f>IF(E11="No","No",IF(E11="","Sin dato","Sí"))</f>
        <v/>
      </c>
    </row>
    <row r="12">
      <c r="A12" s="19" t="inlineStr">
        <is>
          <t>C-07-1</t>
        </is>
      </c>
      <c r="B12" s="19" t="inlineStr">
        <is>
          <t>C-07</t>
        </is>
      </c>
      <c r="C12" s="19" t="inlineStr">
        <is>
          <t>Tecnología Gama</t>
        </is>
      </c>
      <c r="D12" s="19" t="inlineStr">
        <is>
          <t>Equipos</t>
        </is>
      </c>
      <c r="E12" s="19" t="inlineStr">
        <is>
          <t>Sí</t>
        </is>
      </c>
      <c r="F12" s="19" t="inlineStr">
        <is>
          <t>En un momento</t>
        </is>
      </c>
      <c r="G12" s="32" t="n">
        <v>46011</v>
      </c>
      <c r="H12" s="32" t="n">
        <v>46025</v>
      </c>
      <c r="I12" s="21" t="n"/>
      <c r="J12" s="21" t="n">
        <v>12000</v>
      </c>
      <c r="K12" s="21" t="n"/>
      <c r="L12" s="19" t="n"/>
      <c r="M12" s="21" t="n"/>
      <c r="N12" s="21" t="n"/>
      <c r="O12" s="21" t="n"/>
      <c r="P12" s="19" t="n"/>
      <c r="Q12" s="21" t="n">
        <v>0</v>
      </c>
      <c r="R12" s="21" t="n"/>
      <c r="S12" s="21" t="n"/>
      <c r="T12" s="21" t="n"/>
      <c r="U12" s="19" t="n"/>
      <c r="V12" s="19" t="n"/>
      <c r="W12" s="21" t="n"/>
      <c r="X12" s="19" t="inlineStr"/>
      <c r="Y12" s="21" t="n"/>
      <c r="Z12" s="21" t="n"/>
      <c r="AA12" s="21" t="n"/>
      <c r="AB12" s="19">
        <f>IF(E12="No","No",IF(E12="","Sin dato","Sí"))</f>
        <v/>
      </c>
    </row>
    <row r="13">
      <c r="A13" s="18" t="inlineStr">
        <is>
          <t>C-08-1</t>
        </is>
      </c>
      <c r="B13" s="18" t="inlineStr">
        <is>
          <t>C-08</t>
        </is>
      </c>
      <c r="C13" s="18" t="inlineStr">
        <is>
          <t>Software Delta</t>
        </is>
      </c>
      <c r="D13" s="18" t="inlineStr">
        <is>
          <t>Implementación</t>
        </is>
      </c>
      <c r="E13" s="18" t="inlineStr"/>
      <c r="F13" s="18" t="inlineStr">
        <is>
          <t>A lo largo del tiempo</t>
        </is>
      </c>
      <c r="G13" s="31" t="n"/>
      <c r="H13" s="31" t="n"/>
      <c r="I13" s="20" t="n"/>
      <c r="J13" s="20" t="n">
        <v>48000</v>
      </c>
      <c r="K13" s="20" t="n"/>
      <c r="L13" s="18" t="n"/>
      <c r="M13" s="20" t="n"/>
      <c r="N13" s="20" t="n">
        <v>24000</v>
      </c>
      <c r="O13" s="20" t="n">
        <v>32000</v>
      </c>
      <c r="P13" s="28" t="n">
        <v>75</v>
      </c>
      <c r="Q13" s="20" t="n">
        <v>26000</v>
      </c>
      <c r="R13" s="20" t="n">
        <v>10000</v>
      </c>
      <c r="S13" s="20" t="n">
        <v>40000</v>
      </c>
      <c r="T13" s="20" t="n">
        <v>40000</v>
      </c>
      <c r="U13" s="18" t="n"/>
      <c r="V13" s="18" t="n"/>
      <c r="W13" s="20" t="n"/>
      <c r="X13" s="18" t="inlineStr">
        <is>
          <t>Prospectivo</t>
        </is>
      </c>
      <c r="Y13" s="20" t="n">
        <v>8000</v>
      </c>
      <c r="Z13" s="20" t="n"/>
      <c r="AA13" s="20" t="n"/>
      <c r="AB13" s="18">
        <f>IF(E13="No","No",IF(E13="","Sin dato","Sí"))</f>
        <v/>
      </c>
    </row>
    <row r="14">
      <c r="A14" s="19" t="inlineStr">
        <is>
          <t>C-09-1</t>
        </is>
      </c>
      <c r="B14" s="19" t="inlineStr">
        <is>
          <t>C-09</t>
        </is>
      </c>
      <c r="C14" s="19" t="inlineStr">
        <is>
          <t>Mantenimientos Épsilon</t>
        </is>
      </c>
      <c r="D14" s="19" t="inlineStr">
        <is>
          <t>Repuestos</t>
        </is>
      </c>
      <c r="E14" s="19" t="inlineStr">
        <is>
          <t>Sí</t>
        </is>
      </c>
      <c r="F14" s="19" t="inlineStr">
        <is>
          <t>En un momento</t>
        </is>
      </c>
      <c r="G14" s="32" t="n">
        <v>45992</v>
      </c>
      <c r="H14" s="32" t="n">
        <v>45992</v>
      </c>
      <c r="I14" s="21" t="n"/>
      <c r="J14" s="21" t="n">
        <v>6000</v>
      </c>
      <c r="K14" s="21" t="n"/>
      <c r="L14" s="19" t="n"/>
      <c r="M14" s="21" t="n"/>
      <c r="N14" s="21" t="n"/>
      <c r="O14" s="21" t="n"/>
      <c r="P14" s="19" t="n"/>
      <c r="Q14" s="21" t="n">
        <v>6000</v>
      </c>
      <c r="R14" s="21" t="n"/>
      <c r="S14" s="21" t="n">
        <v>6000</v>
      </c>
      <c r="T14" s="21" t="n">
        <v>6000</v>
      </c>
      <c r="U14" s="19" t="n"/>
      <c r="V14" s="27" t="n">
        <v>2</v>
      </c>
      <c r="W14" s="21" t="n"/>
      <c r="X14" s="19" t="inlineStr">
        <is>
          <t>Adenda de precio</t>
        </is>
      </c>
      <c r="Y14" s="21" t="n">
        <v>1000</v>
      </c>
      <c r="Z14" s="21" t="n"/>
      <c r="AA14" s="21" t="n"/>
      <c r="AB14" s="19">
        <f>IF(E14="No","No",IF(E14="","Sin dato","Sí"))</f>
        <v/>
      </c>
    </row>
    <row r="15">
      <c r="A15" s="18" t="inlineStr">
        <is>
          <t>C-09-2</t>
        </is>
      </c>
      <c r="B15" s="18" t="inlineStr">
        <is>
          <t>C-09</t>
        </is>
      </c>
      <c r="C15" s="18" t="inlineStr">
        <is>
          <t>Mantenimientos Épsilon</t>
        </is>
      </c>
      <c r="D15" s="18" t="inlineStr">
        <is>
          <t>Servicio técnico</t>
        </is>
      </c>
      <c r="E15" s="18" t="inlineStr">
        <is>
          <t>Sí</t>
        </is>
      </c>
      <c r="F15" s="18" t="inlineStr">
        <is>
          <t>A lo largo del tiempo</t>
        </is>
      </c>
      <c r="G15" s="31" t="n"/>
      <c r="H15" s="31" t="n"/>
      <c r="I15" s="20" t="n">
        <v>4000</v>
      </c>
      <c r="J15" s="20" t="n">
        <v>4000</v>
      </c>
      <c r="K15" s="20" t="n"/>
      <c r="L15" s="18" t="n"/>
      <c r="M15" s="20" t="n"/>
      <c r="N15" s="20" t="n">
        <v>1000</v>
      </c>
      <c r="O15" s="20" t="n">
        <v>2000</v>
      </c>
      <c r="P15" s="18" t="n"/>
      <c r="Q15" s="20" t="n">
        <v>2000</v>
      </c>
      <c r="R15" s="20" t="n"/>
      <c r="S15" s="20" t="n">
        <v>4000</v>
      </c>
      <c r="T15" s="20" t="n">
        <v>4000</v>
      </c>
      <c r="U15" s="18" t="n"/>
      <c r="V15" s="18" t="n"/>
      <c r="W15" s="20" t="n"/>
      <c r="X15" s="18" t="inlineStr"/>
      <c r="Y15" s="20" t="n"/>
      <c r="Z15" s="20" t="n"/>
      <c r="AA15" s="20" t="n"/>
      <c r="AB15" s="18">
        <f>IF(E15="No","No",IF(E15="","Sin dato","Sí"))</f>
        <v/>
      </c>
    </row>
    <row r="16">
      <c r="A16" s="19" t="inlineStr">
        <is>
          <t>C-10-1</t>
        </is>
      </c>
      <c r="B16" s="19" t="inlineStr">
        <is>
          <t>C-10</t>
        </is>
      </c>
      <c r="C16" s="19" t="inlineStr">
        <is>
          <t>Obra Zeta</t>
        </is>
      </c>
      <c r="D16" s="19" t="inlineStr">
        <is>
          <t>Obra menor</t>
        </is>
      </c>
      <c r="E16" s="19" t="inlineStr">
        <is>
          <t>Sí</t>
        </is>
      </c>
      <c r="F16" s="19" t="inlineStr">
        <is>
          <t>A lo largo del tiempo</t>
        </is>
      </c>
      <c r="G16" s="30" t="n"/>
      <c r="H16" s="30" t="n"/>
      <c r="I16" s="21" t="n">
        <v>80000</v>
      </c>
      <c r="J16" s="21" t="n">
        <v>80000</v>
      </c>
      <c r="K16" s="21" t="n"/>
      <c r="L16" s="19" t="n"/>
      <c r="M16" s="21" t="n"/>
      <c r="N16" s="21" t="n">
        <v>30000</v>
      </c>
      <c r="O16" s="21" t="n">
        <v>90000</v>
      </c>
      <c r="P16" s="19" t="n"/>
      <c r="Q16" s="21" t="n">
        <v>26666.67</v>
      </c>
      <c r="R16" s="21" t="n"/>
      <c r="S16" s="21" t="n">
        <v>20000</v>
      </c>
      <c r="T16" s="21" t="n"/>
      <c r="U16" s="19" t="n"/>
      <c r="V16" s="19" t="n"/>
      <c r="W16" s="21" t="n"/>
      <c r="X16" s="19" t="inlineStr"/>
      <c r="Y16" s="21" t="n"/>
      <c r="Z16" s="21" t="n"/>
      <c r="AA16" s="21" t="n"/>
      <c r="AB16" s="19">
        <f>IF(E16="No","No",IF(E16="","Sin dato","Sí"))</f>
        <v/>
      </c>
    </row>
    <row r="17">
      <c r="A17" s="18" t="inlineStr">
        <is>
          <t>C-11-1</t>
        </is>
      </c>
      <c r="B17" s="18" t="inlineStr">
        <is>
          <t>C-11</t>
        </is>
      </c>
      <c r="C17" s="18" t="inlineStr">
        <is>
          <t>Servicios Theta</t>
        </is>
      </c>
      <c r="D17" s="18" t="inlineStr">
        <is>
          <t>Entrega con bono</t>
        </is>
      </c>
      <c r="E17" s="18" t="inlineStr">
        <is>
          <t>Sí</t>
        </is>
      </c>
      <c r="F17" s="18" t="inlineStr">
        <is>
          <t>En un momento</t>
        </is>
      </c>
      <c r="G17" s="29" t="n">
        <v>45931</v>
      </c>
      <c r="H17" s="29" t="n">
        <v>45931</v>
      </c>
      <c r="I17" s="20" t="n"/>
      <c r="J17" s="20" t="n">
        <v>20000</v>
      </c>
      <c r="K17" s="20" t="n">
        <v>5000</v>
      </c>
      <c r="L17" s="28" t="n">
        <v>90</v>
      </c>
      <c r="M17" s="20" t="n">
        <v>5000</v>
      </c>
      <c r="N17" s="20" t="n"/>
      <c r="O17" s="20" t="n"/>
      <c r="P17" s="18" t="n"/>
      <c r="Q17" s="20" t="n">
        <v>25000</v>
      </c>
      <c r="R17" s="20" t="n"/>
      <c r="S17" s="20" t="n">
        <v>25000</v>
      </c>
      <c r="T17" s="20" t="n">
        <v>25000</v>
      </c>
      <c r="U17" s="18" t="n"/>
      <c r="V17" s="18" t="n"/>
      <c r="W17" s="20" t="n"/>
      <c r="X17" s="18" t="inlineStr"/>
      <c r="Y17" s="20" t="n"/>
      <c r="Z17" s="20" t="n">
        <v>1000</v>
      </c>
      <c r="AA17" s="20" t="n"/>
      <c r="AB17" s="18">
        <f>IF(E17="No","No",IF(E17="","Sin dato","Sí"))</f>
        <v/>
      </c>
    </row>
    <row r="18">
      <c r="A18" s="19" t="inlineStr">
        <is>
          <t>C-12-1</t>
        </is>
      </c>
      <c r="B18" s="19" t="inlineStr">
        <is>
          <t>C-12</t>
        </is>
      </c>
      <c r="C18" s="19" t="inlineStr">
        <is>
          <t>Comercial Iota</t>
        </is>
      </c>
      <c r="D18" s="19" t="inlineStr">
        <is>
          <t>Mercadería</t>
        </is>
      </c>
      <c r="E18" s="19" t="inlineStr">
        <is>
          <t>Sí</t>
        </is>
      </c>
      <c r="F18" s="19" t="inlineStr">
        <is>
          <t>En un momento</t>
        </is>
      </c>
      <c r="G18" s="30" t="n"/>
      <c r="H18" s="30" t="n"/>
      <c r="I18" s="21" t="n"/>
      <c r="J18" s="21" t="n">
        <v>9000</v>
      </c>
      <c r="K18" s="21" t="n"/>
      <c r="L18" s="19" t="n"/>
      <c r="M18" s="21" t="n"/>
      <c r="N18" s="21" t="n"/>
      <c r="O18" s="21" t="n"/>
      <c r="P18" s="19" t="n"/>
      <c r="Q18" s="21" t="n">
        <v>9000</v>
      </c>
      <c r="R18" s="21" t="n"/>
      <c r="S18" s="21" t="n">
        <v>9000</v>
      </c>
      <c r="T18" s="21" t="n"/>
      <c r="U18" s="19" t="n"/>
      <c r="V18" s="19" t="n"/>
      <c r="W18" s="21" t="n"/>
      <c r="X18" s="19" t="inlineStr"/>
      <c r="Y18" s="21" t="n"/>
      <c r="Z18" s="21" t="n"/>
      <c r="AA18" s="21" t="n"/>
      <c r="AB18" s="19">
        <f>IF(E18="No","No",IF(E18="","Sin dato","Sí"))</f>
        <v/>
      </c>
    </row>
    <row r="19">
      <c r="A19" s="33" t="inlineStr">
        <is>
          <t>TOTAL</t>
        </is>
      </c>
      <c r="B19" s="33" t="inlineStr"/>
      <c r="C19" s="33" t="inlineStr"/>
      <c r="D19" s="33" t="inlineStr"/>
      <c r="E19" s="33" t="inlineStr"/>
      <c r="F19" s="33" t="inlineStr"/>
      <c r="G19" s="34" t="inlineStr"/>
      <c r="H19" s="34" t="inlineStr"/>
      <c r="I19" s="35" t="n"/>
      <c r="J19" s="35">
        <f>SUM(J5:J18)</f>
        <v/>
      </c>
      <c r="K19" s="35" t="n"/>
      <c r="L19" s="33" t="n"/>
      <c r="M19" s="35" t="n"/>
      <c r="N19" s="35" t="n"/>
      <c r="O19" s="35" t="n"/>
      <c r="P19" s="33" t="n"/>
      <c r="Q19" s="35">
        <f>SUM(Q5:Q18)</f>
        <v/>
      </c>
      <c r="R19" s="35" t="n"/>
      <c r="S19" s="35">
        <f>SUM(S5:S18)</f>
        <v/>
      </c>
      <c r="T19" s="35">
        <f>SUM(T5:T18)</f>
        <v/>
      </c>
      <c r="U19" s="33" t="n"/>
      <c r="V19" s="33" t="n"/>
      <c r="W19" s="35" t="n"/>
      <c r="X19" s="33" t="inlineStr"/>
      <c r="Y19" s="35" t="n"/>
      <c r="Z19" s="35" t="n"/>
      <c r="AA19" s="35" t="n"/>
      <c r="AB19" s="33" t="inlineStr"/>
    </row>
    <row r="21">
      <c r="A21" s="22" t="inlineStr">
        <is>
          <t>ⓘ  Cómo se calcula esta hoja</t>
        </is>
      </c>
    </row>
    <row r="22">
      <c r="A22" s="23" t="inlineStr">
        <is>
          <t>Columna</t>
        </is>
      </c>
      <c r="B22" s="23" t="inlineStr">
        <is>
          <t>Fórmula (Excel)</t>
        </is>
      </c>
      <c r="C22" s="23" t="inlineStr">
        <is>
          <t>Cómo se calcula (sencillo)</t>
        </is>
      </c>
      <c r="D22" s="23" t="inlineStr">
        <is>
          <t>Ejemplo con números reales</t>
        </is>
      </c>
      <c r="E22" s="23" t="inlineStr">
        <is>
          <t>De dónde viene</t>
        </is>
      </c>
      <c r="F22" s="23" t="inlineStr">
        <is>
          <t>Norma</t>
        </is>
      </c>
    </row>
    <row r="23">
      <c r="A23" s="24" t="inlineStr">
        <is>
          <t>Contrato válido</t>
        </is>
      </c>
      <c r="B23" s="25" t="inlineStr">
        <is>
          <t>'=IF(E5="No","No",IF(E5="","Sin dato","Sí"))</t>
        </is>
      </c>
      <c r="C23" s="24" t="inlineStr">
        <is>
          <t>Lee la evidencia del contrato informada por el cliente en esta hoja: «No» si dijo que no hay contrato aprobado, «Sin dato» si la dejó vacía y «Sí» en los demás casos.</t>
        </is>
      </c>
      <c r="D23" s="24" t="inlineStr">
        <is>
          <t>Fila 1: IF(«Sí»="No"; "No"; IF(«Sí»=""; "Sin dato"; "Sí")) → Sí</t>
        </is>
      </c>
      <c r="E23" s="24" t="inlineStr">
        <is>
          <t>«Evidencia del contrato» (esta hoja)</t>
        </is>
      </c>
      <c r="F23" s="24" t="inlineStr">
        <is>
          <t>—</t>
        </is>
      </c>
    </row>
  </sheetData>
  <mergeCells count="3">
    <mergeCell ref="A2:F2"/>
    <mergeCell ref="A21:F21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4" customWidth="1" min="5" max="5"/>
    <col width="32" customWidth="1" min="6" max="6"/>
    <col width="35" customWidth="1" min="7" max="7"/>
    <col width="33" customWidth="1" min="8" max="8"/>
    <col width="22" customWidth="1" min="9" max="9"/>
    <col width="29" customWidth="1" min="10" max="10"/>
    <col width="39" customWidth="1" min="11" max="11"/>
  </cols>
  <sheetData>
    <row r="1">
      <c r="A1" s="3" t="inlineStr">
        <is>
          <t>Precio y contraprestación variable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</row>
    <row r="4" ht="30" customHeight="1">
      <c r="A4" s="17" t="inlineStr">
        <is>
          <t>Línea</t>
        </is>
      </c>
      <c r="B4" s="17" t="inlineStr">
        <is>
          <t>Contrato</t>
        </is>
      </c>
      <c r="C4" s="17" t="inlineStr">
        <is>
          <t>Precio fijo</t>
        </is>
      </c>
      <c r="D4" s="17" t="inlineStr">
        <is>
          <t>Variable estimada</t>
        </is>
      </c>
      <c r="E4" s="17" t="inlineStr">
        <is>
          <t>Probabilidad</t>
        </is>
      </c>
      <c r="F4" s="17" t="inlineStr">
        <is>
          <t>Importe estimado por el método</t>
        </is>
      </c>
      <c r="G4" s="17" t="inlineStr">
        <is>
          <t>Importe que supera la restricción</t>
        </is>
      </c>
      <c r="H4" s="17" t="inlineStr">
        <is>
          <t>Variable incluida (restringida)</t>
        </is>
      </c>
      <c r="I4" s="17" t="inlineStr">
        <is>
          <t>Variable del cliente</t>
        </is>
      </c>
      <c r="J4" s="17" t="inlineStr">
        <is>
          <t>Exceso sobre la restricción</t>
        </is>
      </c>
      <c r="K4" s="17" t="inlineStr">
        <is>
          <t>Precio de la transacción del contrato</t>
        </is>
      </c>
    </row>
    <row r="5">
      <c r="A5" s="18" t="inlineStr">
        <is>
          <t>C-01-1</t>
        </is>
      </c>
      <c r="B5" s="18" t="inlineStr">
        <is>
          <t>C-01</t>
        </is>
      </c>
      <c r="C5" s="20">
        <f>'03_Detalle'!J5</f>
        <v/>
      </c>
      <c r="D5" s="20">
        <f>IF('03_Detalle'!K5&lt;&gt;"",'03_Detalle'!K5,"")</f>
        <v/>
      </c>
      <c r="E5" s="36">
        <f>IF('03_Detalle'!L5&lt;&gt;"",'03_Detalle'!L5/100,"")</f>
        <v/>
      </c>
      <c r="F5" s="20">
        <f>IF(D5="","",IF('02_Parametros'!$B$11="Valor esperado",IF(E5="","",D5*E5),D5))</f>
        <v/>
      </c>
      <c r="G5" s="20">
        <f>IF('03_Detalle'!Z5&lt;&gt;"",'03_Detalle'!Z5,"")</f>
        <v/>
      </c>
      <c r="H5" s="20">
        <f>IF(F5="",0,IF(G5&lt;&gt;"",MAX(F5-G5,0),IF(E5="",0,IF(E5&gt;='02_Parametros'!$B$10/100,F5,0))))</f>
        <v/>
      </c>
      <c r="I5" s="20">
        <f>IF('03_Detalle'!M5&lt;&gt;"",'03_Detalle'!M5,"")</f>
        <v/>
      </c>
      <c r="J5" s="20">
        <f>IF(I5="","",MAX(I5-H5,0))</f>
        <v/>
      </c>
      <c r="K5" s="20">
        <f>SUMIF($B$5:$B$18,B5,$C$5:$C$18)+SUMIF($B$5:$B$18,B5,$H$5:$H$18)</f>
        <v/>
      </c>
    </row>
    <row r="6">
      <c r="A6" s="19" t="inlineStr">
        <is>
          <t>C-01-2</t>
        </is>
      </c>
      <c r="B6" s="19" t="inlineStr">
        <is>
          <t>C-01</t>
        </is>
      </c>
      <c r="C6" s="21">
        <f>'03_Detalle'!J6</f>
        <v/>
      </c>
      <c r="D6" s="21">
        <f>IF('03_Detalle'!K6&lt;&gt;"",'03_Detalle'!K6,"")</f>
        <v/>
      </c>
      <c r="E6" s="37">
        <f>IF('03_Detalle'!L6&lt;&gt;"",'03_Detalle'!L6/100,"")</f>
        <v/>
      </c>
      <c r="F6" s="21">
        <f>IF(D6="","",IF('02_Parametros'!$B$11="Valor esperado",IF(E6="","",D6*E6),D6))</f>
        <v/>
      </c>
      <c r="G6" s="21">
        <f>IF('03_Detalle'!Z6&lt;&gt;"",'03_Detalle'!Z6,"")</f>
        <v/>
      </c>
      <c r="H6" s="21">
        <f>IF(F6="",0,IF(G6&lt;&gt;"",MAX(F6-G6,0),IF(E6="",0,IF(E6&gt;='02_Parametros'!$B$10/100,F6,0))))</f>
        <v/>
      </c>
      <c r="I6" s="21">
        <f>IF('03_Detalle'!M6&lt;&gt;"",'03_Detalle'!M6,"")</f>
        <v/>
      </c>
      <c r="J6" s="21">
        <f>IF(I6="","",MAX(I6-H6,0))</f>
        <v/>
      </c>
      <c r="K6" s="21">
        <f>SUMIF($B$5:$B$18,B6,$C$5:$C$18)+SUMIF($B$5:$B$18,B6,$H$5:$H$18)</f>
        <v/>
      </c>
    </row>
    <row r="7">
      <c r="A7" s="18" t="inlineStr">
        <is>
          <t>C-02-1</t>
        </is>
      </c>
      <c r="B7" s="18" t="inlineStr">
        <is>
          <t>C-02</t>
        </is>
      </c>
      <c r="C7" s="20">
        <f>'03_Detalle'!J7</f>
        <v/>
      </c>
      <c r="D7" s="20">
        <f>IF('03_Detalle'!K7&lt;&gt;"",'03_Detalle'!K7,"")</f>
        <v/>
      </c>
      <c r="E7" s="36">
        <f>IF('03_Detalle'!L7&lt;&gt;"",'03_Detalle'!L7/100,"")</f>
        <v/>
      </c>
      <c r="F7" s="20">
        <f>IF(D7="","",IF('02_Parametros'!$B$11="Valor esperado",IF(E7="","",D7*E7),D7))</f>
        <v/>
      </c>
      <c r="G7" s="20">
        <f>IF('03_Detalle'!Z7&lt;&gt;"",'03_Detalle'!Z7,"")</f>
        <v/>
      </c>
      <c r="H7" s="20">
        <f>IF(F7="",0,IF(G7&lt;&gt;"",MAX(F7-G7,0),IF(E7="",0,IF(E7&gt;='02_Parametros'!$B$10/100,F7,0))))</f>
        <v/>
      </c>
      <c r="I7" s="20">
        <f>IF('03_Detalle'!M7&lt;&gt;"",'03_Detalle'!M7,"")</f>
        <v/>
      </c>
      <c r="J7" s="20">
        <f>IF(I7="","",MAX(I7-H7,0))</f>
        <v/>
      </c>
      <c r="K7" s="20">
        <f>SUMIF($B$5:$B$18,B7,$C$5:$C$18)+SUMIF($B$5:$B$18,B7,$H$5:$H$18)</f>
        <v/>
      </c>
    </row>
    <row r="8">
      <c r="A8" s="19" t="inlineStr">
        <is>
          <t>C-03-1</t>
        </is>
      </c>
      <c r="B8" s="19" t="inlineStr">
        <is>
          <t>C-03</t>
        </is>
      </c>
      <c r="C8" s="21">
        <f>'03_Detalle'!J8</f>
        <v/>
      </c>
      <c r="D8" s="21">
        <f>IF('03_Detalle'!K8&lt;&gt;"",'03_Detalle'!K8,"")</f>
        <v/>
      </c>
      <c r="E8" s="37">
        <f>IF('03_Detalle'!L8&lt;&gt;"",'03_Detalle'!L8/100,"")</f>
        <v/>
      </c>
      <c r="F8" s="21">
        <f>IF(D8="","",IF('02_Parametros'!$B$11="Valor esperado",IF(E8="","",D8*E8),D8))</f>
        <v/>
      </c>
      <c r="G8" s="21">
        <f>IF('03_Detalle'!Z8&lt;&gt;"",'03_Detalle'!Z8,"")</f>
        <v/>
      </c>
      <c r="H8" s="21">
        <f>IF(F8="",0,IF(G8&lt;&gt;"",MAX(F8-G8,0),IF(E8="",0,IF(E8&gt;='02_Parametros'!$B$10/100,F8,0))))</f>
        <v/>
      </c>
      <c r="I8" s="21">
        <f>IF('03_Detalle'!M8&lt;&gt;"",'03_Detalle'!M8,"")</f>
        <v/>
      </c>
      <c r="J8" s="21">
        <f>IF(I8="","",MAX(I8-H8,0))</f>
        <v/>
      </c>
      <c r="K8" s="21">
        <f>SUMIF($B$5:$B$18,B8,$C$5:$C$18)+SUMIF($B$5:$B$18,B8,$H$5:$H$18)</f>
        <v/>
      </c>
    </row>
    <row r="9">
      <c r="A9" s="18" t="inlineStr">
        <is>
          <t>C-04-1</t>
        </is>
      </c>
      <c r="B9" s="18" t="inlineStr">
        <is>
          <t>C-04</t>
        </is>
      </c>
      <c r="C9" s="20">
        <f>'03_Detalle'!J9</f>
        <v/>
      </c>
      <c r="D9" s="20">
        <f>IF('03_Detalle'!K9&lt;&gt;"",'03_Detalle'!K9,"")</f>
        <v/>
      </c>
      <c r="E9" s="36">
        <f>IF('03_Detalle'!L9&lt;&gt;"",'03_Detalle'!L9/100,"")</f>
        <v/>
      </c>
      <c r="F9" s="20">
        <f>IF(D9="","",IF('02_Parametros'!$B$11="Valor esperado",IF(E9="","",D9*E9),D9))</f>
        <v/>
      </c>
      <c r="G9" s="20">
        <f>IF('03_Detalle'!Z9&lt;&gt;"",'03_Detalle'!Z9,"")</f>
        <v/>
      </c>
      <c r="H9" s="20">
        <f>IF(F9="",0,IF(G9&lt;&gt;"",MAX(F9-G9,0),IF(E9="",0,IF(E9&gt;='02_Parametros'!$B$10/100,F9,0))))</f>
        <v/>
      </c>
      <c r="I9" s="20">
        <f>IF('03_Detalle'!M9&lt;&gt;"",'03_Detalle'!M9,"")</f>
        <v/>
      </c>
      <c r="J9" s="20">
        <f>IF(I9="","",MAX(I9-H9,0))</f>
        <v/>
      </c>
      <c r="K9" s="20">
        <f>SUMIF($B$5:$B$18,B9,$C$5:$C$18)+SUMIF($B$5:$B$18,B9,$H$5:$H$18)</f>
        <v/>
      </c>
    </row>
    <row r="10">
      <c r="A10" s="19" t="inlineStr">
        <is>
          <t>C-05-1</t>
        </is>
      </c>
      <c r="B10" s="19" t="inlineStr">
        <is>
          <t>C-05</t>
        </is>
      </c>
      <c r="C10" s="21">
        <f>'03_Detalle'!J10</f>
        <v/>
      </c>
      <c r="D10" s="21">
        <f>IF('03_Detalle'!K10&lt;&gt;"",'03_Detalle'!K10,"")</f>
        <v/>
      </c>
      <c r="E10" s="37">
        <f>IF('03_Detalle'!L10&lt;&gt;"",'03_Detalle'!L10/100,"")</f>
        <v/>
      </c>
      <c r="F10" s="21">
        <f>IF(D10="","",IF('02_Parametros'!$B$11="Valor esperado",IF(E10="","",D10*E10),D10))</f>
        <v/>
      </c>
      <c r="G10" s="21">
        <f>IF('03_Detalle'!Z10&lt;&gt;"",'03_Detalle'!Z10,"")</f>
        <v/>
      </c>
      <c r="H10" s="21">
        <f>IF(F10="",0,IF(G10&lt;&gt;"",MAX(F10-G10,0),IF(E10="",0,IF(E10&gt;='02_Parametros'!$B$10/100,F10,0))))</f>
        <v/>
      </c>
      <c r="I10" s="21">
        <f>IF('03_Detalle'!M10&lt;&gt;"",'03_Detalle'!M10,"")</f>
        <v/>
      </c>
      <c r="J10" s="21">
        <f>IF(I10="","",MAX(I10-H10,0))</f>
        <v/>
      </c>
      <c r="K10" s="21">
        <f>SUMIF($B$5:$B$18,B10,$C$5:$C$18)+SUMIF($B$5:$B$18,B10,$H$5:$H$18)</f>
        <v/>
      </c>
    </row>
    <row r="11">
      <c r="A11" s="18" t="inlineStr">
        <is>
          <t>C-06-1</t>
        </is>
      </c>
      <c r="B11" s="18" t="inlineStr">
        <is>
          <t>C-06</t>
        </is>
      </c>
      <c r="C11" s="20">
        <f>'03_Detalle'!J11</f>
        <v/>
      </c>
      <c r="D11" s="20">
        <f>IF('03_Detalle'!K11&lt;&gt;"",'03_Detalle'!K11,"")</f>
        <v/>
      </c>
      <c r="E11" s="36">
        <f>IF('03_Detalle'!L11&lt;&gt;"",'03_Detalle'!L11/100,"")</f>
        <v/>
      </c>
      <c r="F11" s="20">
        <f>IF(D11="","",IF('02_Parametros'!$B$11="Valor esperado",IF(E11="","",D11*E11),D11))</f>
        <v/>
      </c>
      <c r="G11" s="20">
        <f>IF('03_Detalle'!Z11&lt;&gt;"",'03_Detalle'!Z11,"")</f>
        <v/>
      </c>
      <c r="H11" s="20">
        <f>IF(F11="",0,IF(G11&lt;&gt;"",MAX(F11-G11,0),IF(E11="",0,IF(E11&gt;='02_Parametros'!$B$10/100,F11,0))))</f>
        <v/>
      </c>
      <c r="I11" s="20">
        <f>IF('03_Detalle'!M11&lt;&gt;"",'03_Detalle'!M11,"")</f>
        <v/>
      </c>
      <c r="J11" s="20">
        <f>IF(I11="","",MAX(I11-H11,0))</f>
        <v/>
      </c>
      <c r="K11" s="20">
        <f>SUMIF($B$5:$B$18,B11,$C$5:$C$18)+SUMIF($B$5:$B$18,B11,$H$5:$H$18)</f>
        <v/>
      </c>
    </row>
    <row r="12">
      <c r="A12" s="19" t="inlineStr">
        <is>
          <t>C-07-1</t>
        </is>
      </c>
      <c r="B12" s="19" t="inlineStr">
        <is>
          <t>C-07</t>
        </is>
      </c>
      <c r="C12" s="21">
        <f>'03_Detalle'!J12</f>
        <v/>
      </c>
      <c r="D12" s="21">
        <f>IF('03_Detalle'!K12&lt;&gt;"",'03_Detalle'!K12,"")</f>
        <v/>
      </c>
      <c r="E12" s="37">
        <f>IF('03_Detalle'!L12&lt;&gt;"",'03_Detalle'!L12/100,"")</f>
        <v/>
      </c>
      <c r="F12" s="21">
        <f>IF(D12="","",IF('02_Parametros'!$B$11="Valor esperado",IF(E12="","",D12*E12),D12))</f>
        <v/>
      </c>
      <c r="G12" s="21">
        <f>IF('03_Detalle'!Z12&lt;&gt;"",'03_Detalle'!Z12,"")</f>
        <v/>
      </c>
      <c r="H12" s="21">
        <f>IF(F12="",0,IF(G12&lt;&gt;"",MAX(F12-G12,0),IF(E12="",0,IF(E12&gt;='02_Parametros'!$B$10/100,F12,0))))</f>
        <v/>
      </c>
      <c r="I12" s="21">
        <f>IF('03_Detalle'!M12&lt;&gt;"",'03_Detalle'!M12,"")</f>
        <v/>
      </c>
      <c r="J12" s="21">
        <f>IF(I12="","",MAX(I12-H12,0))</f>
        <v/>
      </c>
      <c r="K12" s="21">
        <f>SUMIF($B$5:$B$18,B12,$C$5:$C$18)+SUMIF($B$5:$B$18,B12,$H$5:$H$18)</f>
        <v/>
      </c>
    </row>
    <row r="13">
      <c r="A13" s="18" t="inlineStr">
        <is>
          <t>C-08-1</t>
        </is>
      </c>
      <c r="B13" s="18" t="inlineStr">
        <is>
          <t>C-08</t>
        </is>
      </c>
      <c r="C13" s="20">
        <f>'03_Detalle'!J13</f>
        <v/>
      </c>
      <c r="D13" s="20">
        <f>IF('03_Detalle'!K13&lt;&gt;"",'03_Detalle'!K13,"")</f>
        <v/>
      </c>
      <c r="E13" s="36">
        <f>IF('03_Detalle'!L13&lt;&gt;"",'03_Detalle'!L13/100,"")</f>
        <v/>
      </c>
      <c r="F13" s="20">
        <f>IF(D13="","",IF('02_Parametros'!$B$11="Valor esperado",IF(E13="","",D13*E13),D13))</f>
        <v/>
      </c>
      <c r="G13" s="20">
        <f>IF('03_Detalle'!Z13&lt;&gt;"",'03_Detalle'!Z13,"")</f>
        <v/>
      </c>
      <c r="H13" s="20">
        <f>IF(F13="",0,IF(G13&lt;&gt;"",MAX(F13-G13,0),IF(E13="",0,IF(E13&gt;='02_Parametros'!$B$10/100,F13,0))))</f>
        <v/>
      </c>
      <c r="I13" s="20">
        <f>IF('03_Detalle'!M13&lt;&gt;"",'03_Detalle'!M13,"")</f>
        <v/>
      </c>
      <c r="J13" s="20">
        <f>IF(I13="","",MAX(I13-H13,0))</f>
        <v/>
      </c>
      <c r="K13" s="20">
        <f>SUMIF($B$5:$B$18,B13,$C$5:$C$18)+SUMIF($B$5:$B$18,B13,$H$5:$H$18)</f>
        <v/>
      </c>
    </row>
    <row r="14">
      <c r="A14" s="19" t="inlineStr">
        <is>
          <t>C-09-1</t>
        </is>
      </c>
      <c r="B14" s="19" t="inlineStr">
        <is>
          <t>C-09</t>
        </is>
      </c>
      <c r="C14" s="21">
        <f>'03_Detalle'!J14</f>
        <v/>
      </c>
      <c r="D14" s="21">
        <f>IF('03_Detalle'!K14&lt;&gt;"",'03_Detalle'!K14,"")</f>
        <v/>
      </c>
      <c r="E14" s="37">
        <f>IF('03_Detalle'!L14&lt;&gt;"",'03_Detalle'!L14/100,"")</f>
        <v/>
      </c>
      <c r="F14" s="21">
        <f>IF(D14="","",IF('02_Parametros'!$B$11="Valor esperado",IF(E14="","",D14*E14),D14))</f>
        <v/>
      </c>
      <c r="G14" s="21">
        <f>IF('03_Detalle'!Z14&lt;&gt;"",'03_Detalle'!Z14,"")</f>
        <v/>
      </c>
      <c r="H14" s="21">
        <f>IF(F14="",0,IF(G14&lt;&gt;"",MAX(F14-G14,0),IF(E14="",0,IF(E14&gt;='02_Parametros'!$B$10/100,F14,0))))</f>
        <v/>
      </c>
      <c r="I14" s="21">
        <f>IF('03_Detalle'!M14&lt;&gt;"",'03_Detalle'!M14,"")</f>
        <v/>
      </c>
      <c r="J14" s="21">
        <f>IF(I14="","",MAX(I14-H14,0))</f>
        <v/>
      </c>
      <c r="K14" s="21">
        <f>SUMIF($B$5:$B$18,B14,$C$5:$C$18)+SUMIF($B$5:$B$18,B14,$H$5:$H$18)</f>
        <v/>
      </c>
    </row>
    <row r="15">
      <c r="A15" s="18" t="inlineStr">
        <is>
          <t>C-09-2</t>
        </is>
      </c>
      <c r="B15" s="18" t="inlineStr">
        <is>
          <t>C-09</t>
        </is>
      </c>
      <c r="C15" s="20">
        <f>'03_Detalle'!J15</f>
        <v/>
      </c>
      <c r="D15" s="20">
        <f>IF('03_Detalle'!K15&lt;&gt;"",'03_Detalle'!K15,"")</f>
        <v/>
      </c>
      <c r="E15" s="36">
        <f>IF('03_Detalle'!L15&lt;&gt;"",'03_Detalle'!L15/100,"")</f>
        <v/>
      </c>
      <c r="F15" s="20">
        <f>IF(D15="","",IF('02_Parametros'!$B$11="Valor esperado",IF(E15="","",D15*E15),D15))</f>
        <v/>
      </c>
      <c r="G15" s="20">
        <f>IF('03_Detalle'!Z15&lt;&gt;"",'03_Detalle'!Z15,"")</f>
        <v/>
      </c>
      <c r="H15" s="20">
        <f>IF(F15="",0,IF(G15&lt;&gt;"",MAX(F15-G15,0),IF(E15="",0,IF(E15&gt;='02_Parametros'!$B$10/100,F15,0))))</f>
        <v/>
      </c>
      <c r="I15" s="20">
        <f>IF('03_Detalle'!M15&lt;&gt;"",'03_Detalle'!M15,"")</f>
        <v/>
      </c>
      <c r="J15" s="20">
        <f>IF(I15="","",MAX(I15-H15,0))</f>
        <v/>
      </c>
      <c r="K15" s="20">
        <f>SUMIF($B$5:$B$18,B15,$C$5:$C$18)+SUMIF($B$5:$B$18,B15,$H$5:$H$18)</f>
        <v/>
      </c>
    </row>
    <row r="16">
      <c r="A16" s="19" t="inlineStr">
        <is>
          <t>C-10-1</t>
        </is>
      </c>
      <c r="B16" s="19" t="inlineStr">
        <is>
          <t>C-10</t>
        </is>
      </c>
      <c r="C16" s="21">
        <f>'03_Detalle'!J16</f>
        <v/>
      </c>
      <c r="D16" s="21">
        <f>IF('03_Detalle'!K16&lt;&gt;"",'03_Detalle'!K16,"")</f>
        <v/>
      </c>
      <c r="E16" s="37">
        <f>IF('03_Detalle'!L16&lt;&gt;"",'03_Detalle'!L16/100,"")</f>
        <v/>
      </c>
      <c r="F16" s="21">
        <f>IF(D16="","",IF('02_Parametros'!$B$11="Valor esperado",IF(E16="","",D16*E16),D16))</f>
        <v/>
      </c>
      <c r="G16" s="21">
        <f>IF('03_Detalle'!Z16&lt;&gt;"",'03_Detalle'!Z16,"")</f>
        <v/>
      </c>
      <c r="H16" s="21">
        <f>IF(F16="",0,IF(G16&lt;&gt;"",MAX(F16-G16,0),IF(E16="",0,IF(E16&gt;='02_Parametros'!$B$10/100,F16,0))))</f>
        <v/>
      </c>
      <c r="I16" s="21">
        <f>IF('03_Detalle'!M16&lt;&gt;"",'03_Detalle'!M16,"")</f>
        <v/>
      </c>
      <c r="J16" s="21">
        <f>IF(I16="","",MAX(I16-H16,0))</f>
        <v/>
      </c>
      <c r="K16" s="21">
        <f>SUMIF($B$5:$B$18,B16,$C$5:$C$18)+SUMIF($B$5:$B$18,B16,$H$5:$H$18)</f>
        <v/>
      </c>
    </row>
    <row r="17">
      <c r="A17" s="18" t="inlineStr">
        <is>
          <t>C-11-1</t>
        </is>
      </c>
      <c r="B17" s="18" t="inlineStr">
        <is>
          <t>C-11</t>
        </is>
      </c>
      <c r="C17" s="20">
        <f>'03_Detalle'!J17</f>
        <v/>
      </c>
      <c r="D17" s="20">
        <f>IF('03_Detalle'!K17&lt;&gt;"",'03_Detalle'!K17,"")</f>
        <v/>
      </c>
      <c r="E17" s="36">
        <f>IF('03_Detalle'!L17&lt;&gt;"",'03_Detalle'!L17/100,"")</f>
        <v/>
      </c>
      <c r="F17" s="20">
        <f>IF(D17="","",IF('02_Parametros'!$B$11="Valor esperado",IF(E17="","",D17*E17),D17))</f>
        <v/>
      </c>
      <c r="G17" s="20">
        <f>IF('03_Detalle'!Z17&lt;&gt;"",'03_Detalle'!Z17,"")</f>
        <v/>
      </c>
      <c r="H17" s="20">
        <f>IF(F17="",0,IF(G17&lt;&gt;"",MAX(F17-G17,0),IF(E17="",0,IF(E17&gt;='02_Parametros'!$B$10/100,F17,0))))</f>
        <v/>
      </c>
      <c r="I17" s="20">
        <f>IF('03_Detalle'!M17&lt;&gt;"",'03_Detalle'!M17,"")</f>
        <v/>
      </c>
      <c r="J17" s="20">
        <f>IF(I17="","",MAX(I17-H17,0))</f>
        <v/>
      </c>
      <c r="K17" s="20">
        <f>SUMIF($B$5:$B$18,B17,$C$5:$C$18)+SUMIF($B$5:$B$18,B17,$H$5:$H$18)</f>
        <v/>
      </c>
    </row>
    <row r="18">
      <c r="A18" s="19" t="inlineStr">
        <is>
          <t>C-12-1</t>
        </is>
      </c>
      <c r="B18" s="19" t="inlineStr">
        <is>
          <t>C-12</t>
        </is>
      </c>
      <c r="C18" s="21">
        <f>'03_Detalle'!J18</f>
        <v/>
      </c>
      <c r="D18" s="21">
        <f>IF('03_Detalle'!K18&lt;&gt;"",'03_Detalle'!K18,"")</f>
        <v/>
      </c>
      <c r="E18" s="37">
        <f>IF('03_Detalle'!L18&lt;&gt;"",'03_Detalle'!L18/100,"")</f>
        <v/>
      </c>
      <c r="F18" s="21">
        <f>IF(D18="","",IF('02_Parametros'!$B$11="Valor esperado",IF(E18="","",D18*E18),D18))</f>
        <v/>
      </c>
      <c r="G18" s="21">
        <f>IF('03_Detalle'!Z18&lt;&gt;"",'03_Detalle'!Z18,"")</f>
        <v/>
      </c>
      <c r="H18" s="21">
        <f>IF(F18="",0,IF(G18&lt;&gt;"",MAX(F18-G18,0),IF(E18="",0,IF(E18&gt;='02_Parametros'!$B$10/100,F18,0))))</f>
        <v/>
      </c>
      <c r="I18" s="21">
        <f>IF('03_Detalle'!M18&lt;&gt;"",'03_Detalle'!M18,"")</f>
        <v/>
      </c>
      <c r="J18" s="21">
        <f>IF(I18="","",MAX(I18-H18,0))</f>
        <v/>
      </c>
      <c r="K18" s="21">
        <f>SUMIF($B$5:$B$18,B18,$C$5:$C$18)+SUMIF($B$5:$B$18,B18,$H$5:$H$18)</f>
        <v/>
      </c>
    </row>
    <row r="19">
      <c r="A19" s="33" t="inlineStr">
        <is>
          <t>TOTAL</t>
        </is>
      </c>
      <c r="B19" s="33" t="inlineStr"/>
      <c r="C19" s="35">
        <f>SUM(C5:C18)</f>
        <v/>
      </c>
      <c r="D19" s="35" t="n"/>
      <c r="E19" s="38" t="n"/>
      <c r="F19" s="35" t="n"/>
      <c r="G19" s="35" t="n"/>
      <c r="H19" s="35">
        <f>SUM(H5:H18)</f>
        <v/>
      </c>
      <c r="I19" s="35" t="n"/>
      <c r="J19" s="35">
        <f>SUM(J5:J18)</f>
        <v/>
      </c>
      <c r="K19" s="35" t="n"/>
    </row>
    <row r="21">
      <c r="A21" s="22" t="inlineStr">
        <is>
          <t>ⓘ  Cómo se calcula esta hoja</t>
        </is>
      </c>
    </row>
    <row r="22">
      <c r="A22" s="23" t="inlineStr">
        <is>
          <t>Columna</t>
        </is>
      </c>
      <c r="B22" s="23" t="inlineStr">
        <is>
          <t>Fórmula (Excel)</t>
        </is>
      </c>
      <c r="C22" s="23" t="inlineStr">
        <is>
          <t>Cómo se calcula (sencillo)</t>
        </is>
      </c>
      <c r="D22" s="23" t="inlineStr">
        <is>
          <t>Ejemplo con números reales</t>
        </is>
      </c>
      <c r="E22" s="23" t="inlineStr">
        <is>
          <t>De dónde viene</t>
        </is>
      </c>
      <c r="F22" s="23" t="inlineStr">
        <is>
          <t>Norma</t>
        </is>
      </c>
    </row>
    <row r="23">
      <c r="A23" s="24" t="inlineStr">
        <is>
          <t>Precio fijo</t>
        </is>
      </c>
      <c r="B23" s="25" t="inlineStr">
        <is>
          <t>'='03_Detalle'!J5</t>
        </is>
      </c>
      <c r="C23" s="24" t="inlineStr">
        <is>
          <t>Trae el precio del contrato asignado por el cliente a la línea, de la hoja 03 (Detalle por obligación).</t>
        </is>
      </c>
      <c r="D23" s="24" t="inlineStr">
        <is>
          <t>Fila 1: 90.000,00 → 90.000,00</t>
        </is>
      </c>
      <c r="E23" s="24" t="inlineStr">
        <is>
          <t>hoja «Detalle por obligación»</t>
        </is>
      </c>
      <c r="F23" s="24" t="inlineStr">
        <is>
          <t>—</t>
        </is>
      </c>
    </row>
    <row r="24">
      <c r="A24" s="24" t="inlineStr">
        <is>
          <t>Variable estimada</t>
        </is>
      </c>
      <c r="B24" s="25" t="inlineStr">
        <is>
          <t>'=IF('03_Detalle'!K5&lt;&gt;"",'03_Detalle'!K5,"")</t>
        </is>
      </c>
      <c r="C24" s="24" t="inlineStr">
        <is>
          <t>Trae la contraprestación variable estimada de la línea (hoja 03); queda en blanco si el contrato no tiene parte variable.</t>
        </is>
      </c>
      <c r="D24" s="24" t="inlineStr">
        <is>
          <t>Fila 1: IF((vacío)&lt;&gt;""; (vacío); "") → (en blanco)</t>
        </is>
      </c>
      <c r="E24" s="24" t="inlineStr">
        <is>
          <t>hoja «Detalle por obligación»</t>
        </is>
      </c>
      <c r="F24" s="24" t="inlineStr">
        <is>
          <t>—</t>
        </is>
      </c>
    </row>
    <row r="25">
      <c r="A25" s="24" t="inlineStr">
        <is>
          <t>Probabilidad</t>
        </is>
      </c>
      <c r="B25" s="25" t="inlineStr">
        <is>
          <t>'=IF('03_Detalle'!L5&lt;&gt;"",'03_Detalle'!L5/100,"")</t>
        </is>
      </c>
      <c r="C25" s="24" t="inlineStr">
        <is>
          <t>Trae la probabilidad de la variable informada en la hoja 03 y la expresa como porcentaje; queda en blanco si no se informó.</t>
        </is>
      </c>
      <c r="D25" s="24" t="inlineStr">
        <is>
          <t>Fila 1: IF((vacío)&lt;&gt;""; (vacío)/100; "") → (en blanco)</t>
        </is>
      </c>
      <c r="E25" s="24" t="inlineStr">
        <is>
          <t>hoja «Detalle por obligación»</t>
        </is>
      </c>
      <c r="F25" s="24" t="inlineStr">
        <is>
          <t>—</t>
        </is>
      </c>
    </row>
    <row r="26">
      <c r="A26" s="24" t="inlineStr">
        <is>
          <t>Importe estimado por el método</t>
        </is>
      </c>
      <c r="B26" s="25" t="inlineStr">
        <is>
          <t>'=IF(D5="","",IF('02_Parametros'!$B$11="Valor esperado",IF(E5="","",D5*E5),D5))</t>
        </is>
      </c>
      <c r="C26" s="24" t="inlineStr">
        <is>
          <t>Si el método de la hoja 02 es «Valor esperado», multiplica la variable por su probabilidad; si es «Importe más probable», toma la variable completa. Queda en blanco si no hay variable (o, con valor esperado, si falta la probabilidad).</t>
        </is>
      </c>
      <c r="D26" s="24" t="inlineStr">
        <is>
          <t>Fila 1: IF((vacío)=""; ""; IF(«Importe más probable»="Valor esperado"; IF((vacío)=""; ""; (vacío)*(vacío)); (vacío))) → (en blanco)</t>
        </is>
      </c>
      <c r="E26" s="24" t="inlineStr">
        <is>
          <t>«Variable estimada» (esta hoja), «Probabilidad» (esta hoja), hoja «Parámetros»</t>
        </is>
      </c>
      <c r="F26" s="24" t="inlineStr">
        <is>
          <t>—</t>
        </is>
      </c>
    </row>
    <row r="27">
      <c r="A27" s="24" t="inlineStr">
        <is>
          <t>Importe que supera la restricción</t>
        </is>
      </c>
      <c r="B27" s="25" t="inlineStr">
        <is>
          <t>'=IF('03_Detalle'!Z5&lt;&gt;"",'03_Detalle'!Z5,"")</t>
        </is>
      </c>
      <c r="C27" s="24" t="inlineStr">
        <is>
          <t>Trae de la hoja 03 la parte de la variable que el cliente no puede incluir por la restricción; queda en blanco si no se informó.</t>
        </is>
      </c>
      <c r="D27" s="24" t="inlineStr">
        <is>
          <t>Fila 1: IF((vacío)&lt;&gt;""; (vacío); "") → (en blanco)</t>
        </is>
      </c>
      <c r="E27" s="24" t="inlineStr">
        <is>
          <t>hoja «Detalle por obligación»</t>
        </is>
      </c>
      <c r="F27" s="24" t="inlineStr">
        <is>
          <t>—</t>
        </is>
      </c>
    </row>
    <row r="28">
      <c r="A28" s="24" t="inlineStr">
        <is>
          <t>Variable incluida (restringida)</t>
        </is>
      </c>
      <c r="B28" s="25" t="inlineStr">
        <is>
          <t>'=IF(F5="",0,IF(G5&lt;&gt;"",MAX(F5-G5,0),IF(E5="",0,IF(E5&gt;='02_Parametros'!$B$10/100,F5,0))))</t>
        </is>
      </c>
      <c r="C28" s="24" t="inlineStr">
        <is>
          <t>Si se informó el importe que supera la restricción, incluye el importe estimado menos ese importe (nunca menos de cero); si no, incluye todo el importe estimado si su probabilidad alcanza el umbral de «altamente probable» de la hoja 02 (Parámetros) y nada en caso contrario o si falta la probabilidad.</t>
        </is>
      </c>
      <c r="D28" s="24" t="inlineStr">
        <is>
          <t>Fila 1: IF((vacío)=""; 0; IF((vacío)&lt;&gt;""; MAX((vacío)-(vacío); 0); IF((vacío)=""; 0; IF((vacío)&gt;=75,00/100; (vacío); 0)))) → 0,00</t>
        </is>
      </c>
      <c r="E28" s="24" t="inlineStr">
        <is>
          <t>«Importe estimado por el método» (esta hoja), «Importe que supera la restricción» (esta hoja), «Probabilidad» (esta hoja), hoja «Parámetros»</t>
        </is>
      </c>
      <c r="F28" s="24" t="inlineStr">
        <is>
          <t>—</t>
        </is>
      </c>
    </row>
    <row r="29">
      <c r="A29" s="24" t="inlineStr">
        <is>
          <t>Variable del cliente</t>
        </is>
      </c>
      <c r="B29" s="25" t="inlineStr">
        <is>
          <t>'=IF('03_Detalle'!M5&lt;&gt;"",'03_Detalle'!M5,"")</t>
        </is>
      </c>
      <c r="C29" s="24" t="inlineStr">
        <is>
          <t>Trae la contraprestación variable que el cliente incluyó en el precio (hoja 03); queda en blanco si no la informó.</t>
        </is>
      </c>
      <c r="D29" s="24" t="inlineStr">
        <is>
          <t>Fila 1: IF((vacío)&lt;&gt;""; (vacío); "") → (en blanco)</t>
        </is>
      </c>
      <c r="E29" s="24" t="inlineStr">
        <is>
          <t>hoja «Detalle por obligación»</t>
        </is>
      </c>
      <c r="F29" s="24" t="inlineStr">
        <is>
          <t>—</t>
        </is>
      </c>
    </row>
    <row r="30">
      <c r="A30" s="24" t="inlineStr">
        <is>
          <t>Exceso sobre la restricción</t>
        </is>
      </c>
      <c r="B30" s="25" t="inlineStr">
        <is>
          <t>'=IF(I5="","",MAX(I5-H5,0))</t>
        </is>
      </c>
      <c r="C30" s="24" t="inlineStr">
        <is>
          <t>Resta la variable incluida por el auditor de la que incluyó el cliente; si el cliente incluyó menos, da cero. En blanco si el cliente no informó su variable.</t>
        </is>
      </c>
      <c r="D30" s="24" t="inlineStr">
        <is>
          <t>Fila 1: IF((vacío)=""; ""; MAX((vacío)-0,00; 0)) → (en blanco)</t>
        </is>
      </c>
      <c r="E30" s="24" t="inlineStr">
        <is>
          <t>«Variable del cliente» (esta hoja), «Variable incluida (restringida)» (esta hoja)</t>
        </is>
      </c>
      <c r="F30" s="24" t="inlineStr">
        <is>
          <t>—</t>
        </is>
      </c>
    </row>
    <row r="31">
      <c r="A31" s="24" t="inlineStr">
        <is>
          <t>Precio de la transacción del contrato</t>
        </is>
      </c>
      <c r="B31" s="25" t="inlineStr">
        <is>
          <t>'=SUMIF($B$5:$B$18,B5,$C$5:$C$18)+SUMIF($B$5:$B$18,B5,$H$5:$H$18)</t>
        </is>
      </c>
      <c r="C31" s="24" t="inlineStr">
        <is>
          <t>Suma, para todas las líneas del mismo contrato de esta hoja, los precios fijos y las variables incluidas: es el precio total a repartir entre las obligaciones.</t>
        </is>
      </c>
      <c r="D31" s="24" t="inlineStr">
        <is>
          <t>Fila 1: SUMIF([«Contrato», 14 filas]; «C-01»; [«Precio fijo», 14 filas])+SUMIF([«Contrato», 14 filas]; «C-01»; [«Variable incluida (restringida)», 14 filas]) → 100.000,00</t>
        </is>
      </c>
      <c r="E31" s="24" t="inlineStr">
        <is>
          <t>«Contrato» (esta hoja), «Precio fijo» (esta hoja), «Variable incluida (restringida)» (esta hoja)</t>
        </is>
      </c>
      <c r="F31" s="24" t="inlineStr">
        <is>
          <t>—</t>
        </is>
      </c>
    </row>
  </sheetData>
  <mergeCells count="3">
    <mergeCell ref="A2:F2"/>
    <mergeCell ref="A21:F21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9" customWidth="1" min="4" max="4"/>
    <col width="26" customWidth="1" min="5" max="5"/>
    <col width="21" customWidth="1" min="6" max="6"/>
    <col width="24" customWidth="1" min="7" max="7"/>
    <col width="12" customWidth="1" min="8" max="8"/>
    <col width="27" customWidth="1" min="9" max="9"/>
    <col width="21" customWidth="1" min="10" max="10"/>
  </cols>
  <sheetData>
    <row r="1">
      <c r="A1" s="3" t="inlineStr">
        <is>
          <t>Asignación del precio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4" ht="30" customHeight="1">
      <c r="A4" s="17" t="inlineStr">
        <is>
          <t>Línea</t>
        </is>
      </c>
      <c r="B4" s="17" t="inlineStr">
        <is>
          <t>Contrato</t>
        </is>
      </c>
      <c r="C4" s="17" t="inlineStr">
        <is>
          <t>Precio independiente usado</t>
        </is>
      </c>
      <c r="D4" s="17" t="inlineStr">
        <is>
          <t>Suma del contrato</t>
        </is>
      </c>
      <c r="E4" s="17" t="inlineStr">
        <is>
          <t>Precio de la transacción</t>
        </is>
      </c>
      <c r="F4" s="17" t="inlineStr">
        <is>
          <t>Asignado (relativo)</t>
        </is>
      </c>
      <c r="G4" s="17" t="inlineStr">
        <is>
          <t>Asignación del cliente</t>
        </is>
      </c>
      <c r="H4" s="17" t="inlineStr">
        <is>
          <t>Diferencia</t>
        </is>
      </c>
      <c r="I4" s="17" t="inlineStr">
        <is>
          <t>Obligaciones del contrato</t>
        </is>
      </c>
      <c r="J4" s="17" t="inlineStr">
        <is>
          <t>Diferencia absoluta</t>
        </is>
      </c>
    </row>
    <row r="5">
      <c r="A5" s="18" t="inlineStr">
        <is>
          <t>C-01-1</t>
        </is>
      </c>
      <c r="B5" s="18" t="inlineStr">
        <is>
          <t>C-01</t>
        </is>
      </c>
      <c r="C5" s="20">
        <f>IF('03_Detalle'!I5&lt;&gt;"",'03_Detalle'!I5,'03_Detalle'!J5)</f>
        <v/>
      </c>
      <c r="D5" s="20">
        <f>SUMIF($B$5:$B$18,B5,$C$5:$C$18)</f>
        <v/>
      </c>
      <c r="E5" s="20">
        <f>'04_Precio_variable'!K5</f>
        <v/>
      </c>
      <c r="F5" s="20">
        <f>IF(D5=0,"",E5*C5/D5)</f>
        <v/>
      </c>
      <c r="G5" s="20">
        <f>'04_Precio_variable'!C5+IF('04_Precio_variable'!I5="",0,'04_Precio_variable'!I5)</f>
        <v/>
      </c>
      <c r="H5" s="20">
        <f>IF(F5="","",F5-G5)</f>
        <v/>
      </c>
      <c r="I5" s="39">
        <f>COUNTIF($B$5:$B$18,B5)</f>
        <v/>
      </c>
      <c r="J5" s="20">
        <f>IF(OR(H5="",I5&lt;2),0,ABS(H5))</f>
        <v/>
      </c>
    </row>
    <row r="6">
      <c r="A6" s="19" t="inlineStr">
        <is>
          <t>C-01-2</t>
        </is>
      </c>
      <c r="B6" s="19" t="inlineStr">
        <is>
          <t>C-01</t>
        </is>
      </c>
      <c r="C6" s="21">
        <f>IF('03_Detalle'!I6&lt;&gt;"",'03_Detalle'!I6,'03_Detalle'!J6)</f>
        <v/>
      </c>
      <c r="D6" s="21">
        <f>SUMIF($B$5:$B$18,B6,$C$5:$C$18)</f>
        <v/>
      </c>
      <c r="E6" s="21">
        <f>'04_Precio_variable'!K6</f>
        <v/>
      </c>
      <c r="F6" s="21">
        <f>IF(D6=0,"",E6*C6/D6)</f>
        <v/>
      </c>
      <c r="G6" s="21">
        <f>'04_Precio_variable'!C6+IF('04_Precio_variable'!I6="",0,'04_Precio_variable'!I6)</f>
        <v/>
      </c>
      <c r="H6" s="21">
        <f>IF(F6="","",F6-G6)</f>
        <v/>
      </c>
      <c r="I6" s="40">
        <f>COUNTIF($B$5:$B$18,B6)</f>
        <v/>
      </c>
      <c r="J6" s="21">
        <f>IF(OR(H6="",I6&lt;2),0,ABS(H6))</f>
        <v/>
      </c>
    </row>
    <row r="7">
      <c r="A7" s="18" t="inlineStr">
        <is>
          <t>C-02-1</t>
        </is>
      </c>
      <c r="B7" s="18" t="inlineStr">
        <is>
          <t>C-02</t>
        </is>
      </c>
      <c r="C7" s="20">
        <f>IF('03_Detalle'!I7&lt;&gt;"",'03_Detalle'!I7,'03_Detalle'!J7)</f>
        <v/>
      </c>
      <c r="D7" s="20">
        <f>SUMIF($B$5:$B$18,B7,$C$5:$C$18)</f>
        <v/>
      </c>
      <c r="E7" s="20">
        <f>'04_Precio_variable'!K7</f>
        <v/>
      </c>
      <c r="F7" s="20">
        <f>IF(D7=0,"",E7*C7/D7)</f>
        <v/>
      </c>
      <c r="G7" s="20">
        <f>'04_Precio_variable'!C7+IF('04_Precio_variable'!I7="",0,'04_Precio_variable'!I7)</f>
        <v/>
      </c>
      <c r="H7" s="20">
        <f>IF(F7="","",F7-G7)</f>
        <v/>
      </c>
      <c r="I7" s="39">
        <f>COUNTIF($B$5:$B$18,B7)</f>
        <v/>
      </c>
      <c r="J7" s="20">
        <f>IF(OR(H7="",I7&lt;2),0,ABS(H7))</f>
        <v/>
      </c>
    </row>
    <row r="8">
      <c r="A8" s="19" t="inlineStr">
        <is>
          <t>C-03-1</t>
        </is>
      </c>
      <c r="B8" s="19" t="inlineStr">
        <is>
          <t>C-03</t>
        </is>
      </c>
      <c r="C8" s="21">
        <f>IF('03_Detalle'!I8&lt;&gt;"",'03_Detalle'!I8,'03_Detalle'!J8)</f>
        <v/>
      </c>
      <c r="D8" s="21">
        <f>SUMIF($B$5:$B$18,B8,$C$5:$C$18)</f>
        <v/>
      </c>
      <c r="E8" s="21">
        <f>'04_Precio_variable'!K8</f>
        <v/>
      </c>
      <c r="F8" s="21">
        <f>IF(D8=0,"",E8*C8/D8)</f>
        <v/>
      </c>
      <c r="G8" s="21">
        <f>'04_Precio_variable'!C8+IF('04_Precio_variable'!I8="",0,'04_Precio_variable'!I8)</f>
        <v/>
      </c>
      <c r="H8" s="21">
        <f>IF(F8="","",F8-G8)</f>
        <v/>
      </c>
      <c r="I8" s="40">
        <f>COUNTIF($B$5:$B$18,B8)</f>
        <v/>
      </c>
      <c r="J8" s="21">
        <f>IF(OR(H8="",I8&lt;2),0,ABS(H8))</f>
        <v/>
      </c>
    </row>
    <row r="9">
      <c r="A9" s="18" t="inlineStr">
        <is>
          <t>C-04-1</t>
        </is>
      </c>
      <c r="B9" s="18" t="inlineStr">
        <is>
          <t>C-04</t>
        </is>
      </c>
      <c r="C9" s="20">
        <f>IF('03_Detalle'!I9&lt;&gt;"",'03_Detalle'!I9,'03_Detalle'!J9)</f>
        <v/>
      </c>
      <c r="D9" s="20">
        <f>SUMIF($B$5:$B$18,B9,$C$5:$C$18)</f>
        <v/>
      </c>
      <c r="E9" s="20">
        <f>'04_Precio_variable'!K9</f>
        <v/>
      </c>
      <c r="F9" s="20">
        <f>IF(D9=0,"",E9*C9/D9)</f>
        <v/>
      </c>
      <c r="G9" s="20">
        <f>'04_Precio_variable'!C9+IF('04_Precio_variable'!I9="",0,'04_Precio_variable'!I9)</f>
        <v/>
      </c>
      <c r="H9" s="20">
        <f>IF(F9="","",F9-G9)</f>
        <v/>
      </c>
      <c r="I9" s="39">
        <f>COUNTIF($B$5:$B$18,B9)</f>
        <v/>
      </c>
      <c r="J9" s="20">
        <f>IF(OR(H9="",I9&lt;2),0,ABS(H9))</f>
        <v/>
      </c>
    </row>
    <row r="10">
      <c r="A10" s="19" t="inlineStr">
        <is>
          <t>C-05-1</t>
        </is>
      </c>
      <c r="B10" s="19" t="inlineStr">
        <is>
          <t>C-05</t>
        </is>
      </c>
      <c r="C10" s="21">
        <f>IF('03_Detalle'!I10&lt;&gt;"",'03_Detalle'!I10,'03_Detalle'!J10)</f>
        <v/>
      </c>
      <c r="D10" s="21">
        <f>SUMIF($B$5:$B$18,B10,$C$5:$C$18)</f>
        <v/>
      </c>
      <c r="E10" s="21">
        <f>'04_Precio_variable'!K10</f>
        <v/>
      </c>
      <c r="F10" s="21">
        <f>IF(D10=0,"",E10*C10/D10)</f>
        <v/>
      </c>
      <c r="G10" s="21">
        <f>'04_Precio_variable'!C10+IF('04_Precio_variable'!I10="",0,'04_Precio_variable'!I10)</f>
        <v/>
      </c>
      <c r="H10" s="21">
        <f>IF(F10="","",F10-G10)</f>
        <v/>
      </c>
      <c r="I10" s="40">
        <f>COUNTIF($B$5:$B$18,B10)</f>
        <v/>
      </c>
      <c r="J10" s="21">
        <f>IF(OR(H10="",I10&lt;2),0,ABS(H10))</f>
        <v/>
      </c>
    </row>
    <row r="11">
      <c r="A11" s="18" t="inlineStr">
        <is>
          <t>C-06-1</t>
        </is>
      </c>
      <c r="B11" s="18" t="inlineStr">
        <is>
          <t>C-06</t>
        </is>
      </c>
      <c r="C11" s="20">
        <f>IF('03_Detalle'!I11&lt;&gt;"",'03_Detalle'!I11,'03_Detalle'!J11)</f>
        <v/>
      </c>
      <c r="D11" s="20">
        <f>SUMIF($B$5:$B$18,B11,$C$5:$C$18)</f>
        <v/>
      </c>
      <c r="E11" s="20">
        <f>'04_Precio_variable'!K11</f>
        <v/>
      </c>
      <c r="F11" s="20">
        <f>IF(D11=0,"",E11*C11/D11)</f>
        <v/>
      </c>
      <c r="G11" s="20">
        <f>'04_Precio_variable'!C11+IF('04_Precio_variable'!I11="",0,'04_Precio_variable'!I11)</f>
        <v/>
      </c>
      <c r="H11" s="20">
        <f>IF(F11="","",F11-G11)</f>
        <v/>
      </c>
      <c r="I11" s="39">
        <f>COUNTIF($B$5:$B$18,B11)</f>
        <v/>
      </c>
      <c r="J11" s="20">
        <f>IF(OR(H11="",I11&lt;2),0,ABS(H11))</f>
        <v/>
      </c>
    </row>
    <row r="12">
      <c r="A12" s="19" t="inlineStr">
        <is>
          <t>C-07-1</t>
        </is>
      </c>
      <c r="B12" s="19" t="inlineStr">
        <is>
          <t>C-07</t>
        </is>
      </c>
      <c r="C12" s="21">
        <f>IF('03_Detalle'!I12&lt;&gt;"",'03_Detalle'!I12,'03_Detalle'!J12)</f>
        <v/>
      </c>
      <c r="D12" s="21">
        <f>SUMIF($B$5:$B$18,B12,$C$5:$C$18)</f>
        <v/>
      </c>
      <c r="E12" s="21">
        <f>'04_Precio_variable'!K12</f>
        <v/>
      </c>
      <c r="F12" s="21">
        <f>IF(D12=0,"",E12*C12/D12)</f>
        <v/>
      </c>
      <c r="G12" s="21">
        <f>'04_Precio_variable'!C12+IF('04_Precio_variable'!I12="",0,'04_Precio_variable'!I12)</f>
        <v/>
      </c>
      <c r="H12" s="21">
        <f>IF(F12="","",F12-G12)</f>
        <v/>
      </c>
      <c r="I12" s="40">
        <f>COUNTIF($B$5:$B$18,B12)</f>
        <v/>
      </c>
      <c r="J12" s="21">
        <f>IF(OR(H12="",I12&lt;2),0,ABS(H12))</f>
        <v/>
      </c>
    </row>
    <row r="13">
      <c r="A13" s="18" t="inlineStr">
        <is>
          <t>C-08-1</t>
        </is>
      </c>
      <c r="B13" s="18" t="inlineStr">
        <is>
          <t>C-08</t>
        </is>
      </c>
      <c r="C13" s="20">
        <f>IF('03_Detalle'!I13&lt;&gt;"",'03_Detalle'!I13,'03_Detalle'!J13)</f>
        <v/>
      </c>
      <c r="D13" s="20">
        <f>SUMIF($B$5:$B$18,B13,$C$5:$C$18)</f>
        <v/>
      </c>
      <c r="E13" s="20">
        <f>'04_Precio_variable'!K13</f>
        <v/>
      </c>
      <c r="F13" s="20">
        <f>IF(D13=0,"",E13*C13/D13)</f>
        <v/>
      </c>
      <c r="G13" s="20">
        <f>'04_Precio_variable'!C13+IF('04_Precio_variable'!I13="",0,'04_Precio_variable'!I13)</f>
        <v/>
      </c>
      <c r="H13" s="20">
        <f>IF(F13="","",F13-G13)</f>
        <v/>
      </c>
      <c r="I13" s="39">
        <f>COUNTIF($B$5:$B$18,B13)</f>
        <v/>
      </c>
      <c r="J13" s="20">
        <f>IF(OR(H13="",I13&lt;2),0,ABS(H13))</f>
        <v/>
      </c>
    </row>
    <row r="14">
      <c r="A14" s="19" t="inlineStr">
        <is>
          <t>C-09-1</t>
        </is>
      </c>
      <c r="B14" s="19" t="inlineStr">
        <is>
          <t>C-09</t>
        </is>
      </c>
      <c r="C14" s="21">
        <f>IF('03_Detalle'!I14&lt;&gt;"",'03_Detalle'!I14,'03_Detalle'!J14)</f>
        <v/>
      </c>
      <c r="D14" s="21">
        <f>SUMIF($B$5:$B$18,B14,$C$5:$C$18)</f>
        <v/>
      </c>
      <c r="E14" s="21">
        <f>'04_Precio_variable'!K14</f>
        <v/>
      </c>
      <c r="F14" s="21">
        <f>IF(D14=0,"",E14*C14/D14)</f>
        <v/>
      </c>
      <c r="G14" s="21">
        <f>'04_Precio_variable'!C14+IF('04_Precio_variable'!I14="",0,'04_Precio_variable'!I14)</f>
        <v/>
      </c>
      <c r="H14" s="21">
        <f>IF(F14="","",F14-G14)</f>
        <v/>
      </c>
      <c r="I14" s="40">
        <f>COUNTIF($B$5:$B$18,B14)</f>
        <v/>
      </c>
      <c r="J14" s="21">
        <f>IF(OR(H14="",I14&lt;2),0,ABS(H14))</f>
        <v/>
      </c>
    </row>
    <row r="15">
      <c r="A15" s="18" t="inlineStr">
        <is>
          <t>C-09-2</t>
        </is>
      </c>
      <c r="B15" s="18" t="inlineStr">
        <is>
          <t>C-09</t>
        </is>
      </c>
      <c r="C15" s="20">
        <f>IF('03_Detalle'!I15&lt;&gt;"",'03_Detalle'!I15,'03_Detalle'!J15)</f>
        <v/>
      </c>
      <c r="D15" s="20">
        <f>SUMIF($B$5:$B$18,B15,$C$5:$C$18)</f>
        <v/>
      </c>
      <c r="E15" s="20">
        <f>'04_Precio_variable'!K15</f>
        <v/>
      </c>
      <c r="F15" s="20">
        <f>IF(D15=0,"",E15*C15/D15)</f>
        <v/>
      </c>
      <c r="G15" s="20">
        <f>'04_Precio_variable'!C15+IF('04_Precio_variable'!I15="",0,'04_Precio_variable'!I15)</f>
        <v/>
      </c>
      <c r="H15" s="20">
        <f>IF(F15="","",F15-G15)</f>
        <v/>
      </c>
      <c r="I15" s="39">
        <f>COUNTIF($B$5:$B$18,B15)</f>
        <v/>
      </c>
      <c r="J15" s="20">
        <f>IF(OR(H15="",I15&lt;2),0,ABS(H15))</f>
        <v/>
      </c>
    </row>
    <row r="16">
      <c r="A16" s="19" t="inlineStr">
        <is>
          <t>C-10-1</t>
        </is>
      </c>
      <c r="B16" s="19" t="inlineStr">
        <is>
          <t>C-10</t>
        </is>
      </c>
      <c r="C16" s="21">
        <f>IF('03_Detalle'!I16&lt;&gt;"",'03_Detalle'!I16,'03_Detalle'!J16)</f>
        <v/>
      </c>
      <c r="D16" s="21">
        <f>SUMIF($B$5:$B$18,B16,$C$5:$C$18)</f>
        <v/>
      </c>
      <c r="E16" s="21">
        <f>'04_Precio_variable'!K16</f>
        <v/>
      </c>
      <c r="F16" s="21">
        <f>IF(D16=0,"",E16*C16/D16)</f>
        <v/>
      </c>
      <c r="G16" s="21">
        <f>'04_Precio_variable'!C16+IF('04_Precio_variable'!I16="",0,'04_Precio_variable'!I16)</f>
        <v/>
      </c>
      <c r="H16" s="21">
        <f>IF(F16="","",F16-G16)</f>
        <v/>
      </c>
      <c r="I16" s="40">
        <f>COUNTIF($B$5:$B$18,B16)</f>
        <v/>
      </c>
      <c r="J16" s="21">
        <f>IF(OR(H16="",I16&lt;2),0,ABS(H16))</f>
        <v/>
      </c>
    </row>
    <row r="17">
      <c r="A17" s="18" t="inlineStr">
        <is>
          <t>C-11-1</t>
        </is>
      </c>
      <c r="B17" s="18" t="inlineStr">
        <is>
          <t>C-11</t>
        </is>
      </c>
      <c r="C17" s="20">
        <f>IF('03_Detalle'!I17&lt;&gt;"",'03_Detalle'!I17,'03_Detalle'!J17)</f>
        <v/>
      </c>
      <c r="D17" s="20">
        <f>SUMIF($B$5:$B$18,B17,$C$5:$C$18)</f>
        <v/>
      </c>
      <c r="E17" s="20">
        <f>'04_Precio_variable'!K17</f>
        <v/>
      </c>
      <c r="F17" s="20">
        <f>IF(D17=0,"",E17*C17/D17)</f>
        <v/>
      </c>
      <c r="G17" s="20">
        <f>'04_Precio_variable'!C17+IF('04_Precio_variable'!I17="",0,'04_Precio_variable'!I17)</f>
        <v/>
      </c>
      <c r="H17" s="20">
        <f>IF(F17="","",F17-G17)</f>
        <v/>
      </c>
      <c r="I17" s="39">
        <f>COUNTIF($B$5:$B$18,B17)</f>
        <v/>
      </c>
      <c r="J17" s="20">
        <f>IF(OR(H17="",I17&lt;2),0,ABS(H17))</f>
        <v/>
      </c>
    </row>
    <row r="18">
      <c r="A18" s="19" t="inlineStr">
        <is>
          <t>C-12-1</t>
        </is>
      </c>
      <c r="B18" s="19" t="inlineStr">
        <is>
          <t>C-12</t>
        </is>
      </c>
      <c r="C18" s="21">
        <f>IF('03_Detalle'!I18&lt;&gt;"",'03_Detalle'!I18,'03_Detalle'!J18)</f>
        <v/>
      </c>
      <c r="D18" s="21">
        <f>SUMIF($B$5:$B$18,B18,$C$5:$C$18)</f>
        <v/>
      </c>
      <c r="E18" s="21">
        <f>'04_Precio_variable'!K18</f>
        <v/>
      </c>
      <c r="F18" s="21">
        <f>IF(D18=0,"",E18*C18/D18)</f>
        <v/>
      </c>
      <c r="G18" s="21">
        <f>'04_Precio_variable'!C18+IF('04_Precio_variable'!I18="",0,'04_Precio_variable'!I18)</f>
        <v/>
      </c>
      <c r="H18" s="21">
        <f>IF(F18="","",F18-G18)</f>
        <v/>
      </c>
      <c r="I18" s="40">
        <f>COUNTIF($B$5:$B$18,B18)</f>
        <v/>
      </c>
      <c r="J18" s="21">
        <f>IF(OR(H18="",I18&lt;2),0,ABS(H18))</f>
        <v/>
      </c>
    </row>
    <row r="19">
      <c r="A19" s="33" t="inlineStr">
        <is>
          <t>TOTAL</t>
        </is>
      </c>
      <c r="B19" s="33" t="inlineStr"/>
      <c r="C19" s="35" t="n"/>
      <c r="D19" s="35" t="n"/>
      <c r="E19" s="35" t="n"/>
      <c r="F19" s="35">
        <f>SUM(F5:F18)</f>
        <v/>
      </c>
      <c r="G19" s="35">
        <f>SUM(G5:G18)</f>
        <v/>
      </c>
      <c r="H19" s="35" t="n"/>
      <c r="I19" s="41" t="n"/>
      <c r="J19" s="35">
        <f>SUM(J5:J18)</f>
        <v/>
      </c>
    </row>
    <row r="21">
      <c r="A21" s="22" t="inlineStr">
        <is>
          <t>ⓘ  Cómo se calcula esta hoja</t>
        </is>
      </c>
    </row>
    <row r="22">
      <c r="A22" s="23" t="inlineStr">
        <is>
          <t>Columna</t>
        </is>
      </c>
      <c r="B22" s="23" t="inlineStr">
        <is>
          <t>Fórmula (Excel)</t>
        </is>
      </c>
      <c r="C22" s="23" t="inlineStr">
        <is>
          <t>Cómo se calcula (sencillo)</t>
        </is>
      </c>
      <c r="D22" s="23" t="inlineStr">
        <is>
          <t>Ejemplo con números reales</t>
        </is>
      </c>
      <c r="E22" s="23" t="inlineStr">
        <is>
          <t>De dónde viene</t>
        </is>
      </c>
      <c r="F22" s="23" t="inlineStr">
        <is>
          <t>Norma</t>
        </is>
      </c>
    </row>
    <row r="23">
      <c r="A23" s="24" t="inlineStr">
        <is>
          <t>Precio independiente usado</t>
        </is>
      </c>
      <c r="B23" s="25" t="inlineStr">
        <is>
          <t>'=IF('03_Detalle'!I5&lt;&gt;"",'03_Detalle'!I5,'03_Detalle'!J5)</t>
        </is>
      </c>
      <c r="C23" s="24" t="inlineStr">
        <is>
          <t>Toma el precio de venta independiente de la línea (hoja 03); si el cliente no lo informó, usa el precio del contrato de esa misma hoja.</t>
        </is>
      </c>
      <c r="D23" s="24" t="inlineStr">
        <is>
          <t>Fila 1: IF(100.000,00&lt;&gt;""; 100.000,00; 90.000,00) → 100.000,00</t>
        </is>
      </c>
      <c r="E23" s="24" t="inlineStr">
        <is>
          <t>hoja «Detalle por obligación»</t>
        </is>
      </c>
      <c r="F23" s="24" t="inlineStr">
        <is>
          <t>—</t>
        </is>
      </c>
    </row>
    <row r="24">
      <c r="A24" s="24" t="inlineStr">
        <is>
          <t>Suma del contrato</t>
        </is>
      </c>
      <c r="B24" s="25" t="inlineStr">
        <is>
          <t>'=SUMIF($B$5:$B$18,B5,$C$5:$C$18)</t>
        </is>
      </c>
      <c r="C24" s="24" t="inlineStr">
        <is>
          <t>Suma los precios independientes usados de todas las líneas del mismo contrato en esta hoja.</t>
        </is>
      </c>
      <c r="D24" s="24" t="inlineStr">
        <is>
          <t>Fila 1: SUMIF([«Contrato», 14 filas]; «C-01»; [«Precio independiente usado», 14 filas]) → 125.000,00</t>
        </is>
      </c>
      <c r="E24" s="24" t="inlineStr">
        <is>
          <t>«Contrato» (esta hoja), «Precio independiente usado» (esta hoja)</t>
        </is>
      </c>
      <c r="F24" s="24" t="inlineStr">
        <is>
          <t>—</t>
        </is>
      </c>
    </row>
    <row r="25">
      <c r="A25" s="24" t="inlineStr">
        <is>
          <t>Precio de la transacción</t>
        </is>
      </c>
      <c r="B25" s="25" t="inlineStr">
        <is>
          <t>'='04_Precio_variable'!K5</t>
        </is>
      </c>
      <c r="C25" s="24" t="inlineStr">
        <is>
          <t>Trae el precio de la transacción del contrato calculado en la hoja 04 (Precio y contraprestación variable).</t>
        </is>
      </c>
      <c r="D25" s="24" t="inlineStr">
        <is>
          <t>Fila 1: 100.000,00 → 100.000,00</t>
        </is>
      </c>
      <c r="E25" s="24" t="inlineStr">
        <is>
          <t>hoja «Precio y contraprestación variable»</t>
        </is>
      </c>
      <c r="F25" s="24" t="inlineStr">
        <is>
          <t>—</t>
        </is>
      </c>
    </row>
    <row r="26">
      <c r="A26" s="24" t="inlineStr">
        <is>
          <t>Asignado (relativo)</t>
        </is>
      </c>
      <c r="B26" s="25" t="inlineStr">
        <is>
          <t>'=IF(D5=0,"",E5*C5/D5)</t>
        </is>
      </c>
      <c r="C26" s="24" t="inlineStr">
        <is>
          <t>Reparte el precio de la transacción en proporción al precio independiente de la línea sobre la suma del contrato; en blanco si esa suma es cero.</t>
        </is>
      </c>
      <c r="D26" s="24" t="inlineStr">
        <is>
          <t>Fila 1: IF(125.000,00=0; ""; 100.000,00*100.000,00/125.000,00) → 80.000,00</t>
        </is>
      </c>
      <c r="E26" s="24" t="inlineStr">
        <is>
          <t>«Suma del contrato» (esta hoja), «Precio de la transacción» (esta hoja), «Precio independiente usado» (esta hoja)</t>
        </is>
      </c>
      <c r="F26" s="24" t="inlineStr">
        <is>
          <t>—</t>
        </is>
      </c>
    </row>
    <row r="27">
      <c r="A27" s="24" t="inlineStr">
        <is>
          <t>Asignación del cliente</t>
        </is>
      </c>
      <c r="B27" s="25" t="inlineStr">
        <is>
          <t>'='04_Precio_variable'!C5+IF('04_Precio_variable'!I5="",0,'04_Precio_variable'!I5)</t>
        </is>
      </c>
      <c r="C27" s="24" t="inlineStr">
        <is>
          <t>Suma el precio fijo y la variable que incluyó el cliente (hoja 04; si no la informó se toma cero): es lo que el cliente asignó a la línea.</t>
        </is>
      </c>
      <c r="D27" s="24" t="inlineStr">
        <is>
          <t>Fila 1: 90.000,00+IF((vacío)=""; 0; (vacío)) → 90.000,00</t>
        </is>
      </c>
      <c r="E27" s="24" t="inlineStr">
        <is>
          <t>hoja «Precio y contraprestación variable»</t>
        </is>
      </c>
      <c r="F27" s="24" t="inlineStr">
        <is>
          <t>—</t>
        </is>
      </c>
    </row>
    <row r="28">
      <c r="A28" s="24" t="inlineStr">
        <is>
          <t>Diferencia</t>
        </is>
      </c>
      <c r="B28" s="25" t="inlineStr">
        <is>
          <t>'=IF(F5="","",F5-G5)</t>
        </is>
      </c>
      <c r="C28" s="24" t="inlineStr">
        <is>
          <t>Resta la asignación del cliente del importe asignado por el auditor; en blanco si no se pudo asignar.</t>
        </is>
      </c>
      <c r="D28" s="24" t="inlineStr">
        <is>
          <t>Fila 1: IF(80.000,00=""; ""; 80.000,00-90.000,00) → -10.000,00</t>
        </is>
      </c>
      <c r="E28" s="24" t="inlineStr">
        <is>
          <t>«Asignado (relativo)» (esta hoja), «Asignación del cliente» (esta hoja)</t>
        </is>
      </c>
      <c r="F28" s="24" t="inlineStr">
        <is>
          <t>—</t>
        </is>
      </c>
    </row>
    <row r="29">
      <c r="A29" s="24" t="inlineStr">
        <is>
          <t>Obligaciones del contrato</t>
        </is>
      </c>
      <c r="B29" s="25" t="inlineStr">
        <is>
          <t>'=COUNTIF($B$5:$B$18,B5)</t>
        </is>
      </c>
      <c r="C29" s="24" t="inlineStr">
        <is>
          <t>Cuenta cuántas líneas (obligaciones) de esta hoja pertenecen al mismo contrato.</t>
        </is>
      </c>
      <c r="D29" s="24" t="inlineStr">
        <is>
          <t>Fila 1: COUNTIF([«Contrato», 14 filas]; «C-01») → 2</t>
        </is>
      </c>
      <c r="E29" s="24" t="inlineStr">
        <is>
          <t>«Contrato» (esta hoja)</t>
        </is>
      </c>
      <c r="F29" s="24" t="inlineStr">
        <is>
          <t>—</t>
        </is>
      </c>
    </row>
    <row r="30">
      <c r="A30" s="24" t="inlineStr">
        <is>
          <t>Diferencia absoluta</t>
        </is>
      </c>
      <c r="B30" s="25" t="inlineStr">
        <is>
          <t>'=IF(OR(H5="",I5&lt;2),0,ABS(H5))</t>
        </is>
      </c>
      <c r="C30" s="24" t="inlineStr">
        <is>
          <t>Muestra la diferencia de asignación sin signo, solo cuando el contrato tiene dos o más obligaciones; en contratos de una sola obligación pone cero.</t>
        </is>
      </c>
      <c r="D30" s="24" t="inlineStr">
        <is>
          <t>Fila 1: IF(OR(-10.000,00=""; 2&lt;2); 0; ABS(-10.000,00)) → 10.000,00</t>
        </is>
      </c>
      <c r="E30" s="24" t="inlineStr">
        <is>
          <t>«Diferencia» (esta hoja), «Obligaciones del contrato» (esta hoja)</t>
        </is>
      </c>
      <c r="F30" s="24" t="inlineStr">
        <is>
          <t>—</t>
        </is>
      </c>
    </row>
  </sheetData>
  <mergeCells count="3">
    <mergeCell ref="A2:F2"/>
    <mergeCell ref="A21:F21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20" customWidth="1" min="4" max="4"/>
    <col width="22" customWidth="1" min="5" max="5"/>
    <col width="30" customWidth="1" min="6" max="6"/>
    <col width="24" customWidth="1" min="7" max="7"/>
    <col width="29" customWidth="1" min="8" max="8"/>
    <col width="31" customWidth="1" min="9" max="9"/>
  </cols>
  <sheetData>
    <row r="1">
      <c r="A1" s="3" t="inlineStr">
        <is>
          <t>Satisfacción y porcentaje de avance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Línea</t>
        </is>
      </c>
      <c r="B4" s="17" t="inlineStr">
        <is>
          <t>Modo</t>
        </is>
      </c>
      <c r="C4" s="17" t="inlineStr">
        <is>
          <t>Avance recalculado (costos)</t>
        </is>
      </c>
      <c r="D4" s="17" t="inlineStr">
        <is>
          <t>Avance del cliente</t>
        </is>
      </c>
      <c r="E4" s="17" t="inlineStr">
        <is>
          <t>Diferencia de avance</t>
        </is>
      </c>
      <c r="F4" s="17" t="inlineStr">
        <is>
          <t>Control transferido al corte</t>
        </is>
      </c>
      <c r="G4" s="17" t="inlineStr">
        <is>
          <t>Factor de satisfacción</t>
        </is>
      </c>
      <c r="H4" s="17" t="inlineStr">
        <is>
          <t>Reconocible bruto acumulado</t>
        </is>
      </c>
      <c r="I4" s="17" t="inlineStr">
        <is>
          <t>Pérdida esperada del contrato</t>
        </is>
      </c>
    </row>
    <row r="5">
      <c r="A5" s="18" t="inlineStr">
        <is>
          <t>C-01-1</t>
        </is>
      </c>
      <c r="B5" s="18">
        <f>'03_Detalle'!F5</f>
        <v/>
      </c>
      <c r="C5" s="36">
        <f>IF(B5="A lo largo del tiempo",IF(AND('03_Detalle'!N5&lt;&gt;"",N('03_Detalle'!O5)&gt;0),MIN('03_Detalle'!N5/'03_Detalle'!O5,1),""),"")</f>
        <v/>
      </c>
      <c r="D5" s="36">
        <f>IF('03_Detalle'!P5&lt;&gt;"",'03_Detalle'!P5/100,"")</f>
        <v/>
      </c>
      <c r="E5" s="36">
        <f>IF(OR(C5="",D5=""),"",D5-C5)</f>
        <v/>
      </c>
      <c r="F5" s="18">
        <f>IF(B5="A lo largo del tiempo","",IF('03_Detalle'!G5="","",IF('03_Detalle'!G5&lt;='02_Parametros'!$B$5,"Sí","No")))</f>
        <v/>
      </c>
      <c r="G5" s="36">
        <f>IF('03_Detalle'!AB5="No",0,IF(B5="A lo largo del tiempo",C5,IF(F5="","",IF(F5="Sí",1,0))))</f>
        <v/>
      </c>
      <c r="H5" s="20">
        <f>IF(OR(G5="",'05_Asignacion'!F5=""),"",'05_Asignacion'!F5*G5)</f>
        <v/>
      </c>
      <c r="I5" s="20">
        <f>IF(AND(B5="A lo largo del tiempo",'03_Detalle'!O5&lt;&gt;"",'05_Asignacion'!F5&lt;&gt;""),MAX('03_Detalle'!O5-'05_Asignacion'!F5,0),0)</f>
        <v/>
      </c>
    </row>
    <row r="6">
      <c r="A6" s="19" t="inlineStr">
        <is>
          <t>C-01-2</t>
        </is>
      </c>
      <c r="B6" s="19">
        <f>'03_Detalle'!F6</f>
        <v/>
      </c>
      <c r="C6" s="37">
        <f>IF(B6="A lo largo del tiempo",IF(AND('03_Detalle'!N6&lt;&gt;"",N('03_Detalle'!O6)&gt;0),MIN('03_Detalle'!N6/'03_Detalle'!O6,1),""),"")</f>
        <v/>
      </c>
      <c r="D6" s="37">
        <f>IF('03_Detalle'!P6&lt;&gt;"",'03_Detalle'!P6/100,"")</f>
        <v/>
      </c>
      <c r="E6" s="37">
        <f>IF(OR(C6="",D6=""),"",D6-C6)</f>
        <v/>
      </c>
      <c r="F6" s="19">
        <f>IF(B6="A lo largo del tiempo","",IF('03_Detalle'!G6="","",IF('03_Detalle'!G6&lt;='02_Parametros'!$B$5,"Sí","No")))</f>
        <v/>
      </c>
      <c r="G6" s="37">
        <f>IF('03_Detalle'!AB6="No",0,IF(B6="A lo largo del tiempo",C6,IF(F6="","",IF(F6="Sí",1,0))))</f>
        <v/>
      </c>
      <c r="H6" s="21">
        <f>IF(OR(G6="",'05_Asignacion'!F6=""),"",'05_Asignacion'!F6*G6)</f>
        <v/>
      </c>
      <c r="I6" s="21">
        <f>IF(AND(B6="A lo largo del tiempo",'03_Detalle'!O6&lt;&gt;"",'05_Asignacion'!F6&lt;&gt;""),MAX('03_Detalle'!O6-'05_Asignacion'!F6,0),0)</f>
        <v/>
      </c>
    </row>
    <row r="7">
      <c r="A7" s="18" t="inlineStr">
        <is>
          <t>C-02-1</t>
        </is>
      </c>
      <c r="B7" s="18">
        <f>'03_Detalle'!F7</f>
        <v/>
      </c>
      <c r="C7" s="36">
        <f>IF(B7="A lo largo del tiempo",IF(AND('03_Detalle'!N7&lt;&gt;"",N('03_Detalle'!O7)&gt;0),MIN('03_Detalle'!N7/'03_Detalle'!O7,1),""),"")</f>
        <v/>
      </c>
      <c r="D7" s="36">
        <f>IF('03_Detalle'!P7&lt;&gt;"",'03_Detalle'!P7/100,"")</f>
        <v/>
      </c>
      <c r="E7" s="36">
        <f>IF(OR(C7="",D7=""),"",D7-C7)</f>
        <v/>
      </c>
      <c r="F7" s="18">
        <f>IF(B7="A lo largo del tiempo","",IF('03_Detalle'!G7="","",IF('03_Detalle'!G7&lt;='02_Parametros'!$B$5,"Sí","No")))</f>
        <v/>
      </c>
      <c r="G7" s="36">
        <f>IF('03_Detalle'!AB7="No",0,IF(B7="A lo largo del tiempo",C7,IF(F7="","",IF(F7="Sí",1,0))))</f>
        <v/>
      </c>
      <c r="H7" s="20">
        <f>IF(OR(G7="",'05_Asignacion'!F7=""),"",'05_Asignacion'!F7*G7)</f>
        <v/>
      </c>
      <c r="I7" s="20">
        <f>IF(AND(B7="A lo largo del tiempo",'03_Detalle'!O7&lt;&gt;"",'05_Asignacion'!F7&lt;&gt;""),MAX('03_Detalle'!O7-'05_Asignacion'!F7,0),0)</f>
        <v/>
      </c>
    </row>
    <row r="8">
      <c r="A8" s="19" t="inlineStr">
        <is>
          <t>C-03-1</t>
        </is>
      </c>
      <c r="B8" s="19">
        <f>'03_Detalle'!F8</f>
        <v/>
      </c>
      <c r="C8" s="37">
        <f>IF(B8="A lo largo del tiempo",IF(AND('03_Detalle'!N8&lt;&gt;"",N('03_Detalle'!O8)&gt;0),MIN('03_Detalle'!N8/'03_Detalle'!O8,1),""),"")</f>
        <v/>
      </c>
      <c r="D8" s="37">
        <f>IF('03_Detalle'!P8&lt;&gt;"",'03_Detalle'!P8/100,"")</f>
        <v/>
      </c>
      <c r="E8" s="37">
        <f>IF(OR(C8="",D8=""),"",D8-C8)</f>
        <v/>
      </c>
      <c r="F8" s="19">
        <f>IF(B8="A lo largo del tiempo","",IF('03_Detalle'!G8="","",IF('03_Detalle'!G8&lt;='02_Parametros'!$B$5,"Sí","No")))</f>
        <v/>
      </c>
      <c r="G8" s="37">
        <f>IF('03_Detalle'!AB8="No",0,IF(B8="A lo largo del tiempo",C8,IF(F8="","",IF(F8="Sí",1,0))))</f>
        <v/>
      </c>
      <c r="H8" s="21">
        <f>IF(OR(G8="",'05_Asignacion'!F8=""),"",'05_Asignacion'!F8*G8)</f>
        <v/>
      </c>
      <c r="I8" s="21">
        <f>IF(AND(B8="A lo largo del tiempo",'03_Detalle'!O8&lt;&gt;"",'05_Asignacion'!F8&lt;&gt;""),MAX('03_Detalle'!O8-'05_Asignacion'!F8,0),0)</f>
        <v/>
      </c>
    </row>
    <row r="9">
      <c r="A9" s="18" t="inlineStr">
        <is>
          <t>C-04-1</t>
        </is>
      </c>
      <c r="B9" s="18">
        <f>'03_Detalle'!F9</f>
        <v/>
      </c>
      <c r="C9" s="36">
        <f>IF(B9="A lo largo del tiempo",IF(AND('03_Detalle'!N9&lt;&gt;"",N('03_Detalle'!O9)&gt;0),MIN('03_Detalle'!N9/'03_Detalle'!O9,1),""),"")</f>
        <v/>
      </c>
      <c r="D9" s="36">
        <f>IF('03_Detalle'!P9&lt;&gt;"",'03_Detalle'!P9/100,"")</f>
        <v/>
      </c>
      <c r="E9" s="36">
        <f>IF(OR(C9="",D9=""),"",D9-C9)</f>
        <v/>
      </c>
      <c r="F9" s="18">
        <f>IF(B9="A lo largo del tiempo","",IF('03_Detalle'!G9="","",IF('03_Detalle'!G9&lt;='02_Parametros'!$B$5,"Sí","No")))</f>
        <v/>
      </c>
      <c r="G9" s="36">
        <f>IF('03_Detalle'!AB9="No",0,IF(B9="A lo largo del tiempo",C9,IF(F9="","",IF(F9="Sí",1,0))))</f>
        <v/>
      </c>
      <c r="H9" s="20">
        <f>IF(OR(G9="",'05_Asignacion'!F9=""),"",'05_Asignacion'!F9*G9)</f>
        <v/>
      </c>
      <c r="I9" s="20">
        <f>IF(AND(B9="A lo largo del tiempo",'03_Detalle'!O9&lt;&gt;"",'05_Asignacion'!F9&lt;&gt;""),MAX('03_Detalle'!O9-'05_Asignacion'!F9,0),0)</f>
        <v/>
      </c>
    </row>
    <row r="10">
      <c r="A10" s="19" t="inlineStr">
        <is>
          <t>C-05-1</t>
        </is>
      </c>
      <c r="B10" s="19">
        <f>'03_Detalle'!F10</f>
        <v/>
      </c>
      <c r="C10" s="37">
        <f>IF(B10="A lo largo del tiempo",IF(AND('03_Detalle'!N10&lt;&gt;"",N('03_Detalle'!O10)&gt;0),MIN('03_Detalle'!N10/'03_Detalle'!O10,1),""),"")</f>
        <v/>
      </c>
      <c r="D10" s="37">
        <f>IF('03_Detalle'!P10&lt;&gt;"",'03_Detalle'!P10/100,"")</f>
        <v/>
      </c>
      <c r="E10" s="37">
        <f>IF(OR(C10="",D10=""),"",D10-C10)</f>
        <v/>
      </c>
      <c r="F10" s="19">
        <f>IF(B10="A lo largo del tiempo","",IF('03_Detalle'!G10="","",IF('03_Detalle'!G10&lt;='02_Parametros'!$B$5,"Sí","No")))</f>
        <v/>
      </c>
      <c r="G10" s="37">
        <f>IF('03_Detalle'!AB10="No",0,IF(B10="A lo largo del tiempo",C10,IF(F10="","",IF(F10="Sí",1,0))))</f>
        <v/>
      </c>
      <c r="H10" s="21">
        <f>IF(OR(G10="",'05_Asignacion'!F10=""),"",'05_Asignacion'!F10*G10)</f>
        <v/>
      </c>
      <c r="I10" s="21">
        <f>IF(AND(B10="A lo largo del tiempo",'03_Detalle'!O10&lt;&gt;"",'05_Asignacion'!F10&lt;&gt;""),MAX('03_Detalle'!O10-'05_Asignacion'!F10,0),0)</f>
        <v/>
      </c>
    </row>
    <row r="11">
      <c r="A11" s="18" t="inlineStr">
        <is>
          <t>C-06-1</t>
        </is>
      </c>
      <c r="B11" s="18">
        <f>'03_Detalle'!F11</f>
        <v/>
      </c>
      <c r="C11" s="36">
        <f>IF(B11="A lo largo del tiempo",IF(AND('03_Detalle'!N11&lt;&gt;"",N('03_Detalle'!O11)&gt;0),MIN('03_Detalle'!N11/'03_Detalle'!O11,1),""),"")</f>
        <v/>
      </c>
      <c r="D11" s="36">
        <f>IF('03_Detalle'!P11&lt;&gt;"",'03_Detalle'!P11/100,"")</f>
        <v/>
      </c>
      <c r="E11" s="36">
        <f>IF(OR(C11="",D11=""),"",D11-C11)</f>
        <v/>
      </c>
      <c r="F11" s="18">
        <f>IF(B11="A lo largo del tiempo","",IF('03_Detalle'!G11="","",IF('03_Detalle'!G11&lt;='02_Parametros'!$B$5,"Sí","No")))</f>
        <v/>
      </c>
      <c r="G11" s="36">
        <f>IF('03_Detalle'!AB11="No",0,IF(B11="A lo largo del tiempo",C11,IF(F11="","",IF(F11="Sí",1,0))))</f>
        <v/>
      </c>
      <c r="H11" s="20">
        <f>IF(OR(G11="",'05_Asignacion'!F11=""),"",'05_Asignacion'!F11*G11)</f>
        <v/>
      </c>
      <c r="I11" s="20">
        <f>IF(AND(B11="A lo largo del tiempo",'03_Detalle'!O11&lt;&gt;"",'05_Asignacion'!F11&lt;&gt;""),MAX('03_Detalle'!O11-'05_Asignacion'!F11,0),0)</f>
        <v/>
      </c>
    </row>
    <row r="12">
      <c r="A12" s="19" t="inlineStr">
        <is>
          <t>C-07-1</t>
        </is>
      </c>
      <c r="B12" s="19">
        <f>'03_Detalle'!F12</f>
        <v/>
      </c>
      <c r="C12" s="37">
        <f>IF(B12="A lo largo del tiempo",IF(AND('03_Detalle'!N12&lt;&gt;"",N('03_Detalle'!O12)&gt;0),MIN('03_Detalle'!N12/'03_Detalle'!O12,1),""),"")</f>
        <v/>
      </c>
      <c r="D12" s="37">
        <f>IF('03_Detalle'!P12&lt;&gt;"",'03_Detalle'!P12/100,"")</f>
        <v/>
      </c>
      <c r="E12" s="37">
        <f>IF(OR(C12="",D12=""),"",D12-C12)</f>
        <v/>
      </c>
      <c r="F12" s="19">
        <f>IF(B12="A lo largo del tiempo","",IF('03_Detalle'!G12="","",IF('03_Detalle'!G12&lt;='02_Parametros'!$B$5,"Sí","No")))</f>
        <v/>
      </c>
      <c r="G12" s="37">
        <f>IF('03_Detalle'!AB12="No",0,IF(B12="A lo largo del tiempo",C12,IF(F12="","",IF(F12="Sí",1,0))))</f>
        <v/>
      </c>
      <c r="H12" s="21">
        <f>IF(OR(G12="",'05_Asignacion'!F12=""),"",'05_Asignacion'!F12*G12)</f>
        <v/>
      </c>
      <c r="I12" s="21">
        <f>IF(AND(B12="A lo largo del tiempo",'03_Detalle'!O12&lt;&gt;"",'05_Asignacion'!F12&lt;&gt;""),MAX('03_Detalle'!O12-'05_Asignacion'!F12,0),0)</f>
        <v/>
      </c>
    </row>
    <row r="13">
      <c r="A13" s="18" t="inlineStr">
        <is>
          <t>C-08-1</t>
        </is>
      </c>
      <c r="B13" s="18">
        <f>'03_Detalle'!F13</f>
        <v/>
      </c>
      <c r="C13" s="36">
        <f>IF(B13="A lo largo del tiempo",IF(AND('03_Detalle'!N13&lt;&gt;"",N('03_Detalle'!O13)&gt;0),MIN('03_Detalle'!N13/'03_Detalle'!O13,1),""),"")</f>
        <v/>
      </c>
      <c r="D13" s="36">
        <f>IF('03_Detalle'!P13&lt;&gt;"",'03_Detalle'!P13/100,"")</f>
        <v/>
      </c>
      <c r="E13" s="36">
        <f>IF(OR(C13="",D13=""),"",D13-C13)</f>
        <v/>
      </c>
      <c r="F13" s="18">
        <f>IF(B13="A lo largo del tiempo","",IF('03_Detalle'!G13="","",IF('03_Detalle'!G13&lt;='02_Parametros'!$B$5,"Sí","No")))</f>
        <v/>
      </c>
      <c r="G13" s="36">
        <f>IF('03_Detalle'!AB13="No",0,IF(B13="A lo largo del tiempo",C13,IF(F13="","",IF(F13="Sí",1,0))))</f>
        <v/>
      </c>
      <c r="H13" s="20">
        <f>IF(OR(G13="",'05_Asignacion'!F13=""),"",'05_Asignacion'!F13*G13)</f>
        <v/>
      </c>
      <c r="I13" s="20">
        <f>IF(AND(B13="A lo largo del tiempo",'03_Detalle'!O13&lt;&gt;"",'05_Asignacion'!F13&lt;&gt;""),MAX('03_Detalle'!O13-'05_Asignacion'!F13,0),0)</f>
        <v/>
      </c>
    </row>
    <row r="14">
      <c r="A14" s="19" t="inlineStr">
        <is>
          <t>C-09-1</t>
        </is>
      </c>
      <c r="B14" s="19">
        <f>'03_Detalle'!F14</f>
        <v/>
      </c>
      <c r="C14" s="37">
        <f>IF(B14="A lo largo del tiempo",IF(AND('03_Detalle'!N14&lt;&gt;"",N('03_Detalle'!O14)&gt;0),MIN('03_Detalle'!N14/'03_Detalle'!O14,1),""),"")</f>
        <v/>
      </c>
      <c r="D14" s="37">
        <f>IF('03_Detalle'!P14&lt;&gt;"",'03_Detalle'!P14/100,"")</f>
        <v/>
      </c>
      <c r="E14" s="37">
        <f>IF(OR(C14="",D14=""),"",D14-C14)</f>
        <v/>
      </c>
      <c r="F14" s="19">
        <f>IF(B14="A lo largo del tiempo","",IF('03_Detalle'!G14="","",IF('03_Detalle'!G14&lt;='02_Parametros'!$B$5,"Sí","No")))</f>
        <v/>
      </c>
      <c r="G14" s="37">
        <f>IF('03_Detalle'!AB14="No",0,IF(B14="A lo largo del tiempo",C14,IF(F14="","",IF(F14="Sí",1,0))))</f>
        <v/>
      </c>
      <c r="H14" s="21">
        <f>IF(OR(G14="",'05_Asignacion'!F14=""),"",'05_Asignacion'!F14*G14)</f>
        <v/>
      </c>
      <c r="I14" s="21">
        <f>IF(AND(B14="A lo largo del tiempo",'03_Detalle'!O14&lt;&gt;"",'05_Asignacion'!F14&lt;&gt;""),MAX('03_Detalle'!O14-'05_Asignacion'!F14,0),0)</f>
        <v/>
      </c>
    </row>
    <row r="15">
      <c r="A15" s="18" t="inlineStr">
        <is>
          <t>C-09-2</t>
        </is>
      </c>
      <c r="B15" s="18">
        <f>'03_Detalle'!F15</f>
        <v/>
      </c>
      <c r="C15" s="36">
        <f>IF(B15="A lo largo del tiempo",IF(AND('03_Detalle'!N15&lt;&gt;"",N('03_Detalle'!O15)&gt;0),MIN('03_Detalle'!N15/'03_Detalle'!O15,1),""),"")</f>
        <v/>
      </c>
      <c r="D15" s="36">
        <f>IF('03_Detalle'!P15&lt;&gt;"",'03_Detalle'!P15/100,"")</f>
        <v/>
      </c>
      <c r="E15" s="36">
        <f>IF(OR(C15="",D15=""),"",D15-C15)</f>
        <v/>
      </c>
      <c r="F15" s="18">
        <f>IF(B15="A lo largo del tiempo","",IF('03_Detalle'!G15="","",IF('03_Detalle'!G15&lt;='02_Parametros'!$B$5,"Sí","No")))</f>
        <v/>
      </c>
      <c r="G15" s="36">
        <f>IF('03_Detalle'!AB15="No",0,IF(B15="A lo largo del tiempo",C15,IF(F15="","",IF(F15="Sí",1,0))))</f>
        <v/>
      </c>
      <c r="H15" s="20">
        <f>IF(OR(G15="",'05_Asignacion'!F15=""),"",'05_Asignacion'!F15*G15)</f>
        <v/>
      </c>
      <c r="I15" s="20">
        <f>IF(AND(B15="A lo largo del tiempo",'03_Detalle'!O15&lt;&gt;"",'05_Asignacion'!F15&lt;&gt;""),MAX('03_Detalle'!O15-'05_Asignacion'!F15,0),0)</f>
        <v/>
      </c>
    </row>
    <row r="16">
      <c r="A16" s="19" t="inlineStr">
        <is>
          <t>C-10-1</t>
        </is>
      </c>
      <c r="B16" s="19">
        <f>'03_Detalle'!F16</f>
        <v/>
      </c>
      <c r="C16" s="37">
        <f>IF(B16="A lo largo del tiempo",IF(AND('03_Detalle'!N16&lt;&gt;"",N('03_Detalle'!O16)&gt;0),MIN('03_Detalle'!N16/'03_Detalle'!O16,1),""),"")</f>
        <v/>
      </c>
      <c r="D16" s="37">
        <f>IF('03_Detalle'!P16&lt;&gt;"",'03_Detalle'!P16/100,"")</f>
        <v/>
      </c>
      <c r="E16" s="37">
        <f>IF(OR(C16="",D16=""),"",D16-C16)</f>
        <v/>
      </c>
      <c r="F16" s="19">
        <f>IF(B16="A lo largo del tiempo","",IF('03_Detalle'!G16="","",IF('03_Detalle'!G16&lt;='02_Parametros'!$B$5,"Sí","No")))</f>
        <v/>
      </c>
      <c r="G16" s="37">
        <f>IF('03_Detalle'!AB16="No",0,IF(B16="A lo largo del tiempo",C16,IF(F16="","",IF(F16="Sí",1,0))))</f>
        <v/>
      </c>
      <c r="H16" s="21">
        <f>IF(OR(G16="",'05_Asignacion'!F16=""),"",'05_Asignacion'!F16*G16)</f>
        <v/>
      </c>
      <c r="I16" s="21">
        <f>IF(AND(B16="A lo largo del tiempo",'03_Detalle'!O16&lt;&gt;"",'05_Asignacion'!F16&lt;&gt;""),MAX('03_Detalle'!O16-'05_Asignacion'!F16,0),0)</f>
        <v/>
      </c>
    </row>
    <row r="17">
      <c r="A17" s="18" t="inlineStr">
        <is>
          <t>C-11-1</t>
        </is>
      </c>
      <c r="B17" s="18">
        <f>'03_Detalle'!F17</f>
        <v/>
      </c>
      <c r="C17" s="36">
        <f>IF(B17="A lo largo del tiempo",IF(AND('03_Detalle'!N17&lt;&gt;"",N('03_Detalle'!O17)&gt;0),MIN('03_Detalle'!N17/'03_Detalle'!O17,1),""),"")</f>
        <v/>
      </c>
      <c r="D17" s="36">
        <f>IF('03_Detalle'!P17&lt;&gt;"",'03_Detalle'!P17/100,"")</f>
        <v/>
      </c>
      <c r="E17" s="36">
        <f>IF(OR(C17="",D17=""),"",D17-C17)</f>
        <v/>
      </c>
      <c r="F17" s="18">
        <f>IF(B17="A lo largo del tiempo","",IF('03_Detalle'!G17="","",IF('03_Detalle'!G17&lt;='02_Parametros'!$B$5,"Sí","No")))</f>
        <v/>
      </c>
      <c r="G17" s="36">
        <f>IF('03_Detalle'!AB17="No",0,IF(B17="A lo largo del tiempo",C17,IF(F17="","",IF(F17="Sí",1,0))))</f>
        <v/>
      </c>
      <c r="H17" s="20">
        <f>IF(OR(G17="",'05_Asignacion'!F17=""),"",'05_Asignacion'!F17*G17)</f>
        <v/>
      </c>
      <c r="I17" s="20">
        <f>IF(AND(B17="A lo largo del tiempo",'03_Detalle'!O17&lt;&gt;"",'05_Asignacion'!F17&lt;&gt;""),MAX('03_Detalle'!O17-'05_Asignacion'!F17,0),0)</f>
        <v/>
      </c>
    </row>
    <row r="18">
      <c r="A18" s="19" t="inlineStr">
        <is>
          <t>C-12-1</t>
        </is>
      </c>
      <c r="B18" s="19">
        <f>'03_Detalle'!F18</f>
        <v/>
      </c>
      <c r="C18" s="37">
        <f>IF(B18="A lo largo del tiempo",IF(AND('03_Detalle'!N18&lt;&gt;"",N('03_Detalle'!O18)&gt;0),MIN('03_Detalle'!N18/'03_Detalle'!O18,1),""),"")</f>
        <v/>
      </c>
      <c r="D18" s="37">
        <f>IF('03_Detalle'!P18&lt;&gt;"",'03_Detalle'!P18/100,"")</f>
        <v/>
      </c>
      <c r="E18" s="37">
        <f>IF(OR(C18="",D18=""),"",D18-C18)</f>
        <v/>
      </c>
      <c r="F18" s="19">
        <f>IF(B18="A lo largo del tiempo","",IF('03_Detalle'!G18="","",IF('03_Detalle'!G18&lt;='02_Parametros'!$B$5,"Sí","No")))</f>
        <v/>
      </c>
      <c r="G18" s="37">
        <f>IF('03_Detalle'!AB18="No",0,IF(B18="A lo largo del tiempo",C18,IF(F18="","",IF(F18="Sí",1,0))))</f>
        <v/>
      </c>
      <c r="H18" s="21">
        <f>IF(OR(G18="",'05_Asignacion'!F18=""),"",'05_Asignacion'!F18*G18)</f>
        <v/>
      </c>
      <c r="I18" s="21">
        <f>IF(AND(B18="A lo largo del tiempo",'03_Detalle'!O18&lt;&gt;"",'05_Asignacion'!F18&lt;&gt;""),MAX('03_Detalle'!O18-'05_Asignacion'!F18,0),0)</f>
        <v/>
      </c>
    </row>
    <row r="19">
      <c r="A19" s="33" t="inlineStr">
        <is>
          <t>TOTAL</t>
        </is>
      </c>
      <c r="B19" s="33" t="inlineStr"/>
      <c r="C19" s="38" t="n"/>
      <c r="D19" s="38" t="n"/>
      <c r="E19" s="38" t="n"/>
      <c r="F19" s="33" t="inlineStr"/>
      <c r="G19" s="38" t="n"/>
      <c r="H19" s="35">
        <f>SUM(H5:H18)</f>
        <v/>
      </c>
      <c r="I19" s="35">
        <f>SUM(I5:I18)</f>
        <v/>
      </c>
    </row>
    <row r="21">
      <c r="A21" s="22" t="inlineStr">
        <is>
          <t>ⓘ  Cómo se calcula esta hoja</t>
        </is>
      </c>
    </row>
    <row r="22">
      <c r="A22" s="23" t="inlineStr">
        <is>
          <t>Columna</t>
        </is>
      </c>
      <c r="B22" s="23" t="inlineStr">
        <is>
          <t>Fórmula (Excel)</t>
        </is>
      </c>
      <c r="C22" s="23" t="inlineStr">
        <is>
          <t>Cómo se calcula (sencillo)</t>
        </is>
      </c>
      <c r="D22" s="23" t="inlineStr">
        <is>
          <t>Ejemplo con números reales</t>
        </is>
      </c>
      <c r="E22" s="23" t="inlineStr">
        <is>
          <t>De dónde viene</t>
        </is>
      </c>
      <c r="F22" s="23" t="inlineStr">
        <is>
          <t>Norma</t>
        </is>
      </c>
    </row>
    <row r="23">
      <c r="A23" s="24" t="inlineStr">
        <is>
          <t>Modo</t>
        </is>
      </c>
      <c r="B23" s="25" t="inlineStr">
        <is>
          <t>'='03_Detalle'!F5</t>
        </is>
      </c>
      <c r="C23" s="24" t="inlineStr">
        <is>
          <t>Trae si la obligación se satisface en un momento o a lo largo del tiempo, según la hoja 03 (Detalle).</t>
        </is>
      </c>
      <c r="D23" s="24" t="inlineStr">
        <is>
          <t>Fila 1: «En un momento» → En un momento</t>
        </is>
      </c>
      <c r="E23" s="24" t="inlineStr">
        <is>
          <t>hoja «Detalle por obligación»</t>
        </is>
      </c>
      <c r="F23" s="24" t="inlineStr">
        <is>
          <t>—</t>
        </is>
      </c>
    </row>
    <row r="24">
      <c r="A24" s="24" t="inlineStr">
        <is>
          <t>Avance recalculado (costos)</t>
        </is>
      </c>
      <c r="B24" s="25" t="inlineStr">
        <is>
          <t>'=IF(B5="A lo largo del tiempo",IF(AND('03_Detalle'!N5&lt;&gt;"",N('03_Detalle'!O5)&gt;0),MIN('03_Detalle'!N5/'03_Detalle'!O5,1),""),"")</t>
        </is>
      </c>
      <c r="C24" s="24" t="inlineStr">
        <is>
          <t>Solo para obligaciones a lo largo del tiempo: divide los costos incurridos para los costos totales estimados de la hoja 03, con tope de 100 %; en blanco si faltan costos o si la obligación se satisface en un momento.</t>
        </is>
      </c>
      <c r="D24" s="24" t="inlineStr">
        <is>
          <t>Fila 1: IF(«En un momento»="A lo largo del tiempo"; IF(AND((vacío)&lt;&gt;""; N((vacío))&gt;0); MIN((vacío)/(vacío); 1); ""); "") → (en blanco)</t>
        </is>
      </c>
      <c r="E24" s="24" t="inlineStr">
        <is>
          <t>«Modo» (esta hoja), hoja «Detalle por obligación»</t>
        </is>
      </c>
      <c r="F24" s="24" t="inlineStr">
        <is>
          <t>—</t>
        </is>
      </c>
    </row>
    <row r="25">
      <c r="A25" s="24" t="inlineStr">
        <is>
          <t>Avance del cliente</t>
        </is>
      </c>
      <c r="B25" s="25" t="inlineStr">
        <is>
          <t>'=IF('03_Detalle'!P5&lt;&gt;"",'03_Detalle'!P5/100,"")</t>
        </is>
      </c>
      <c r="C25" s="24" t="inlineStr">
        <is>
          <t>Trae el porcentaje de avance que informó el cliente en la hoja 03; en blanco si no lo informó.</t>
        </is>
      </c>
      <c r="D25" s="24" t="inlineStr">
        <is>
          <t>Fila 1: IF((vacío)&lt;&gt;""; (vacío)/100; "") → (en blanco)</t>
        </is>
      </c>
      <c r="E25" s="24" t="inlineStr">
        <is>
          <t>hoja «Detalle por obligación»</t>
        </is>
      </c>
      <c r="F25" s="24" t="inlineStr">
        <is>
          <t>—</t>
        </is>
      </c>
    </row>
    <row r="26">
      <c r="A26" s="24" t="inlineStr">
        <is>
          <t>Diferencia de avance</t>
        </is>
      </c>
      <c r="B26" s="25" t="inlineStr">
        <is>
          <t>'=IF(OR(C5="",D5=""),"",D5-C5)</t>
        </is>
      </c>
      <c r="C26" s="24" t="inlineStr">
        <is>
          <t>Resta el avance recalculado del avance del cliente; en blanco si falta cualquiera de los dos.</t>
        </is>
      </c>
      <c r="D26" s="24" t="inlineStr">
        <is>
          <t>Fila 1: IF(OR((vacío)=""; (vacío)=""); ""; (vacío)-(vacío)) → (en blanco)</t>
        </is>
      </c>
      <c r="E26" s="24" t="inlineStr">
        <is>
          <t>«Avance recalculado (costos)» (esta hoja), «Avance del cliente» (esta hoja)</t>
        </is>
      </c>
      <c r="F26" s="24" t="inlineStr">
        <is>
          <t>—</t>
        </is>
      </c>
    </row>
    <row r="27">
      <c r="A27" s="24" t="inlineStr">
        <is>
          <t>Control transferido al corte</t>
        </is>
      </c>
      <c r="B27" s="25" t="inlineStr">
        <is>
          <t>'=IF(B5="A lo largo del tiempo","",IF('03_Detalle'!G5="","",IF('03_Detalle'!G5&lt;='02_Parametros'!$B$5,"Sí","No")))</t>
        </is>
      </c>
      <c r="C27" s="24" t="inlineStr">
        <is>
          <t>Solo para obligaciones en un momento: «Sí» si la fecha de transferencia del control (hoja 03) es igual o anterior al corte de la hoja 02 y «No» si es posterior; en blanco si falta la fecha.</t>
        </is>
      </c>
      <c r="D27" s="24" t="inlineStr">
        <is>
          <t>Fila 1: IF(«En un momento»="A lo largo del tiempo"; ""; IF(«2025-11-15»=""; ""; IF(«2025-11-15»&lt;=«2025-12-31»; "Sí"; "No"))) → Sí</t>
        </is>
      </c>
      <c r="E27" s="24" t="inlineStr">
        <is>
          <t>«Modo» (esta hoja), hoja «Detalle por obligación», hoja «Parámetros»</t>
        </is>
      </c>
      <c r="F27" s="24" t="inlineStr">
        <is>
          <t>—</t>
        </is>
      </c>
    </row>
    <row r="28">
      <c r="A28" s="24" t="inlineStr">
        <is>
          <t>Factor de satisfacción</t>
        </is>
      </c>
      <c r="B28" s="25" t="inlineStr">
        <is>
          <t>'=IF('03_Detalle'!AB5="No",0,IF(B5="A lo largo del tiempo",C5,IF(F5="","",IF(F5="Sí",1,0))))</t>
        </is>
      </c>
      <c r="C28" s="24" t="inlineStr">
        <is>
          <t>Indica qué parte de la obligación está cumplida: cero si el contrato no es válido (hoja 03); el avance recalculado si es a lo largo del tiempo; 1 o 0 según se haya transferido el control si es en un momento.</t>
        </is>
      </c>
      <c r="D28" s="24" t="inlineStr">
        <is>
          <t>Fila 1: IF(«Sí»="No"; 0; IF(«En un momento»="A lo largo del tiempo"; (vacío); IF(«Sí»=""; ""; IF(«Sí»="Sí"; 1; 0)))) → 100,00 %</t>
        </is>
      </c>
      <c r="E28" s="24" t="inlineStr">
        <is>
          <t>«Modo» (esta hoja), «Avance recalculado (costos)» (esta hoja), «Control transferido al corte» (esta hoja), hoja «Detalle por obligación»</t>
        </is>
      </c>
      <c r="F28" s="24" t="inlineStr">
        <is>
          <t>—</t>
        </is>
      </c>
    </row>
    <row r="29">
      <c r="A29" s="24" t="inlineStr">
        <is>
          <t>Reconocible bruto acumulado</t>
        </is>
      </c>
      <c r="B29" s="25" t="inlineStr">
        <is>
          <t>'=IF(OR(G5="",'05_Asignacion'!F5=""),"",'05_Asignacion'!F5*G5)</t>
        </is>
      </c>
      <c r="C29" s="24" t="inlineStr">
        <is>
          <t>Multiplica el importe asignado de la hoja 05 (Asignación) por el factor de satisfacción; en blanco si falta alguno de los dos.</t>
        </is>
      </c>
      <c r="D29" s="24" t="inlineStr">
        <is>
          <t>Fila 1: IF(OR(100,00 %=""; 80.000,00=""); ""; 80.000,00*100,00 %) → 80.000,00</t>
        </is>
      </c>
      <c r="E29" s="24" t="inlineStr">
        <is>
          <t>«Factor de satisfacción» (esta hoja), hoja «Asignación del precio»</t>
        </is>
      </c>
      <c r="F29" s="24" t="inlineStr">
        <is>
          <t>—</t>
        </is>
      </c>
    </row>
    <row r="30">
      <c r="A30" s="24" t="inlineStr">
        <is>
          <t>Pérdida esperada del contrato</t>
        </is>
      </c>
      <c r="B30" s="25" t="inlineStr">
        <is>
          <t>'=IF(AND(B5="A lo largo del tiempo",'03_Detalle'!O5&lt;&gt;"",'05_Asignacion'!F5&lt;&gt;""),MAX('03_Detalle'!O5-'05_Asignacion'!F5,0),0)</t>
        </is>
      </c>
      <c r="C30" s="24" t="inlineStr">
        <is>
          <t>Para obligaciones a lo largo del tiempo, resta el importe asignado (hoja 05) de los costos totales estimados (hoja 03); si los costos no lo superan, pone cero.</t>
        </is>
      </c>
      <c r="D30" s="24" t="inlineStr">
        <is>
          <t>Fila 1: IF(AND(«En un momento»="A lo largo del tiempo"; (vacío)&lt;&gt;""; 80.000,00&lt;&gt;""); MAX((vacío)-80.000,00; 0); 0) → 0,00</t>
        </is>
      </c>
      <c r="E30" s="24" t="inlineStr">
        <is>
          <t>«Modo» (esta hoja), hoja «Detalle por obligación», hoja «Asignación del precio»</t>
        </is>
      </c>
      <c r="F30" s="24" t="inlineStr">
        <is>
          <t>—</t>
        </is>
      </c>
    </row>
  </sheetData>
  <mergeCells count="3">
    <mergeCell ref="A2:F2"/>
    <mergeCell ref="A21:F21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2" customWidth="1" min="4" max="4"/>
    <col width="34" customWidth="1" min="5" max="5"/>
    <col width="26" customWidth="1" min="6" max="6"/>
    <col width="21" customWidth="1" min="7" max="7"/>
    <col width="30" customWidth="1" min="8" max="8"/>
    <col width="42" customWidth="1" min="9" max="9"/>
  </cols>
  <sheetData>
    <row r="1">
      <c r="A1" s="3" t="inlineStr">
        <is>
          <t>Devoluciones y notas de crédito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Línea</t>
        </is>
      </c>
      <c r="B4" s="17" t="inlineStr">
        <is>
          <t>Reconocible bruto</t>
        </is>
      </c>
      <c r="C4" s="17" t="inlineStr">
        <is>
          <t>Devolución esperada</t>
        </is>
      </c>
      <c r="D4" s="17" t="inlineStr">
        <is>
          <t>Pasivo por reembolso</t>
        </is>
      </c>
      <c r="E4" s="17" t="inlineStr">
        <is>
          <t>Reconocible neto de devoluciones</t>
        </is>
      </c>
      <c r="F4" s="17" t="inlineStr">
        <is>
          <t>NC posteriores al cierre</t>
        </is>
      </c>
      <c r="G4" s="17" t="inlineStr">
        <is>
          <t>NC no provisionadas</t>
        </is>
      </c>
      <c r="H4" s="17" t="inlineStr">
        <is>
          <t>Costo de los bienes vendidos</t>
        </is>
      </c>
      <c r="I4" s="17" t="inlineStr">
        <is>
          <t>Activo por derecho a recuperar productos</t>
        </is>
      </c>
    </row>
    <row r="5">
      <c r="A5" s="18" t="inlineStr">
        <is>
          <t>C-01-1</t>
        </is>
      </c>
      <c r="B5" s="20">
        <f>'06_Satisfaccion'!H5</f>
        <v/>
      </c>
      <c r="C5" s="36">
        <f>IF('03_Detalle'!V5&lt;&gt;"",'03_Detalle'!V5/100,0)</f>
        <v/>
      </c>
      <c r="D5" s="20">
        <f>IF(B5="","",B5*C5)</f>
        <v/>
      </c>
      <c r="E5" s="20">
        <f>IF(B5="","",B5-D5)</f>
        <v/>
      </c>
      <c r="F5" s="20">
        <f>IF('03_Detalle'!W5&lt;&gt;"",'03_Detalle'!W5,"")</f>
        <v/>
      </c>
      <c r="G5" s="20">
        <f>IF(F5="",0,MAX(F5-N(D5),0))</f>
        <v/>
      </c>
      <c r="H5" s="20">
        <f>IF('03_Detalle'!AA5&lt;&gt;"",'03_Detalle'!AA5,"")</f>
        <v/>
      </c>
      <c r="I5" s="20">
        <f>IF('02_Parametros'!$B$15="No",0,IF(C5=0,0,IF(OR(H5="",D5=""),"",H5*C5)))</f>
        <v/>
      </c>
    </row>
    <row r="6">
      <c r="A6" s="19" t="inlineStr">
        <is>
          <t>C-01-2</t>
        </is>
      </c>
      <c r="B6" s="21">
        <f>'06_Satisfaccion'!H6</f>
        <v/>
      </c>
      <c r="C6" s="37">
        <f>IF('03_Detalle'!V6&lt;&gt;"",'03_Detalle'!V6/100,0)</f>
        <v/>
      </c>
      <c r="D6" s="21">
        <f>IF(B6="","",B6*C6)</f>
        <v/>
      </c>
      <c r="E6" s="21">
        <f>IF(B6="","",B6-D6)</f>
        <v/>
      </c>
      <c r="F6" s="21">
        <f>IF('03_Detalle'!W6&lt;&gt;"",'03_Detalle'!W6,"")</f>
        <v/>
      </c>
      <c r="G6" s="21">
        <f>IF(F6="",0,MAX(F6-N(D6),0))</f>
        <v/>
      </c>
      <c r="H6" s="21">
        <f>IF('03_Detalle'!AA6&lt;&gt;"",'03_Detalle'!AA6,"")</f>
        <v/>
      </c>
      <c r="I6" s="21">
        <f>IF('02_Parametros'!$B$15="No",0,IF(C6=0,0,IF(OR(H6="",D6=""),"",H6*C6)))</f>
        <v/>
      </c>
    </row>
    <row r="7">
      <c r="A7" s="18" t="inlineStr">
        <is>
          <t>C-02-1</t>
        </is>
      </c>
      <c r="B7" s="20">
        <f>'06_Satisfaccion'!H7</f>
        <v/>
      </c>
      <c r="C7" s="36">
        <f>IF('03_Detalle'!V7&lt;&gt;"",'03_Detalle'!V7/100,0)</f>
        <v/>
      </c>
      <c r="D7" s="20">
        <f>IF(B7="","",B7*C7)</f>
        <v/>
      </c>
      <c r="E7" s="20">
        <f>IF(B7="","",B7-D7)</f>
        <v/>
      </c>
      <c r="F7" s="20">
        <f>IF('03_Detalle'!W7&lt;&gt;"",'03_Detalle'!W7,"")</f>
        <v/>
      </c>
      <c r="G7" s="20">
        <f>IF(F7="",0,MAX(F7-N(D7),0))</f>
        <v/>
      </c>
      <c r="H7" s="20">
        <f>IF('03_Detalle'!AA7&lt;&gt;"",'03_Detalle'!AA7,"")</f>
        <v/>
      </c>
      <c r="I7" s="20">
        <f>IF('02_Parametros'!$B$15="No",0,IF(C7=0,0,IF(OR(H7="",D7=""),"",H7*C7)))</f>
        <v/>
      </c>
    </row>
    <row r="8">
      <c r="A8" s="19" t="inlineStr">
        <is>
          <t>C-03-1</t>
        </is>
      </c>
      <c r="B8" s="21">
        <f>'06_Satisfaccion'!H8</f>
        <v/>
      </c>
      <c r="C8" s="37">
        <f>IF('03_Detalle'!V8&lt;&gt;"",'03_Detalle'!V8/100,0)</f>
        <v/>
      </c>
      <c r="D8" s="21">
        <f>IF(B8="","",B8*C8)</f>
        <v/>
      </c>
      <c r="E8" s="21">
        <f>IF(B8="","",B8-D8)</f>
        <v/>
      </c>
      <c r="F8" s="21">
        <f>IF('03_Detalle'!W8&lt;&gt;"",'03_Detalle'!W8,"")</f>
        <v/>
      </c>
      <c r="G8" s="21">
        <f>IF(F8="",0,MAX(F8-N(D8),0))</f>
        <v/>
      </c>
      <c r="H8" s="21">
        <f>IF('03_Detalle'!AA8&lt;&gt;"",'03_Detalle'!AA8,"")</f>
        <v/>
      </c>
      <c r="I8" s="21">
        <f>IF('02_Parametros'!$B$15="No",0,IF(C8=0,0,IF(OR(H8="",D8=""),"",H8*C8)))</f>
        <v/>
      </c>
    </row>
    <row r="9">
      <c r="A9" s="18" t="inlineStr">
        <is>
          <t>C-04-1</t>
        </is>
      </c>
      <c r="B9" s="20">
        <f>'06_Satisfaccion'!H9</f>
        <v/>
      </c>
      <c r="C9" s="36">
        <f>IF('03_Detalle'!V9&lt;&gt;"",'03_Detalle'!V9/100,0)</f>
        <v/>
      </c>
      <c r="D9" s="20">
        <f>IF(B9="","",B9*C9)</f>
        <v/>
      </c>
      <c r="E9" s="20">
        <f>IF(B9="","",B9-D9)</f>
        <v/>
      </c>
      <c r="F9" s="20">
        <f>IF('03_Detalle'!W9&lt;&gt;"",'03_Detalle'!W9,"")</f>
        <v/>
      </c>
      <c r="G9" s="20">
        <f>IF(F9="",0,MAX(F9-N(D9),0))</f>
        <v/>
      </c>
      <c r="H9" s="20">
        <f>IF('03_Detalle'!AA9&lt;&gt;"",'03_Detalle'!AA9,"")</f>
        <v/>
      </c>
      <c r="I9" s="20">
        <f>IF('02_Parametros'!$B$15="No",0,IF(C9=0,0,IF(OR(H9="",D9=""),"",H9*C9)))</f>
        <v/>
      </c>
    </row>
    <row r="10">
      <c r="A10" s="19" t="inlineStr">
        <is>
          <t>C-05-1</t>
        </is>
      </c>
      <c r="B10" s="21">
        <f>'06_Satisfaccion'!H10</f>
        <v/>
      </c>
      <c r="C10" s="37">
        <f>IF('03_Detalle'!V10&lt;&gt;"",'03_Detalle'!V10/100,0)</f>
        <v/>
      </c>
      <c r="D10" s="21">
        <f>IF(B10="","",B10*C10)</f>
        <v/>
      </c>
      <c r="E10" s="21">
        <f>IF(B10="","",B10-D10)</f>
        <v/>
      </c>
      <c r="F10" s="21">
        <f>IF('03_Detalle'!W10&lt;&gt;"",'03_Detalle'!W10,"")</f>
        <v/>
      </c>
      <c r="G10" s="21">
        <f>IF(F10="",0,MAX(F10-N(D10),0))</f>
        <v/>
      </c>
      <c r="H10" s="21">
        <f>IF('03_Detalle'!AA10&lt;&gt;"",'03_Detalle'!AA10,"")</f>
        <v/>
      </c>
      <c r="I10" s="21">
        <f>IF('02_Parametros'!$B$15="No",0,IF(C10=0,0,IF(OR(H10="",D10=""),"",H10*C10)))</f>
        <v/>
      </c>
    </row>
    <row r="11">
      <c r="A11" s="18" t="inlineStr">
        <is>
          <t>C-06-1</t>
        </is>
      </c>
      <c r="B11" s="20">
        <f>'06_Satisfaccion'!H11</f>
        <v/>
      </c>
      <c r="C11" s="36">
        <f>IF('03_Detalle'!V11&lt;&gt;"",'03_Detalle'!V11/100,0)</f>
        <v/>
      </c>
      <c r="D11" s="20">
        <f>IF(B11="","",B11*C11)</f>
        <v/>
      </c>
      <c r="E11" s="20">
        <f>IF(B11="","",B11-D11)</f>
        <v/>
      </c>
      <c r="F11" s="20">
        <f>IF('03_Detalle'!W11&lt;&gt;"",'03_Detalle'!W11,"")</f>
        <v/>
      </c>
      <c r="G11" s="20">
        <f>IF(F11="",0,MAX(F11-N(D11),0))</f>
        <v/>
      </c>
      <c r="H11" s="20">
        <f>IF('03_Detalle'!AA11&lt;&gt;"",'03_Detalle'!AA11,"")</f>
        <v/>
      </c>
      <c r="I11" s="20">
        <f>IF('02_Parametros'!$B$15="No",0,IF(C11=0,0,IF(OR(H11="",D11=""),"",H11*C11)))</f>
        <v/>
      </c>
    </row>
    <row r="12">
      <c r="A12" s="19" t="inlineStr">
        <is>
          <t>C-07-1</t>
        </is>
      </c>
      <c r="B12" s="21">
        <f>'06_Satisfaccion'!H12</f>
        <v/>
      </c>
      <c r="C12" s="37">
        <f>IF('03_Detalle'!V12&lt;&gt;"",'03_Detalle'!V12/100,0)</f>
        <v/>
      </c>
      <c r="D12" s="21">
        <f>IF(B12="","",B12*C12)</f>
        <v/>
      </c>
      <c r="E12" s="21">
        <f>IF(B12="","",B12-D12)</f>
        <v/>
      </c>
      <c r="F12" s="21">
        <f>IF('03_Detalle'!W12&lt;&gt;"",'03_Detalle'!W12,"")</f>
        <v/>
      </c>
      <c r="G12" s="21">
        <f>IF(F12="",0,MAX(F12-N(D12),0))</f>
        <v/>
      </c>
      <c r="H12" s="21">
        <f>IF('03_Detalle'!AA12&lt;&gt;"",'03_Detalle'!AA12,"")</f>
        <v/>
      </c>
      <c r="I12" s="21">
        <f>IF('02_Parametros'!$B$15="No",0,IF(C12=0,0,IF(OR(H12="",D12=""),"",H12*C12)))</f>
        <v/>
      </c>
    </row>
    <row r="13">
      <c r="A13" s="18" t="inlineStr">
        <is>
          <t>C-08-1</t>
        </is>
      </c>
      <c r="B13" s="20">
        <f>'06_Satisfaccion'!H13</f>
        <v/>
      </c>
      <c r="C13" s="36">
        <f>IF('03_Detalle'!V13&lt;&gt;"",'03_Detalle'!V13/100,0)</f>
        <v/>
      </c>
      <c r="D13" s="20">
        <f>IF(B13="","",B13*C13)</f>
        <v/>
      </c>
      <c r="E13" s="20">
        <f>IF(B13="","",B13-D13)</f>
        <v/>
      </c>
      <c r="F13" s="20">
        <f>IF('03_Detalle'!W13&lt;&gt;"",'03_Detalle'!W13,"")</f>
        <v/>
      </c>
      <c r="G13" s="20">
        <f>IF(F13="",0,MAX(F13-N(D13),0))</f>
        <v/>
      </c>
      <c r="H13" s="20">
        <f>IF('03_Detalle'!AA13&lt;&gt;"",'03_Detalle'!AA13,"")</f>
        <v/>
      </c>
      <c r="I13" s="20">
        <f>IF('02_Parametros'!$B$15="No",0,IF(C13=0,0,IF(OR(H13="",D13=""),"",H13*C13)))</f>
        <v/>
      </c>
    </row>
    <row r="14">
      <c r="A14" s="19" t="inlineStr">
        <is>
          <t>C-09-1</t>
        </is>
      </c>
      <c r="B14" s="21">
        <f>'06_Satisfaccion'!H14</f>
        <v/>
      </c>
      <c r="C14" s="37">
        <f>IF('03_Detalle'!V14&lt;&gt;"",'03_Detalle'!V14/100,0)</f>
        <v/>
      </c>
      <c r="D14" s="21">
        <f>IF(B14="","",B14*C14)</f>
        <v/>
      </c>
      <c r="E14" s="21">
        <f>IF(B14="","",B14-D14)</f>
        <v/>
      </c>
      <c r="F14" s="21">
        <f>IF('03_Detalle'!W14&lt;&gt;"",'03_Detalle'!W14,"")</f>
        <v/>
      </c>
      <c r="G14" s="21">
        <f>IF(F14="",0,MAX(F14-N(D14),0))</f>
        <v/>
      </c>
      <c r="H14" s="21">
        <f>IF('03_Detalle'!AA14&lt;&gt;"",'03_Detalle'!AA14,"")</f>
        <v/>
      </c>
      <c r="I14" s="21">
        <f>IF('02_Parametros'!$B$15="No",0,IF(C14=0,0,IF(OR(H14="",D14=""),"",H14*C14)))</f>
        <v/>
      </c>
    </row>
    <row r="15">
      <c r="A15" s="18" t="inlineStr">
        <is>
          <t>C-09-2</t>
        </is>
      </c>
      <c r="B15" s="20">
        <f>'06_Satisfaccion'!H15</f>
        <v/>
      </c>
      <c r="C15" s="36">
        <f>IF('03_Detalle'!V15&lt;&gt;"",'03_Detalle'!V15/100,0)</f>
        <v/>
      </c>
      <c r="D15" s="20">
        <f>IF(B15="","",B15*C15)</f>
        <v/>
      </c>
      <c r="E15" s="20">
        <f>IF(B15="","",B15-D15)</f>
        <v/>
      </c>
      <c r="F15" s="20">
        <f>IF('03_Detalle'!W15&lt;&gt;"",'03_Detalle'!W15,"")</f>
        <v/>
      </c>
      <c r="G15" s="20">
        <f>IF(F15="",0,MAX(F15-N(D15),0))</f>
        <v/>
      </c>
      <c r="H15" s="20">
        <f>IF('03_Detalle'!AA15&lt;&gt;"",'03_Detalle'!AA15,"")</f>
        <v/>
      </c>
      <c r="I15" s="20">
        <f>IF('02_Parametros'!$B$15="No",0,IF(C15=0,0,IF(OR(H15="",D15=""),"",H15*C15)))</f>
        <v/>
      </c>
    </row>
    <row r="16">
      <c r="A16" s="19" t="inlineStr">
        <is>
          <t>C-10-1</t>
        </is>
      </c>
      <c r="B16" s="21">
        <f>'06_Satisfaccion'!H16</f>
        <v/>
      </c>
      <c r="C16" s="37">
        <f>IF('03_Detalle'!V16&lt;&gt;"",'03_Detalle'!V16/100,0)</f>
        <v/>
      </c>
      <c r="D16" s="21">
        <f>IF(B16="","",B16*C16)</f>
        <v/>
      </c>
      <c r="E16" s="21">
        <f>IF(B16="","",B16-D16)</f>
        <v/>
      </c>
      <c r="F16" s="21">
        <f>IF('03_Detalle'!W16&lt;&gt;"",'03_Detalle'!W16,"")</f>
        <v/>
      </c>
      <c r="G16" s="21">
        <f>IF(F16="",0,MAX(F16-N(D16),0))</f>
        <v/>
      </c>
      <c r="H16" s="21">
        <f>IF('03_Detalle'!AA16&lt;&gt;"",'03_Detalle'!AA16,"")</f>
        <v/>
      </c>
      <c r="I16" s="21">
        <f>IF('02_Parametros'!$B$15="No",0,IF(C16=0,0,IF(OR(H16="",D16=""),"",H16*C16)))</f>
        <v/>
      </c>
    </row>
    <row r="17">
      <c r="A17" s="18" t="inlineStr">
        <is>
          <t>C-11-1</t>
        </is>
      </c>
      <c r="B17" s="20">
        <f>'06_Satisfaccion'!H17</f>
        <v/>
      </c>
      <c r="C17" s="36">
        <f>IF('03_Detalle'!V17&lt;&gt;"",'03_Detalle'!V17/100,0)</f>
        <v/>
      </c>
      <c r="D17" s="20">
        <f>IF(B17="","",B17*C17)</f>
        <v/>
      </c>
      <c r="E17" s="20">
        <f>IF(B17="","",B17-D17)</f>
        <v/>
      </c>
      <c r="F17" s="20">
        <f>IF('03_Detalle'!W17&lt;&gt;"",'03_Detalle'!W17,"")</f>
        <v/>
      </c>
      <c r="G17" s="20">
        <f>IF(F17="",0,MAX(F17-N(D17),0))</f>
        <v/>
      </c>
      <c r="H17" s="20">
        <f>IF('03_Detalle'!AA17&lt;&gt;"",'03_Detalle'!AA17,"")</f>
        <v/>
      </c>
      <c r="I17" s="20">
        <f>IF('02_Parametros'!$B$15="No",0,IF(C17=0,0,IF(OR(H17="",D17=""),"",H17*C17)))</f>
        <v/>
      </c>
    </row>
    <row r="18">
      <c r="A18" s="19" t="inlineStr">
        <is>
          <t>C-12-1</t>
        </is>
      </c>
      <c r="B18" s="21">
        <f>'06_Satisfaccion'!H18</f>
        <v/>
      </c>
      <c r="C18" s="37">
        <f>IF('03_Detalle'!V18&lt;&gt;"",'03_Detalle'!V18/100,0)</f>
        <v/>
      </c>
      <c r="D18" s="21">
        <f>IF(B18="","",B18*C18)</f>
        <v/>
      </c>
      <c r="E18" s="21">
        <f>IF(B18="","",B18-D18)</f>
        <v/>
      </c>
      <c r="F18" s="21">
        <f>IF('03_Detalle'!W18&lt;&gt;"",'03_Detalle'!W18,"")</f>
        <v/>
      </c>
      <c r="G18" s="21">
        <f>IF(F18="",0,MAX(F18-N(D18),0))</f>
        <v/>
      </c>
      <c r="H18" s="21">
        <f>IF('03_Detalle'!AA18&lt;&gt;"",'03_Detalle'!AA18,"")</f>
        <v/>
      </c>
      <c r="I18" s="21">
        <f>IF('02_Parametros'!$B$15="No",0,IF(C18=0,0,IF(OR(H18="",D18=""),"",H18*C18)))</f>
        <v/>
      </c>
    </row>
    <row r="19">
      <c r="A19" s="33" t="inlineStr">
        <is>
          <t>TOTAL</t>
        </is>
      </c>
      <c r="B19" s="35">
        <f>SUM(B5:B18)</f>
        <v/>
      </c>
      <c r="C19" s="38" t="n"/>
      <c r="D19" s="35">
        <f>SUM(D5:D18)</f>
        <v/>
      </c>
      <c r="E19" s="35">
        <f>SUM(E5:E18)</f>
        <v/>
      </c>
      <c r="F19" s="35">
        <f>SUM(F5:F18)</f>
        <v/>
      </c>
      <c r="G19" s="35">
        <f>SUM(G5:G18)</f>
        <v/>
      </c>
      <c r="H19" s="35">
        <f>SUM(H5:H18)</f>
        <v/>
      </c>
      <c r="I19" s="35">
        <f>SUM(I5:I18)</f>
        <v/>
      </c>
    </row>
    <row r="21">
      <c r="A21" s="22" t="inlineStr">
        <is>
          <t>ⓘ  Cómo se calcula esta hoja</t>
        </is>
      </c>
    </row>
    <row r="22">
      <c r="A22" s="23" t="inlineStr">
        <is>
          <t>Columna</t>
        </is>
      </c>
      <c r="B22" s="23" t="inlineStr">
        <is>
          <t>Fórmula (Excel)</t>
        </is>
      </c>
      <c r="C22" s="23" t="inlineStr">
        <is>
          <t>Cómo se calcula (sencillo)</t>
        </is>
      </c>
      <c r="D22" s="23" t="inlineStr">
        <is>
          <t>Ejemplo con números reales</t>
        </is>
      </c>
      <c r="E22" s="23" t="inlineStr">
        <is>
          <t>De dónde viene</t>
        </is>
      </c>
      <c r="F22" s="23" t="inlineStr">
        <is>
          <t>Norma</t>
        </is>
      </c>
    </row>
    <row r="23">
      <c r="A23" s="24" t="inlineStr">
        <is>
          <t>Reconocible bruto</t>
        </is>
      </c>
      <c r="B23" s="25" t="inlineStr">
        <is>
          <t>'='06_Satisfaccion'!H5</t>
        </is>
      </c>
      <c r="C23" s="24" t="inlineStr">
        <is>
          <t>Trae el reconocible bruto acumulado de la línea calculado en la hoja 06 (Satisfacción).</t>
        </is>
      </c>
      <c r="D23" s="24" t="inlineStr">
        <is>
          <t>Fila 1: 80.000,00 → 80.000,00</t>
        </is>
      </c>
      <c r="E23" s="24" t="inlineStr">
        <is>
          <t>hoja «Satisfacción y porcentaje de avance»</t>
        </is>
      </c>
      <c r="F23" s="24" t="inlineStr">
        <is>
          <t>—</t>
        </is>
      </c>
    </row>
    <row r="24">
      <c r="A24" s="24" t="inlineStr">
        <is>
          <t>Devolución esperada</t>
        </is>
      </c>
      <c r="B24" s="25" t="inlineStr">
        <is>
          <t>'=IF('03_Detalle'!V5&lt;&gt;"",'03_Detalle'!V5/100,0)</t>
        </is>
      </c>
      <c r="C24" s="24" t="inlineStr">
        <is>
          <t>Trae el porcentaje de devoluciones esperadas de la hoja 03; si no se informó, se toma cero.</t>
        </is>
      </c>
      <c r="D24" s="24" t="inlineStr">
        <is>
          <t>Fila 1: IF((vacío)&lt;&gt;""; (vacío)/100; 0) → 0,00 %</t>
        </is>
      </c>
      <c r="E24" s="24" t="inlineStr">
        <is>
          <t>hoja «Detalle por obligación»</t>
        </is>
      </c>
      <c r="F24" s="24" t="inlineStr">
        <is>
          <t>—</t>
        </is>
      </c>
    </row>
    <row r="25">
      <c r="A25" s="24" t="inlineStr">
        <is>
          <t>Pasivo por reembolso</t>
        </is>
      </c>
      <c r="B25" s="25" t="inlineStr">
        <is>
          <t>'=IF(B5="","",B5*C5)</t>
        </is>
      </c>
      <c r="C25" s="24" t="inlineStr">
        <is>
          <t>Multiplica el reconocible bruto por el porcentaje de devolución esperada: es lo que se espera devolver al cliente. En blanco si el bruto no se pudo medir.</t>
        </is>
      </c>
      <c r="D25" s="24" t="inlineStr">
        <is>
          <t>Fila 1: IF(80.000,00=""; ""; 80.000,00*0,00 %) → 0,00</t>
        </is>
      </c>
      <c r="E25" s="24" t="inlineStr">
        <is>
          <t>«Reconocible bruto» (esta hoja), «Devolución esperada» (esta hoja)</t>
        </is>
      </c>
      <c r="F25" s="24" t="inlineStr">
        <is>
          <t>—</t>
        </is>
      </c>
    </row>
    <row r="26">
      <c r="A26" s="24" t="inlineStr">
        <is>
          <t>Reconocible neto de devoluciones</t>
        </is>
      </c>
      <c r="B26" s="25" t="inlineStr">
        <is>
          <t>'=IF(B5="","",B5-D5)</t>
        </is>
      </c>
      <c r="C26" s="24" t="inlineStr">
        <is>
          <t>Resta el pasivo por reembolso del reconocible bruto de la línea.</t>
        </is>
      </c>
      <c r="D26" s="24" t="inlineStr">
        <is>
          <t>Fila 1: IF(80.000,00=""; ""; 80.000,00-0,00) → 80.000,00</t>
        </is>
      </c>
      <c r="E26" s="24" t="inlineStr">
        <is>
          <t>«Reconocible bruto» (esta hoja), «Pasivo por reembolso» (esta hoja)</t>
        </is>
      </c>
      <c r="F26" s="24" t="inlineStr">
        <is>
          <t>—</t>
        </is>
      </c>
    </row>
    <row r="27">
      <c r="A27" s="24" t="inlineStr">
        <is>
          <t>NC posteriores al cierre</t>
        </is>
      </c>
      <c r="B27" s="25" t="inlineStr">
        <is>
          <t>'=IF('03_Detalle'!W5&lt;&gt;"",'03_Detalle'!W5,"")</t>
        </is>
      </c>
      <c r="C27" s="24" t="inlineStr">
        <is>
          <t>Trae las notas de crédito emitidas después del cierre para la línea (hoja 03); en blanco si no hay.</t>
        </is>
      </c>
      <c r="D27" s="24" t="inlineStr">
        <is>
          <t>Fila 1: IF((vacío)&lt;&gt;""; (vacío); "") → (en blanco)</t>
        </is>
      </c>
      <c r="E27" s="24" t="inlineStr">
        <is>
          <t>hoja «Detalle por obligación»</t>
        </is>
      </c>
      <c r="F27" s="24" t="inlineStr">
        <is>
          <t>—</t>
        </is>
      </c>
    </row>
    <row r="28">
      <c r="A28" s="24" t="inlineStr">
        <is>
          <t>NC no provisionadas</t>
        </is>
      </c>
      <c r="B28" s="25" t="inlineStr">
        <is>
          <t>'=IF(F5="",0,MAX(F5-N(D5),0))</t>
        </is>
      </c>
      <c r="C28" s="24" t="inlineStr">
        <is>
          <t>Resta el pasivo por reembolso de las notas de crédito posteriores; lo que exceda es devolución no provisionada (cero si no hay notas o si el pasivo las cubre).</t>
        </is>
      </c>
      <c r="D28" s="24" t="inlineStr">
        <is>
          <t>Fila 1: IF((vacío)=""; 0; MAX((vacío)-N(0,00); 0)) → 0,00</t>
        </is>
      </c>
      <c r="E28" s="24" t="inlineStr">
        <is>
          <t>«NC posteriores al cierre» (esta hoja), «Pasivo por reembolso» (esta hoja)</t>
        </is>
      </c>
      <c r="F28" s="24" t="inlineStr">
        <is>
          <t>—</t>
        </is>
      </c>
    </row>
    <row r="29">
      <c r="A29" s="24" t="inlineStr">
        <is>
          <t>Costo de los bienes vendidos</t>
        </is>
      </c>
      <c r="B29" s="25" t="inlineStr">
        <is>
          <t>'=IF('03_Detalle'!AA5&lt;&gt;"",'03_Detalle'!AA5,"")</t>
        </is>
      </c>
      <c r="C29" s="24" t="inlineStr">
        <is>
          <t>Trae el costo de los bienes vendidos de la línea informado en la hoja 03; en blanco si no se informó.</t>
        </is>
      </c>
      <c r="D29" s="24" t="inlineStr">
        <is>
          <t>Fila 1: IF((vacío)&lt;&gt;""; (vacío); "") → (en blanco)</t>
        </is>
      </c>
      <c r="E29" s="24" t="inlineStr">
        <is>
          <t>hoja «Detalle por obligación»</t>
        </is>
      </c>
      <c r="F29" s="24" t="inlineStr">
        <is>
          <t>—</t>
        </is>
      </c>
    </row>
    <row r="30">
      <c r="A30" s="24" t="inlineStr">
        <is>
          <t>Activo por derecho a recuperar productos</t>
        </is>
      </c>
      <c r="B30" s="25" t="inlineStr">
        <is>
          <t>'=IF('02_Parametros'!$B$15="No",0,IF(C5=0,0,IF(OR(H5="",D5=""),"",H5*C5)))</t>
        </is>
      </c>
      <c r="C30" s="24" t="inlineStr">
        <is>
          <t>Multiplica el costo de los bienes vendidos por el porcentaje de devolución esperada. Es cero si la hoja 02 indica que el marco no lo reconoce o si no hay devoluciones; en blanco si falta el costo o el pasivo por reembolso.</t>
        </is>
      </c>
      <c r="D30" s="24" t="inlineStr">
        <is>
          <t>Fila 1: IF(«Sí»="No"; 0; IF(0,00 %=0; 0; IF(OR((vacío)=""; 0,00=""); ""; (vacío)*0,00 %))) → 0,00</t>
        </is>
      </c>
      <c r="E30" s="24" t="inlineStr">
        <is>
          <t>«Devolución esperada» (esta hoja), «Costo de los bienes vendidos» (esta hoja), «Pasivo por reembolso» (esta hoja), hoja «Parámetros»</t>
        </is>
      </c>
      <c r="F30" s="24" t="inlineStr">
        <is>
          <t>—</t>
        </is>
      </c>
    </row>
  </sheetData>
  <mergeCells count="3">
    <mergeCell ref="A2:F2"/>
    <mergeCell ref="A21:F21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28" customWidth="1" min="4" max="4"/>
    <col width="12" customWidth="1" min="5" max="5"/>
    <col width="36" customWidth="1" min="6" max="6"/>
    <col width="28" customWidth="1" min="7" max="7"/>
    <col width="17" customWidth="1" min="8" max="8"/>
    <col width="28" customWidth="1" min="9" max="9"/>
  </cols>
  <sheetData>
    <row r="1">
      <c r="A1" s="3" t="inlineStr">
        <is>
          <t>Componente de financiación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Línea</t>
        </is>
      </c>
      <c r="B4" s="17" t="inlineStr">
        <is>
          <t>Reconocible neto</t>
        </is>
      </c>
      <c r="C4" s="17" t="inlineStr">
        <is>
          <t>Plazo de cobro (meses)</t>
        </is>
      </c>
      <c r="D4" s="17" t="inlineStr">
        <is>
          <t>Financiación significativa</t>
        </is>
      </c>
      <c r="E4" s="17" t="inlineStr">
        <is>
          <t>Tasa anual</t>
        </is>
      </c>
      <c r="F4" s="17" t="inlineStr">
        <is>
          <t>Valor presente (ingreso ordinario)</t>
        </is>
      </c>
      <c r="G4" s="17" t="inlineStr">
        <is>
          <t>Componente de financiación</t>
        </is>
      </c>
      <c r="H4" s="17" t="inlineStr">
        <is>
          <t>Días devengados</t>
        </is>
      </c>
      <c r="I4" s="17" t="inlineStr">
        <is>
          <t>Interés devengado al corte</t>
        </is>
      </c>
    </row>
    <row r="5">
      <c r="A5" s="18" t="inlineStr">
        <is>
          <t>C-01-1</t>
        </is>
      </c>
      <c r="B5" s="20">
        <f>'07_Devoluciones'!E5</f>
        <v/>
      </c>
      <c r="C5" s="18">
        <f>IF('03_Detalle'!U5&lt;&gt;"",'03_Detalle'!U5,"")</f>
        <v/>
      </c>
      <c r="D5" s="18">
        <f>IF(AND(C5&lt;&gt;"",N(C5)&gt;'02_Parametros'!$B$9),"Sí","No")</f>
        <v/>
      </c>
      <c r="E5" s="36">
        <f>IF('02_Parametros'!$B$8="","",'02_Parametros'!$B$8/100)</f>
        <v/>
      </c>
      <c r="F5" s="20">
        <f>IF(B5="","",IF(D5="Sí",IF(E5="",B5,B5/(1+E5)^(C5/12)),B5))</f>
        <v/>
      </c>
      <c r="G5" s="20">
        <f>IF(B5="","",IF(D5="No",0,IF(E5="","",B5-F5)))</f>
        <v/>
      </c>
      <c r="H5" s="28">
        <f>IF(AND(D5="Sí",'03_Detalle'!G5&lt;&gt;""),MAX(MIN('02_Parametros'!$B$5-'03_Detalle'!G5,C5*365/12),0),0)</f>
        <v/>
      </c>
      <c r="I5" s="20">
        <f>IF(G5="","",IF(G5=0,0,F5*((1+E5)^(H5/365)-1)))</f>
        <v/>
      </c>
    </row>
    <row r="6">
      <c r="A6" s="19" t="inlineStr">
        <is>
          <t>C-01-2</t>
        </is>
      </c>
      <c r="B6" s="21">
        <f>'07_Devoluciones'!E6</f>
        <v/>
      </c>
      <c r="C6" s="19">
        <f>IF('03_Detalle'!U6&lt;&gt;"",'03_Detalle'!U6,"")</f>
        <v/>
      </c>
      <c r="D6" s="19">
        <f>IF(AND(C6&lt;&gt;"",N(C6)&gt;'02_Parametros'!$B$9),"Sí","No")</f>
        <v/>
      </c>
      <c r="E6" s="37">
        <f>IF('02_Parametros'!$B$8="","",'02_Parametros'!$B$8/100)</f>
        <v/>
      </c>
      <c r="F6" s="21">
        <f>IF(B6="","",IF(D6="Sí",IF(E6="",B6,B6/(1+E6)^(C6/12)),B6))</f>
        <v/>
      </c>
      <c r="G6" s="21">
        <f>IF(B6="","",IF(D6="No",0,IF(E6="","",B6-F6)))</f>
        <v/>
      </c>
      <c r="H6" s="27">
        <f>IF(AND(D6="Sí",'03_Detalle'!G6&lt;&gt;""),MAX(MIN('02_Parametros'!$B$5-'03_Detalle'!G6,C6*365/12),0),0)</f>
        <v/>
      </c>
      <c r="I6" s="21">
        <f>IF(G6="","",IF(G6=0,0,F6*((1+E6)^(H6/365)-1)))</f>
        <v/>
      </c>
    </row>
    <row r="7">
      <c r="A7" s="18" t="inlineStr">
        <is>
          <t>C-02-1</t>
        </is>
      </c>
      <c r="B7" s="20">
        <f>'07_Devoluciones'!E7</f>
        <v/>
      </c>
      <c r="C7" s="18">
        <f>IF('03_Detalle'!U7&lt;&gt;"",'03_Detalle'!U7,"")</f>
        <v/>
      </c>
      <c r="D7" s="18">
        <f>IF(AND(C7&lt;&gt;"",N(C7)&gt;'02_Parametros'!$B$9),"Sí","No")</f>
        <v/>
      </c>
      <c r="E7" s="36">
        <f>IF('02_Parametros'!$B$8="","",'02_Parametros'!$B$8/100)</f>
        <v/>
      </c>
      <c r="F7" s="20">
        <f>IF(B7="","",IF(D7="Sí",IF(E7="",B7,B7/(1+E7)^(C7/12)),B7))</f>
        <v/>
      </c>
      <c r="G7" s="20">
        <f>IF(B7="","",IF(D7="No",0,IF(E7="","",B7-F7)))</f>
        <v/>
      </c>
      <c r="H7" s="28">
        <f>IF(AND(D7="Sí",'03_Detalle'!G7&lt;&gt;""),MAX(MIN('02_Parametros'!$B$5-'03_Detalle'!G7,C7*365/12),0),0)</f>
        <v/>
      </c>
      <c r="I7" s="20">
        <f>IF(G7="","",IF(G7=0,0,F7*((1+E7)^(H7/365)-1)))</f>
        <v/>
      </c>
    </row>
    <row r="8">
      <c r="A8" s="19" t="inlineStr">
        <is>
          <t>C-03-1</t>
        </is>
      </c>
      <c r="B8" s="21">
        <f>'07_Devoluciones'!E8</f>
        <v/>
      </c>
      <c r="C8" s="19">
        <f>IF('03_Detalle'!U8&lt;&gt;"",'03_Detalle'!U8,"")</f>
        <v/>
      </c>
      <c r="D8" s="19">
        <f>IF(AND(C8&lt;&gt;"",N(C8)&gt;'02_Parametros'!$B$9),"Sí","No")</f>
        <v/>
      </c>
      <c r="E8" s="37">
        <f>IF('02_Parametros'!$B$8="","",'02_Parametros'!$B$8/100)</f>
        <v/>
      </c>
      <c r="F8" s="21">
        <f>IF(B8="","",IF(D8="Sí",IF(E8="",B8,B8/(1+E8)^(C8/12)),B8))</f>
        <v/>
      </c>
      <c r="G8" s="21">
        <f>IF(B8="","",IF(D8="No",0,IF(E8="","",B8-F8)))</f>
        <v/>
      </c>
      <c r="H8" s="27">
        <f>IF(AND(D8="Sí",'03_Detalle'!G8&lt;&gt;""),MAX(MIN('02_Parametros'!$B$5-'03_Detalle'!G8,C8*365/12),0),0)</f>
        <v/>
      </c>
      <c r="I8" s="21">
        <f>IF(G8="","",IF(G8=0,0,F8*((1+E8)^(H8/365)-1)))</f>
        <v/>
      </c>
    </row>
    <row r="9">
      <c r="A9" s="18" t="inlineStr">
        <is>
          <t>C-04-1</t>
        </is>
      </c>
      <c r="B9" s="20">
        <f>'07_Devoluciones'!E9</f>
        <v/>
      </c>
      <c r="C9" s="18">
        <f>IF('03_Detalle'!U9&lt;&gt;"",'03_Detalle'!U9,"")</f>
        <v/>
      </c>
      <c r="D9" s="18">
        <f>IF(AND(C9&lt;&gt;"",N(C9)&gt;'02_Parametros'!$B$9),"Sí","No")</f>
        <v/>
      </c>
      <c r="E9" s="36">
        <f>IF('02_Parametros'!$B$8="","",'02_Parametros'!$B$8/100)</f>
        <v/>
      </c>
      <c r="F9" s="20">
        <f>IF(B9="","",IF(D9="Sí",IF(E9="",B9,B9/(1+E9)^(C9/12)),B9))</f>
        <v/>
      </c>
      <c r="G9" s="20">
        <f>IF(B9="","",IF(D9="No",0,IF(E9="","",B9-F9)))</f>
        <v/>
      </c>
      <c r="H9" s="28">
        <f>IF(AND(D9="Sí",'03_Detalle'!G9&lt;&gt;""),MAX(MIN('02_Parametros'!$B$5-'03_Detalle'!G9,C9*365/12),0),0)</f>
        <v/>
      </c>
      <c r="I9" s="20">
        <f>IF(G9="","",IF(G9=0,0,F9*((1+E9)^(H9/365)-1)))</f>
        <v/>
      </c>
    </row>
    <row r="10">
      <c r="A10" s="19" t="inlineStr">
        <is>
          <t>C-05-1</t>
        </is>
      </c>
      <c r="B10" s="21">
        <f>'07_Devoluciones'!E10</f>
        <v/>
      </c>
      <c r="C10" s="27">
        <f>IF('03_Detalle'!U10&lt;&gt;"",'03_Detalle'!U10,"")</f>
        <v/>
      </c>
      <c r="D10" s="19">
        <f>IF(AND(C10&lt;&gt;"",N(C10)&gt;'02_Parametros'!$B$9),"Sí","No")</f>
        <v/>
      </c>
      <c r="E10" s="37">
        <f>IF('02_Parametros'!$B$8="","",'02_Parametros'!$B$8/100)</f>
        <v/>
      </c>
      <c r="F10" s="21">
        <f>IF(B10="","",IF(D10="Sí",IF(E10="",B10,B10/(1+E10)^(C10/12)),B10))</f>
        <v/>
      </c>
      <c r="G10" s="21">
        <f>IF(B10="","",IF(D10="No",0,IF(E10="","",B10-F10)))</f>
        <v/>
      </c>
      <c r="H10" s="27">
        <f>IF(AND(D10="Sí",'03_Detalle'!G10&lt;&gt;""),MAX(MIN('02_Parametros'!$B$5-'03_Detalle'!G10,C10*365/12),0),0)</f>
        <v/>
      </c>
      <c r="I10" s="21">
        <f>IF(G10="","",IF(G10=0,0,F10*((1+E10)^(H10/365)-1)))</f>
        <v/>
      </c>
    </row>
    <row r="11">
      <c r="A11" s="18" t="inlineStr">
        <is>
          <t>C-06-1</t>
        </is>
      </c>
      <c r="B11" s="20">
        <f>'07_Devoluciones'!E11</f>
        <v/>
      </c>
      <c r="C11" s="18">
        <f>IF('03_Detalle'!U11&lt;&gt;"",'03_Detalle'!U11,"")</f>
        <v/>
      </c>
      <c r="D11" s="18">
        <f>IF(AND(C11&lt;&gt;"",N(C11)&gt;'02_Parametros'!$B$9),"Sí","No")</f>
        <v/>
      </c>
      <c r="E11" s="36">
        <f>IF('02_Parametros'!$B$8="","",'02_Parametros'!$B$8/100)</f>
        <v/>
      </c>
      <c r="F11" s="20">
        <f>IF(B11="","",IF(D11="Sí",IF(E11="",B11,B11/(1+E11)^(C11/12)),B11))</f>
        <v/>
      </c>
      <c r="G11" s="20">
        <f>IF(B11="","",IF(D11="No",0,IF(E11="","",B11-F11)))</f>
        <v/>
      </c>
      <c r="H11" s="28">
        <f>IF(AND(D11="Sí",'03_Detalle'!G11&lt;&gt;""),MAX(MIN('02_Parametros'!$B$5-'03_Detalle'!G11,C11*365/12),0),0)</f>
        <v/>
      </c>
      <c r="I11" s="20">
        <f>IF(G11="","",IF(G11=0,0,F11*((1+E11)^(H11/365)-1)))</f>
        <v/>
      </c>
    </row>
    <row r="12">
      <c r="A12" s="19" t="inlineStr">
        <is>
          <t>C-07-1</t>
        </is>
      </c>
      <c r="B12" s="21">
        <f>'07_Devoluciones'!E12</f>
        <v/>
      </c>
      <c r="C12" s="19">
        <f>IF('03_Detalle'!U12&lt;&gt;"",'03_Detalle'!U12,"")</f>
        <v/>
      </c>
      <c r="D12" s="19">
        <f>IF(AND(C12&lt;&gt;"",N(C12)&gt;'02_Parametros'!$B$9),"Sí","No")</f>
        <v/>
      </c>
      <c r="E12" s="37">
        <f>IF('02_Parametros'!$B$8="","",'02_Parametros'!$B$8/100)</f>
        <v/>
      </c>
      <c r="F12" s="21">
        <f>IF(B12="","",IF(D12="Sí",IF(E12="",B12,B12/(1+E12)^(C12/12)),B12))</f>
        <v/>
      </c>
      <c r="G12" s="21">
        <f>IF(B12="","",IF(D12="No",0,IF(E12="","",B12-F12)))</f>
        <v/>
      </c>
      <c r="H12" s="27">
        <f>IF(AND(D12="Sí",'03_Detalle'!G12&lt;&gt;""),MAX(MIN('02_Parametros'!$B$5-'03_Detalle'!G12,C12*365/12),0),0)</f>
        <v/>
      </c>
      <c r="I12" s="21">
        <f>IF(G12="","",IF(G12=0,0,F12*((1+E12)^(H12/365)-1)))</f>
        <v/>
      </c>
    </row>
    <row r="13">
      <c r="A13" s="18" t="inlineStr">
        <is>
          <t>C-08-1</t>
        </is>
      </c>
      <c r="B13" s="20">
        <f>'07_Devoluciones'!E13</f>
        <v/>
      </c>
      <c r="C13" s="18">
        <f>IF('03_Detalle'!U13&lt;&gt;"",'03_Detalle'!U13,"")</f>
        <v/>
      </c>
      <c r="D13" s="18">
        <f>IF(AND(C13&lt;&gt;"",N(C13)&gt;'02_Parametros'!$B$9),"Sí","No")</f>
        <v/>
      </c>
      <c r="E13" s="36">
        <f>IF('02_Parametros'!$B$8="","",'02_Parametros'!$B$8/100)</f>
        <v/>
      </c>
      <c r="F13" s="20">
        <f>IF(B13="","",IF(D13="Sí",IF(E13="",B13,B13/(1+E13)^(C13/12)),B13))</f>
        <v/>
      </c>
      <c r="G13" s="20">
        <f>IF(B13="","",IF(D13="No",0,IF(E13="","",B13-F13)))</f>
        <v/>
      </c>
      <c r="H13" s="28">
        <f>IF(AND(D13="Sí",'03_Detalle'!G13&lt;&gt;""),MAX(MIN('02_Parametros'!$B$5-'03_Detalle'!G13,C13*365/12),0),0)</f>
        <v/>
      </c>
      <c r="I13" s="20">
        <f>IF(G13="","",IF(G13=0,0,F13*((1+E13)^(H13/365)-1)))</f>
        <v/>
      </c>
    </row>
    <row r="14">
      <c r="A14" s="19" t="inlineStr">
        <is>
          <t>C-09-1</t>
        </is>
      </c>
      <c r="B14" s="21">
        <f>'07_Devoluciones'!E14</f>
        <v/>
      </c>
      <c r="C14" s="19">
        <f>IF('03_Detalle'!U14&lt;&gt;"",'03_Detalle'!U14,"")</f>
        <v/>
      </c>
      <c r="D14" s="19">
        <f>IF(AND(C14&lt;&gt;"",N(C14)&gt;'02_Parametros'!$B$9),"Sí","No")</f>
        <v/>
      </c>
      <c r="E14" s="37">
        <f>IF('02_Parametros'!$B$8="","",'02_Parametros'!$B$8/100)</f>
        <v/>
      </c>
      <c r="F14" s="21">
        <f>IF(B14="","",IF(D14="Sí",IF(E14="",B14,B14/(1+E14)^(C14/12)),B14))</f>
        <v/>
      </c>
      <c r="G14" s="21">
        <f>IF(B14="","",IF(D14="No",0,IF(E14="","",B14-F14)))</f>
        <v/>
      </c>
      <c r="H14" s="27">
        <f>IF(AND(D14="Sí",'03_Detalle'!G14&lt;&gt;""),MAX(MIN('02_Parametros'!$B$5-'03_Detalle'!G14,C14*365/12),0),0)</f>
        <v/>
      </c>
      <c r="I14" s="21">
        <f>IF(G14="","",IF(G14=0,0,F14*((1+E14)^(H14/365)-1)))</f>
        <v/>
      </c>
    </row>
    <row r="15">
      <c r="A15" s="18" t="inlineStr">
        <is>
          <t>C-09-2</t>
        </is>
      </c>
      <c r="B15" s="20">
        <f>'07_Devoluciones'!E15</f>
        <v/>
      </c>
      <c r="C15" s="18">
        <f>IF('03_Detalle'!U15&lt;&gt;"",'03_Detalle'!U15,"")</f>
        <v/>
      </c>
      <c r="D15" s="18">
        <f>IF(AND(C15&lt;&gt;"",N(C15)&gt;'02_Parametros'!$B$9),"Sí","No")</f>
        <v/>
      </c>
      <c r="E15" s="36">
        <f>IF('02_Parametros'!$B$8="","",'02_Parametros'!$B$8/100)</f>
        <v/>
      </c>
      <c r="F15" s="20">
        <f>IF(B15="","",IF(D15="Sí",IF(E15="",B15,B15/(1+E15)^(C15/12)),B15))</f>
        <v/>
      </c>
      <c r="G15" s="20">
        <f>IF(B15="","",IF(D15="No",0,IF(E15="","",B15-F15)))</f>
        <v/>
      </c>
      <c r="H15" s="28">
        <f>IF(AND(D15="Sí",'03_Detalle'!G15&lt;&gt;""),MAX(MIN('02_Parametros'!$B$5-'03_Detalle'!G15,C15*365/12),0),0)</f>
        <v/>
      </c>
      <c r="I15" s="20">
        <f>IF(G15="","",IF(G15=0,0,F15*((1+E15)^(H15/365)-1)))</f>
        <v/>
      </c>
    </row>
    <row r="16">
      <c r="A16" s="19" t="inlineStr">
        <is>
          <t>C-10-1</t>
        </is>
      </c>
      <c r="B16" s="21">
        <f>'07_Devoluciones'!E16</f>
        <v/>
      </c>
      <c r="C16" s="19">
        <f>IF('03_Detalle'!U16&lt;&gt;"",'03_Detalle'!U16,"")</f>
        <v/>
      </c>
      <c r="D16" s="19">
        <f>IF(AND(C16&lt;&gt;"",N(C16)&gt;'02_Parametros'!$B$9),"Sí","No")</f>
        <v/>
      </c>
      <c r="E16" s="37">
        <f>IF('02_Parametros'!$B$8="","",'02_Parametros'!$B$8/100)</f>
        <v/>
      </c>
      <c r="F16" s="21">
        <f>IF(B16="","",IF(D16="Sí",IF(E16="",B16,B16/(1+E16)^(C16/12)),B16))</f>
        <v/>
      </c>
      <c r="G16" s="21">
        <f>IF(B16="","",IF(D16="No",0,IF(E16="","",B16-F16)))</f>
        <v/>
      </c>
      <c r="H16" s="27">
        <f>IF(AND(D16="Sí",'03_Detalle'!G16&lt;&gt;""),MAX(MIN('02_Parametros'!$B$5-'03_Detalle'!G16,C16*365/12),0),0)</f>
        <v/>
      </c>
      <c r="I16" s="21">
        <f>IF(G16="","",IF(G16=0,0,F16*((1+E16)^(H16/365)-1)))</f>
        <v/>
      </c>
    </row>
    <row r="17">
      <c r="A17" s="18" t="inlineStr">
        <is>
          <t>C-11-1</t>
        </is>
      </c>
      <c r="B17" s="20">
        <f>'07_Devoluciones'!E17</f>
        <v/>
      </c>
      <c r="C17" s="18">
        <f>IF('03_Detalle'!U17&lt;&gt;"",'03_Detalle'!U17,"")</f>
        <v/>
      </c>
      <c r="D17" s="18">
        <f>IF(AND(C17&lt;&gt;"",N(C17)&gt;'02_Parametros'!$B$9),"Sí","No")</f>
        <v/>
      </c>
      <c r="E17" s="36">
        <f>IF('02_Parametros'!$B$8="","",'02_Parametros'!$B$8/100)</f>
        <v/>
      </c>
      <c r="F17" s="20">
        <f>IF(B17="","",IF(D17="Sí",IF(E17="",B17,B17/(1+E17)^(C17/12)),B17))</f>
        <v/>
      </c>
      <c r="G17" s="20">
        <f>IF(B17="","",IF(D17="No",0,IF(E17="","",B17-F17)))</f>
        <v/>
      </c>
      <c r="H17" s="28">
        <f>IF(AND(D17="Sí",'03_Detalle'!G17&lt;&gt;""),MAX(MIN('02_Parametros'!$B$5-'03_Detalle'!G17,C17*365/12),0),0)</f>
        <v/>
      </c>
      <c r="I17" s="20">
        <f>IF(G17="","",IF(G17=0,0,F17*((1+E17)^(H17/365)-1)))</f>
        <v/>
      </c>
    </row>
    <row r="18">
      <c r="A18" s="19" t="inlineStr">
        <is>
          <t>C-12-1</t>
        </is>
      </c>
      <c r="B18" s="21">
        <f>'07_Devoluciones'!E18</f>
        <v/>
      </c>
      <c r="C18" s="19">
        <f>IF('03_Detalle'!U18&lt;&gt;"",'03_Detalle'!U18,"")</f>
        <v/>
      </c>
      <c r="D18" s="19">
        <f>IF(AND(C18&lt;&gt;"",N(C18)&gt;'02_Parametros'!$B$9),"Sí","No")</f>
        <v/>
      </c>
      <c r="E18" s="37">
        <f>IF('02_Parametros'!$B$8="","",'02_Parametros'!$B$8/100)</f>
        <v/>
      </c>
      <c r="F18" s="21">
        <f>IF(B18="","",IF(D18="Sí",IF(E18="",B18,B18/(1+E18)^(C18/12)),B18))</f>
        <v/>
      </c>
      <c r="G18" s="21">
        <f>IF(B18="","",IF(D18="No",0,IF(E18="","",B18-F18)))</f>
        <v/>
      </c>
      <c r="H18" s="27">
        <f>IF(AND(D18="Sí",'03_Detalle'!G18&lt;&gt;""),MAX(MIN('02_Parametros'!$B$5-'03_Detalle'!G18,C18*365/12),0),0)</f>
        <v/>
      </c>
      <c r="I18" s="21">
        <f>IF(G18="","",IF(G18=0,0,F18*((1+E18)^(H18/365)-1)))</f>
        <v/>
      </c>
    </row>
    <row r="19">
      <c r="A19" s="33" t="inlineStr">
        <is>
          <t>TOTAL</t>
        </is>
      </c>
      <c r="B19" s="35">
        <f>SUM(B5:B18)</f>
        <v/>
      </c>
      <c r="C19" s="33" t="n"/>
      <c r="D19" s="33" t="inlineStr"/>
      <c r="E19" s="38" t="n"/>
      <c r="F19" s="35">
        <f>SUM(F5:F18)</f>
        <v/>
      </c>
      <c r="G19" s="35">
        <f>SUM(G5:G18)</f>
        <v/>
      </c>
      <c r="H19" s="33" t="n"/>
      <c r="I19" s="35">
        <f>SUM(I5:I18)</f>
        <v/>
      </c>
    </row>
    <row r="21">
      <c r="A21" s="22" t="inlineStr">
        <is>
          <t>ⓘ  Cómo se calcula esta hoja</t>
        </is>
      </c>
    </row>
    <row r="22">
      <c r="A22" s="23" t="inlineStr">
        <is>
          <t>Columna</t>
        </is>
      </c>
      <c r="B22" s="23" t="inlineStr">
        <is>
          <t>Fórmula (Excel)</t>
        </is>
      </c>
      <c r="C22" s="23" t="inlineStr">
        <is>
          <t>Cómo se calcula (sencillo)</t>
        </is>
      </c>
      <c r="D22" s="23" t="inlineStr">
        <is>
          <t>Ejemplo con números reales</t>
        </is>
      </c>
      <c r="E22" s="23" t="inlineStr">
        <is>
          <t>De dónde viene</t>
        </is>
      </c>
      <c r="F22" s="23" t="inlineStr">
        <is>
          <t>Norma</t>
        </is>
      </c>
    </row>
    <row r="23">
      <c r="A23" s="24" t="inlineStr">
        <is>
          <t>Reconocible neto</t>
        </is>
      </c>
      <c r="B23" s="25" t="inlineStr">
        <is>
          <t>'='07_Devoluciones'!E5</t>
        </is>
      </c>
      <c r="C23" s="24" t="inlineStr">
        <is>
          <t>Trae el reconocible neto de devoluciones de la línea, de la hoja 07 (Devoluciones).</t>
        </is>
      </c>
      <c r="D23" s="24" t="inlineStr">
        <is>
          <t>Fila 1: 80.000,00 → 80.000,00</t>
        </is>
      </c>
      <c r="E23" s="24" t="inlineStr">
        <is>
          <t>hoja «Devoluciones y notas de crédito»</t>
        </is>
      </c>
      <c r="F23" s="24" t="inlineStr">
        <is>
          <t>—</t>
        </is>
      </c>
    </row>
    <row r="24">
      <c r="A24" s="24" t="inlineStr">
        <is>
          <t>Plazo de cobro (meses)</t>
        </is>
      </c>
      <c r="B24" s="25" t="inlineStr">
        <is>
          <t>'=IF('03_Detalle'!U5&lt;&gt;"",'03_Detalle'!U5,"")</t>
        </is>
      </c>
      <c r="C24" s="24" t="inlineStr">
        <is>
          <t>Trae el plazo de cobro en meses informado en la hoja 03; en blanco si no se informó.</t>
        </is>
      </c>
      <c r="D24" s="24" t="inlineStr">
        <is>
          <t>Fila 1: IF((vacío)&lt;&gt;""; (vacío); "") → (en blanco)</t>
        </is>
      </c>
      <c r="E24" s="24" t="inlineStr">
        <is>
          <t>hoja «Detalle por obligación»</t>
        </is>
      </c>
      <c r="F24" s="24" t="inlineStr">
        <is>
          <t>—</t>
        </is>
      </c>
    </row>
    <row r="25">
      <c r="A25" s="24" t="inlineStr">
        <is>
          <t>Financiación significativa</t>
        </is>
      </c>
      <c r="B25" s="25" t="inlineStr">
        <is>
          <t>'=IF(AND(C5&lt;&gt;"",N(C5)&gt;'02_Parametros'!$B$9),"Sí","No")</t>
        </is>
      </c>
      <c r="C25" s="24" t="inlineStr">
        <is>
          <t>Marca «Sí» cuando el plazo de cobro supera el plazo que la hoja 02 (Parámetros) considera financiación significativa; en otro caso «No».</t>
        </is>
      </c>
      <c r="D25" s="24" t="inlineStr">
        <is>
          <t>Fila 1: IF(AND((vacío)&lt;&gt;""; N((vacío))&gt;12,00); "Sí"; "No") → No</t>
        </is>
      </c>
      <c r="E25" s="24" t="inlineStr">
        <is>
          <t>«Plazo de cobro (meses)» (esta hoja), hoja «Parámetros»</t>
        </is>
      </c>
      <c r="F25" s="24" t="inlineStr">
        <is>
          <t>—</t>
        </is>
      </c>
    </row>
    <row r="26">
      <c r="A26" s="24" t="inlineStr">
        <is>
          <t>Tasa anual</t>
        </is>
      </c>
      <c r="B26" s="25" t="inlineStr">
        <is>
          <t>'=IF('02_Parametros'!$B$8="","",'02_Parametros'!$B$8/100)</t>
        </is>
      </c>
      <c r="C26" s="24" t="inlineStr">
        <is>
          <t>Trae la tasa de descuento anual de la hoja 02 (Parámetros); en blanco si no se informó.</t>
        </is>
      </c>
      <c r="D26" s="24" t="inlineStr">
        <is>
          <t>Fila 1: IF(10,00=""; ""; 10,00/100) → 10,00 %</t>
        </is>
      </c>
      <c r="E26" s="24" t="inlineStr">
        <is>
          <t>hoja «Parámetros»</t>
        </is>
      </c>
      <c r="F26" s="24" t="inlineStr">
        <is>
          <t>—</t>
        </is>
      </c>
    </row>
    <row r="27">
      <c r="A27" s="24" t="inlineStr">
        <is>
          <t>Valor presente (ingreso ordinario)</t>
        </is>
      </c>
      <c r="B27" s="25" t="inlineStr">
        <is>
          <t>'=IF(B5="","",IF(D5="Sí",IF(E5="",B5,B5/(1+E5)^(C5/12)),B5))</t>
        </is>
      </c>
      <c r="C27" s="24" t="inlineStr">
        <is>
          <t>Si hay financiación significativa y tasa, descuenta el reconocible neto por el plazo de cobro a la tasa anual; si no hay financiación o falta la tasa, deja el reconocible neto tal cual.</t>
        </is>
      </c>
      <c r="D27" s="24" t="inlineStr">
        <is>
          <t>Fila 1: IF(80.000,00=""; ""; IF(«No»="Sí"; IF(10,00 %=""; 80.000,00; 80.000,00/(1+10,00 %)^((vacío)/12)); 80.000,00)) → 80.000,00</t>
        </is>
      </c>
      <c r="E27" s="24" t="inlineStr">
        <is>
          <t>«Reconocible neto» (esta hoja), «Financiación significativa» (esta hoja), «Tasa anual» (esta hoja), «Plazo de cobro (meses)» (esta hoja)</t>
        </is>
      </c>
      <c r="F27" s="24" t="inlineStr">
        <is>
          <t>—</t>
        </is>
      </c>
    </row>
    <row r="28">
      <c r="A28" s="24" t="inlineStr">
        <is>
          <t>Componente de financiación</t>
        </is>
      </c>
      <c r="B28" s="25" t="inlineStr">
        <is>
          <t>'=IF(B5="","",IF(D5="No",0,IF(E5="","",B5-F5)))</t>
        </is>
      </c>
      <c r="C28" s="24" t="inlineStr">
        <is>
          <t>Resta el valor presente del reconocible neto: es la parte que es interés y no ingreso ordinario. Cero sin financiación significativa; en blanco si falta la tasa.</t>
        </is>
      </c>
      <c r="D28" s="24" t="inlineStr">
        <is>
          <t>Fila 1: IF(80.000,00=""; ""; IF(«No»="No"; 0; IF(10,00 %=""; ""; 80.000,00-80.000,00))) → 0,00</t>
        </is>
      </c>
      <c r="E28" s="24" t="inlineStr">
        <is>
          <t>«Reconocible neto» (esta hoja), «Financiación significativa» (esta hoja), «Tasa anual» (esta hoja), «Valor presente (ingreso ordinario)» (esta hoja)</t>
        </is>
      </c>
      <c r="F28" s="24" t="inlineStr">
        <is>
          <t>—</t>
        </is>
      </c>
    </row>
    <row r="29">
      <c r="A29" s="24" t="inlineStr">
        <is>
          <t>Días devengados</t>
        </is>
      </c>
      <c r="B29" s="25" t="inlineStr">
        <is>
          <t>'=IF(AND(D5="Sí",'03_Detalle'!G5&lt;&gt;""),MAX(MIN('02_Parametros'!$B$5-'03_Detalle'!G5,C5*365/12),0),0)</t>
        </is>
      </c>
      <c r="C29" s="24" t="inlineStr">
        <is>
          <t>Con financiación significativa, cuenta los días desde la transferencia del control (hoja 03) hasta el corte (hoja 02), sin pasar del plazo de cobro; cero en los demás casos.</t>
        </is>
      </c>
      <c r="D29" s="24" t="inlineStr">
        <is>
          <t>Fila 1: IF(AND(«No»="Sí"; «2025-11-15»&lt;&gt;""); MAX(MIN(«2025-12-31»-«2025-11-15»; (vacío)*365/12); 0); 0) → 0,00</t>
        </is>
      </c>
      <c r="E29" s="24" t="inlineStr">
        <is>
          <t>«Financiación significativa» (esta hoja), «Plazo de cobro (meses)» (esta hoja), hoja «Detalle por obligación», hoja «Parámetros»</t>
        </is>
      </c>
      <c r="F29" s="24" t="inlineStr">
        <is>
          <t>—</t>
        </is>
      </c>
    </row>
    <row r="30">
      <c r="A30" s="24" t="inlineStr">
        <is>
          <t>Interés devengado al corte</t>
        </is>
      </c>
      <c r="B30" s="25" t="inlineStr">
        <is>
          <t>'=IF(G5="","",IF(G5=0,0,F5*((1+E5)^(H5/365)-1)))</t>
        </is>
      </c>
      <c r="C30" s="24" t="inlineStr">
        <is>
          <t>Capitaliza el valor presente a la tasa anual por los días devengados y toma solo el interés ganado hasta el corte; cero si no hay componente de financiación.</t>
        </is>
      </c>
      <c r="D30" s="24" t="inlineStr">
        <is>
          <t>Fila 1: IF(0,00=""; ""; IF(0,00=0; 0; 80.000,00*((1+10,00 %)^(0,00/365)-1))) → 0,00</t>
        </is>
      </c>
      <c r="E30" s="24" t="inlineStr">
        <is>
          <t>«Componente de financiación» (esta hoja), «Valor presente (ingreso ordinario)» (esta hoja), «Tasa anual» (esta hoja), «Días devengados» (esta hoja)</t>
        </is>
      </c>
      <c r="F30" s="24" t="inlineStr">
        <is>
          <t>—</t>
        </is>
      </c>
    </row>
  </sheetData>
  <mergeCells count="3">
    <mergeCell ref="A2:F2"/>
    <mergeCell ref="A21:F21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8" customWidth="1" min="4" max="4"/>
    <col width="21" customWidth="1" min="5" max="5"/>
    <col width="22" customWidth="1" min="6" max="6"/>
    <col width="24" customWidth="1" min="7" max="7"/>
  </cols>
  <sheetData>
    <row r="1">
      <c r="A1" s="3" t="inlineStr">
        <is>
          <t>Ingreso reconocible vs registrado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Línea</t>
        </is>
      </c>
      <c r="B4" s="17" t="inlineStr">
        <is>
          <t>Contrato</t>
        </is>
      </c>
      <c r="C4" s="17" t="inlineStr">
        <is>
          <t>Reconocible acumulado</t>
        </is>
      </c>
      <c r="D4" s="17" t="inlineStr">
        <is>
          <t>Reconocido años anteriores</t>
        </is>
      </c>
      <c r="E4" s="17" t="inlineStr">
        <is>
          <t>Reconocible del año</t>
        </is>
      </c>
      <c r="F4" s="17" t="inlineStr">
        <is>
          <t>Registrado en el año</t>
        </is>
      </c>
      <c r="G4" s="17" t="inlineStr">
        <is>
          <t>Ajuste</t>
        </is>
      </c>
    </row>
    <row r="5">
      <c r="A5" s="18" t="inlineStr">
        <is>
          <t>C-01-1</t>
        </is>
      </c>
      <c r="B5" s="18" t="inlineStr">
        <is>
          <t>C-01</t>
        </is>
      </c>
      <c r="C5" s="20">
        <f>'08_Financiacion'!F5</f>
        <v/>
      </c>
      <c r="D5" s="20">
        <f>IF('03_Detalle'!R5&lt;&gt;"",'03_Detalle'!R5,0)</f>
        <v/>
      </c>
      <c r="E5" s="20">
        <f>IF(C5="","",C5-D5)</f>
        <v/>
      </c>
      <c r="F5" s="20">
        <f>'03_Detalle'!Q5</f>
        <v/>
      </c>
      <c r="G5" s="20">
        <f>IF(E5="","",E5-F5)</f>
        <v/>
      </c>
    </row>
    <row r="6">
      <c r="A6" s="19" t="inlineStr">
        <is>
          <t>C-01-2</t>
        </is>
      </c>
      <c r="B6" s="19" t="inlineStr">
        <is>
          <t>C-01</t>
        </is>
      </c>
      <c r="C6" s="21">
        <f>'08_Financiacion'!F6</f>
        <v/>
      </c>
      <c r="D6" s="21">
        <f>IF('03_Detalle'!R6&lt;&gt;"",'03_Detalle'!R6,0)</f>
        <v/>
      </c>
      <c r="E6" s="21">
        <f>IF(C6="","",C6-D6)</f>
        <v/>
      </c>
      <c r="F6" s="21">
        <f>'03_Detalle'!Q6</f>
        <v/>
      </c>
      <c r="G6" s="21">
        <f>IF(E6="","",E6-F6)</f>
        <v/>
      </c>
    </row>
    <row r="7">
      <c r="A7" s="18" t="inlineStr">
        <is>
          <t>C-02-1</t>
        </is>
      </c>
      <c r="B7" s="18" t="inlineStr">
        <is>
          <t>C-02</t>
        </is>
      </c>
      <c r="C7" s="20">
        <f>'08_Financiacion'!F7</f>
        <v/>
      </c>
      <c r="D7" s="20">
        <f>IF('03_Detalle'!R7&lt;&gt;"",'03_Detalle'!R7,0)</f>
        <v/>
      </c>
      <c r="E7" s="20">
        <f>IF(C7="","",C7-D7)</f>
        <v/>
      </c>
      <c r="F7" s="20">
        <f>'03_Detalle'!Q7</f>
        <v/>
      </c>
      <c r="G7" s="20">
        <f>IF(E7="","",E7-F7)</f>
        <v/>
      </c>
    </row>
    <row r="8">
      <c r="A8" s="19" t="inlineStr">
        <is>
          <t>C-03-1</t>
        </is>
      </c>
      <c r="B8" s="19" t="inlineStr">
        <is>
          <t>C-03</t>
        </is>
      </c>
      <c r="C8" s="21">
        <f>'08_Financiacion'!F8</f>
        <v/>
      </c>
      <c r="D8" s="21">
        <f>IF('03_Detalle'!R8&lt;&gt;"",'03_Detalle'!R8,0)</f>
        <v/>
      </c>
      <c r="E8" s="21">
        <f>IF(C8="","",C8-D8)</f>
        <v/>
      </c>
      <c r="F8" s="21">
        <f>'03_Detalle'!Q8</f>
        <v/>
      </c>
      <c r="G8" s="21">
        <f>IF(E8="","",E8-F8)</f>
        <v/>
      </c>
    </row>
    <row r="9">
      <c r="A9" s="18" t="inlineStr">
        <is>
          <t>C-04-1</t>
        </is>
      </c>
      <c r="B9" s="18" t="inlineStr">
        <is>
          <t>C-04</t>
        </is>
      </c>
      <c r="C9" s="20">
        <f>'08_Financiacion'!F9</f>
        <v/>
      </c>
      <c r="D9" s="20">
        <f>IF('03_Detalle'!R9&lt;&gt;"",'03_Detalle'!R9,0)</f>
        <v/>
      </c>
      <c r="E9" s="20">
        <f>IF(C9="","",C9-D9)</f>
        <v/>
      </c>
      <c r="F9" s="20">
        <f>'03_Detalle'!Q9</f>
        <v/>
      </c>
      <c r="G9" s="20">
        <f>IF(E9="","",E9-F9)</f>
        <v/>
      </c>
    </row>
    <row r="10">
      <c r="A10" s="19" t="inlineStr">
        <is>
          <t>C-05-1</t>
        </is>
      </c>
      <c r="B10" s="19" t="inlineStr">
        <is>
          <t>C-05</t>
        </is>
      </c>
      <c r="C10" s="21">
        <f>'08_Financiacion'!F10</f>
        <v/>
      </c>
      <c r="D10" s="21">
        <f>IF('03_Detalle'!R10&lt;&gt;"",'03_Detalle'!R10,0)</f>
        <v/>
      </c>
      <c r="E10" s="21">
        <f>IF(C10="","",C10-D10)</f>
        <v/>
      </c>
      <c r="F10" s="21">
        <f>'03_Detalle'!Q10</f>
        <v/>
      </c>
      <c r="G10" s="21">
        <f>IF(E10="","",E10-F10)</f>
        <v/>
      </c>
    </row>
    <row r="11">
      <c r="A11" s="18" t="inlineStr">
        <is>
          <t>C-06-1</t>
        </is>
      </c>
      <c r="B11" s="18" t="inlineStr">
        <is>
          <t>C-06</t>
        </is>
      </c>
      <c r="C11" s="20">
        <f>'08_Financiacion'!F11</f>
        <v/>
      </c>
      <c r="D11" s="20">
        <f>IF('03_Detalle'!R11&lt;&gt;"",'03_Detalle'!R11,0)</f>
        <v/>
      </c>
      <c r="E11" s="20">
        <f>IF(C11="","",C11-D11)</f>
        <v/>
      </c>
      <c r="F11" s="20">
        <f>'03_Detalle'!Q11</f>
        <v/>
      </c>
      <c r="G11" s="20">
        <f>IF(E11="","",E11-F11)</f>
        <v/>
      </c>
    </row>
    <row r="12">
      <c r="A12" s="19" t="inlineStr">
        <is>
          <t>C-07-1</t>
        </is>
      </c>
      <c r="B12" s="19" t="inlineStr">
        <is>
          <t>C-07</t>
        </is>
      </c>
      <c r="C12" s="21">
        <f>'08_Financiacion'!F12</f>
        <v/>
      </c>
      <c r="D12" s="21">
        <f>IF('03_Detalle'!R12&lt;&gt;"",'03_Detalle'!R12,0)</f>
        <v/>
      </c>
      <c r="E12" s="21">
        <f>IF(C12="","",C12-D12)</f>
        <v/>
      </c>
      <c r="F12" s="21">
        <f>'03_Detalle'!Q12</f>
        <v/>
      </c>
      <c r="G12" s="21">
        <f>IF(E12="","",E12-F12)</f>
        <v/>
      </c>
    </row>
    <row r="13">
      <c r="A13" s="18" t="inlineStr">
        <is>
          <t>C-08-1</t>
        </is>
      </c>
      <c r="B13" s="18" t="inlineStr">
        <is>
          <t>C-08</t>
        </is>
      </c>
      <c r="C13" s="20">
        <f>'08_Financiacion'!F13</f>
        <v/>
      </c>
      <c r="D13" s="20">
        <f>IF('03_Detalle'!R13&lt;&gt;"",'03_Detalle'!R13,0)</f>
        <v/>
      </c>
      <c r="E13" s="20">
        <f>IF(C13="","",C13-D13)</f>
        <v/>
      </c>
      <c r="F13" s="20">
        <f>'03_Detalle'!Q13</f>
        <v/>
      </c>
      <c r="G13" s="20">
        <f>IF(E13="","",E13-F13)</f>
        <v/>
      </c>
    </row>
    <row r="14">
      <c r="A14" s="19" t="inlineStr">
        <is>
          <t>C-09-1</t>
        </is>
      </c>
      <c r="B14" s="19" t="inlineStr">
        <is>
          <t>C-09</t>
        </is>
      </c>
      <c r="C14" s="21">
        <f>'08_Financiacion'!F14</f>
        <v/>
      </c>
      <c r="D14" s="21">
        <f>IF('03_Detalle'!R14&lt;&gt;"",'03_Detalle'!R14,0)</f>
        <v/>
      </c>
      <c r="E14" s="21">
        <f>IF(C14="","",C14-D14)</f>
        <v/>
      </c>
      <c r="F14" s="21">
        <f>'03_Detalle'!Q14</f>
        <v/>
      </c>
      <c r="G14" s="21">
        <f>IF(E14="","",E14-F14)</f>
        <v/>
      </c>
    </row>
    <row r="15">
      <c r="A15" s="18" t="inlineStr">
        <is>
          <t>C-09-2</t>
        </is>
      </c>
      <c r="B15" s="18" t="inlineStr">
        <is>
          <t>C-09</t>
        </is>
      </c>
      <c r="C15" s="20">
        <f>'08_Financiacion'!F15</f>
        <v/>
      </c>
      <c r="D15" s="20">
        <f>IF('03_Detalle'!R15&lt;&gt;"",'03_Detalle'!R15,0)</f>
        <v/>
      </c>
      <c r="E15" s="20">
        <f>IF(C15="","",C15-D15)</f>
        <v/>
      </c>
      <c r="F15" s="20">
        <f>'03_Detalle'!Q15</f>
        <v/>
      </c>
      <c r="G15" s="20">
        <f>IF(E15="","",E15-F15)</f>
        <v/>
      </c>
    </row>
    <row r="16">
      <c r="A16" s="19" t="inlineStr">
        <is>
          <t>C-10-1</t>
        </is>
      </c>
      <c r="B16" s="19" t="inlineStr">
        <is>
          <t>C-10</t>
        </is>
      </c>
      <c r="C16" s="21">
        <f>'08_Financiacion'!F16</f>
        <v/>
      </c>
      <c r="D16" s="21">
        <f>IF('03_Detalle'!R16&lt;&gt;"",'03_Detalle'!R16,0)</f>
        <v/>
      </c>
      <c r="E16" s="21">
        <f>IF(C16="","",C16-D16)</f>
        <v/>
      </c>
      <c r="F16" s="21">
        <f>'03_Detalle'!Q16</f>
        <v/>
      </c>
      <c r="G16" s="21">
        <f>IF(E16="","",E16-F16)</f>
        <v/>
      </c>
    </row>
    <row r="17">
      <c r="A17" s="18" t="inlineStr">
        <is>
          <t>C-11-1</t>
        </is>
      </c>
      <c r="B17" s="18" t="inlineStr">
        <is>
          <t>C-11</t>
        </is>
      </c>
      <c r="C17" s="20">
        <f>'08_Financiacion'!F17</f>
        <v/>
      </c>
      <c r="D17" s="20">
        <f>IF('03_Detalle'!R17&lt;&gt;"",'03_Detalle'!R17,0)</f>
        <v/>
      </c>
      <c r="E17" s="20">
        <f>IF(C17="","",C17-D17)</f>
        <v/>
      </c>
      <c r="F17" s="20">
        <f>'03_Detalle'!Q17</f>
        <v/>
      </c>
      <c r="G17" s="20">
        <f>IF(E17="","",E17-F17)</f>
        <v/>
      </c>
    </row>
    <row r="18">
      <c r="A18" s="19" t="inlineStr">
        <is>
          <t>C-12-1</t>
        </is>
      </c>
      <c r="B18" s="19" t="inlineStr">
        <is>
          <t>C-12</t>
        </is>
      </c>
      <c r="C18" s="21">
        <f>'08_Financiacion'!F18</f>
        <v/>
      </c>
      <c r="D18" s="21">
        <f>IF('03_Detalle'!R18&lt;&gt;"",'03_Detalle'!R18,0)</f>
        <v/>
      </c>
      <c r="E18" s="21">
        <f>IF(C18="","",C18-D18)</f>
        <v/>
      </c>
      <c r="F18" s="21">
        <f>'03_Detalle'!Q18</f>
        <v/>
      </c>
      <c r="G18" s="21">
        <f>IF(E18="","",E18-F18)</f>
        <v/>
      </c>
    </row>
    <row r="19">
      <c r="A19" s="33" t="inlineStr">
        <is>
          <t>TOTAL</t>
        </is>
      </c>
      <c r="B19" s="33" t="inlineStr"/>
      <c r="C19" s="35">
        <f>SUM(C5:C18)</f>
        <v/>
      </c>
      <c r="D19" s="35">
        <f>SUM(D5:D18)</f>
        <v/>
      </c>
      <c r="E19" s="35">
        <f>SUM(E5:E18)</f>
        <v/>
      </c>
      <c r="F19" s="35">
        <f>SUM(F5:F18)</f>
        <v/>
      </c>
      <c r="G19" s="35">
        <f>SUM(G5:G18)</f>
        <v/>
      </c>
    </row>
    <row r="21">
      <c r="A21" s="22" t="inlineStr">
        <is>
          <t>ⓘ  Cómo se calcula esta hoja</t>
        </is>
      </c>
    </row>
    <row r="22">
      <c r="A22" s="23" t="inlineStr">
        <is>
          <t>Columna</t>
        </is>
      </c>
      <c r="B22" s="23" t="inlineStr">
        <is>
          <t>Fórmula (Excel)</t>
        </is>
      </c>
      <c r="C22" s="23" t="inlineStr">
        <is>
          <t>Cómo se calcula (sencillo)</t>
        </is>
      </c>
      <c r="D22" s="23" t="inlineStr">
        <is>
          <t>Ejemplo con números reales</t>
        </is>
      </c>
      <c r="E22" s="23" t="inlineStr">
        <is>
          <t>De dónde viene</t>
        </is>
      </c>
      <c r="F22" s="23" t="inlineStr">
        <is>
          <t>Norma</t>
        </is>
      </c>
    </row>
    <row r="23">
      <c r="A23" s="24" t="inlineStr">
        <is>
          <t>Reconocible acumulado</t>
        </is>
      </c>
      <c r="B23" s="25" t="inlineStr">
        <is>
          <t>'='08_Financiacion'!F5</t>
        </is>
      </c>
      <c r="C23" s="24" t="inlineStr">
        <is>
          <t>Trae el valor presente (ingreso ordinario) acumulado de la línea, calculado en la hoja 08 (Componente de financiación).</t>
        </is>
      </c>
      <c r="D23" s="24" t="inlineStr">
        <is>
          <t>Fila 1: 80.000,00 → 80.000,00</t>
        </is>
      </c>
      <c r="E23" s="24" t="inlineStr">
        <is>
          <t>hoja «Componente de financiación»</t>
        </is>
      </c>
      <c r="F23" s="24" t="inlineStr">
        <is>
          <t>—</t>
        </is>
      </c>
    </row>
    <row r="24">
      <c r="A24" s="24" t="inlineStr">
        <is>
          <t>Reconocido años anteriores</t>
        </is>
      </c>
      <c r="B24" s="25" t="inlineStr">
        <is>
          <t>'=IF('03_Detalle'!R5&lt;&gt;"",'03_Detalle'!R5,0)</t>
        </is>
      </c>
      <c r="C24" s="24" t="inlineStr">
        <is>
          <t>Trae el ingreso de la línea reconocido en años anteriores (hoja 03); si no se informó, se toma cero.</t>
        </is>
      </c>
      <c r="D24" s="24" t="inlineStr">
        <is>
          <t>Fila 1: IF((vacío)&lt;&gt;""; (vacío); 0) → 0,00</t>
        </is>
      </c>
      <c r="E24" s="24" t="inlineStr">
        <is>
          <t>hoja «Detalle por obligación»</t>
        </is>
      </c>
      <c r="F24" s="24" t="inlineStr">
        <is>
          <t>—</t>
        </is>
      </c>
    </row>
    <row r="25">
      <c r="A25" s="24" t="inlineStr">
        <is>
          <t>Reconocible del año</t>
        </is>
      </c>
      <c r="B25" s="25" t="inlineStr">
        <is>
          <t>'=IF(C5="","",C5-D5)</t>
        </is>
      </c>
      <c r="C25" s="24" t="inlineStr">
        <is>
          <t>Resta lo reconocido en años anteriores del reconocible acumulado: es el ingreso que corresponde a este año. En blanco si la línea no se pudo medir.</t>
        </is>
      </c>
      <c r="D25" s="24" t="inlineStr">
        <is>
          <t>Fila 1: IF(80.000,00=""; ""; 80.000,00-0,00) → 80.000,00</t>
        </is>
      </c>
      <c r="E25" s="24" t="inlineStr">
        <is>
          <t>«Reconocible acumulado» (esta hoja), «Reconocido años anteriores» (esta hoja)</t>
        </is>
      </c>
      <c r="F25" s="24" t="inlineStr">
        <is>
          <t>—</t>
        </is>
      </c>
    </row>
    <row r="26">
      <c r="A26" s="24" t="inlineStr">
        <is>
          <t>Registrado en el año</t>
        </is>
      </c>
      <c r="B26" s="25" t="inlineStr">
        <is>
          <t>'='03_Detalle'!Q5</t>
        </is>
      </c>
      <c r="C26" s="24" t="inlineStr">
        <is>
          <t>Trae el ingreso que el cliente registró en el año para la línea, de la hoja 03 (Detalle).</t>
        </is>
      </c>
      <c r="D26" s="24" t="inlineStr">
        <is>
          <t>Fila 1: 90.000,00 → 90.000,00</t>
        </is>
      </c>
      <c r="E26" s="24" t="inlineStr">
        <is>
          <t>hoja «Detalle por obligación»</t>
        </is>
      </c>
      <c r="F26" s="24" t="inlineStr">
        <is>
          <t>—</t>
        </is>
      </c>
    </row>
    <row r="27">
      <c r="A27" s="24" t="inlineStr">
        <is>
          <t>Ajuste</t>
        </is>
      </c>
      <c r="B27" s="25" t="inlineStr">
        <is>
          <t>'=IF(E5="","",E5-F5)</t>
        </is>
      </c>
      <c r="C27" s="24" t="inlineStr">
        <is>
          <t>Resta lo registrado del reconocible del año: negativo significa que el cliente registró ingreso de más. En blanco si la línea no se pudo medir.</t>
        </is>
      </c>
      <c r="D27" s="24" t="inlineStr">
        <is>
          <t>Fila 1: IF(80.000,00=""; ""; 80.000,00-90.000,00) → -10.000,00</t>
        </is>
      </c>
      <c r="E27" s="24" t="inlineStr">
        <is>
          <t>«Reconocible del año» (esta hoja), «Registrado en el año» (esta hoja)</t>
        </is>
      </c>
      <c r="F27" s="24" t="inlineStr">
        <is>
          <t>—</t>
        </is>
      </c>
    </row>
  </sheetData>
  <mergeCells count="3">
    <mergeCell ref="A2:F2"/>
    <mergeCell ref="A21:F21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12" customWidth="1" min="4" max="4"/>
    <col width="12" customWidth="1" min="5" max="5"/>
    <col width="19" customWidth="1" min="6" max="6"/>
    <col width="21" customWidth="1" min="7" max="7"/>
    <col width="40" customWidth="1" min="8" max="8"/>
    <col width="19" customWidth="1" min="9" max="9"/>
    <col width="24" customWidth="1" min="10" max="10"/>
  </cols>
  <sheetData>
    <row r="1">
      <c r="A1" s="3" t="inlineStr">
        <is>
          <t>Activo y pasivo del contrato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4" ht="30" customHeight="1">
      <c r="A4" s="17" t="inlineStr">
        <is>
          <t>Contrato</t>
        </is>
      </c>
      <c r="B4" s="17" t="inlineStr">
        <is>
          <t>Cliente</t>
        </is>
      </c>
      <c r="C4" s="17" t="inlineStr">
        <is>
          <t>Reconocible bruto acumulado</t>
        </is>
      </c>
      <c r="D4" s="17" t="inlineStr">
        <is>
          <t>Facturado</t>
        </is>
      </c>
      <c r="E4" s="17" t="inlineStr">
        <is>
          <t>Cobrado</t>
        </is>
      </c>
      <c r="F4" s="17" t="inlineStr">
        <is>
          <t>Posición</t>
        </is>
      </c>
      <c r="G4" s="17" t="inlineStr">
        <is>
          <t>Activo del contrato</t>
        </is>
      </c>
      <c r="H4" s="17" t="inlineStr">
        <is>
          <t>Pasivo del contrato (ingreso diferido)</t>
        </is>
      </c>
      <c r="I4" s="17" t="inlineStr">
        <is>
          <t>Cuenta por cobrar</t>
        </is>
      </c>
      <c r="J4" s="17" t="inlineStr">
        <is>
          <t>Obligaciones sin medir</t>
        </is>
      </c>
    </row>
    <row r="5">
      <c r="A5" s="18" t="inlineStr">
        <is>
          <t>C-01</t>
        </is>
      </c>
      <c r="B5" s="18" t="inlineStr">
        <is>
          <t>Comercial Andina</t>
        </is>
      </c>
      <c r="C5" s="20">
        <f>SUMIF('03_Detalle'!$B$5:$B$18,A5,'06_Satisfaccion'!$H$5:$H$18)</f>
        <v/>
      </c>
      <c r="D5" s="20">
        <f>SUMIF('03_Detalle'!$B$5:$B$18,A5,'03_Detalle'!$S$5:$S$18)</f>
        <v/>
      </c>
      <c r="E5" s="20">
        <f>SUMIF('03_Detalle'!$B$5:$B$18,A5,'03_Detalle'!$T$5:$T$18)</f>
        <v/>
      </c>
      <c r="F5" s="20">
        <f>IF(J5&gt;0,"",C5-D5)</f>
        <v/>
      </c>
      <c r="G5" s="20">
        <f>IF(F5="","",MAX(F5,0))</f>
        <v/>
      </c>
      <c r="H5" s="20">
        <f>IF(F5="","",MAX(-F5,0))</f>
        <v/>
      </c>
      <c r="I5" s="20">
        <f>D5-E5</f>
        <v/>
      </c>
      <c r="J5" s="39">
        <f>COUNTIFS('03_Detalle'!$B$5:$B$18,A5,'06_Satisfaccion'!$H$5:$H$18,"")</f>
        <v/>
      </c>
    </row>
    <row r="6">
      <c r="A6" s="19" t="inlineStr">
        <is>
          <t>C-02</t>
        </is>
      </c>
      <c r="B6" s="19" t="inlineStr">
        <is>
          <t>Constructora Sur</t>
        </is>
      </c>
      <c r="C6" s="21">
        <f>SUMIF('03_Detalle'!$B$5:$B$18,A6,'06_Satisfaccion'!$H$5:$H$18)</f>
        <v/>
      </c>
      <c r="D6" s="21">
        <f>SUMIF('03_Detalle'!$B$5:$B$18,A6,'03_Detalle'!$S$5:$S$18)</f>
        <v/>
      </c>
      <c r="E6" s="21">
        <f>SUMIF('03_Detalle'!$B$5:$B$18,A6,'03_Detalle'!$T$5:$T$18)</f>
        <v/>
      </c>
      <c r="F6" s="21">
        <f>IF(J6&gt;0,"",C6-D6)</f>
        <v/>
      </c>
      <c r="G6" s="21">
        <f>IF(F6="","",MAX(F6,0))</f>
        <v/>
      </c>
      <c r="H6" s="21">
        <f>IF(F6="","",MAX(-F6,0))</f>
        <v/>
      </c>
      <c r="I6" s="21">
        <f>D6-E6</f>
        <v/>
      </c>
      <c r="J6" s="40">
        <f>COUNTIFS('03_Detalle'!$B$5:$B$18,A6,'06_Satisfaccion'!$H$5:$H$18,"")</f>
        <v/>
      </c>
    </row>
    <row r="7">
      <c r="A7" s="18" t="inlineStr">
        <is>
          <t>C-03</t>
        </is>
      </c>
      <c r="B7" s="18" t="inlineStr">
        <is>
          <t>Distribuidora Norte</t>
        </is>
      </c>
      <c r="C7" s="20">
        <f>SUMIF('03_Detalle'!$B$5:$B$18,A7,'06_Satisfaccion'!$H$5:$H$18)</f>
        <v/>
      </c>
      <c r="D7" s="20">
        <f>SUMIF('03_Detalle'!$B$5:$B$18,A7,'03_Detalle'!$S$5:$S$18)</f>
        <v/>
      </c>
      <c r="E7" s="20">
        <f>SUMIF('03_Detalle'!$B$5:$B$18,A7,'03_Detalle'!$T$5:$T$18)</f>
        <v/>
      </c>
      <c r="F7" s="20">
        <f>IF(J7&gt;0,"",C7-D7)</f>
        <v/>
      </c>
      <c r="G7" s="20">
        <f>IF(F7="","",MAX(F7,0))</f>
        <v/>
      </c>
      <c r="H7" s="20">
        <f>IF(F7="","",MAX(-F7,0))</f>
        <v/>
      </c>
      <c r="I7" s="20">
        <f>D7-E7</f>
        <v/>
      </c>
      <c r="J7" s="39">
        <f>COUNTIFS('03_Detalle'!$B$5:$B$18,A7,'06_Satisfaccion'!$H$5:$H$18,"")</f>
        <v/>
      </c>
    </row>
    <row r="8">
      <c r="A8" s="19" t="inlineStr">
        <is>
          <t>C-04</t>
        </is>
      </c>
      <c r="B8" s="19" t="inlineStr">
        <is>
          <t>Retail Express</t>
        </is>
      </c>
      <c r="C8" s="21">
        <f>SUMIF('03_Detalle'!$B$5:$B$18,A8,'06_Satisfaccion'!$H$5:$H$18)</f>
        <v/>
      </c>
      <c r="D8" s="21">
        <f>SUMIF('03_Detalle'!$B$5:$B$18,A8,'03_Detalle'!$S$5:$S$18)</f>
        <v/>
      </c>
      <c r="E8" s="21">
        <f>SUMIF('03_Detalle'!$B$5:$B$18,A8,'03_Detalle'!$T$5:$T$18)</f>
        <v/>
      </c>
      <c r="F8" s="21">
        <f>IF(J8&gt;0,"",C8-D8)</f>
        <v/>
      </c>
      <c r="G8" s="21">
        <f>IF(F8="","",MAX(F8,0))</f>
        <v/>
      </c>
      <c r="H8" s="21">
        <f>IF(F8="","",MAX(-F8,0))</f>
        <v/>
      </c>
      <c r="I8" s="21">
        <f>D8-E8</f>
        <v/>
      </c>
      <c r="J8" s="40">
        <f>COUNTIFS('03_Detalle'!$B$5:$B$18,A8,'06_Satisfaccion'!$H$5:$H$18,"")</f>
        <v/>
      </c>
    </row>
    <row r="9">
      <c r="A9" s="18" t="inlineStr">
        <is>
          <t>C-05</t>
        </is>
      </c>
      <c r="B9" s="18" t="inlineStr">
        <is>
          <t>Agro Plazo</t>
        </is>
      </c>
      <c r="C9" s="20">
        <f>SUMIF('03_Detalle'!$B$5:$B$18,A9,'06_Satisfaccion'!$H$5:$H$18)</f>
        <v/>
      </c>
      <c r="D9" s="20">
        <f>SUMIF('03_Detalle'!$B$5:$B$18,A9,'03_Detalle'!$S$5:$S$18)</f>
        <v/>
      </c>
      <c r="E9" s="20">
        <f>SUMIF('03_Detalle'!$B$5:$B$18,A9,'03_Detalle'!$T$5:$T$18)</f>
        <v/>
      </c>
      <c r="F9" s="20">
        <f>IF(J9&gt;0,"",C9-D9)</f>
        <v/>
      </c>
      <c r="G9" s="20">
        <f>IF(F9="","",MAX(F9,0))</f>
        <v/>
      </c>
      <c r="H9" s="20">
        <f>IF(F9="","",MAX(-F9,0))</f>
        <v/>
      </c>
      <c r="I9" s="20">
        <f>D9-E9</f>
        <v/>
      </c>
      <c r="J9" s="39">
        <f>COUNTIFS('03_Detalle'!$B$5:$B$18,A9,'06_Satisfaccion'!$H$5:$H$18,"")</f>
        <v/>
      </c>
    </row>
    <row r="10">
      <c r="A10" s="19" t="inlineStr">
        <is>
          <t>C-06</t>
        </is>
      </c>
      <c r="B10" s="19" t="inlineStr">
        <is>
          <t>Servicios Beta</t>
        </is>
      </c>
      <c r="C10" s="21">
        <f>SUMIF('03_Detalle'!$B$5:$B$18,A10,'06_Satisfaccion'!$H$5:$H$18)</f>
        <v/>
      </c>
      <c r="D10" s="21">
        <f>SUMIF('03_Detalle'!$B$5:$B$18,A10,'03_Detalle'!$S$5:$S$18)</f>
        <v/>
      </c>
      <c r="E10" s="21">
        <f>SUMIF('03_Detalle'!$B$5:$B$18,A10,'03_Detalle'!$T$5:$T$18)</f>
        <v/>
      </c>
      <c r="F10" s="21">
        <f>IF(J10&gt;0,"",C10-D10)</f>
        <v/>
      </c>
      <c r="G10" s="21">
        <f>IF(F10="","",MAX(F10,0))</f>
        <v/>
      </c>
      <c r="H10" s="21">
        <f>IF(F10="","",MAX(-F10,0))</f>
        <v/>
      </c>
      <c r="I10" s="21">
        <f>D10-E10</f>
        <v/>
      </c>
      <c r="J10" s="40">
        <f>COUNTIFS('03_Detalle'!$B$5:$B$18,A10,'06_Satisfaccion'!$H$5:$H$18,"")</f>
        <v/>
      </c>
    </row>
    <row r="11">
      <c r="A11" s="18" t="inlineStr">
        <is>
          <t>C-07</t>
        </is>
      </c>
      <c r="B11" s="18" t="inlineStr">
        <is>
          <t>Tecnología Gama</t>
        </is>
      </c>
      <c r="C11" s="20">
        <f>SUMIF('03_Detalle'!$B$5:$B$18,A11,'06_Satisfaccion'!$H$5:$H$18)</f>
        <v/>
      </c>
      <c r="D11" s="20">
        <f>SUMIF('03_Detalle'!$B$5:$B$18,A11,'03_Detalle'!$S$5:$S$18)</f>
        <v/>
      </c>
      <c r="E11" s="20">
        <f>SUMIF('03_Detalle'!$B$5:$B$18,A11,'03_Detalle'!$T$5:$T$18)</f>
        <v/>
      </c>
      <c r="F11" s="20">
        <f>IF(J11&gt;0,"",C11-D11)</f>
        <v/>
      </c>
      <c r="G11" s="20">
        <f>IF(F11="","",MAX(F11,0))</f>
        <v/>
      </c>
      <c r="H11" s="20">
        <f>IF(F11="","",MAX(-F11,0))</f>
        <v/>
      </c>
      <c r="I11" s="20">
        <f>D11-E11</f>
        <v/>
      </c>
      <c r="J11" s="39">
        <f>COUNTIFS('03_Detalle'!$B$5:$B$18,A11,'06_Satisfaccion'!$H$5:$H$18,"")</f>
        <v/>
      </c>
    </row>
    <row r="12">
      <c r="A12" s="19" t="inlineStr">
        <is>
          <t>C-08</t>
        </is>
      </c>
      <c r="B12" s="19" t="inlineStr">
        <is>
          <t>Software Delta</t>
        </is>
      </c>
      <c r="C12" s="21">
        <f>SUMIF('03_Detalle'!$B$5:$B$18,A12,'06_Satisfaccion'!$H$5:$H$18)</f>
        <v/>
      </c>
      <c r="D12" s="21">
        <f>SUMIF('03_Detalle'!$B$5:$B$18,A12,'03_Detalle'!$S$5:$S$18)</f>
        <v/>
      </c>
      <c r="E12" s="21">
        <f>SUMIF('03_Detalle'!$B$5:$B$18,A12,'03_Detalle'!$T$5:$T$18)</f>
        <v/>
      </c>
      <c r="F12" s="21">
        <f>IF(J12&gt;0,"",C12-D12)</f>
        <v/>
      </c>
      <c r="G12" s="21">
        <f>IF(F12="","",MAX(F12,0))</f>
        <v/>
      </c>
      <c r="H12" s="21">
        <f>IF(F12="","",MAX(-F12,0))</f>
        <v/>
      </c>
      <c r="I12" s="21">
        <f>D12-E12</f>
        <v/>
      </c>
      <c r="J12" s="40">
        <f>COUNTIFS('03_Detalle'!$B$5:$B$18,A12,'06_Satisfaccion'!$H$5:$H$18,"")</f>
        <v/>
      </c>
    </row>
    <row r="13">
      <c r="A13" s="18" t="inlineStr">
        <is>
          <t>C-09</t>
        </is>
      </c>
      <c r="B13" s="18" t="inlineStr">
        <is>
          <t>Mantenimientos Épsilon</t>
        </is>
      </c>
      <c r="C13" s="20">
        <f>SUMIF('03_Detalle'!$B$5:$B$18,A13,'06_Satisfaccion'!$H$5:$H$18)</f>
        <v/>
      </c>
      <c r="D13" s="20">
        <f>SUMIF('03_Detalle'!$B$5:$B$18,A13,'03_Detalle'!$S$5:$S$18)</f>
        <v/>
      </c>
      <c r="E13" s="20">
        <f>SUMIF('03_Detalle'!$B$5:$B$18,A13,'03_Detalle'!$T$5:$T$18)</f>
        <v/>
      </c>
      <c r="F13" s="20">
        <f>IF(J13&gt;0,"",C13-D13)</f>
        <v/>
      </c>
      <c r="G13" s="20">
        <f>IF(F13="","",MAX(F13,0))</f>
        <v/>
      </c>
      <c r="H13" s="20">
        <f>IF(F13="","",MAX(-F13,0))</f>
        <v/>
      </c>
      <c r="I13" s="20">
        <f>D13-E13</f>
        <v/>
      </c>
      <c r="J13" s="39">
        <f>COUNTIFS('03_Detalle'!$B$5:$B$18,A13,'06_Satisfaccion'!$H$5:$H$18,"")</f>
        <v/>
      </c>
    </row>
    <row r="14">
      <c r="A14" s="19" t="inlineStr">
        <is>
          <t>C-10</t>
        </is>
      </c>
      <c r="B14" s="19" t="inlineStr">
        <is>
          <t>Obra Zeta</t>
        </is>
      </c>
      <c r="C14" s="21">
        <f>SUMIF('03_Detalle'!$B$5:$B$18,A14,'06_Satisfaccion'!$H$5:$H$18)</f>
        <v/>
      </c>
      <c r="D14" s="21">
        <f>SUMIF('03_Detalle'!$B$5:$B$18,A14,'03_Detalle'!$S$5:$S$18)</f>
        <v/>
      </c>
      <c r="E14" s="21">
        <f>SUMIF('03_Detalle'!$B$5:$B$18,A14,'03_Detalle'!$T$5:$T$18)</f>
        <v/>
      </c>
      <c r="F14" s="21">
        <f>IF(J14&gt;0,"",C14-D14)</f>
        <v/>
      </c>
      <c r="G14" s="21">
        <f>IF(F14="","",MAX(F14,0))</f>
        <v/>
      </c>
      <c r="H14" s="21">
        <f>IF(F14="","",MAX(-F14,0))</f>
        <v/>
      </c>
      <c r="I14" s="21">
        <f>D14-E14</f>
        <v/>
      </c>
      <c r="J14" s="40">
        <f>COUNTIFS('03_Detalle'!$B$5:$B$18,A14,'06_Satisfaccion'!$H$5:$H$18,"")</f>
        <v/>
      </c>
    </row>
    <row r="15">
      <c r="A15" s="18" t="inlineStr">
        <is>
          <t>C-11</t>
        </is>
      </c>
      <c r="B15" s="18" t="inlineStr">
        <is>
          <t>Servicios Theta</t>
        </is>
      </c>
      <c r="C15" s="20">
        <f>SUMIF('03_Detalle'!$B$5:$B$18,A15,'06_Satisfaccion'!$H$5:$H$18)</f>
        <v/>
      </c>
      <c r="D15" s="20">
        <f>SUMIF('03_Detalle'!$B$5:$B$18,A15,'03_Detalle'!$S$5:$S$18)</f>
        <v/>
      </c>
      <c r="E15" s="20">
        <f>SUMIF('03_Detalle'!$B$5:$B$18,A15,'03_Detalle'!$T$5:$T$18)</f>
        <v/>
      </c>
      <c r="F15" s="20">
        <f>IF(J15&gt;0,"",C15-D15)</f>
        <v/>
      </c>
      <c r="G15" s="20">
        <f>IF(F15="","",MAX(F15,0))</f>
        <v/>
      </c>
      <c r="H15" s="20">
        <f>IF(F15="","",MAX(-F15,0))</f>
        <v/>
      </c>
      <c r="I15" s="20">
        <f>D15-E15</f>
        <v/>
      </c>
      <c r="J15" s="39">
        <f>COUNTIFS('03_Detalle'!$B$5:$B$18,A15,'06_Satisfaccion'!$H$5:$H$18,"")</f>
        <v/>
      </c>
    </row>
    <row r="16">
      <c r="A16" s="19" t="inlineStr">
        <is>
          <t>C-12</t>
        </is>
      </c>
      <c r="B16" s="19" t="inlineStr">
        <is>
          <t>Comercial Iota</t>
        </is>
      </c>
      <c r="C16" s="21">
        <f>SUMIF('03_Detalle'!$B$5:$B$18,A16,'06_Satisfaccion'!$H$5:$H$18)</f>
        <v/>
      </c>
      <c r="D16" s="21">
        <f>SUMIF('03_Detalle'!$B$5:$B$18,A16,'03_Detalle'!$S$5:$S$18)</f>
        <v/>
      </c>
      <c r="E16" s="21">
        <f>SUMIF('03_Detalle'!$B$5:$B$18,A16,'03_Detalle'!$T$5:$T$18)</f>
        <v/>
      </c>
      <c r="F16" s="21">
        <f>IF(J16&gt;0,"",C16-D16)</f>
        <v/>
      </c>
      <c r="G16" s="21">
        <f>IF(F16="","",MAX(F16,0))</f>
        <v/>
      </c>
      <c r="H16" s="21">
        <f>IF(F16="","",MAX(-F16,0))</f>
        <v/>
      </c>
      <c r="I16" s="21">
        <f>D16-E16</f>
        <v/>
      </c>
      <c r="J16" s="40">
        <f>COUNTIFS('03_Detalle'!$B$5:$B$18,A16,'06_Satisfaccion'!$H$5:$H$18,"")</f>
        <v/>
      </c>
    </row>
    <row r="17">
      <c r="A17" s="33" t="inlineStr">
        <is>
          <t>TOTAL</t>
        </is>
      </c>
      <c r="B17" s="33" t="inlineStr"/>
      <c r="C17" s="35">
        <f>SUM(C5:C16)</f>
        <v/>
      </c>
      <c r="D17" s="35">
        <f>SUM(D5:D16)</f>
        <v/>
      </c>
      <c r="E17" s="35">
        <f>SUM(E5:E16)</f>
        <v/>
      </c>
      <c r="F17" s="35">
        <f>SUM(F5:F16)</f>
        <v/>
      </c>
      <c r="G17" s="35">
        <f>SUM(G5:G16)</f>
        <v/>
      </c>
      <c r="H17" s="35">
        <f>SUM(H5:H16)</f>
        <v/>
      </c>
      <c r="I17" s="35">
        <f>SUM(I5:I16)</f>
        <v/>
      </c>
      <c r="J17" s="41" t="n"/>
    </row>
    <row r="19">
      <c r="A19" s="22" t="inlineStr">
        <is>
          <t>ⓘ  Cómo se calcula esta hoja</t>
        </is>
      </c>
    </row>
    <row r="20">
      <c r="A20" s="23" t="inlineStr">
        <is>
          <t>Columna</t>
        </is>
      </c>
      <c r="B20" s="23" t="inlineStr">
        <is>
          <t>Fórmula (Excel)</t>
        </is>
      </c>
      <c r="C20" s="23" t="inlineStr">
        <is>
          <t>Cómo se calcula (sencillo)</t>
        </is>
      </c>
      <c r="D20" s="23" t="inlineStr">
        <is>
          <t>Ejemplo con números reales</t>
        </is>
      </c>
      <c r="E20" s="23" t="inlineStr">
        <is>
          <t>De dónde viene</t>
        </is>
      </c>
      <c r="F20" s="23" t="inlineStr">
        <is>
          <t>Norma</t>
        </is>
      </c>
    </row>
    <row r="21">
      <c r="A21" s="24" t="inlineStr">
        <is>
          <t>Reconocible bruto acumulado</t>
        </is>
      </c>
      <c r="B21" s="25" t="inlineStr">
        <is>
          <t>'=SUMIF('03_Detalle'!$B$5:$B$18,A5,'06_Satisfaccion'!$H$5:$H$18)</t>
        </is>
      </c>
      <c r="C21" s="24" t="inlineStr">
        <is>
          <t>Suma el reconocible bruto acumulado de la hoja 06 (Satisfacción) de todas las líneas de este contrato (identificadas por el contrato en la hoja 03).</t>
        </is>
      </c>
      <c r="D21" s="24" t="inlineStr">
        <is>
          <t>Fila 1: SUMIF([«Contrato» de «Detalle por obligación», 14 filas]; «C-01»; [«Reconocible bruto acumulado» de «Satisfacción y porcentaje de avance», 14 filas]) → 85.000,00</t>
        </is>
      </c>
      <c r="E21" s="24" t="inlineStr">
        <is>
          <t>«Contrato» (esta hoja), hoja «Detalle por obligación», hoja «Satisfacción y porcentaje de avance»</t>
        </is>
      </c>
      <c r="F21" s="24" t="inlineStr">
        <is>
          <t>—</t>
        </is>
      </c>
    </row>
    <row r="22">
      <c r="A22" s="24" t="inlineStr">
        <is>
          <t>Facturado</t>
        </is>
      </c>
      <c r="B22" s="25" t="inlineStr">
        <is>
          <t>'=SUMIF('03_Detalle'!$B$5:$B$18,A5,'03_Detalle'!$S$5:$S$18)</t>
        </is>
      </c>
      <c r="C22" s="24" t="inlineStr">
        <is>
          <t>Suma el facturado acumulado de las líneas de este contrato informado en la hoja 03 (Detalle).</t>
        </is>
      </c>
      <c r="D22" s="24" t="inlineStr">
        <is>
          <t>Fila 1: SUMIF([«Contrato» de «Detalle por obligación», 14 filas]; «C-01»; [«Facturado acumulado» de «Detalle por obligación», 14 filas]) → 100.000,00</t>
        </is>
      </c>
      <c r="E22" s="24" t="inlineStr">
        <is>
          <t>«Contrato» (esta hoja), hoja «Detalle por obligación»</t>
        </is>
      </c>
      <c r="F22" s="24" t="inlineStr">
        <is>
          <t>—</t>
        </is>
      </c>
    </row>
    <row r="23">
      <c r="A23" s="24" t="inlineStr">
        <is>
          <t>Cobrado</t>
        </is>
      </c>
      <c r="B23" s="25" t="inlineStr">
        <is>
          <t>'=SUMIF('03_Detalle'!$B$5:$B$18,A5,'03_Detalle'!$T$5:$T$18)</t>
        </is>
      </c>
      <c r="C23" s="24" t="inlineStr">
        <is>
          <t>Suma el cobrado acumulado de las líneas de este contrato informado en la hoja 03 (Detalle).</t>
        </is>
      </c>
      <c r="D23" s="24" t="inlineStr">
        <is>
          <t>Fila 1: SUMIF([«Contrato» de «Detalle por obligación», 14 filas]; «C-01»; [«Cobrado acumulado» de «Detalle por obligación», 14 filas]) → 60.000,00</t>
        </is>
      </c>
      <c r="E23" s="24" t="inlineStr">
        <is>
          <t>«Contrato» (esta hoja), hoja «Detalle por obligación»</t>
        </is>
      </c>
      <c r="F23" s="24" t="inlineStr">
        <is>
          <t>—</t>
        </is>
      </c>
    </row>
    <row r="24">
      <c r="A24" s="24" t="inlineStr">
        <is>
          <t>Posición</t>
        </is>
      </c>
      <c r="B24" s="25" t="inlineStr">
        <is>
          <t>'=IF(J5&gt;0,"",C5-D5)</t>
        </is>
      </c>
      <c r="C24" s="24" t="inlineStr">
        <is>
          <t>Resta lo facturado del reconocible bruto acumulado del contrato; queda en blanco si alguna obligación del contrato no se pudo medir.</t>
        </is>
      </c>
      <c r="D24" s="24" t="inlineStr">
        <is>
          <t>Fila 1: IF(0&gt;0; ""; 85.000,00-100.000,00) → -15.000,00</t>
        </is>
      </c>
      <c r="E24" s="24" t="inlineStr">
        <is>
          <t>«Obligaciones sin medir» (esta hoja), «Reconocible bruto acumulado» (esta hoja), «Facturado» (esta hoja)</t>
        </is>
      </c>
      <c r="F24" s="24" t="inlineStr">
        <is>
          <t>—</t>
        </is>
      </c>
    </row>
    <row r="25">
      <c r="A25" s="24" t="inlineStr">
        <is>
          <t>Activo del contrato</t>
        </is>
      </c>
      <c r="B25" s="25" t="inlineStr">
        <is>
          <t>'=IF(F5="","",MAX(F5,0))</t>
        </is>
      </c>
      <c r="C25" s="24" t="inlineStr">
        <is>
          <t>Si la posición es positiva (se ha cumplido más de lo facturado), ese importe se presenta como activo; si es negativa, cero.</t>
        </is>
      </c>
      <c r="D25" s="24" t="inlineStr">
        <is>
          <t>Fila 1: IF(-15.000,00=""; ""; MAX(-15.000,00; 0)) → 0,00</t>
        </is>
      </c>
      <c r="E25" s="24" t="inlineStr">
        <is>
          <t>«Posición» (esta hoja)</t>
        </is>
      </c>
      <c r="F25" s="24" t="inlineStr">
        <is>
          <t>—</t>
        </is>
      </c>
    </row>
    <row r="26">
      <c r="A26" s="24" t="inlineStr">
        <is>
          <t>Pasivo del contrato (ingreso diferido)</t>
        </is>
      </c>
      <c r="B26" s="25" t="inlineStr">
        <is>
          <t>'=IF(F5="","",MAX(-F5,0))</t>
        </is>
      </c>
      <c r="C26" s="24" t="inlineStr">
        <is>
          <t>Si la posición es negativa (se ha facturado más de lo cumplido), su valor sin signo se presenta como pasivo; si es positiva, cero.</t>
        </is>
      </c>
      <c r="D26" s="24" t="inlineStr">
        <is>
          <t>Fila 1: IF(-15.000,00=""; ""; MAX(--15.000,00; 0)) → 15.000,00</t>
        </is>
      </c>
      <c r="E26" s="24" t="inlineStr">
        <is>
          <t>«Posición» (esta hoja)</t>
        </is>
      </c>
      <c r="F26" s="24" t="inlineStr">
        <is>
          <t>—</t>
        </is>
      </c>
    </row>
    <row r="27">
      <c r="A27" s="24" t="inlineStr">
        <is>
          <t>Cuenta por cobrar</t>
        </is>
      </c>
      <c r="B27" s="25" t="inlineStr">
        <is>
          <t>'=D5-E5</t>
        </is>
      </c>
      <c r="C27" s="24" t="inlineStr">
        <is>
          <t>Resta lo cobrado de lo facturado del contrato: es el saldo que el cliente final aún debe.</t>
        </is>
      </c>
      <c r="D27" s="24" t="inlineStr">
        <is>
          <t>Fila 1: 100.000,00-60.000,00 → 40.000,00</t>
        </is>
      </c>
      <c r="E27" s="24" t="inlineStr">
        <is>
          <t>«Facturado» (esta hoja), «Cobrado» (esta hoja)</t>
        </is>
      </c>
      <c r="F27" s="24" t="inlineStr">
        <is>
          <t>—</t>
        </is>
      </c>
    </row>
    <row r="28">
      <c r="A28" s="24" t="inlineStr">
        <is>
          <t>Obligaciones sin medir</t>
        </is>
      </c>
      <c r="B28" s="25" t="inlineStr">
        <is>
          <t>'=COUNTIFS('03_Detalle'!$B$5:$B$18,A5,'06_Satisfaccion'!$H$5:$H$18,"")</t>
        </is>
      </c>
      <c r="C28" s="24" t="inlineStr">
        <is>
          <t>Cuenta cuántas líneas del contrato quedaron con el reconocible bruto en blanco en la hoja 06 (Satisfacción) por falta de datos.</t>
        </is>
      </c>
      <c r="D28" s="24" t="inlineStr">
        <is>
          <t>Fila 1: COUNTIFS([«Contrato» de «Detalle por obligación», 14 filas]; «C-01»; [«Reconocible bruto acumulado» de «Satisfacción y porcentaje de avance», 14 filas]; "") → 0</t>
        </is>
      </c>
      <c r="E28" s="24" t="inlineStr">
        <is>
          <t>«Contrato» (esta hoja), hoja «Detalle por obligación», hoja «Satisfacción y porcentaje de avance»</t>
        </is>
      </c>
      <c r="F28" s="24" t="inlineStr">
        <is>
          <t>—</t>
        </is>
      </c>
    </row>
  </sheetData>
  <mergeCells count="3">
    <mergeCell ref="A19:F19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2" customWidth="1" min="5" max="5"/>
    <col width="28" customWidth="1" min="6" max="6"/>
    <col width="29" customWidth="1" min="7" max="7"/>
    <col width="32" customWidth="1" min="8" max="8"/>
    <col width="27" customWidth="1" min="9" max="9"/>
  </cols>
  <sheetData>
    <row r="1">
      <c r="A1" s="3" t="inlineStr">
        <is>
          <t>Corte de ingresos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Línea</t>
        </is>
      </c>
      <c r="B4" s="17" t="inlineStr">
        <is>
          <t>Contrato</t>
        </is>
      </c>
      <c r="C4" s="17" t="inlineStr">
        <is>
          <t>Registro</t>
        </is>
      </c>
      <c r="D4" s="17" t="inlineStr">
        <is>
          <t>Transferencia</t>
        </is>
      </c>
      <c r="E4" s="17" t="inlineStr">
        <is>
          <t>Registrado en el año</t>
        </is>
      </c>
      <c r="F4" s="17" t="inlineStr">
        <is>
          <t>Registrado en el ejercicio</t>
        </is>
      </c>
      <c r="G4" s="17" t="inlineStr">
        <is>
          <t>Transferido en el ejercicio</t>
        </is>
      </c>
      <c r="H4" s="17" t="inlineStr">
        <is>
          <t>Registrado antes de transferir</t>
        </is>
      </c>
      <c r="I4" s="17" t="inlineStr">
        <is>
          <t>Transferido sin registrar</t>
        </is>
      </c>
    </row>
    <row r="5">
      <c r="A5" s="18" t="inlineStr">
        <is>
          <t>C-01-1</t>
        </is>
      </c>
      <c r="B5" s="18" t="inlineStr">
        <is>
          <t>C-01</t>
        </is>
      </c>
      <c r="C5" s="29" t="n">
        <v>45976</v>
      </c>
      <c r="D5" s="29" t="n">
        <v>45976</v>
      </c>
      <c r="E5" s="20">
        <f>'03_Detalle'!Q5</f>
        <v/>
      </c>
      <c r="F5" s="18">
        <f>IF(C5&lt;='02_Parametros'!$B$5,"Sí","No")</f>
        <v/>
      </c>
      <c r="G5" s="18">
        <f>IF(D5&lt;='02_Parametros'!$B$5,"Sí","No")</f>
        <v/>
      </c>
      <c r="H5" s="20">
        <f>IF(AND(F5="Sí",G5="No"),E5,0)</f>
        <v/>
      </c>
      <c r="I5" s="20">
        <f>IF(AND(F5="No",G5="Sí"),N('06_Satisfaccion'!H5),0)</f>
        <v/>
      </c>
    </row>
    <row r="6">
      <c r="A6" s="19" t="inlineStr">
        <is>
          <t>C-03-1</t>
        </is>
      </c>
      <c r="B6" s="19" t="inlineStr">
        <is>
          <t>C-03</t>
        </is>
      </c>
      <c r="C6" s="32" t="n">
        <v>46019</v>
      </c>
      <c r="D6" s="32" t="n">
        <v>46027</v>
      </c>
      <c r="E6" s="21">
        <f>'03_Detalle'!Q8</f>
        <v/>
      </c>
      <c r="F6" s="19">
        <f>IF(C6&lt;='02_Parametros'!$B$5,"Sí","No")</f>
        <v/>
      </c>
      <c r="G6" s="19">
        <f>IF(D6&lt;='02_Parametros'!$B$5,"Sí","No")</f>
        <v/>
      </c>
      <c r="H6" s="21">
        <f>IF(AND(F6="Sí",G6="No"),E6,0)</f>
        <v/>
      </c>
      <c r="I6" s="21">
        <f>IF(AND(F6="No",G6="Sí"),N('06_Satisfaccion'!H8),0)</f>
        <v/>
      </c>
    </row>
    <row r="7">
      <c r="A7" s="18" t="inlineStr">
        <is>
          <t>C-04-1</t>
        </is>
      </c>
      <c r="B7" s="18" t="inlineStr">
        <is>
          <t>C-04</t>
        </is>
      </c>
      <c r="C7" s="29" t="n">
        <v>46001</v>
      </c>
      <c r="D7" s="29" t="n">
        <v>46001</v>
      </c>
      <c r="E7" s="20">
        <f>'03_Detalle'!Q9</f>
        <v/>
      </c>
      <c r="F7" s="18">
        <f>IF(C7&lt;='02_Parametros'!$B$5,"Sí","No")</f>
        <v/>
      </c>
      <c r="G7" s="18">
        <f>IF(D7&lt;='02_Parametros'!$B$5,"Sí","No")</f>
        <v/>
      </c>
      <c r="H7" s="20">
        <f>IF(AND(F7="Sí",G7="No"),E7,0)</f>
        <v/>
      </c>
      <c r="I7" s="20">
        <f>IF(AND(F7="No",G7="Sí"),N('06_Satisfaccion'!H9),0)</f>
        <v/>
      </c>
    </row>
    <row r="8">
      <c r="A8" s="19" t="inlineStr">
        <is>
          <t>C-05-1</t>
        </is>
      </c>
      <c r="B8" s="19" t="inlineStr">
        <is>
          <t>C-05</t>
        </is>
      </c>
      <c r="C8" s="32" t="n">
        <v>45839</v>
      </c>
      <c r="D8" s="32" t="n">
        <v>45839</v>
      </c>
      <c r="E8" s="21">
        <f>'03_Detalle'!Q10</f>
        <v/>
      </c>
      <c r="F8" s="19">
        <f>IF(C8&lt;='02_Parametros'!$B$5,"Sí","No")</f>
        <v/>
      </c>
      <c r="G8" s="19">
        <f>IF(D8&lt;='02_Parametros'!$B$5,"Sí","No")</f>
        <v/>
      </c>
      <c r="H8" s="21">
        <f>IF(AND(F8="Sí",G8="No"),E8,0)</f>
        <v/>
      </c>
      <c r="I8" s="21">
        <f>IF(AND(F8="No",G8="Sí"),N('06_Satisfaccion'!H10),0)</f>
        <v/>
      </c>
    </row>
    <row r="9">
      <c r="A9" s="18" t="inlineStr">
        <is>
          <t>C-07-1</t>
        </is>
      </c>
      <c r="B9" s="18" t="inlineStr">
        <is>
          <t>C-07</t>
        </is>
      </c>
      <c r="C9" s="29" t="n">
        <v>46025</v>
      </c>
      <c r="D9" s="29" t="n">
        <v>46011</v>
      </c>
      <c r="E9" s="20">
        <f>'03_Detalle'!Q12</f>
        <v/>
      </c>
      <c r="F9" s="18">
        <f>IF(C9&lt;='02_Parametros'!$B$5,"Sí","No")</f>
        <v/>
      </c>
      <c r="G9" s="18">
        <f>IF(D9&lt;='02_Parametros'!$B$5,"Sí","No")</f>
        <v/>
      </c>
      <c r="H9" s="20">
        <f>IF(AND(F9="Sí",G9="No"),E9,0)</f>
        <v/>
      </c>
      <c r="I9" s="20">
        <f>IF(AND(F9="No",G9="Sí"),N('06_Satisfaccion'!H12),0)</f>
        <v/>
      </c>
    </row>
    <row r="10">
      <c r="A10" s="19" t="inlineStr">
        <is>
          <t>C-09-1</t>
        </is>
      </c>
      <c r="B10" s="19" t="inlineStr">
        <is>
          <t>C-09</t>
        </is>
      </c>
      <c r="C10" s="32" t="n">
        <v>45992</v>
      </c>
      <c r="D10" s="32" t="n">
        <v>45992</v>
      </c>
      <c r="E10" s="21">
        <f>'03_Detalle'!Q14</f>
        <v/>
      </c>
      <c r="F10" s="19">
        <f>IF(C10&lt;='02_Parametros'!$B$5,"Sí","No")</f>
        <v/>
      </c>
      <c r="G10" s="19">
        <f>IF(D10&lt;='02_Parametros'!$B$5,"Sí","No")</f>
        <v/>
      </c>
      <c r="H10" s="21">
        <f>IF(AND(F10="Sí",G10="No"),E10,0)</f>
        <v/>
      </c>
      <c r="I10" s="21">
        <f>IF(AND(F10="No",G10="Sí"),N('06_Satisfaccion'!H14),0)</f>
        <v/>
      </c>
    </row>
    <row r="11">
      <c r="A11" s="18" t="inlineStr">
        <is>
          <t>C-11-1</t>
        </is>
      </c>
      <c r="B11" s="18" t="inlineStr">
        <is>
          <t>C-11</t>
        </is>
      </c>
      <c r="C11" s="29" t="n">
        <v>45931</v>
      </c>
      <c r="D11" s="29" t="n">
        <v>45931</v>
      </c>
      <c r="E11" s="20">
        <f>'03_Detalle'!Q17</f>
        <v/>
      </c>
      <c r="F11" s="18">
        <f>IF(C11&lt;='02_Parametros'!$B$5,"Sí","No")</f>
        <v/>
      </c>
      <c r="G11" s="18">
        <f>IF(D11&lt;='02_Parametros'!$B$5,"Sí","No")</f>
        <v/>
      </c>
      <c r="H11" s="20">
        <f>IF(AND(F11="Sí",G11="No"),E11,0)</f>
        <v/>
      </c>
      <c r="I11" s="20">
        <f>IF(AND(F11="No",G11="Sí"),N('06_Satisfaccion'!H17),0)</f>
        <v/>
      </c>
    </row>
    <row r="12">
      <c r="A12" s="33" t="inlineStr">
        <is>
          <t>TOTAL</t>
        </is>
      </c>
      <c r="B12" s="33" t="inlineStr"/>
      <c r="C12" s="34" t="inlineStr"/>
      <c r="D12" s="34" t="inlineStr"/>
      <c r="E12" s="35">
        <f>SUM(E5:E11)</f>
        <v/>
      </c>
      <c r="F12" s="33" t="inlineStr"/>
      <c r="G12" s="33" t="inlineStr"/>
      <c r="H12" s="35">
        <f>SUM(H5:H11)</f>
        <v/>
      </c>
      <c r="I12" s="35">
        <f>SUM(I5:I11)</f>
        <v/>
      </c>
    </row>
    <row r="14">
      <c r="A14" s="22" t="inlineStr">
        <is>
          <t>ⓘ  Cómo se calcula esta hoja</t>
        </is>
      </c>
    </row>
    <row r="15">
      <c r="A15" s="23" t="inlineStr">
        <is>
          <t>Columna</t>
        </is>
      </c>
      <c r="B15" s="23" t="inlineStr">
        <is>
          <t>Fórmula (Excel)</t>
        </is>
      </c>
      <c r="C15" s="23" t="inlineStr">
        <is>
          <t>Cómo se calcula (sencillo)</t>
        </is>
      </c>
      <c r="D15" s="23" t="inlineStr">
        <is>
          <t>Ejemplo con números reales</t>
        </is>
      </c>
      <c r="E15" s="23" t="inlineStr">
        <is>
          <t>De dónde viene</t>
        </is>
      </c>
      <c r="F15" s="23" t="inlineStr">
        <is>
          <t>Norma</t>
        </is>
      </c>
    </row>
    <row r="16">
      <c r="A16" s="24" t="inlineStr">
        <is>
          <t>Registrado en el año</t>
        </is>
      </c>
      <c r="B16" s="25" t="inlineStr">
        <is>
          <t>'='03_Detalle'!Q5</t>
        </is>
      </c>
      <c r="C16" s="24" t="inlineStr">
        <is>
          <t>Trae el ingreso registrado en el año para la línea, de la hoja 03 (Detalle por obligación).</t>
        </is>
      </c>
      <c r="D16" s="24" t="inlineStr">
        <is>
          <t>Fila 1: 90.000,00 → 90.000,00</t>
        </is>
      </c>
      <c r="E16" s="24" t="inlineStr">
        <is>
          <t>hoja «Detalle por obligación»</t>
        </is>
      </c>
      <c r="F16" s="24" t="inlineStr">
        <is>
          <t>—</t>
        </is>
      </c>
    </row>
    <row r="17">
      <c r="A17" s="24" t="inlineStr">
        <is>
          <t>Registrado en el ejercicio</t>
        </is>
      </c>
      <c r="B17" s="25" t="inlineStr">
        <is>
          <t>'=IF(C5&lt;='02_Parametros'!$B$5,"Sí","No")</t>
        </is>
      </c>
      <c r="C17" s="24" t="inlineStr">
        <is>
          <t>Marca «Sí» si la fecha de registro del ingreso es igual o anterior al corte de la hoja 02; si es posterior, «No».</t>
        </is>
      </c>
      <c r="D17" s="24" t="inlineStr">
        <is>
          <t>Fila 1: IF(«2025-11-15»&lt;=«2025-12-31»; "Sí"; "No") → Sí</t>
        </is>
      </c>
      <c r="E17" s="24" t="inlineStr">
        <is>
          <t>«Registro» (esta hoja), hoja «Parámetros»</t>
        </is>
      </c>
      <c r="F17" s="24" t="inlineStr">
        <is>
          <t>—</t>
        </is>
      </c>
    </row>
    <row r="18">
      <c r="A18" s="24" t="inlineStr">
        <is>
          <t>Transferido en el ejercicio</t>
        </is>
      </c>
      <c r="B18" s="25" t="inlineStr">
        <is>
          <t>'=IF(D5&lt;='02_Parametros'!$B$5,"Sí","No")</t>
        </is>
      </c>
      <c r="C18" s="24" t="inlineStr">
        <is>
          <t>Marca «Sí» si la fecha de transferencia del control es igual o anterior al corte de la hoja 02; si es posterior, «No».</t>
        </is>
      </c>
      <c r="D18" s="24" t="inlineStr">
        <is>
          <t>Fila 1: IF(«2025-11-15»&lt;=«2025-12-31»; "Sí"; "No") → Sí</t>
        </is>
      </c>
      <c r="E18" s="24" t="inlineStr">
        <is>
          <t>«Transferencia» (esta hoja), hoja «Parámetros»</t>
        </is>
      </c>
      <c r="F18" s="24" t="inlineStr">
        <is>
          <t>—</t>
        </is>
      </c>
    </row>
    <row r="19">
      <c r="A19" s="24" t="inlineStr">
        <is>
          <t>Registrado antes de transferir</t>
        </is>
      </c>
      <c r="B19" s="25" t="inlineStr">
        <is>
          <t>'=IF(AND(F5="Sí",G5="No"),E5,0)</t>
        </is>
      </c>
      <c r="C19" s="24" t="inlineStr">
        <is>
          <t>Si el ingreso se registró en el ejercicio pero el control se transfirió después del corte, trae el importe registrado (ingreso anticipado); si no, cero.</t>
        </is>
      </c>
      <c r="D19" s="24" t="inlineStr">
        <is>
          <t>Fila 1: IF(AND(«Sí»="Sí"; «Sí»="No"); 90.000,00; 0) → 0,00</t>
        </is>
      </c>
      <c r="E19" s="24" t="inlineStr">
        <is>
          <t>«Registrado en el ejercicio» (esta hoja), «Transferido en el ejercicio» (esta hoja), «Registrado en el año» (esta hoja)</t>
        </is>
      </c>
      <c r="F19" s="24" t="inlineStr">
        <is>
          <t>—</t>
        </is>
      </c>
    </row>
    <row r="20">
      <c r="A20" s="24" t="inlineStr">
        <is>
          <t>Transferido sin registrar</t>
        </is>
      </c>
      <c r="B20" s="25" t="inlineStr">
        <is>
          <t>'=IF(AND(F5="No",G5="Sí"),N('06_Satisfaccion'!H5),0)</t>
        </is>
      </c>
      <c r="C20" s="24" t="inlineStr">
        <is>
          <t>Si el control se transfirió en el ejercicio pero el ingreso se registró después del corte, trae el reconocible bruto de la hoja 06 (ingreso omitido); si no, cero.</t>
        </is>
      </c>
      <c r="D20" s="24" t="inlineStr">
        <is>
          <t>Fila 1: IF(AND(«Sí»="No"; «Sí»="Sí"); N(80.000,00); 0) → 0,00</t>
        </is>
      </c>
      <c r="E20" s="24" t="inlineStr">
        <is>
          <t>«Registrado en el ejercicio» (esta hoja), «Transferido en el ejercicio» (esta hoja), hoja «Satisfacción y porcentaje de avance»</t>
        </is>
      </c>
      <c r="F20" s="24" t="inlineStr">
        <is>
          <t>—</t>
        </is>
      </c>
    </row>
  </sheetData>
  <mergeCells count="3">
    <mergeCell ref="A2:F2"/>
    <mergeCell ref="A14:F14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60" customWidth="1" min="5" max="5"/>
    <col width="13" customWidth="1" min="6" max="6"/>
  </cols>
  <sheetData>
    <row r="1">
      <c r="A1" s="3" t="inlineStr">
        <is>
          <t>Modificaciones de contratos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Línea</t>
        </is>
      </c>
      <c r="B4" s="17" t="inlineStr">
        <is>
          <t>Contrato</t>
        </is>
      </c>
      <c r="C4" s="17" t="inlineStr">
        <is>
          <t>Modificación informada</t>
        </is>
      </c>
      <c r="D4" s="17" t="inlineStr">
        <is>
          <t>Importe</t>
        </is>
      </c>
      <c r="E4" s="17" t="inlineStr">
        <is>
          <t>Tratamiento</t>
        </is>
      </c>
      <c r="F4" s="17" t="inlineStr">
        <is>
          <t>Estado</t>
        </is>
      </c>
    </row>
    <row r="5">
      <c r="A5" s="18" t="inlineStr">
        <is>
          <t>C-08-1</t>
        </is>
      </c>
      <c r="B5" s="18" t="inlineStr">
        <is>
          <t>C-08</t>
        </is>
      </c>
      <c r="C5" s="18" t="inlineStr">
        <is>
          <t>Prospectivo</t>
        </is>
      </c>
      <c r="D5" s="20">
        <f>IF('03_Detalle'!Y13&lt;&gt;"",'03_Detalle'!Y13,"")</f>
        <v/>
      </c>
      <c r="E5" s="18" t="inlineStr">
        <is>
          <t>Terminación del contrato original y nuevo contrato para lo pendiente (NIIF 15 21 a)</t>
        </is>
      </c>
      <c r="F5" s="18" t="inlineStr">
        <is>
          <t>Documentado</t>
        </is>
      </c>
    </row>
    <row r="6">
      <c r="A6" s="19" t="inlineStr">
        <is>
          <t>C-09-1</t>
        </is>
      </c>
      <c r="B6" s="19" t="inlineStr">
        <is>
          <t>C-09</t>
        </is>
      </c>
      <c r="C6" s="19" t="inlineStr">
        <is>
          <t>Adenda de precio</t>
        </is>
      </c>
      <c r="D6" s="21">
        <f>IF('03_Detalle'!Y14&lt;&gt;"",'03_Detalle'!Y14,"")</f>
        <v/>
      </c>
      <c r="E6" s="19" t="inlineStr">
        <is>
          <t>Falta documentar el tratamiento</t>
        </is>
      </c>
      <c r="F6" s="19" t="inlineStr">
        <is>
          <t>Pendiente</t>
        </is>
      </c>
    </row>
    <row r="8">
      <c r="A8" s="22" t="inlineStr">
        <is>
          <t>ⓘ  Cómo se calcula esta hoja</t>
        </is>
      </c>
    </row>
    <row r="9">
      <c r="A9" s="23" t="inlineStr">
        <is>
          <t>Columna</t>
        </is>
      </c>
      <c r="B9" s="23" t="inlineStr">
        <is>
          <t>Fórmula (Excel)</t>
        </is>
      </c>
      <c r="C9" s="23" t="inlineStr">
        <is>
          <t>Cómo se calcula (sencillo)</t>
        </is>
      </c>
      <c r="D9" s="23" t="inlineStr">
        <is>
          <t>Ejemplo con números reales</t>
        </is>
      </c>
      <c r="E9" s="23" t="inlineStr">
        <is>
          <t>De dónde viene</t>
        </is>
      </c>
      <c r="F9" s="23" t="inlineStr">
        <is>
          <t>Norma</t>
        </is>
      </c>
    </row>
    <row r="10">
      <c r="A10" s="24" t="inlineStr">
        <is>
          <t>Importe</t>
        </is>
      </c>
      <c r="B10" s="25" t="inlineStr">
        <is>
          <t>'=IF('03_Detalle'!Y13&lt;&gt;"",'03_Detalle'!Y13,"")</t>
        </is>
      </c>
      <c r="C10" s="24" t="inlineStr">
        <is>
          <t>Trae el importe de la modificación del contrato informado en la hoja 03; en blanco si no se informó.</t>
        </is>
      </c>
      <c r="D10" s="24" t="inlineStr">
        <is>
          <t>Fila 1: IF(8.000,00&lt;&gt;""; 8.000,00; "") → 8.000,00</t>
        </is>
      </c>
      <c r="E10" s="24" t="inlineStr">
        <is>
          <t>hoja «Detalle por obligación»</t>
        </is>
      </c>
      <c r="F10" s="24" t="inlineStr">
        <is>
          <t>—</t>
        </is>
      </c>
    </row>
  </sheetData>
  <mergeCells count="3">
    <mergeCell ref="A8:F8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</cols>
  <sheetData>
    <row r="1">
      <c r="A1" s="3" t="inlineStr">
        <is>
          <t>Conciliación y ajustes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  <c r="C4" s="17" t="inlineStr">
        <is>
          <t>Referencia</t>
        </is>
      </c>
    </row>
    <row r="5">
      <c r="A5" s="18" t="inlineStr">
        <is>
          <t>Ingreso registrado en el año (anexo)</t>
        </is>
      </c>
      <c r="B5" s="20">
        <f>SUM('03_Detalle'!$Q$5:$Q$18)</f>
        <v/>
      </c>
      <c r="C5" s="18" t="inlineStr">
        <is>
          <t>Anexo de contratos</t>
        </is>
      </c>
    </row>
    <row r="6">
      <c r="A6" s="19" t="inlineStr">
        <is>
          <t>Ingresos según el mayor</t>
        </is>
      </c>
      <c r="B6" s="21">
        <f>IF('02_Parametros'!$B$12="",B5,'02_Parametros'!$B$12)</f>
        <v/>
      </c>
      <c r="C6" s="19" t="inlineStr">
        <is>
          <t>Parámetros (en blanco: el anexo)</t>
        </is>
      </c>
    </row>
    <row r="7">
      <c r="A7" s="18" t="inlineStr">
        <is>
          <t>Diferencia anexo − mayor</t>
        </is>
      </c>
      <c r="B7" s="20">
        <f>B5-B6</f>
        <v/>
      </c>
      <c r="C7" s="18" t="inlineStr">
        <is>
          <t>Integridad del anexo (NIA 500)</t>
        </is>
      </c>
    </row>
    <row r="8">
      <c r="A8" s="19" t="inlineStr">
        <is>
          <t>Ingreso reconocible del año (líneas medidas)</t>
        </is>
      </c>
      <c r="B8" s="21">
        <f>'09_Reconocimiento'!E19</f>
        <v/>
      </c>
      <c r="C8" s="19" t="inlineStr">
        <is>
          <t>09_Reconocimiento</t>
        </is>
      </c>
    </row>
    <row r="9">
      <c r="A9" s="18" t="inlineStr">
        <is>
          <t>Ajuste propuesto a ingresos</t>
        </is>
      </c>
      <c r="B9" s="20">
        <f>'09_Reconocimiento'!G19</f>
        <v/>
      </c>
      <c r="C9" s="18" t="inlineStr">
        <is>
          <t>Incluye corte, asignación, variable, avance, devoluciones y financiación</t>
        </is>
      </c>
    </row>
    <row r="10">
      <c r="A10" s="19" t="inlineStr">
        <is>
          <t>Corte: registrado antes de la transferencia</t>
        </is>
      </c>
      <c r="B10" s="21">
        <f>'11_Corte'!H12</f>
        <v/>
      </c>
      <c r="C10" s="19" t="inlineStr">
        <is>
          <t>Ya incluido en el ajuste (NIIF 15 31, 38)</t>
        </is>
      </c>
    </row>
    <row r="11">
      <c r="A11" s="18" t="inlineStr">
        <is>
          <t>Corte: transferido sin registrar en el ejercicio</t>
        </is>
      </c>
      <c r="B11" s="20">
        <f>'11_Corte'!I12</f>
        <v/>
      </c>
      <c r="C11" s="18" t="inlineStr">
        <is>
          <t>Ya incluido en el ajuste (NIIF 15 31, 38)</t>
        </is>
      </c>
    </row>
    <row r="12">
      <c r="A12" s="19" t="inlineStr">
        <is>
          <t>Componente de financiación a separar</t>
        </is>
      </c>
      <c r="B12" s="21">
        <f>'08_Financiacion'!G19</f>
        <v/>
      </c>
      <c r="C12" s="19" t="inlineStr">
        <is>
          <t>NIIF 15 60-65</t>
        </is>
      </c>
    </row>
    <row r="13">
      <c r="A13" s="18" t="inlineStr">
        <is>
          <t>Interés devengado al corte</t>
        </is>
      </c>
      <c r="B13" s="20">
        <f>'08_Financiacion'!I19</f>
        <v/>
      </c>
      <c r="C13" s="18" t="inlineStr">
        <is>
          <t>Ingreso financiero, separado del ingreso ordinario</t>
        </is>
      </c>
    </row>
    <row r="14">
      <c r="A14" s="19" t="inlineStr">
        <is>
          <t>Pasivo por reembolso (devoluciones esperadas)</t>
        </is>
      </c>
      <c r="B14" s="21">
        <f>'07_Devoluciones'!D19</f>
        <v/>
      </c>
      <c r="C14" s="19" t="inlineStr">
        <is>
          <t>NIIF 15 B20-B27 (pasivo por reembolso B21 b; activo por el derecho a recuperar los productos B21 c y B25)</t>
        </is>
      </c>
    </row>
    <row r="15">
      <c r="A15" s="18" t="inlineStr">
        <is>
          <t>Activo por el derecho a recuperar los productos (contra el costo de ventas)</t>
        </is>
      </c>
      <c r="B15" s="20">
        <f>'07_Devoluciones'!I19</f>
        <v/>
      </c>
      <c r="C15" s="18" t="inlineStr">
        <is>
          <t>NIIF 15 B20-B27 (pasivo por reembolso B21 b; activo por el derecho a recuperar los productos B21 c y B25) — contrapartida: costo de ventas</t>
        </is>
      </c>
    </row>
    <row r="16">
      <c r="A16" s="19" t="inlineStr">
        <is>
          <t>Notas de crédito posteriores no provisionadas</t>
        </is>
      </c>
      <c r="B16" s="21">
        <f>'07_Devoluciones'!G19</f>
        <v/>
      </c>
      <c r="C16" s="19" t="inlineStr">
        <is>
          <t>Notas de crédito posteriores (NIA 560)</t>
        </is>
      </c>
    </row>
    <row r="17">
      <c r="A17" s="18" t="inlineStr">
        <is>
          <t>Activo del contrato requerido</t>
        </is>
      </c>
      <c r="B17" s="20">
        <f>'10_Activo_pasivo'!G17</f>
        <v/>
      </c>
      <c r="C17" s="18" t="inlineStr">
        <is>
          <t>NIIF 15 105-109</t>
        </is>
      </c>
    </row>
    <row r="18">
      <c r="A18" s="19" t="inlineStr">
        <is>
          <t>Activo del contrato registrado</t>
        </is>
      </c>
      <c r="B18" s="21">
        <f>'02_Parametros'!$B$13</f>
        <v/>
      </c>
      <c r="C18" s="19" t="inlineStr">
        <is>
          <t>Parámetros</t>
        </is>
      </c>
    </row>
    <row r="19">
      <c r="A19" s="18" t="inlineStr">
        <is>
          <t>Activo del contrato: diferencia</t>
        </is>
      </c>
      <c r="B19" s="20">
        <f>B17-B18</f>
        <v/>
      </c>
      <c r="C19" s="18" t="inlineStr">
        <is>
          <t>Reclasificación de presentación</t>
        </is>
      </c>
    </row>
    <row r="20">
      <c r="A20" s="19" t="inlineStr">
        <is>
          <t>Pasivo del contrato (ingreso diferido) requerido</t>
        </is>
      </c>
      <c r="B20" s="21">
        <f>'10_Activo_pasivo'!H17</f>
        <v/>
      </c>
      <c r="C20" s="19" t="inlineStr">
        <is>
          <t>NIIF 15 105-109</t>
        </is>
      </c>
    </row>
    <row r="21">
      <c r="A21" s="18" t="inlineStr">
        <is>
          <t>Pasivo del contrato (ingreso diferido) registrado (no informado: se toma 0)</t>
        </is>
      </c>
      <c r="B21" s="20">
        <f>'02_Parametros'!$B$14</f>
        <v/>
      </c>
      <c r="C21" s="18" t="inlineStr">
        <is>
          <t>Parámetros</t>
        </is>
      </c>
    </row>
    <row r="22">
      <c r="A22" s="19" t="inlineStr">
        <is>
          <t>Pasivo del contrato (ingreso diferido): diferencia</t>
        </is>
      </c>
      <c r="B22" s="21">
        <f>B20-B21</f>
        <v/>
      </c>
      <c r="C22" s="19" t="inlineStr">
        <is>
          <t>Reclasificación de presentación</t>
        </is>
      </c>
    </row>
    <row r="23">
      <c r="A23" s="18" t="inlineStr">
        <is>
          <t>Diferencias de asignación (absolutas)</t>
        </is>
      </c>
      <c r="B23" s="20">
        <f>'05_Asignacion'!J19</f>
        <v/>
      </c>
      <c r="C23" s="18" t="inlineStr">
        <is>
          <t>NIIF 15 73-80</t>
        </is>
      </c>
    </row>
    <row r="24">
      <c r="A24" s="19" t="inlineStr">
        <is>
          <t>Variable incluida sin cumplir la restricción</t>
        </is>
      </c>
      <c r="B24" s="21">
        <f>'04_Precio_variable'!J19</f>
        <v/>
      </c>
      <c r="C24" s="19" t="inlineStr">
        <is>
          <t>NIIF 15 53, 56-57</t>
        </is>
      </c>
    </row>
    <row r="26">
      <c r="A26" s="22" t="inlineStr">
        <is>
          <t>ⓘ  Cómo se calcula esta hoja</t>
        </is>
      </c>
    </row>
    <row r="27">
      <c r="A27" s="23" t="inlineStr">
        <is>
          <t>Columna</t>
        </is>
      </c>
      <c r="B27" s="23" t="inlineStr">
        <is>
          <t>Fórmula (Excel)</t>
        </is>
      </c>
      <c r="C27" s="23" t="inlineStr">
        <is>
          <t>Cómo se calcula (sencillo)</t>
        </is>
      </c>
      <c r="D27" s="23" t="inlineStr">
        <is>
          <t>Ejemplo con números reales</t>
        </is>
      </c>
      <c r="E27" s="23" t="inlineStr">
        <is>
          <t>De dónde viene</t>
        </is>
      </c>
      <c r="F27" s="23" t="inlineStr">
        <is>
          <t>Norma</t>
        </is>
      </c>
    </row>
    <row r="28">
      <c r="A28" s="24" t="inlineStr">
        <is>
          <t>Importe</t>
        </is>
      </c>
      <c r="B28" s="25" t="inlineStr">
        <is>
          <t>'=SUM('03_Detalle'!$Q$5:$Q$18)</t>
        </is>
      </c>
      <c r="C28" s="24" t="inlineStr">
        <is>
          <t>Cada concepto trae su importe de la hoja donde se calcula: el registrado suma la hoja 03, el mayor y los saldos registrados vienen de la hoja 02 (si falta el mayor se usa el anexo), los demás son totales de las hojas 04 a 11, y las diferencias restan dos renglones de esta misma hoja.</t>
        </is>
      </c>
      <c r="D28" s="24" t="inlineStr">
        <is>
          <t>Fila 1: SUM([«Registrado en el año» de «Detalle por obligación», 14 filas]) → 668.166,67</t>
        </is>
      </c>
      <c r="E28" s="24" t="inlineStr">
        <is>
          <t>hoja «Detalle por obligación»</t>
        </is>
      </c>
      <c r="F28" s="24" t="inlineStr">
        <is>
          <t>—</t>
        </is>
      </c>
    </row>
  </sheetData>
  <mergeCells count="3">
    <mergeCell ref="A26:F26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12" customWidth="1" min="4" max="4"/>
  </cols>
  <sheetData>
    <row r="1">
      <c r="A1" s="3" t="inlineStr">
        <is>
          <t>Asientos propuestos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Asiento</t>
        </is>
      </c>
      <c r="B4" s="17" t="inlineStr">
        <is>
          <t>Cuenta</t>
        </is>
      </c>
      <c r="C4" s="17" t="inlineStr">
        <is>
          <t>Debe</t>
        </is>
      </c>
      <c r="D4" s="17" t="inlineStr">
        <is>
          <t>Haber</t>
        </is>
      </c>
    </row>
    <row r="5">
      <c r="A5" s="18" t="inlineStr">
        <is>
          <t>1 · Menor ingreso reconocible</t>
        </is>
      </c>
      <c r="B5" s="18" t="inlineStr">
        <is>
          <t>Ingresos de actividades ordinarias</t>
        </is>
      </c>
      <c r="C5" s="20">
        <f>ABS('13_Conciliacion'!B9)</f>
        <v/>
      </c>
      <c r="D5" s="20" t="n"/>
    </row>
    <row r="6">
      <c r="A6" s="19" t="inlineStr"/>
      <c r="B6" s="19" t="inlineStr">
        <is>
          <t>Activo del contrato / Pasivo del contrato (ingreso diferido) / pasivo por reembolso / cuentas por cobrar (ver 07 y 10)</t>
        </is>
      </c>
      <c r="C6" s="21" t="n"/>
      <c r="D6" s="21">
        <f>ABS('13_Conciliacion'!B9)</f>
        <v/>
      </c>
    </row>
    <row r="7">
      <c r="A7" s="18" t="inlineStr">
        <is>
          <t>2 · Interés devengado del componente de financiación</t>
        </is>
      </c>
      <c r="B7" s="18" t="inlineStr">
        <is>
          <t>Cuentas por cobrar (costo amortizado)</t>
        </is>
      </c>
      <c r="C7" s="20">
        <f>'13_Conciliacion'!B13</f>
        <v/>
      </c>
      <c r="D7" s="20" t="n"/>
    </row>
    <row r="8">
      <c r="A8" s="19" t="inlineStr"/>
      <c r="B8" s="19" t="inlineStr">
        <is>
          <t>Ingresos financieros por intereses</t>
        </is>
      </c>
      <c r="C8" s="21" t="n"/>
      <c r="D8" s="21">
        <f>'13_Conciliacion'!B13</f>
        <v/>
      </c>
    </row>
    <row r="9">
      <c r="A9" s="18" t="inlineStr">
        <is>
          <t>3 · Activo por el derecho a recuperar los productos (devoluciones esperadas)</t>
        </is>
      </c>
      <c r="B9" s="18" t="inlineStr">
        <is>
          <t>Activo por derecho a recuperar productos (inventario)</t>
        </is>
      </c>
      <c r="C9" s="20">
        <f>'13_Conciliacion'!B15</f>
        <v/>
      </c>
      <c r="D9" s="20" t="n"/>
    </row>
    <row r="10">
      <c r="A10" s="19" t="inlineStr"/>
      <c r="B10" s="19" t="inlineStr">
        <is>
          <t>Costo de ventas</t>
        </is>
      </c>
      <c r="C10" s="21" t="n"/>
      <c r="D10" s="21">
        <f>'13_Conciliacion'!B15</f>
        <v/>
      </c>
    </row>
    <row r="12">
      <c r="A12" s="22" t="inlineStr">
        <is>
          <t>ⓘ  Cómo se calcula esta hoja</t>
        </is>
      </c>
    </row>
    <row r="13">
      <c r="A13" s="23" t="inlineStr">
        <is>
          <t>Columna</t>
        </is>
      </c>
      <c r="B13" s="23" t="inlineStr">
        <is>
          <t>Fórmula (Excel)</t>
        </is>
      </c>
      <c r="C13" s="23" t="inlineStr">
        <is>
          <t>Cómo se calcula (sencillo)</t>
        </is>
      </c>
      <c r="D13" s="23" t="inlineStr">
        <is>
          <t>Ejemplo con números reales</t>
        </is>
      </c>
      <c r="E13" s="23" t="inlineStr">
        <is>
          <t>De dónde viene</t>
        </is>
      </c>
      <c r="F13" s="23" t="inlineStr">
        <is>
          <t>Norma</t>
        </is>
      </c>
    </row>
    <row r="14">
      <c r="A14" s="24" t="inlineStr">
        <is>
          <t>Debe</t>
        </is>
      </c>
      <c r="B14" s="25" t="inlineStr">
        <is>
          <t>'=ABS('13_Conciliacion'!B9)</t>
        </is>
      </c>
      <c r="C14" s="24" t="inlineStr">
        <is>
          <t>Toma, sin signo, el importe del concepto que origina el asiento en la hoja 13 (ajuste de ingresos, interés devengado o activo por devoluciones) y lo lleva a la cuenta que se debita.</t>
        </is>
      </c>
      <c r="D14" s="24" t="inlineStr">
        <is>
          <t>Fila 1: ABS(-114.620,00) → 114.620,00</t>
        </is>
      </c>
      <c r="E14" s="24" t="inlineStr">
        <is>
          <t>hoja «Conciliación y ajustes»</t>
        </is>
      </c>
      <c r="F14" s="24" t="inlineStr">
        <is>
          <t>—</t>
        </is>
      </c>
    </row>
    <row r="15">
      <c r="A15" s="24" t="inlineStr">
        <is>
          <t>Haber</t>
        </is>
      </c>
      <c r="B15" s="25" t="inlineStr">
        <is>
          <t>'=ABS('13_Conciliacion'!B9)</t>
        </is>
      </c>
      <c r="C15" s="24" t="inlineStr">
        <is>
          <t>Lleva a la cuenta que se acredita el mismo importe del débito, tomado sin signo de la hoja 13 (Conciliación y ajustes), para que el asiento cuadre.</t>
        </is>
      </c>
      <c r="D15" s="24" t="inlineStr">
        <is>
          <t>Fila 2: ABS(-114.620,00) → 114.620,00</t>
        </is>
      </c>
      <c r="E15" s="24" t="inlineStr">
        <is>
          <t>hoja «Conciliación y ajustes»</t>
        </is>
      </c>
      <c r="F15" s="24" t="inlineStr">
        <is>
          <t>—</t>
        </is>
      </c>
    </row>
  </sheetData>
  <mergeCells count="3">
    <mergeCell ref="A2:F2"/>
    <mergeCell ref="A1:F1"/>
    <mergeCell ref="A12:F12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</cols>
  <sheetData>
    <row r="1">
      <c r="A1" s="3" t="inlineStr">
        <is>
          <t>Problemas encontrados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Importe</t>
        </is>
      </c>
    </row>
    <row r="5">
      <c r="A5" s="18" t="inlineStr">
        <is>
          <t>SIN_CONTRATO</t>
        </is>
      </c>
      <c r="B5" s="18" t="inlineStr">
        <is>
          <t>C-06-1 (C-06): ingreso registrado sin contrato válido; no procede reconocerlo (NIIF 15 9, 15-16).</t>
        </is>
      </c>
      <c r="C5" s="20" t="n">
        <v>15000</v>
      </c>
    </row>
    <row r="6">
      <c r="A6" s="19" t="inlineStr">
        <is>
          <t>CONTRATO_SIN_EVIDENCIA</t>
        </is>
      </c>
      <c r="B6" s="19" t="inlineStr">
        <is>
          <t>1 línea(s) sin evidencia del contrato informada (C-08-1): obtenga el contrato o la orden aprobada (NIIF 15 9, 15-16).</t>
        </is>
      </c>
      <c r="C6" s="21" t="n">
        <v>0</v>
      </c>
    </row>
    <row r="7">
      <c r="A7" s="18" t="inlineStr">
        <is>
          <t>ASIGNACION_INCORRECTA</t>
        </is>
      </c>
      <c r="B7" s="18" t="inlineStr">
        <is>
          <t>C-01-1: asignado por precio independiente relativo 80.000,00 frente a 90.000,00 del cliente (NIIF 15 73-80).</t>
        </is>
      </c>
      <c r="C7" s="20" t="n">
        <v>-10000</v>
      </c>
    </row>
    <row r="8">
      <c r="A8" s="19" t="inlineStr">
        <is>
          <t>ASIGNACION_INCORRECTA</t>
        </is>
      </c>
      <c r="B8" s="19" t="inlineStr">
        <is>
          <t>C-01-2: asignado por precio independiente relativo 20.000,00 frente a 10.000,00 del cliente (NIIF 15 73-80).</t>
        </is>
      </c>
      <c r="C8" s="21" t="n">
        <v>10000</v>
      </c>
    </row>
    <row r="9">
      <c r="A9" s="18" t="inlineStr">
        <is>
          <t>AVANCE_MAL_CALCULADO</t>
        </is>
      </c>
      <c r="B9" s="18" t="inlineStr">
        <is>
          <t>C-02-1: avance del cliente 50,00 % frente a 45,00 % recalculado con costos (NIIF 15 39-45, B18-B19).</t>
        </is>
      </c>
      <c r="C9" s="20" t="n">
        <v>25000</v>
      </c>
    </row>
    <row r="10">
      <c r="A10" s="19" t="inlineStr">
        <is>
          <t>VARIABLE_SIN_RESTRICCION</t>
        </is>
      </c>
      <c r="B10" s="19" t="inlineStr">
        <is>
          <t>C-02-1: contraprestación variable incluida por el cliente sin cumplir la restricción (NIIF 15 53, 56-57).</t>
        </is>
      </c>
      <c r="C10" s="21" t="n">
        <v>50000</v>
      </c>
    </row>
    <row r="11">
      <c r="A11" s="18" t="inlineStr">
        <is>
          <t>ERROR_CORTE</t>
        </is>
      </c>
      <c r="B11" s="18" t="inlineStr">
        <is>
          <t>C-03-1: ingreso registrado en el ejercicio y control transferido después del corte (NIIF 15 31, 38).</t>
        </is>
      </c>
      <c r="C11" s="20" t="n">
        <v>30000</v>
      </c>
    </row>
    <row r="12">
      <c r="A12" s="19" t="inlineStr">
        <is>
          <t>DEVOLUCIONES_NO_PROVISIONADAS</t>
        </is>
      </c>
      <c r="B12" s="19" t="inlineStr">
        <is>
          <t>C-04-1: notas de crédito posteriores al cierre superan el pasivo por reembolso estimado (NIIF 15 B20-B27 (pasivo por reembolso B21 b; activo por el derecho a recuperar los productos B21 c y B25); NIA 560).</t>
        </is>
      </c>
      <c r="C12" s="21" t="n">
        <v>1500</v>
      </c>
    </row>
    <row r="13">
      <c r="A13" s="18" t="inlineStr">
        <is>
          <t>ERROR_CORTE</t>
        </is>
      </c>
      <c r="B13" s="18" t="inlineStr">
        <is>
          <t>C-07-1: control transferido en el ejercicio e ingreso registrado después del corte (NIIF 15 31, 38).</t>
        </is>
      </c>
      <c r="C13" s="20" t="n">
        <v>12000</v>
      </c>
    </row>
    <row r="14">
      <c r="A14" s="19" t="inlineStr">
        <is>
          <t>PSI_FALTANTE</t>
        </is>
      </c>
      <c r="B14" s="19" t="inlineStr">
        <is>
          <t>C-09-1: sin precio de venta independiente en un contrato de 2 obligaciones; se usó el precio del contrato (NIIF 15 73-80).</t>
        </is>
      </c>
      <c r="C14" s="21" t="n">
        <v>0</v>
      </c>
    </row>
    <row r="15">
      <c r="A15" s="18" t="inlineStr">
        <is>
          <t>ACTIVO_DEVOLUCION_SIN_COSTO</t>
        </is>
      </c>
      <c r="B15" s="18" t="inlineStr">
        <is>
          <t>C-09-1: con devoluciones esperadas del 2,00 % falta el costo de los bienes vendidos: el activo por el derecho a recuperar los productos y su ajuste al costo de ventas quedan vacíos (NIIF 15 B20-B27 (pasivo por reembolso B21 b; activo por el derecho a recuperar los productos B21 c y B25)).</t>
        </is>
      </c>
      <c r="C15" s="20" t="n">
        <v>0</v>
      </c>
    </row>
    <row r="16">
      <c r="A16" s="19" t="inlineStr">
        <is>
          <t>MODIFICACION_SIN_TRATAMIENTO</t>
        </is>
      </c>
      <c r="B16" s="19" t="inlineStr">
        <is>
          <t>C-09-1: modificación sin tratamiento documentado (contrato separado, prospectivo o acumulativo; NIIF 15 18-21).</t>
        </is>
      </c>
      <c r="C16" s="21" t="n">
        <v>1000</v>
      </c>
    </row>
    <row r="17">
      <c r="A17" s="18" t="inlineStr">
        <is>
          <t>PERDIDA_ESPERADA</t>
        </is>
      </c>
      <c r="B17" s="18" t="inlineStr">
        <is>
          <t>C-10-1: costos totales estimados superan el precio asignado; reconozca la pérdida esperada (NIC 37 66-69).</t>
        </is>
      </c>
      <c r="C17" s="20" t="n">
        <v>10000</v>
      </c>
    </row>
    <row r="18">
      <c r="A18" s="19" t="inlineStr">
        <is>
          <t>VARIABLE_SIN_RESTRICCION</t>
        </is>
      </c>
      <c r="B18" s="19" t="inlineStr">
        <is>
          <t>C-11-1: contraprestación variable incluida por el cliente sin cumplir la restricción (NIIF 15 53, 56-57).</t>
        </is>
      </c>
      <c r="C18" s="21" t="n">
        <v>1000</v>
      </c>
    </row>
    <row r="19">
      <c r="A19" s="18" t="inlineStr">
        <is>
          <t>SIN_FECHA_TRANSFERENCIA</t>
        </is>
      </c>
      <c r="B19" s="18" t="inlineStr">
        <is>
          <t>C-12-1: sin fecha de transferencia del control; el ingreso no se pudo medir y queda vacío.</t>
        </is>
      </c>
      <c r="C19" s="20" t="n">
        <v>9000</v>
      </c>
    </row>
    <row r="20">
      <c r="A20" s="19" t="inlineStr">
        <is>
          <t>VARIABLE_RESTRICCION_TODO_O_NADA</t>
        </is>
      </c>
      <c r="B20" s="19" t="inlineStr">
        <is>
          <t>1 línea(s) con contraprestación variable sin el importe que supera la restricción (C-02-1): se aplicó la regla de todo o nada según la probabilidad. La norma permite incluir solo una parte y exige evaluar también la magnitud de la reversión, no solo su probabilidad (NIIF 15 53, 56-57); informe el importe restringido por línea para medir la inclusión parcial.</t>
        </is>
      </c>
      <c r="C20" s="21" t="n">
        <v>0</v>
      </c>
    </row>
    <row r="21">
      <c r="A21" s="18" t="inlineStr">
        <is>
          <t>FINANCIACION_NO_SEPARADA</t>
        </is>
      </c>
      <c r="B21" s="18" t="inlineStr">
        <is>
          <t>Componente de financiación 21.000,00 que se presenta como interés y no como ingreso ordinario (NIIF 15 60-65); el ajuste lo excluye del ingreso y reconoce el interés devengado 4.894,58.</t>
        </is>
      </c>
      <c r="C21" s="20" t="n">
        <v>21000</v>
      </c>
    </row>
    <row r="22">
      <c r="A22" s="19" t="inlineStr">
        <is>
          <t>ACTIVO_CONTRATO_NO_PRESENTADO</t>
        </is>
      </c>
      <c r="B22" s="19" t="inlineStr">
        <is>
          <t>Activo del contrato requerido 43.666,67 frente a 20.000,00 registrado (NIIF 15 105-109).</t>
        </is>
      </c>
      <c r="C22" s="21" t="n">
        <v>23666.67</v>
      </c>
    </row>
    <row r="23">
      <c r="A23" s="18" t="inlineStr">
        <is>
          <t>PASIVO_CONTRATO_NO_PRESENTADO</t>
        </is>
      </c>
      <c r="B23" s="18" t="inlineStr">
        <is>
          <t>Pasivo del contrato (ingreso diferido) requerido 67.000,00 frente a 0,00 registrado (dato del mayor no informado) (NIIF 15 105-109).</t>
        </is>
      </c>
      <c r="C23" s="20" t="n">
        <v>67000</v>
      </c>
    </row>
    <row r="24">
      <c r="A24" s="19" t="inlineStr">
        <is>
          <t>DIF_MAYOR</t>
        </is>
      </c>
      <c r="B24" s="19" t="inlineStr">
        <is>
          <t>El anexo (668.166,67) no concilia con el mayor (670.000,00); investigue la diferencia (NIA 500).</t>
        </is>
      </c>
      <c r="C24" s="21" t="n">
        <v>-1833.33</v>
      </c>
    </row>
    <row r="25">
      <c r="A25" s="18" t="inlineStr">
        <is>
          <t>AJUSTE_INGRESOS</t>
        </is>
      </c>
      <c r="B25" s="18" t="inlineStr">
        <is>
          <t>Ingreso reconocible del año 544.546,67 frente a 668.166,67 registrado en las líneas medidas: ajuste -114.620,00.</t>
        </is>
      </c>
      <c r="C25" s="20" t="n">
        <v>-114620</v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3" t="inlineStr">
        <is>
          <t>Conclusión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Conciliación con el mayor</t>
        </is>
      </c>
      <c r="B5" s="18" t="inlineStr">
        <is>
          <t>Población None · mayor None · diferencia None</t>
        </is>
      </c>
    </row>
    <row r="6">
      <c r="A6" s="19" t="inlineStr">
        <is>
          <t>Evaluación de excepciones</t>
        </is>
      </c>
      <c r="B6" s="19" t="inlineStr"/>
    </row>
    <row r="7">
      <c r="A7" s="18" t="inlineStr">
        <is>
          <t>Análisis</t>
        </is>
      </c>
      <c r="B7" s="18" t="inlineStr"/>
    </row>
    <row r="8">
      <c r="A8" s="19" t="inlineStr">
        <is>
          <t>Conclusión</t>
        </is>
      </c>
      <c r="B8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Control de revisión</t>
        </is>
      </c>
      <c r="H1" s="14" t="inlineStr">
        <is>
          <t>⟵ Inicio</t>
        </is>
      </c>
      <c r="I1" s="14" t="inlineStr">
        <is>
          <t>◀ Anterior</t>
        </is>
      </c>
    </row>
    <row r="2">
      <c r="A2" s="15" t="inlineStr">
        <is>
          <t>Ingresos · contratos con clientes (existencia, precio, asignación, satisfacción, corte y devoluciones)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Fecha</t>
        </is>
      </c>
      <c r="B4" s="17" t="inlineStr">
        <is>
          <t>Acción</t>
        </is>
      </c>
      <c r="C4" s="17" t="inlineStr">
        <is>
          <t>Estado anterior</t>
        </is>
      </c>
      <c r="D4" s="17" t="inlineStr">
        <is>
          <t>Estado nuevo</t>
        </is>
      </c>
      <c r="E4" s="17" t="inlineStr">
        <is>
          <t>Actor</t>
        </is>
      </c>
      <c r="F4" s="17" t="inlineStr">
        <is>
          <t>Comentario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2026-09-24T04:20:18Z</dcterms:created>
  <dcterms:modified xmlns:dcterms="http://purl.org/dc/terms/" xmlns:xsi="http://www.w3.org/2001/XMLSchema-instance" xsi:type="dcterms:W3CDTF">2026-09-24T04:20:18Z</dcterms:modified>
</cp:coreProperties>
</file>