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icio" sheetId="1" state="visible" r:id="rId1"/>
    <sheet xmlns:r="http://schemas.openxmlformats.org/officeDocument/2006/relationships" name="00_Caratula" sheetId="2" state="visible" r:id="rId2"/>
    <sheet xmlns:r="http://schemas.openxmlformats.org/officeDocument/2006/relationships" name="00_Programa" sheetId="3" state="visible" r:id="rId3"/>
    <sheet xmlns:r="http://schemas.openxmlformats.org/officeDocument/2006/relationships" name="00_Fuentes" sheetId="4" state="visible" r:id="rId4"/>
    <sheet xmlns:r="http://schemas.openxmlformats.org/officeDocument/2006/relationships" name="01_Resumen" sheetId="5" state="visible" r:id="rId5"/>
    <sheet xmlns:r="http://schemas.openxmlformats.org/officeDocument/2006/relationships" name="02_Parametros" sheetId="6" state="visible" r:id="rId6"/>
    <sheet xmlns:r="http://schemas.openxmlformats.org/officeDocument/2006/relationships" name="03_Inventario" sheetId="7" state="visible" r:id="rId7"/>
    <sheet xmlns:r="http://schemas.openxmlformats.org/officeDocument/2006/relationships" name="04_Clasificacion" sheetId="8" state="visible" r:id="rId8"/>
    <sheet xmlns:r="http://schemas.openxmlformats.org/officeDocument/2006/relationships" name="05_Costo_amortizado" sheetId="9" state="visible" r:id="rId9"/>
    <sheet xmlns:r="http://schemas.openxmlformats.org/officeDocument/2006/relationships" name="06_Valor_razonable" sheetId="10" state="visible" r:id="rId10"/>
    <sheet xmlns:r="http://schemas.openxmlformats.org/officeDocument/2006/relationships" name="07_Intereses_dividendos" sheetId="11" state="visible" r:id="rId11"/>
    <sheet xmlns:r="http://schemas.openxmlformats.org/officeDocument/2006/relationships" name="08_Deterioro" sheetId="12" state="visible" r:id="rId12"/>
    <sheet xmlns:r="http://schemas.openxmlformats.org/officeDocument/2006/relationships" name="09_Reclasificacion" sheetId="13" state="visible" r:id="rId13"/>
    <sheet xmlns:r="http://schemas.openxmlformats.org/officeDocument/2006/relationships" name="10_Conciliacion" sheetId="14" state="visible" r:id="rId14"/>
    <sheet xmlns:r="http://schemas.openxmlformats.org/officeDocument/2006/relationships" name="11_Problemas" sheetId="15" state="visible" r:id="rId15"/>
    <sheet xmlns:r="http://schemas.openxmlformats.org/officeDocument/2006/relationships" name="13_Conclusion" sheetId="16" state="visible" r:id="rId16"/>
    <sheet xmlns:r="http://schemas.openxmlformats.org/officeDocument/2006/relationships" name="14_Control_Revision" sheetId="17" state="visible" r:id="rId17"/>
  </sheets>
  <definedNames>
    <definedName name="_xlnm.Print_Area" localSheetId="0">'00_Inicio'!$A$1:$L$61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Montserrat"/>
      <b val="1"/>
      <color rgb="00FFFFFF"/>
      <sz val="16"/>
    </font>
    <font>
      <name val="Montserrat"/>
      <b val="1"/>
      <color rgb="000A2342"/>
      <sz val="15"/>
    </font>
    <font>
      <name val="Montserrat"/>
      <b val="1"/>
      <color rgb="000D7377"/>
      <sz val="9"/>
    </font>
    <font>
      <name val="Calibri"/>
      <color rgb="001A1A1A"/>
      <sz val="9"/>
    </font>
    <font>
      <name val="Montserrat"/>
      <b val="1"/>
      <color rgb="00C7A83C"/>
      <sz val="10"/>
    </font>
    <font>
      <name val="Consolas"/>
      <b val="1"/>
      <color rgb="000A2342"/>
      <sz val="18"/>
    </font>
    <font>
      <name val="Consolas"/>
      <b val="1"/>
      <color rgb="00C0392B"/>
      <sz val="18"/>
    </font>
    <font>
      <name val="Montserrat"/>
      <b val="1"/>
      <color rgb="00FFFFFF"/>
      <sz val="10"/>
    </font>
    <font>
      <name val="Calibri"/>
      <i val="1"/>
      <color rgb="006B7280"/>
      <sz val="8"/>
    </font>
    <font>
      <name val="Calibri"/>
      <color rgb="008A94A6"/>
      <sz val="8"/>
    </font>
    <font>
      <name val="Montserrat"/>
      <b val="1"/>
      <color rgb="000A2342"/>
      <sz val="9"/>
    </font>
    <font>
      <name val="Consolas"/>
      <color rgb="001A1A1A"/>
      <sz val="9"/>
    </font>
    <font>
      <name val="Consolas"/>
      <b val="1"/>
      <color rgb="000A2342"/>
      <sz val="10"/>
    </font>
  </fonts>
  <fills count="8">
    <fill>
      <patternFill/>
    </fill>
    <fill>
      <patternFill patternType="gray125"/>
    </fill>
    <fill>
      <patternFill patternType="solid">
        <fgColor rgb="000A2342"/>
      </patternFill>
    </fill>
    <fill>
      <patternFill patternType="solid">
        <fgColor rgb="00F4F6F9"/>
      </patternFill>
    </fill>
    <fill>
      <patternFill patternType="solid">
        <fgColor rgb="000D7377"/>
      </patternFill>
    </fill>
    <fill>
      <patternFill patternType="solid">
        <fgColor rgb="00DCE6F1"/>
      </patternFill>
    </fill>
    <fill>
      <patternFill patternType="solid">
        <fgColor rgb="00F7F9FC"/>
      </patternFill>
    </fill>
    <fill>
      <patternFill patternType="solid">
        <fgColor rgb="00C7A83C"/>
      </patternFill>
    </fill>
  </fills>
  <borders count="5">
    <border>
      <left/>
      <right/>
      <top/>
      <bottom/>
      <diagonal/>
    </border>
    <border>
      <left style="thin">
        <color rgb="00B7C0CC"/>
      </left>
      <right style="thin">
        <color rgb="00B7C0CC"/>
      </right>
      <top style="thin">
        <color rgb="00B7C0CC"/>
      </top>
      <bottom style="thin">
        <color rgb="00B7C0CC"/>
      </bottom>
    </border>
    <border>
      <bottom style="medium">
        <color rgb="00C7A83C"/>
      </bottom>
    </border>
    <border>
      <bottom style="thin">
        <color rgb="00E3E8EF"/>
      </bottom>
    </border>
    <border>
      <left style="thin">
        <color rgb="00B7C0CC"/>
      </left>
      <right style="thin">
        <color rgb="00B7C0CC"/>
      </right>
      <top style="double">
        <color rgb="000A2342"/>
      </top>
      <bottom style="double">
        <color rgb="000A2342"/>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vertical="bottom" wrapText="1"/>
    </xf>
    <xf numFmtId="4" fontId="6" fillId="3" borderId="1" pivotButton="0" quotePrefix="0" xfId="0"/>
    <xf numFmtId="3" fontId="7" fillId="3" borderId="1" pivotButton="0" quotePrefix="0" xfId="0"/>
    <xf numFmtId="0" fontId="8" fillId="4" borderId="1" applyAlignment="1" pivotButton="0" quotePrefix="0" xfId="0">
      <alignment horizontal="center" vertical="center" wrapText="1"/>
    </xf>
    <xf numFmtId="0" fontId="9" fillId="0" borderId="0" pivotButton="0" quotePrefix="0" xfId="0"/>
    <xf numFmtId="0" fontId="10" fillId="0" borderId="0" pivotButton="0" quotePrefix="0" xfId="0"/>
    <xf numFmtId="4" fontId="10" fillId="0" borderId="0" pivotButton="0" quotePrefix="0" xfId="0"/>
    <xf numFmtId="0" fontId="11" fillId="5" borderId="1" applyAlignment="1" pivotButton="0" quotePrefix="0" xfId="0">
      <alignment horizontal="center" vertical="center" wrapText="1"/>
    </xf>
    <xf numFmtId="0" fontId="5" fillId="0" borderId="2" pivotButton="0" quotePrefix="0" xfId="0"/>
    <xf numFmtId="0" fontId="0" fillId="0" borderId="2" pivotButton="0" quotePrefix="0" xfId="0"/>
    <xf numFmtId="0" fontId="8" fillId="2" borderId="2" applyAlignment="1" pivotButton="0" quotePrefix="0" xfId="0">
      <alignment horizontal="center" vertical="center" wrapText="1"/>
    </xf>
    <xf numFmtId="0" fontId="4" fillId="0" borderId="3" applyAlignment="1" pivotButton="0" quotePrefix="0" xfId="0">
      <alignment horizontal="left" vertical="top" wrapText="1"/>
    </xf>
    <xf numFmtId="0" fontId="4" fillId="6" borderId="3" applyAlignment="1" pivotButton="0" quotePrefix="0" xfId="0">
      <alignment horizontal="left" vertical="top" wrapText="1"/>
    </xf>
    <xf numFmtId="4" fontId="12" fillId="0" borderId="3" applyAlignment="1" pivotButton="0" quotePrefix="0" xfId="0">
      <alignment horizontal="right" vertical="center"/>
    </xf>
    <xf numFmtId="4" fontId="12" fillId="6" borderId="3" applyAlignment="1" pivotButton="0" quotePrefix="0" xfId="0">
      <alignment horizontal="right" vertical="center"/>
    </xf>
    <xf numFmtId="0" fontId="5" fillId="7" borderId="0" applyAlignment="1" pivotButton="0" quotePrefix="0" xfId="0">
      <alignment horizontal="left" vertical="top" wrapText="1"/>
    </xf>
    <xf numFmtId="0" fontId="8" fillId="2" borderId="1" applyAlignment="1" pivotButton="0" quotePrefix="0" xfId="0">
      <alignment horizontal="center" vertical="center" wrapText="1"/>
    </xf>
    <xf numFmtId="0" fontId="4" fillId="3" borderId="1" applyAlignment="1" pivotButton="0" quotePrefix="0" xfId="0">
      <alignment horizontal="left" vertical="top" wrapText="1"/>
    </xf>
    <xf numFmtId="0" fontId="12" fillId="3" borderId="1" applyAlignment="1" pivotButton="0" quotePrefix="0" xfId="0">
      <alignment horizontal="left" vertical="top" wrapText="1"/>
    </xf>
    <xf numFmtId="165" fontId="4" fillId="0" borderId="3" applyAlignment="1" pivotButton="0" quotePrefix="0" xfId="0">
      <alignment horizontal="center" vertical="center" wrapText="1"/>
    </xf>
    <xf numFmtId="165" fontId="4" fillId="6" borderId="3" applyAlignment="1" pivotButton="0" quotePrefix="0" xfId="0">
      <alignment horizontal="center" vertical="center" wrapText="1"/>
    </xf>
    <xf numFmtId="0" fontId="12" fillId="6" borderId="3" applyAlignment="1" pivotButton="0" quotePrefix="0" xfId="0">
      <alignment horizontal="right" vertical="center"/>
    </xf>
    <xf numFmtId="165" fontId="12" fillId="0" borderId="3" applyAlignment="1" pivotButton="0" quotePrefix="0" xfId="0">
      <alignment horizontal="center" vertical="center" wrapText="1"/>
    </xf>
    <xf numFmtId="0" fontId="12" fillId="0" borderId="3" applyAlignment="1" pivotButton="0" quotePrefix="0" xfId="0">
      <alignment horizontal="right" vertical="center"/>
    </xf>
    <xf numFmtId="3" fontId="12" fillId="0" borderId="3" applyAlignment="1" pivotButton="0" quotePrefix="0" xfId="0">
      <alignment horizontal="right" vertical="center"/>
    </xf>
    <xf numFmtId="165" fontId="12" fillId="6" borderId="3" applyAlignment="1" pivotButton="0" quotePrefix="0" xfId="0">
      <alignment horizontal="center" vertical="center" wrapText="1"/>
    </xf>
    <xf numFmtId="3" fontId="12" fillId="6" borderId="3" applyAlignment="1" pivotButton="0" quotePrefix="0" xfId="0">
      <alignment horizontal="right" vertical="center"/>
    </xf>
    <xf numFmtId="165" fontId="12" fillId="6" borderId="3" applyAlignment="1" pivotButton="0" quotePrefix="0" xfId="0">
      <alignment horizontal="right" vertical="center"/>
    </xf>
    <xf numFmtId="165" fontId="12" fillId="0" borderId="3" applyAlignment="1" pivotButton="0" quotePrefix="0" xfId="0">
      <alignment horizontal="right" vertical="center"/>
    </xf>
    <xf numFmtId="10" fontId="12" fillId="0" borderId="3" applyAlignment="1" pivotButton="0" quotePrefix="0" xfId="0">
      <alignment horizontal="right" vertical="center"/>
    </xf>
    <xf numFmtId="10" fontId="12" fillId="6" borderId="3" applyAlignment="1" pivotButton="0" quotePrefix="0" xfId="0">
      <alignment horizontal="right" vertical="center"/>
    </xf>
    <xf numFmtId="0" fontId="13" fillId="5" borderId="4" applyAlignment="1" pivotButton="0" quotePrefix="0" xfId="0">
      <alignment horizontal="left" vertical="top" wrapText="1"/>
    </xf>
    <xf numFmtId="165" fontId="13" fillId="5" borderId="4" applyAlignment="1" pivotButton="0" quotePrefix="0" xfId="0">
      <alignment horizontal="right" vertical="center"/>
    </xf>
    <xf numFmtId="4" fontId="13" fillId="5" borderId="4" applyAlignment="1" pivotButton="0" quotePrefix="0" xfId="0">
      <alignment horizontal="right" vertical="center"/>
    </xf>
    <xf numFmtId="3" fontId="13" fillId="5" borderId="4" applyAlignment="1" pivotButton="0" quotePrefix="0" xfId="0">
      <alignment horizontal="right" vertical="center"/>
    </xf>
    <xf numFmtId="10" fontId="13" fillId="5" borderId="4"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Cifras del resumen (USD)</a:t>
            </a:r>
          </a:p>
        </rich>
      </tx>
    </title>
    <plotArea>
      <barChart>
        <barDir val="bar"/>
        <grouping val="clustered"/>
        <ser>
          <idx val="0"/>
          <order val="0"/>
          <tx>
            <strRef>
              <f>'00_Inicio'!O22</f>
            </strRef>
          </tx>
          <spPr>
            <a:solidFill xmlns:a="http://schemas.openxmlformats.org/drawingml/2006/main">
              <a:srgbClr val="0093A3"/>
            </a:solidFill>
            <a:ln xmlns:a="http://schemas.openxmlformats.org/drawingml/2006/main">
              <a:noFill/>
              <a:prstDash val="solid"/>
            </a:ln>
          </spPr>
          <invertIfNegative val="0"/>
          <cat>
            <numRef>
              <f>'00_Inicio'!$N$23:$N$30</f>
            </numRef>
          </cat>
          <val>
            <numRef>
              <f>'00_Inicio'!$O$23:$O$30</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de mayor impacto (USD)</a:t>
            </a:r>
          </a:p>
        </rich>
      </tx>
    </title>
    <plotArea>
      <barChart>
        <barDir val="bar"/>
        <grouping val="clustered"/>
        <ser>
          <idx val="0"/>
          <order val="0"/>
          <tx>
            <strRef>
              <f>'00_Inicio'!O32</f>
            </strRef>
          </tx>
          <spPr>
            <a:solidFill xmlns:a="http://schemas.openxmlformats.org/drawingml/2006/main">
              <a:srgbClr val="0093A3"/>
            </a:solidFill>
            <a:ln xmlns:a="http://schemas.openxmlformats.org/drawingml/2006/main">
              <a:noFill/>
              <a:prstDash val="solid"/>
            </a:ln>
          </spPr>
          <invertIfNegative val="0"/>
          <cat>
            <numRef>
              <f>'00_Inicio'!$N$33:$N$40</f>
            </numRef>
          </cat>
          <val>
            <numRef>
              <f>'00_Inicio'!$O$33:$O$40</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22</row>
      <rowOff>0</rowOff>
    </from>
    <ext cx="7740000" cy="3153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41</row>
      <rowOff>0</rowOff>
    </from>
    <ext cx="7740000" cy="3153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Caratula'!A1" TargetMode="External" Id="rId1"/><Relationship Type="http://schemas.openxmlformats.org/officeDocument/2006/relationships/hyperlink" Target="#'00_Programa'!A1" TargetMode="External" Id="rId2"/><Relationship Type="http://schemas.openxmlformats.org/officeDocument/2006/relationships/hyperlink" Target="#'00_Fuentes'!A1" TargetMode="External" Id="rId3"/><Relationship Type="http://schemas.openxmlformats.org/officeDocument/2006/relationships/hyperlink" Target="#'01_Resumen'!A1" TargetMode="External" Id="rId4"/><Relationship Type="http://schemas.openxmlformats.org/officeDocument/2006/relationships/hyperlink" Target="#'02_Parametros'!A1" TargetMode="External" Id="rId5"/><Relationship Type="http://schemas.openxmlformats.org/officeDocument/2006/relationships/hyperlink" Target="#'03_Inventario'!A1" TargetMode="External" Id="rId6"/><Relationship Type="http://schemas.openxmlformats.org/officeDocument/2006/relationships/hyperlink" Target="#'04_Clasificacion'!A1" TargetMode="External" Id="rId7"/><Relationship Type="http://schemas.openxmlformats.org/officeDocument/2006/relationships/hyperlink" Target="#'05_Costo_amortizado'!A1" TargetMode="External" Id="rId8"/><Relationship Type="http://schemas.openxmlformats.org/officeDocument/2006/relationships/hyperlink" Target="#'06_Valor_razonable'!A1" TargetMode="External" Id="rId9"/><Relationship Type="http://schemas.openxmlformats.org/officeDocument/2006/relationships/hyperlink" Target="#'07_Intereses_dividendos'!A1" TargetMode="External" Id="rId10"/><Relationship Type="http://schemas.openxmlformats.org/officeDocument/2006/relationships/hyperlink" Target="#'08_Deterioro'!A1" TargetMode="External" Id="rId11"/><Relationship Type="http://schemas.openxmlformats.org/officeDocument/2006/relationships/hyperlink" Target="#'09_Reclasificacion'!A1" TargetMode="External" Id="rId12"/><Relationship Type="http://schemas.openxmlformats.org/officeDocument/2006/relationships/hyperlink" Target="#'10_Conciliacion'!A1" TargetMode="External" Id="rId13"/><Relationship Type="http://schemas.openxmlformats.org/officeDocument/2006/relationships/hyperlink" Target="#'11_Problemas'!A1" TargetMode="External" Id="rId14"/><Relationship Type="http://schemas.openxmlformats.org/officeDocument/2006/relationships/hyperlink" Target="#'13_Conclusion'!A1" TargetMode="External" Id="rId15"/><Relationship Type="http://schemas.openxmlformats.org/officeDocument/2006/relationships/hyperlink" Target="#'14_Control_Revision'!A1" TargetMode="External" Id="rId16"/><Relationship Type="http://schemas.openxmlformats.org/officeDocument/2006/relationships/drawing" Target="/xl/drawings/drawing1.xml" Id="rId17"/></Relationships>
</file>

<file path=xl/worksheets/_rels/sheet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s>
</file>

<file path=xl/worksheets/_rels/sheet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Caratula'!A1" TargetMode="External" Id="rId2"/><Relationship Type="http://schemas.openxmlformats.org/officeDocument/2006/relationships/hyperlink" Target="#'00_Fuentes'!A1" TargetMode="External" Id="rId3"/></Relationships>
</file>

<file path=xl/worksheets/_rels/sheet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 Type="http://schemas.openxmlformats.org/officeDocument/2006/relationships/hyperlink" Target="#'01_Resumen'!A1" TargetMode="External" Id="rId3"/></Relationships>
</file>

<file path=xl/worksheets/_rels/sheet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Fuentes'!A1" TargetMode="External" Id="rId2"/><Relationship Type="http://schemas.openxmlformats.org/officeDocument/2006/relationships/hyperlink" Target="#'02_Parametros'!A1" TargetMode="External" Id="rId3"/></Relationships>
</file>

<file path=xl/worksheets/_rels/sheet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1_Resumen'!A1" TargetMode="External" Id="rId2"/><Relationship Type="http://schemas.openxmlformats.org/officeDocument/2006/relationships/hyperlink" Target="#'03_Inventario'!A1" TargetMode="External" Id="rId3"/></Relationships>
</file>

<file path=xl/worksheets/_rels/sheet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2_Parametros'!A1" TargetMode="External" Id="rId2"/><Relationship Type="http://schemas.openxmlformats.org/officeDocument/2006/relationships/hyperlink" Target="#'04_Clasificacion'!A1" TargetMode="External" Id="rId3"/></Relationships>
</file>

<file path=xl/worksheets/_rels/sheet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3_Inventario'!A1" TargetMode="External" Id="rId2"/><Relationship Type="http://schemas.openxmlformats.org/officeDocument/2006/relationships/hyperlink" Target="#'05_Costo_amortizado'!A1" TargetMode="External" Id="rId3"/></Relationships>
</file>

<file path=xl/worksheets/_rels/sheet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4_Clasificacion'!A1" TargetMode="External" Id="rId2"/><Relationship Type="http://schemas.openxmlformats.org/officeDocument/2006/relationships/hyperlink" Target="#'06_Valor_razonable'!A1" TargetMode="External" Id="rId3"/></Relationships>
</file>

<file path=xl/worksheets/_rels/sheet1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5_Costo_amortizado'!A1" TargetMode="External" Id="rId2"/><Relationship Type="http://schemas.openxmlformats.org/officeDocument/2006/relationships/hyperlink" Target="#'07_Intereses_dividendos'!A1" TargetMode="External" Id="rId3"/></Relationships>
</file>

<file path=xl/worksheets/_rels/sheet1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6_Valor_razonable'!A1" TargetMode="External" Id="rId2"/><Relationship Type="http://schemas.openxmlformats.org/officeDocument/2006/relationships/hyperlink" Target="#'08_Deterioro'!A1" TargetMode="External" Id="rId3"/></Relationships>
</file>

<file path=xl/worksheets/_rels/sheet1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7_Intereses_dividendos'!A1" TargetMode="External" Id="rId2"/><Relationship Type="http://schemas.openxmlformats.org/officeDocument/2006/relationships/hyperlink" Target="#'09_Reclasificacion'!A1" TargetMode="External" Id="rId3"/></Relationships>
</file>

<file path=xl/worksheets/_rels/sheet1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8_Deterioro'!A1" TargetMode="External" Id="rId2"/><Relationship Type="http://schemas.openxmlformats.org/officeDocument/2006/relationships/hyperlink" Target="#'10_Conciliacion'!A1" TargetMode="External" Id="rId3"/></Relationships>
</file>

<file path=xl/worksheets/_rels/sheet1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9_Reclasificacion'!A1" TargetMode="External" Id="rId2"/><Relationship Type="http://schemas.openxmlformats.org/officeDocument/2006/relationships/hyperlink" Target="#'11_Problemas'!A1" TargetMode="External" Id="rId3"/></Relationships>
</file>

<file path=xl/worksheets/_rels/sheet1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0_Conciliacion'!A1" TargetMode="External" Id="rId2"/><Relationship Type="http://schemas.openxmlformats.org/officeDocument/2006/relationships/hyperlink" Target="#'13_Conclusion'!A1" TargetMode="External" Id="rId3"/></Relationships>
</file>

<file path=xl/worksheets/_rels/sheet1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1_Problemas'!A1" TargetMode="External" Id="rId2"/><Relationship Type="http://schemas.openxmlformats.org/officeDocument/2006/relationships/hyperlink" Target="#'14_Control_Revision'!A1" TargetMode="External" Id="rId3"/></Relationships>
</file>

<file path=xl/worksheets/_rels/sheet1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lusion'!A1" TargetMode="External" Id="rId2"/></Relationships>
</file>

<file path=xl/worksheets/sheet1.xml><?xml version="1.0" encoding="utf-8"?>
<worksheet xmlns="http://schemas.openxmlformats.org/spreadsheetml/2006/main">
  <sheetPr>
    <outlinePr summaryBelow="1" summaryRight="1"/>
    <pageSetUpPr fitToPage="1"/>
  </sheetPr>
  <dimension ref="B2:O40"/>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 width="27" customWidth="1" min="6" max="6"/>
    <col width="34" customWidth="1" min="14" max="14"/>
    <col width="16" customWidth="1" min="15" max="15"/>
  </cols>
  <sheetData>
    <row r="2">
      <c r="B2" s="1" t="inlineStr">
        <is>
          <t>AuditConsulting Auditores Cía. Ltda.  ·  AUDIT-IA</t>
        </is>
      </c>
      <c r="C2" s="2" t="n"/>
      <c r="D2" s="2" t="n"/>
      <c r="E2" s="2" t="n"/>
      <c r="F2" s="2" t="n"/>
    </row>
    <row r="3">
      <c r="B3" s="2" t="n"/>
      <c r="C3" s="2" t="n"/>
      <c r="D3" s="2" t="n"/>
      <c r="E3" s="2" t="n"/>
      <c r="F3" s="2" t="n"/>
    </row>
    <row r="4">
      <c r="B4" s="3" t="inlineStr">
        <is>
          <t>Inversiones e instrumentos financieros</t>
        </is>
      </c>
    </row>
    <row r="6">
      <c r="B6" s="4" t="inlineStr">
        <is>
          <t>Cliente</t>
        </is>
      </c>
      <c r="C6" s="5" t="inlineStr">
        <is>
          <t>Cliente de muestra S.A.</t>
        </is>
      </c>
      <c r="D6" s="4" t="inlineStr">
        <is>
          <t>RUC</t>
        </is>
      </c>
      <c r="E6" s="5" t="inlineStr">
        <is>
          <t>1790000000001</t>
        </is>
      </c>
    </row>
    <row r="7">
      <c r="B7" s="4" t="inlineStr">
        <is>
          <t>Marco contable</t>
        </is>
      </c>
      <c r="C7" s="5" t="inlineStr">
        <is>
          <t>NIIF completas</t>
        </is>
      </c>
      <c r="D7" s="4" t="inlineStr">
        <is>
          <t>Fecha de corte</t>
        </is>
      </c>
      <c r="E7" s="5" t="inlineStr">
        <is>
          <t>2025-12-31</t>
        </is>
      </c>
    </row>
    <row r="8">
      <c r="B8" s="4" t="inlineStr">
        <is>
          <t>Preparó</t>
        </is>
      </c>
      <c r="C8" s="5" t="inlineStr">
        <is>
          <t>Ejercicio modelo</t>
        </is>
      </c>
      <c r="D8" s="4" t="inlineStr">
        <is>
          <t>Revisó</t>
        </is>
      </c>
      <c r="E8" s="5" t="inlineStr">
        <is>
          <t>Pendiente</t>
        </is>
      </c>
    </row>
    <row r="10">
      <c r="B10" s="6" t="inlineStr">
        <is>
          <t>INDICADORES CLAVE</t>
        </is>
      </c>
    </row>
    <row r="11" ht="30" customHeight="1">
      <c r="B11" s="7" t="inlineStr">
        <is>
          <t>Ajuste propuesto (importe neto)</t>
        </is>
      </c>
      <c r="C11" s="7" t="inlineStr">
        <is>
          <t>Problemas encontrados</t>
        </is>
      </c>
    </row>
    <row r="12">
      <c r="B12" s="8" t="n">
        <v>-1318.65</v>
      </c>
      <c r="C12" s="9" t="n">
        <v>27</v>
      </c>
    </row>
    <row r="15">
      <c r="B15" s="6" t="inlineStr">
        <is>
          <t>IR A LA CÉDULA</t>
        </is>
      </c>
    </row>
    <row r="16" ht="32" customHeight="1">
      <c r="B16" s="10" t="inlineStr">
        <is>
          <t>Carátula</t>
        </is>
      </c>
      <c r="C16" s="10" t="inlineStr">
        <is>
          <t>Programa</t>
        </is>
      </c>
      <c r="D16" s="10" t="inlineStr">
        <is>
          <t>Base técnica</t>
        </is>
      </c>
      <c r="E16" s="10" t="inlineStr">
        <is>
          <t>Resumen</t>
        </is>
      </c>
    </row>
    <row r="17" ht="32" customHeight="1">
      <c r="B17" s="10" t="inlineStr">
        <is>
          <t>Parámetros</t>
        </is>
      </c>
      <c r="C17" s="10" t="inlineStr">
        <is>
          <t>Inventario de inversiones</t>
        </is>
      </c>
      <c r="D17" s="10" t="inlineStr">
        <is>
          <t>Clasificación</t>
        </is>
      </c>
      <c r="E17" s="10" t="inlineStr">
        <is>
          <t>Costo amortizado y TIE</t>
        </is>
      </c>
    </row>
    <row r="18" ht="32" customHeight="1">
      <c r="B18" s="10" t="inlineStr">
        <is>
          <t>Valor razonable y jerarquía</t>
        </is>
      </c>
      <c r="C18" s="10" t="inlineStr">
        <is>
          <t>Intereses y dividendos</t>
        </is>
      </c>
      <c r="D18" s="10" t="inlineStr">
        <is>
          <t>Deterioro</t>
        </is>
      </c>
      <c r="E18" s="10" t="inlineStr">
        <is>
          <t>Reclasificación</t>
        </is>
      </c>
    </row>
    <row r="19" ht="32" customHeight="1">
      <c r="B19" s="10" t="inlineStr">
        <is>
          <t>Conciliación y ajuste</t>
        </is>
      </c>
      <c r="C19" s="10" t="inlineStr">
        <is>
          <t>Problemas encontrados</t>
        </is>
      </c>
      <c r="D19" s="10" t="inlineStr">
        <is>
          <t>Conclusión</t>
        </is>
      </c>
      <c r="E19" s="10" t="inlineStr">
        <is>
          <t>Control de revisión</t>
        </is>
      </c>
    </row>
    <row r="21">
      <c r="B21" s="6" t="inlineStr">
        <is>
          <t>PANORAMA</t>
        </is>
      </c>
      <c r="N21" s="11" t="inlineStr">
        <is>
          <t>Datos de los gráficos (fórmulas a las cédulas)</t>
        </is>
      </c>
    </row>
    <row r="22">
      <c r="N22" s="12" t="inlineStr">
        <is>
          <t>Cifras del resumen</t>
        </is>
      </c>
      <c r="O22" s="12" t="inlineStr">
        <is>
          <t>Importe (USD)</t>
        </is>
      </c>
    </row>
    <row r="23">
      <c r="N23" s="12">
        <f>'01_Resumen'!A5</f>
        <v/>
      </c>
      <c r="O23" s="13">
        <f>'01_Resumen'!B5</f>
        <v/>
      </c>
    </row>
    <row r="24">
      <c r="N24" s="12">
        <f>'01_Resumen'!A6</f>
        <v/>
      </c>
      <c r="O24" s="13">
        <f>'01_Resumen'!B6</f>
        <v/>
      </c>
    </row>
    <row r="25">
      <c r="N25" s="12">
        <f>'01_Resumen'!A7</f>
        <v/>
      </c>
      <c r="O25" s="13">
        <f>'01_Resumen'!B7</f>
        <v/>
      </c>
    </row>
    <row r="26">
      <c r="N26" s="12">
        <f>'01_Resumen'!A8</f>
        <v/>
      </c>
      <c r="O26" s="13">
        <f>'01_Resumen'!B8</f>
        <v/>
      </c>
    </row>
    <row r="27">
      <c r="N27" s="12">
        <f>'01_Resumen'!A9</f>
        <v/>
      </c>
      <c r="O27" s="13">
        <f>'01_Resumen'!B9</f>
        <v/>
      </c>
    </row>
    <row r="28">
      <c r="N28" s="12">
        <f>'01_Resumen'!A10</f>
        <v/>
      </c>
      <c r="O28" s="13">
        <f>'01_Resumen'!B10</f>
        <v/>
      </c>
    </row>
    <row r="29">
      <c r="N29" s="12">
        <f>'01_Resumen'!A11</f>
        <v/>
      </c>
      <c r="O29" s="13">
        <f>'01_Resumen'!B11</f>
        <v/>
      </c>
    </row>
    <row r="30">
      <c r="N30" s="12">
        <f>'01_Resumen'!A12</f>
        <v/>
      </c>
      <c r="O30" s="13">
        <f>'01_Resumen'!B12</f>
        <v/>
      </c>
    </row>
    <row r="32">
      <c r="N32" s="12" t="inlineStr">
        <is>
          <t>Hallazgos de mayor impacto</t>
        </is>
      </c>
      <c r="O32" s="12" t="inlineStr">
        <is>
          <t>Importe (USD)</t>
        </is>
      </c>
    </row>
    <row r="33">
      <c r="N33" s="12" t="inlineStr">
        <is>
          <t>Clasificacion inconsistente (×2)</t>
        </is>
      </c>
      <c r="O33" s="13">
        <f>SUMIFS('11_Problemas'!$C$5:$C$31,'11_Problemas'!$A$5:$A$31,"CLASIFICACION_INCONSISTENTE",'11_Problemas'!$C$5:$C$31,"&gt;0")-SUMIFS('11_Problemas'!$C$5:$C$31,'11_Problemas'!$A$5:$A$31,"CLASIFICACION_INCONSISTENTE",'11_Problemas'!$C$5:$C$31,"&lt;0")</f>
        <v/>
      </c>
    </row>
    <row r="34">
      <c r="N34" s="12" t="inlineStr">
        <is>
          <t>Vr sin nivel</t>
        </is>
      </c>
      <c r="O34" s="13">
        <f>SUMIFS('11_Problemas'!$C$5:$C$31,'11_Problemas'!$A$5:$A$31,"VR_SIN_NIVEL",'11_Problemas'!$C$5:$C$31,"&gt;0")-SUMIFS('11_Problemas'!$C$5:$C$31,'11_Problemas'!$A$5:$A$31,"VR_SIN_NIVEL",'11_Problemas'!$C$5:$C$31,"&lt;0")</f>
        <v/>
      </c>
    </row>
    <row r="35">
      <c r="N35" s="12" t="inlineStr">
        <is>
          <t>Reclasificacion no permitida</t>
        </is>
      </c>
      <c r="O35" s="13">
        <f>SUMIFS('11_Problemas'!$C$5:$C$31,'11_Problemas'!$A$5:$A$31,"RECLASIFICACION_NO_PERMITIDA",'11_Problemas'!$C$5:$C$31,"&gt;0")-SUMIFS('11_Problemas'!$C$5:$C$31,'11_Problemas'!$A$5:$A$31,"RECLASIFICACION_NO_PERMITIDA",'11_Problemas'!$C$5:$C$31,"&lt;0")</f>
        <v/>
      </c>
    </row>
    <row r="36">
      <c r="N36" s="12" t="inlineStr">
        <is>
          <t>Vr nivel 3</t>
        </is>
      </c>
      <c r="O36" s="13">
        <f>SUMIFS('11_Problemas'!$C$5:$C$31,'11_Problemas'!$A$5:$A$31,"VR_NIVEL_3",'11_Problemas'!$C$5:$C$31,"&gt;0")-SUMIFS('11_Problemas'!$C$5:$C$31,'11_Problemas'!$A$5:$A$31,"VR_NIVEL_3",'11_Problemas'!$C$5:$C$31,"&lt;0")</f>
        <v/>
      </c>
    </row>
    <row r="37">
      <c r="N37" s="12" t="inlineStr">
        <is>
          <t>Calificacion baja sin indicio</t>
        </is>
      </c>
      <c r="O37" s="13">
        <f>SUMIFS('11_Problemas'!$C$5:$C$31,'11_Problemas'!$A$5:$A$31,"CALIFICACION_BAJA_SIN_INDICIO",'11_Problemas'!$C$5:$C$31,"&gt;0")-SUMIFS('11_Problemas'!$C$5:$C$31,'11_Problemas'!$A$5:$A$31,"CALIFICACION_BAJA_SIN_INDICIO",'11_Problemas'!$C$5:$C$31,"&lt;0")</f>
        <v/>
      </c>
    </row>
    <row r="38">
      <c r="N38" s="12" t="inlineStr">
        <is>
          <t>Indicio deterioro</t>
        </is>
      </c>
      <c r="O38" s="13">
        <f>SUMIFS('11_Problemas'!$C$5:$C$31,'11_Problemas'!$A$5:$A$31,"INDICIO_DETERIORO",'11_Problemas'!$C$5:$C$31,"&gt;0")-SUMIFS('11_Problemas'!$C$5:$C$31,'11_Problemas'!$A$5:$A$31,"INDICIO_DETERIORO",'11_Problemas'!$C$5:$C$31,"&lt;0")</f>
        <v/>
      </c>
    </row>
    <row r="39">
      <c r="N39" s="12" t="inlineStr">
        <is>
          <t>Diferencia deterioro (×6)</t>
        </is>
      </c>
      <c r="O39" s="13">
        <f>SUMIFS('11_Problemas'!$C$5:$C$31,'11_Problemas'!$A$5:$A$31,"DIFERENCIA_DETERIORO",'11_Problemas'!$C$5:$C$31,"&gt;0")-SUMIFS('11_Problemas'!$C$5:$C$31,'11_Problemas'!$A$5:$A$31,"DIFERENCIA_DETERIORO",'11_Problemas'!$C$5:$C$31,"&lt;0")</f>
        <v/>
      </c>
    </row>
    <row r="40">
      <c r="N40" s="12" t="inlineStr">
        <is>
          <t>Otros (6 tipos)</t>
        </is>
      </c>
      <c r="O40" s="13">
        <f>SUMIF('11_Problemas'!$C$5:$C$31,"&gt;0")-SUMIF('11_Problemas'!$C$5:$C$31,"&lt;0")-((SUMIFS('11_Problemas'!$C$5:$C$31,'11_Problemas'!$A$5:$A$31,"CLASIFICACION_INCONSISTENTE",'11_Problemas'!$C$5:$C$31,"&gt;0")-SUMIFS('11_Problemas'!$C$5:$C$31,'11_Problemas'!$A$5:$A$31,"CLASIFICACION_INCONSISTENTE",'11_Problemas'!$C$5:$C$31,"&lt;0"))+(SUMIFS('11_Problemas'!$C$5:$C$31,'11_Problemas'!$A$5:$A$31,"VR_SIN_NIVEL",'11_Problemas'!$C$5:$C$31,"&gt;0")-SUMIFS('11_Problemas'!$C$5:$C$31,'11_Problemas'!$A$5:$A$31,"VR_SIN_NIVEL",'11_Problemas'!$C$5:$C$31,"&lt;0"))+(SUMIFS('11_Problemas'!$C$5:$C$31,'11_Problemas'!$A$5:$A$31,"RECLASIFICACION_NO_PERMITIDA",'11_Problemas'!$C$5:$C$31,"&gt;0")-SUMIFS('11_Problemas'!$C$5:$C$31,'11_Problemas'!$A$5:$A$31,"RECLASIFICACION_NO_PERMITIDA",'11_Problemas'!$C$5:$C$31,"&lt;0"))+(SUMIFS('11_Problemas'!$C$5:$C$31,'11_Problemas'!$A$5:$A$31,"VR_NIVEL_3",'11_Problemas'!$C$5:$C$31,"&gt;0")-SUMIFS('11_Problemas'!$C$5:$C$31,'11_Problemas'!$A$5:$A$31,"VR_NIVEL_3",'11_Problemas'!$C$5:$C$31,"&lt;0"))+(SUMIFS('11_Problemas'!$C$5:$C$31,'11_Problemas'!$A$5:$A$31,"CALIFICACION_BAJA_SIN_INDICIO",'11_Problemas'!$C$5:$C$31,"&gt;0")-SUMIFS('11_Problemas'!$C$5:$C$31,'11_Problemas'!$A$5:$A$31,"CALIFICACION_BAJA_SIN_INDICIO",'11_Problemas'!$C$5:$C$31,"&lt;0"))+(SUMIFS('11_Problemas'!$C$5:$C$31,'11_Problemas'!$A$5:$A$31,"INDICIO_DETERIORO",'11_Problemas'!$C$5:$C$31,"&gt;0")-SUMIFS('11_Problemas'!$C$5:$C$31,'11_Problemas'!$A$5:$A$31,"INDICIO_DETERIORO",'11_Problemas'!$C$5:$C$31,"&lt;0"))+(SUMIFS('11_Problemas'!$C$5:$C$31,'11_Problemas'!$A$5:$A$31,"DIFERENCIA_DETERIORO",'11_Problemas'!$C$5:$C$31,"&gt;0")-SUMIFS('11_Problemas'!$C$5:$C$31,'11_Problemas'!$A$5:$A$31,"DIFERENCIA_DETERIORO",'11_Problemas'!$C$5:$C$31,"&lt;0")))</f>
        <v/>
      </c>
    </row>
  </sheetData>
  <mergeCells count="2">
    <mergeCell ref="B4:F4"/>
    <mergeCell ref="B2:F3"/>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E16" r:id="rId4"/>
    <hyperlink xmlns:r="http://schemas.openxmlformats.org/officeDocument/2006/relationships" ref="B17" r:id="rId5"/>
    <hyperlink xmlns:r="http://schemas.openxmlformats.org/officeDocument/2006/relationships" ref="C17" r:id="rId6"/>
    <hyperlink xmlns:r="http://schemas.openxmlformats.org/officeDocument/2006/relationships" ref="D17" r:id="rId7"/>
    <hyperlink xmlns:r="http://schemas.openxmlformats.org/officeDocument/2006/relationships" ref="E17" r:id="rId8"/>
    <hyperlink xmlns:r="http://schemas.openxmlformats.org/officeDocument/2006/relationships" ref="B18" r:id="rId9"/>
    <hyperlink xmlns:r="http://schemas.openxmlformats.org/officeDocument/2006/relationships" ref="C18" r:id="rId10"/>
    <hyperlink xmlns:r="http://schemas.openxmlformats.org/officeDocument/2006/relationships" ref="D18" r:id="rId11"/>
    <hyperlink xmlns:r="http://schemas.openxmlformats.org/officeDocument/2006/relationships" ref="E18" r:id="rId12"/>
    <hyperlink xmlns:r="http://schemas.openxmlformats.org/officeDocument/2006/relationships" ref="B19" r:id="rId13"/>
    <hyperlink xmlns:r="http://schemas.openxmlformats.org/officeDocument/2006/relationships" ref="C19" r:id="rId14"/>
    <hyperlink xmlns:r="http://schemas.openxmlformats.org/officeDocument/2006/relationships" ref="D19" r:id="rId15"/>
    <hyperlink xmlns:r="http://schemas.openxmlformats.org/officeDocument/2006/relationships" ref="E19" r:id="rId16"/>
  </hyperlinks>
  <printOptions horizontalCentered="1"/>
  <pageMargins left="0.75" right="0.75" top="1" bottom="1" header="0.5" footer="0.5"/>
  <pageSetup orientation="landscape" fitToHeight="0" fitToWidth="1"/>
  <headerFooter>
    <oddHeader/>
    <oddFooter>&amp;LAuditConsulting Auditores Cía. Ltda.&amp;CCliente de muestra S.A.&amp;RPágina &amp;P de &amp;N</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34" customWidth="1" min="1" max="1"/>
    <col width="40" customWidth="1" min="2" max="2"/>
  </cols>
  <sheetData>
    <row r="1">
      <c r="A1" s="3" t="inlineStr">
        <is>
          <t>Carátula</t>
        </is>
      </c>
      <c r="H1" s="14" t="inlineStr">
        <is>
          <t>⟵ Inicio</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Concepto</t>
        </is>
      </c>
      <c r="B4" s="17" t="inlineStr">
        <is>
          <t>Detalle</t>
        </is>
      </c>
    </row>
    <row r="5">
      <c r="A5" s="18" t="inlineStr">
        <is>
          <t>Firma</t>
        </is>
      </c>
      <c r="B5" s="18" t="inlineStr">
        <is>
          <t>AuditConsulting Auditores Cía. Ltda.</t>
        </is>
      </c>
    </row>
    <row r="6">
      <c r="A6" s="19" t="inlineStr">
        <is>
          <t>Cliente</t>
        </is>
      </c>
      <c r="B6" s="19" t="inlineStr">
        <is>
          <t>Cliente de muestra S.A.</t>
        </is>
      </c>
    </row>
    <row r="7">
      <c r="A7" s="18" t="inlineStr">
        <is>
          <t>RUC</t>
        </is>
      </c>
      <c r="B7" s="18" t="inlineStr">
        <is>
          <t>1790000000001</t>
        </is>
      </c>
    </row>
    <row r="8">
      <c r="A8" s="19" t="inlineStr">
        <is>
          <t>Ejercicio</t>
        </is>
      </c>
      <c r="B8" s="19" t="inlineStr">
        <is>
          <t>2025</t>
        </is>
      </c>
    </row>
    <row r="9">
      <c r="A9" s="18" t="inlineStr">
        <is>
          <t>Fecha de corte</t>
        </is>
      </c>
      <c r="B9" s="18" t="inlineStr">
        <is>
          <t>2025-12-31</t>
        </is>
      </c>
    </row>
    <row r="10">
      <c r="A10" s="19" t="inlineStr">
        <is>
          <t>Marco contable</t>
        </is>
      </c>
      <c r="B10" s="19" t="inlineStr">
        <is>
          <t>NIIF completas</t>
        </is>
      </c>
    </row>
    <row r="11">
      <c r="A11" s="18" t="inlineStr">
        <is>
          <t>Herramienta</t>
        </is>
      </c>
      <c r="B11" s="18" t="inlineStr">
        <is>
          <t>Inversiones e instrumentos financieros</t>
        </is>
      </c>
    </row>
    <row r="12">
      <c r="A12" s="19" t="inlineStr">
        <is>
          <t>Rubro</t>
        </is>
      </c>
      <c r="B12" s="19" t="inlineStr">
        <is>
          <t>Inversiones</t>
        </is>
      </c>
    </row>
    <row r="13">
      <c r="A13" s="18" t="inlineStr">
        <is>
          <t>Motor</t>
        </is>
      </c>
      <c r="B13" s="18" t="inlineStr">
        <is>
          <t>inversiones_instrumentos 1.0</t>
        </is>
      </c>
    </row>
    <row r="14">
      <c r="A14" s="19" t="inlineStr">
        <is>
          <t>Versión del papel</t>
        </is>
      </c>
      <c r="B14" s="19" t="inlineStr">
        <is>
          <t>v1</t>
        </is>
      </c>
    </row>
    <row r="15">
      <c r="A15" s="18" t="inlineStr">
        <is>
          <t>Estado</t>
        </is>
      </c>
      <c r="B15" s="18" t="inlineStr">
        <is>
          <t>MUESTRA</t>
        </is>
      </c>
    </row>
    <row r="16">
      <c r="A16" s="19" t="inlineStr">
        <is>
          <t>Preparó</t>
        </is>
      </c>
      <c r="B16" s="19" t="inlineStr">
        <is>
          <t>Ejercicio modelo</t>
        </is>
      </c>
    </row>
    <row r="17">
      <c r="A17" s="18" t="inlineStr">
        <is>
          <t>Revisó</t>
        </is>
      </c>
      <c r="B17" s="18" t="inlineStr">
        <is>
          <t>Pendiente</t>
        </is>
      </c>
    </row>
    <row r="18">
      <c r="A18" s="19" t="inlineStr">
        <is>
          <t>Aprobó</t>
        </is>
      </c>
      <c r="B18" s="19" t="inlineStr"/>
    </row>
    <row r="19">
      <c r="A19" s="18" t="inlineStr">
        <is>
          <t>Fecha de aprobación</t>
        </is>
      </c>
      <c r="B19" s="18" t="inlineStr"/>
    </row>
    <row r="20">
      <c r="A20" s="19" t="inlineStr">
        <is>
          <t>Huella de la ejecución (SHA-256)</t>
        </is>
      </c>
      <c r="B20" s="19" t="inlineStr"/>
    </row>
  </sheetData>
  <mergeCells count="2">
    <mergeCell ref="A2:F2"/>
    <mergeCell ref="A1:F1"/>
  </mergeCells>
  <hyperlinks>
    <hyperlink xmlns:r="http://schemas.openxmlformats.org/officeDocument/2006/relationships" ref="H1" r:id="rId1"/>
    <hyperlink xmlns:r="http://schemas.openxmlformats.org/officeDocument/2006/relationships" ref="J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1"/>
  <sheetViews>
    <sheetView showGridLines="0" workbookViewId="0">
      <pane ySplit="4" topLeftCell="A5" activePane="bottomLeft" state="frozen"/>
      <selection pane="bottomLeft" activeCell="A1" sqref="A1"/>
    </sheetView>
  </sheetViews>
  <sheetFormatPr baseColWidth="8" defaultRowHeight="15"/>
  <cols>
    <col width="12" customWidth="1" min="1" max="1"/>
    <col width="31" customWidth="1" min="2" max="2"/>
    <col width="15" customWidth="1" min="3" max="3"/>
    <col width="60" customWidth="1" min="4" max="4"/>
    <col width="50" customWidth="1" min="5" max="5"/>
    <col width="45" customWidth="1" min="6" max="6"/>
    <col width="60" customWidth="1" min="7" max="7"/>
  </cols>
  <sheetData>
    <row r="1">
      <c r="A1" s="3" t="inlineStr">
        <is>
          <t>Programa</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row>
    <row r="4" ht="30" customHeight="1">
      <c r="A4" s="17" t="inlineStr">
        <is>
          <t>Código</t>
        </is>
      </c>
      <c r="B4" s="17" t="inlineStr">
        <is>
          <t>Objetivo</t>
        </is>
      </c>
      <c r="C4" s="17" t="inlineStr">
        <is>
          <t>Afirmación</t>
        </is>
      </c>
      <c r="D4" s="17" t="inlineStr">
        <is>
          <t>Procedimiento</t>
        </is>
      </c>
      <c r="E4" s="17" t="inlineStr">
        <is>
          <t>Evidencia</t>
        </is>
      </c>
      <c r="F4" s="17" t="inlineStr">
        <is>
          <t>Criterio</t>
        </is>
      </c>
      <c r="G4" s="17" t="inlineStr">
        <is>
          <t>Referencia</t>
        </is>
      </c>
    </row>
    <row r="5">
      <c r="A5" s="18" t="inlineStr">
        <is>
          <t>INV-01</t>
        </is>
      </c>
      <c r="B5" s="18" t="inlineStr">
        <is>
          <t>Existencia e integridad</t>
        </is>
      </c>
      <c r="C5" s="18" t="inlineStr">
        <is>
          <t>Existencia</t>
        </is>
      </c>
      <c r="D5" s="18" t="inlineStr">
        <is>
          <t>Conciliar el anexo por instrumento con el mayor y confirmar con custodios</t>
        </is>
      </c>
      <c r="E5" s="18" t="inlineStr">
        <is>
          <t>Anexo, mayor, confirmaciones</t>
        </is>
      </c>
      <c r="F5" s="18" t="inlineStr">
        <is>
          <t>Diferencias explicadas; tenencia confirmada</t>
        </is>
      </c>
      <c r="G5" s="18" t="inlineStr">
        <is>
          <t>NIA 500 párr. 9 · NIA 505</t>
        </is>
      </c>
    </row>
    <row r="6">
      <c r="A6" s="19" t="inlineStr">
        <is>
          <t>INV-02</t>
        </is>
      </c>
      <c r="B6" s="19" t="inlineStr">
        <is>
          <t>Clasificación de instrumentos</t>
        </is>
      </c>
      <c r="C6" s="19" t="inlineStr">
        <is>
          <t>Clasificación</t>
        </is>
      </c>
      <c r="D6" s="19" t="inlineStr">
        <is>
          <t>Evaluar modelo de negocio y SPPI (NIIF 9) o instrumento básico (PYMES) y comparar con la clasificación del cliente</t>
        </is>
      </c>
      <c r="E6" s="19" t="inlineStr">
        <is>
          <t>Políticas de inversión, actas, prospectos</t>
        </is>
      </c>
      <c r="F6" s="19" t="inlineStr">
        <is>
          <t>Clasificación consistente con la norma</t>
        </is>
      </c>
      <c r="G6" s="19" t="inlineStr">
        <is>
          <t>NIIF 9 4.1.1–4.1.5 · PYMES 11.8–11.9 (2025: y 11.9ZA), 11.14</t>
        </is>
      </c>
    </row>
    <row r="7">
      <c r="A7" s="18" t="inlineStr">
        <is>
          <t>INV-03</t>
        </is>
      </c>
      <c r="B7" s="18" t="inlineStr">
        <is>
          <t>Costo amortizado</t>
        </is>
      </c>
      <c r="C7" s="18" t="inlineStr">
        <is>
          <t>Valoración</t>
        </is>
      </c>
      <c r="D7" s="18" t="inlineStr">
        <is>
          <t>Recalcular la TIE y el costo amortizado al corte</t>
        </is>
      </c>
      <c r="E7" s="18" t="inlineStr">
        <is>
          <t>Prospectos, liquidaciones de compra</t>
        </is>
      </c>
      <c r="F7" s="18" t="inlineStr">
        <is>
          <t>Diferencia cuantificada</t>
        </is>
      </c>
      <c r="G7" s="18" t="inlineStr">
        <is>
          <t>NIIF 9 5.4.1, apéndice A · PYMES 11.15–11.20</t>
        </is>
      </c>
    </row>
    <row r="8">
      <c r="A8" s="19" t="inlineStr">
        <is>
          <t>INV-04</t>
        </is>
      </c>
      <c r="B8" s="19" t="inlineStr">
        <is>
          <t>Valor razonable</t>
        </is>
      </c>
      <c r="C8" s="19" t="inlineStr">
        <is>
          <t>Valoración</t>
        </is>
      </c>
      <c r="D8" s="19" t="inlineStr">
        <is>
          <t>Contrastar precios de cierre o valoraciones y el nivel de jerarquía; recalcular la ganancia o pérdida</t>
        </is>
      </c>
      <c r="E8" s="19" t="inlineStr">
        <is>
          <t>Vector de precios, bolsa, valuaciones</t>
        </is>
      </c>
      <c r="F8" s="19" t="inlineStr">
        <is>
          <t>Diferencia contra libros evaluada</t>
        </is>
      </c>
      <c r="G8" s="19" t="inlineStr">
        <is>
          <t>NIIF 13 72–90 · PYMES 2025 12.22–12.27 · PYMES 2015 11.27 · NIA 540</t>
        </is>
      </c>
    </row>
    <row r="9">
      <c r="A9" s="18" t="inlineStr">
        <is>
          <t>INV-05</t>
        </is>
      </c>
      <c r="B9" s="18" t="inlineStr">
        <is>
          <t>Intereses y dividendos</t>
        </is>
      </c>
      <c r="C9" s="18" t="inlineStr">
        <is>
          <t>Integridad</t>
        </is>
      </c>
      <c r="D9" s="18" t="inlineStr">
        <is>
          <t>Recalcular interés efectivo y dividendos decretados y comparar con lo registrado</t>
        </is>
      </c>
      <c r="E9" s="18" t="inlineStr">
        <is>
          <t>Estados de cuenta, actas de dividendos</t>
        </is>
      </c>
      <c r="F9" s="18" t="inlineStr">
        <is>
          <t>Diferencia cuantificada</t>
        </is>
      </c>
      <c r="G9" s="18" t="inlineStr">
        <is>
          <t>NIIF 9 5.4.1, 5.7.1A · PYMES 2025 11.14A y 11.55</t>
        </is>
      </c>
    </row>
    <row r="10">
      <c r="A10" s="19" t="inlineStr">
        <is>
          <t>INV-06</t>
        </is>
      </c>
      <c r="B10" s="19" t="inlineStr">
        <is>
          <t>Deterioro</t>
        </is>
      </c>
      <c r="C10" s="19" t="inlineStr">
        <is>
          <t>Valoración</t>
        </is>
      </c>
      <c r="D10" s="19" t="inlineStr">
        <is>
          <t>Evaluar indicios y calificaciones y recalcular el deterioro</t>
        </is>
      </c>
      <c r="E10" s="19" t="inlineStr">
        <is>
          <t>Calificaciones de riesgo, información del emisor</t>
        </is>
      </c>
      <c r="F10" s="19" t="inlineStr">
        <is>
          <t>Deterioro recalculado vs registrado</t>
        </is>
      </c>
      <c r="G10" s="19" t="inlineStr">
        <is>
          <t>NIIF 9 5.5.1–5.5.5, 5.5.17 · PYMES 11.21–11.26</t>
        </is>
      </c>
    </row>
    <row r="11">
      <c r="A11" s="18" t="inlineStr">
        <is>
          <t>INV-07</t>
        </is>
      </c>
      <c r="B11" s="18" t="inlineStr">
        <is>
          <t>Reclasificación</t>
        </is>
      </c>
      <c r="C11" s="18" t="inlineStr">
        <is>
          <t>Presentación</t>
        </is>
      </c>
      <c r="D11" s="18" t="inlineStr">
        <is>
          <t>Revisar cambios de categoría respecto del cierre anterior y su tratamiento</t>
        </is>
      </c>
      <c r="E11" s="18" t="inlineStr">
        <is>
          <t>Actas del directorio, políticas</t>
        </is>
      </c>
      <c r="F11" s="18" t="inlineStr">
        <is>
          <t>Solo por cambio de modelo, tratamiento 5.6</t>
        </is>
      </c>
      <c r="G11" s="18" t="inlineStr">
        <is>
          <t>NIIF 9 4.4.1, 5.6.1–5.6.7, 5.7.5</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22" customWidth="1" min="3" max="3"/>
    <col width="12" customWidth="1" min="4" max="4"/>
    <col width="12" customWidth="1" min="5" max="5"/>
  </cols>
  <sheetData>
    <row r="1">
      <c r="A1" s="3" t="inlineStr">
        <is>
          <t>Base técnica</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Categoría</t>
        </is>
      </c>
      <c r="B4" s="17" t="inlineStr">
        <is>
          <t>Documento</t>
        </is>
      </c>
      <c r="C4" s="17" t="inlineStr">
        <is>
          <t>Párrafos</t>
        </is>
      </c>
      <c r="D4" s="17" t="inlineStr">
        <is>
          <t>URL</t>
        </is>
      </c>
      <c r="E4" s="17" t="inlineStr">
        <is>
          <t>Verificada</t>
        </is>
      </c>
    </row>
    <row r="5">
      <c r="A5" s="18" t="inlineStr">
        <is>
          <t>NIA · NIA 540 (Revisada)</t>
        </is>
      </c>
      <c r="B5" s="18" t="inlineStr">
        <is>
          <t>Valor razonable de nivel 2–3, TIE y pérdida esperada: evaluar método, datos y supuestos y el posible sesgo.</t>
        </is>
      </c>
      <c r="C5" s="18" t="inlineStr">
        <is>
          <t>párr. 13, 16–30 y 32</t>
        </is>
      </c>
      <c r="D5" s="18" t="inlineStr"/>
      <c r="E5" s="18" t="inlineStr"/>
    </row>
    <row r="6">
      <c r="A6" s="19" t="inlineStr">
        <is>
          <t>NIA · NIA 500</t>
        </is>
      </c>
      <c r="B6" s="19" t="inlineStr">
        <is>
          <t>Integridad y exactitud del anexo de inversiones contra el mayor.</t>
        </is>
      </c>
      <c r="C6" s="19" t="inlineStr">
        <is>
          <t>párr. 6 y 9</t>
        </is>
      </c>
      <c r="D6" s="19" t="inlineStr"/>
      <c r="E6" s="19" t="inlineStr"/>
    </row>
    <row r="7">
      <c r="A7" s="18" t="inlineStr">
        <is>
          <t>NIA · NIA 505</t>
        </is>
      </c>
      <c r="B7" s="18" t="inlineStr">
        <is>
          <t>Confirmar existencia y tenencia con custodios, casas de valores o emisores.</t>
        </is>
      </c>
      <c r="C7" s="18" t="inlineStr">
        <is>
          <t>párr. 7</t>
        </is>
      </c>
      <c r="D7" s="18" t="inlineStr"/>
      <c r="E7" s="18" t="inlineStr"/>
    </row>
    <row r="8">
      <c r="A8" s="19" t="inlineStr">
        <is>
          <t>NIA · NIA 620</t>
        </is>
      </c>
      <c r="B8" s="19" t="inlineStr">
        <is>
          <t>Uso de un experto para valoraciones de nivel 3 cuando corresponda.</t>
        </is>
      </c>
      <c r="C8" s="19" t="inlineStr">
        <is>
          <t>párr. 7</t>
        </is>
      </c>
      <c r="D8" s="19" t="inlineStr"/>
      <c r="E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16"/>
  <sheetViews>
    <sheetView showGridLines="0" workbookViewId="0">
      <pane ySplit="4" topLeftCell="A5" activePane="bottomLeft" state="frozen"/>
      <selection pane="bottomLeft" activeCell="A1" sqref="A1"/>
    </sheetView>
  </sheetViews>
  <sheetFormatPr baseColWidth="8" defaultRowHeight="15"/>
  <cols>
    <col width="37" customWidth="1" min="1" max="1"/>
    <col width="12" customWidth="1" min="2" max="2"/>
  </cols>
  <sheetData>
    <row r="1">
      <c r="A1" s="3" t="inlineStr">
        <is>
          <t>Resumen</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Concepto</t>
        </is>
      </c>
      <c r="B4" s="17" t="inlineStr">
        <is>
          <t>Importe</t>
        </is>
      </c>
    </row>
    <row r="5">
      <c r="A5" s="18" t="inlineStr">
        <is>
          <t>Saldo en libros (bruto)</t>
        </is>
      </c>
      <c r="B5" s="20">
        <f>'10_Conciliacion'!D16</f>
        <v/>
      </c>
    </row>
    <row r="6">
      <c r="A6" s="19" t="inlineStr">
        <is>
          <t>Medición según la norma</t>
        </is>
      </c>
      <c r="B6" s="21">
        <f>'10_Conciliacion'!C16</f>
        <v/>
      </c>
    </row>
    <row r="7">
      <c r="A7" s="18" t="inlineStr">
        <is>
          <t>Diferencia de medición</t>
        </is>
      </c>
      <c r="B7" s="20">
        <f>'10_Conciliacion'!E16</f>
        <v/>
      </c>
    </row>
    <row r="8">
      <c r="A8" s="19" t="inlineStr">
        <is>
          <t>Deterioro recalculado</t>
        </is>
      </c>
      <c r="B8" s="21">
        <f>'08_Deterioro'!I16</f>
        <v/>
      </c>
    </row>
    <row r="9">
      <c r="A9" s="18" t="inlineStr">
        <is>
          <t>Deterioro registrado</t>
        </is>
      </c>
      <c r="B9" s="20">
        <f>'08_Deterioro'!J16</f>
        <v/>
      </c>
    </row>
    <row r="10">
      <c r="A10" s="19" t="inlineStr">
        <is>
          <t>Intereses/dividendos no registrados</t>
        </is>
      </c>
      <c r="B10" s="21">
        <f>'07_Intereses_dividendos'!F16</f>
        <v/>
      </c>
    </row>
    <row r="11">
      <c r="A11" s="18" t="inlineStr">
        <is>
          <t>Diferencia de valor razonable</t>
        </is>
      </c>
      <c r="B11" s="20">
        <f>'06_Valor_razonable'!F12</f>
        <v/>
      </c>
    </row>
    <row r="12">
      <c r="A12" s="19" t="inlineStr">
        <is>
          <t>Ajuste propuesto (importe neto)</t>
        </is>
      </c>
      <c r="B12" s="21">
        <f>'10_Conciliacion'!I16</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Importe</t>
        </is>
      </c>
      <c r="B16" s="25" t="inlineStr">
        <is>
          <t>'='10_Conciliacion'!D16</t>
        </is>
      </c>
      <c r="C16" s="24" t="inlineStr">
        <is>
          <t>Trae cada cifra de la fila TOTAL de su hoja: saldo, medición, diferencia y ajuste de la hoja 10 (Conciliación y ajuste), deterioro de la hoja 08, ingresos no registrados de la hoja 07 y diferencia de valor razonable de la hoja 06.</t>
        </is>
      </c>
      <c r="D16" s="24" t="inlineStr">
        <is>
          <t>Fila 1: 326.400,00 → 326.400,00</t>
        </is>
      </c>
      <c r="E16" s="24" t="inlineStr">
        <is>
          <t>hoja «Conciliación y ajuste»</t>
        </is>
      </c>
      <c r="F16"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2"/>
  <sheetViews>
    <sheetView showGridLines="0" workbookViewId="0">
      <pane ySplit="4" topLeftCell="A5" activePane="bottomLeft" state="frozen"/>
      <selection pane="bottomLeft" activeCell="A1" sqref="A1"/>
    </sheetView>
  </sheetViews>
  <sheetFormatPr baseColWidth="8" defaultRowHeight="15"/>
  <cols>
    <col width="47" customWidth="1" min="1" max="1"/>
    <col width="30" customWidth="1" min="2" max="2"/>
    <col width="57" customWidth="1" min="3" max="3"/>
  </cols>
  <sheetData>
    <row r="1">
      <c r="A1" s="3" t="inlineStr">
        <is>
          <t>Parámetros</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Parámetro</t>
        </is>
      </c>
      <c r="B4" s="17" t="inlineStr">
        <is>
          <t>Valor</t>
        </is>
      </c>
      <c r="C4" s="17" t="inlineStr">
        <is>
          <t>Sustento</t>
        </is>
      </c>
    </row>
    <row r="5">
      <c r="A5" s="18" t="inlineStr">
        <is>
          <t>Fecha de corte</t>
        </is>
      </c>
      <c r="B5" s="26" t="n">
        <v>46022</v>
      </c>
      <c r="C5" s="18" t="inlineStr">
        <is>
          <t>Ficha del encargo</t>
        </is>
      </c>
    </row>
    <row r="6">
      <c r="A6" s="19" t="inlineStr">
        <is>
          <t>Inicio del ejercicio (un año antes del corte)</t>
        </is>
      </c>
      <c r="B6" s="27" t="n">
        <v>45657</v>
      </c>
      <c r="C6" s="19" t="inlineStr">
        <is>
          <t>Base del interés del ejercicio</t>
        </is>
      </c>
    </row>
    <row r="7">
      <c r="A7" s="18" t="inlineStr">
        <is>
          <t>Marco contable</t>
        </is>
      </c>
      <c r="B7" s="18" t="inlineStr">
        <is>
          <t>NIIF completas</t>
        </is>
      </c>
      <c r="C7" s="18" t="inlineStr">
        <is>
          <t>Enruta clasificación y deterioro</t>
        </is>
      </c>
    </row>
    <row r="8">
      <c r="A8" s="19" t="inlineStr">
        <is>
          <t>Pagos de cupón por año (por defecto)</t>
        </is>
      </c>
      <c r="B8" s="28" t="n">
        <v>1</v>
      </c>
      <c r="C8" s="19" t="inlineStr">
        <is>
          <t>Solo si el anexo no lo indica</t>
        </is>
      </c>
    </row>
    <row r="9">
      <c r="A9" s="18" t="inlineStr">
        <is>
          <t>CA</t>
        </is>
      </c>
      <c r="B9" s="18" t="inlineStr">
        <is>
          <t>Costo amortizado</t>
        </is>
      </c>
      <c r="C9" s="18" t="inlineStr">
        <is>
          <t>NIIF 9 4.1.2 · PYMES 11.14 a</t>
        </is>
      </c>
    </row>
    <row r="10">
      <c r="A10" s="19" t="inlineStr">
        <is>
          <t>VRORI</t>
        </is>
      </c>
      <c r="B10" s="19" t="inlineStr">
        <is>
          <t>VR con cambios en ORI</t>
        </is>
      </c>
      <c r="C10" s="19" t="inlineStr">
        <is>
          <t>NIIF 9 4.1.2A y 5.7.5 · no existe en PYMES</t>
        </is>
      </c>
    </row>
    <row r="11">
      <c r="A11" s="18" t="inlineStr">
        <is>
          <t>VRR</t>
        </is>
      </c>
      <c r="B11" s="18" t="inlineStr">
        <is>
          <t>VR con cambios en resultados</t>
        </is>
      </c>
      <c r="C11" s="18" t="inlineStr">
        <is>
          <t>NIIF 9 4.1.4 · PYMES 2015 12.8 / 2025 11.54 y 11.14 c i</t>
        </is>
      </c>
    </row>
    <row r="12">
      <c r="A12" s="19" t="inlineStr">
        <is>
          <t>COSTO</t>
        </is>
      </c>
      <c r="B12" s="19" t="inlineStr">
        <is>
          <t>Costo menos deterioro</t>
        </is>
      </c>
      <c r="C12" s="19" t="inlineStr">
        <is>
          <t>Solo PYMES 11.14 c ii</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A15"/>
  <sheetViews>
    <sheetView showGridLines="0" workbookViewId="0">
      <pane ySplit="4" topLeftCell="A5" activePane="bottomLeft" state="frozen"/>
      <selection pane="bottomLeft" activeCell="A1" sqref="A1"/>
    </sheetView>
  </sheetViews>
  <sheetFormatPr baseColWidth="8" defaultRowHeight="15"/>
  <cols>
    <col width="13" customWidth="1" min="1" max="1"/>
    <col width="32" customWidth="1" min="2" max="2"/>
    <col width="12" customWidth="1" min="3" max="3"/>
    <col width="22" customWidth="1" min="4" max="4"/>
    <col width="15" customWidth="1" min="5" max="5"/>
    <col width="30" customWidth="1" min="6" max="6"/>
    <col width="16" customWidth="1" min="7" max="7"/>
    <col width="13" customWidth="1" min="8" max="8"/>
    <col width="13" customWidth="1" min="9" max="9"/>
    <col width="12" customWidth="1" min="10" max="10"/>
    <col width="12" customWidth="1" min="11" max="11"/>
    <col width="12" customWidth="1" min="12" max="12"/>
    <col width="15" customWidth="1" min="13" max="13"/>
    <col width="17" customWidth="1" min="14" max="14"/>
    <col width="17" customWidth="1" min="15" max="15"/>
    <col width="12" customWidth="1" min="16" max="16"/>
    <col width="22" customWidth="1" min="17" max="17"/>
    <col width="20" customWidth="1" min="18" max="18"/>
    <col width="23" customWidth="1" min="19" max="19"/>
    <col width="12" customWidth="1" min="20" max="20"/>
    <col width="14" customWidth="1" min="21" max="21"/>
    <col width="12" customWidth="1" min="22" max="22"/>
    <col width="12" customWidth="1" min="23" max="23"/>
    <col width="24" customWidth="1" min="24" max="24"/>
    <col width="18" customWidth="1" min="25" max="25"/>
    <col width="27" customWidth="1" min="26" max="26"/>
    <col width="41" customWidth="1" min="27" max="27"/>
  </cols>
  <sheetData>
    <row r="1">
      <c r="A1" s="3" t="inlineStr">
        <is>
          <t>Inventario de inversiones</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c r="AA2" s="16" t="n"/>
    </row>
    <row r="4" ht="30" customHeight="1">
      <c r="A4" s="17" t="inlineStr">
        <is>
          <t>Instrumento</t>
        </is>
      </c>
      <c r="B4" s="17" t="inlineStr">
        <is>
          <t>Emisor</t>
        </is>
      </c>
      <c r="C4" s="17" t="inlineStr">
        <is>
          <t>Tipo</t>
        </is>
      </c>
      <c r="D4" s="17" t="inlineStr">
        <is>
          <t>Modelo de negocio</t>
        </is>
      </c>
      <c r="E4" s="17" t="inlineStr">
        <is>
          <t>SPPI / básico</t>
        </is>
      </c>
      <c r="F4" s="17" t="inlineStr">
        <is>
          <t>Clasificación del cliente</t>
        </is>
      </c>
      <c r="G4" s="17" t="inlineStr">
        <is>
          <t>Código cliente</t>
        </is>
      </c>
      <c r="H4" s="17" t="inlineStr">
        <is>
          <t>Adquisición</t>
        </is>
      </c>
      <c r="I4" s="17" t="inlineStr">
        <is>
          <t>Vencimiento</t>
        </is>
      </c>
      <c r="J4" s="17" t="inlineStr">
        <is>
          <t>Nominal</t>
        </is>
      </c>
      <c r="K4" s="17" t="inlineStr">
        <is>
          <t>Costo</t>
        </is>
      </c>
      <c r="L4" s="17" t="inlineStr">
        <is>
          <t>Cupón %</t>
        </is>
      </c>
      <c r="M4" s="17" t="inlineStr">
        <is>
          <t>Pagos por año</t>
        </is>
      </c>
      <c r="N4" s="17" t="inlineStr">
        <is>
          <t>Saldo en libros</t>
        </is>
      </c>
      <c r="O4" s="17" t="inlineStr">
        <is>
          <t>Valor razonable</t>
        </is>
      </c>
      <c r="P4" s="17" t="inlineStr">
        <is>
          <t>Nivel</t>
        </is>
      </c>
      <c r="Q4" s="17" t="inlineStr">
        <is>
          <t>Deterioro registrado</t>
        </is>
      </c>
      <c r="R4" s="17" t="inlineStr">
        <is>
          <t>Ingreso registrado</t>
        </is>
      </c>
      <c r="S4" s="17" t="inlineStr">
        <is>
          <t>Dividendos decretados</t>
        </is>
      </c>
      <c r="T4" s="17" t="inlineStr">
        <is>
          <t>Indicio</t>
        </is>
      </c>
      <c r="U4" s="17" t="inlineStr">
        <is>
          <t>Calificación</t>
        </is>
      </c>
      <c r="V4" s="17" t="inlineStr">
        <is>
          <t>PD %</t>
        </is>
      </c>
      <c r="W4" s="17" t="inlineStr">
        <is>
          <t>LGD %</t>
        </is>
      </c>
      <c r="X4" s="17" t="inlineStr">
        <is>
          <t>Clasificación anterior</t>
        </is>
      </c>
      <c r="Y4" s="17" t="inlineStr">
        <is>
          <t>Cambio de modelo</t>
        </is>
      </c>
      <c r="Z4" s="17" t="inlineStr">
        <is>
          <t>Básico 11.9 a)–d) (PYMES)</t>
        </is>
      </c>
      <c r="AA4" s="17" t="inlineStr">
        <is>
          <t>Estimación de venta al cierre (11.25 b)</t>
        </is>
      </c>
    </row>
    <row r="5">
      <c r="A5" s="18" t="inlineStr">
        <is>
          <t>BONO-01</t>
        </is>
      </c>
      <c r="B5" s="18" t="inlineStr">
        <is>
          <t>Bonos del Estado (ficticio)</t>
        </is>
      </c>
      <c r="C5" s="18" t="inlineStr">
        <is>
          <t>Deuda</t>
        </is>
      </c>
      <c r="D5" s="18" t="inlineStr">
        <is>
          <t>Mantener para cobrar</t>
        </is>
      </c>
      <c r="E5" s="18" t="inlineStr">
        <is>
          <t>Sí</t>
        </is>
      </c>
      <c r="F5" s="18" t="inlineStr">
        <is>
          <t>Costo amortizado</t>
        </is>
      </c>
      <c r="G5" s="18" t="inlineStr">
        <is>
          <t>CA</t>
        </is>
      </c>
      <c r="H5" s="29" t="n">
        <v>45473</v>
      </c>
      <c r="I5" s="29" t="n">
        <v>47299</v>
      </c>
      <c r="J5" s="20" t="n">
        <v>100000</v>
      </c>
      <c r="K5" s="20" t="n">
        <v>96000</v>
      </c>
      <c r="L5" s="30" t="n">
        <v>8</v>
      </c>
      <c r="M5" s="31" t="n">
        <v>2</v>
      </c>
      <c r="N5" s="20" t="n">
        <v>96500</v>
      </c>
      <c r="O5" s="20" t="n">
        <v>97200</v>
      </c>
      <c r="P5" s="31" t="n">
        <v>2</v>
      </c>
      <c r="Q5" s="20" t="n">
        <v>0</v>
      </c>
      <c r="R5" s="20" t="n">
        <v>8000</v>
      </c>
      <c r="S5" s="20" t="n"/>
      <c r="T5" s="18" t="inlineStr">
        <is>
          <t>No</t>
        </is>
      </c>
      <c r="U5" s="18" t="inlineStr">
        <is>
          <t>AA</t>
        </is>
      </c>
      <c r="V5" s="30" t="n">
        <v>1</v>
      </c>
      <c r="W5" s="30" t="n">
        <v>45</v>
      </c>
      <c r="X5" s="18" t="inlineStr"/>
      <c r="Y5" s="18" t="inlineStr"/>
      <c r="Z5" s="18" t="inlineStr"/>
      <c r="AA5" s="20" t="n"/>
    </row>
    <row r="6">
      <c r="A6" s="19" t="inlineStr">
        <is>
          <t>CDP-02</t>
        </is>
      </c>
      <c r="B6" s="19" t="inlineStr">
        <is>
          <t>Banco del Litoral (ficticio)</t>
        </is>
      </c>
      <c r="C6" s="19" t="inlineStr">
        <is>
          <t>Deuda</t>
        </is>
      </c>
      <c r="D6" s="19" t="inlineStr">
        <is>
          <t>Mantener para cobrar</t>
        </is>
      </c>
      <c r="E6" s="19" t="inlineStr">
        <is>
          <t>Sí</t>
        </is>
      </c>
      <c r="F6" s="19" t="inlineStr">
        <is>
          <t>Costo amortizado</t>
        </is>
      </c>
      <c r="G6" s="19" t="inlineStr">
        <is>
          <t>CA</t>
        </is>
      </c>
      <c r="H6" s="32" t="n">
        <v>45853</v>
      </c>
      <c r="I6" s="32" t="n">
        <v>46218</v>
      </c>
      <c r="J6" s="21" t="n">
        <v>50000</v>
      </c>
      <c r="K6" s="21" t="n">
        <v>50000</v>
      </c>
      <c r="L6" s="28" t="n">
        <v>6</v>
      </c>
      <c r="M6" s="33" t="n">
        <v>1</v>
      </c>
      <c r="N6" s="21" t="n">
        <v>50000</v>
      </c>
      <c r="O6" s="21" t="n"/>
      <c r="P6" s="33" t="n"/>
      <c r="Q6" s="21" t="n">
        <v>100</v>
      </c>
      <c r="R6" s="21" t="n">
        <v>0</v>
      </c>
      <c r="S6" s="21" t="n"/>
      <c r="T6" s="19" t="inlineStr">
        <is>
          <t>No</t>
        </is>
      </c>
      <c r="U6" s="19" t="inlineStr">
        <is>
          <t>AAA</t>
        </is>
      </c>
      <c r="V6" s="28" t="n">
        <v>0.5</v>
      </c>
      <c r="W6" s="28" t="n">
        <v>40</v>
      </c>
      <c r="X6" s="19" t="inlineStr"/>
      <c r="Y6" s="19" t="inlineStr"/>
      <c r="Z6" s="19" t="inlineStr"/>
      <c r="AA6" s="21" t="n"/>
    </row>
    <row r="7">
      <c r="A7" s="18" t="inlineStr">
        <is>
          <t>OBL-03</t>
        </is>
      </c>
      <c r="B7" s="18" t="inlineStr">
        <is>
          <t>Industrial Andina (ficticio)</t>
        </is>
      </c>
      <c r="C7" s="18" t="inlineStr">
        <is>
          <t>Deuda</t>
        </is>
      </c>
      <c r="D7" s="18" t="inlineStr">
        <is>
          <t>Cobrar y vender</t>
        </is>
      </c>
      <c r="E7" s="18" t="inlineStr">
        <is>
          <t>Sí</t>
        </is>
      </c>
      <c r="F7" s="18" t="inlineStr">
        <is>
          <t>Costo amortizado</t>
        </is>
      </c>
      <c r="G7" s="18" t="inlineStr">
        <is>
          <t>CA</t>
        </is>
      </c>
      <c r="H7" s="29" t="n">
        <v>45382</v>
      </c>
      <c r="I7" s="29" t="n">
        <v>46477</v>
      </c>
      <c r="J7" s="20" t="n">
        <v>30000</v>
      </c>
      <c r="K7" s="20" t="n">
        <v>30600</v>
      </c>
      <c r="L7" s="30" t="n">
        <v>9</v>
      </c>
      <c r="M7" s="31" t="n">
        <v>4</v>
      </c>
      <c r="N7" s="20" t="n">
        <v>30400</v>
      </c>
      <c r="O7" s="20" t="n">
        <v>29400</v>
      </c>
      <c r="P7" s="31" t="n">
        <v>2</v>
      </c>
      <c r="Q7" s="20" t="n"/>
      <c r="R7" s="20" t="n">
        <v>2500</v>
      </c>
      <c r="S7" s="20" t="n"/>
      <c r="T7" s="18" t="inlineStr">
        <is>
          <t>No</t>
        </is>
      </c>
      <c r="U7" s="18" t="inlineStr">
        <is>
          <t>A</t>
        </is>
      </c>
      <c r="V7" s="30" t="n">
        <v>1</v>
      </c>
      <c r="W7" s="30" t="n">
        <v>45</v>
      </c>
      <c r="X7" s="18" t="inlineStr"/>
      <c r="Y7" s="18" t="inlineStr"/>
      <c r="Z7" s="18" t="inlineStr"/>
      <c r="AA7" s="20" t="n"/>
    </row>
    <row r="8">
      <c r="A8" s="19" t="inlineStr">
        <is>
          <t>ACC-04</t>
        </is>
      </c>
      <c r="B8" s="19" t="inlineStr">
        <is>
          <t>Comercial Andina (ficticio)</t>
        </is>
      </c>
      <c r="C8" s="19" t="inlineStr">
        <is>
          <t>Patrimonio</t>
        </is>
      </c>
      <c r="D8" s="19" t="inlineStr">
        <is>
          <t>Negociar</t>
        </is>
      </c>
      <c r="E8" s="19" t="inlineStr"/>
      <c r="F8" s="19" t="inlineStr">
        <is>
          <t>VR con cambios en resultados</t>
        </is>
      </c>
      <c r="G8" s="19" t="inlineStr">
        <is>
          <t>VRR</t>
        </is>
      </c>
      <c r="H8" s="34" t="n"/>
      <c r="I8" s="34" t="n"/>
      <c r="J8" s="21" t="n"/>
      <c r="K8" s="21" t="n">
        <v>40000</v>
      </c>
      <c r="L8" s="19" t="n"/>
      <c r="M8" s="33" t="n">
        <v>1</v>
      </c>
      <c r="N8" s="21" t="n">
        <v>42000</v>
      </c>
      <c r="O8" s="21" t="n">
        <v>45000</v>
      </c>
      <c r="P8" s="33" t="n">
        <v>1</v>
      </c>
      <c r="Q8" s="21" t="n"/>
      <c r="R8" s="21" t="n">
        <v>1800</v>
      </c>
      <c r="S8" s="21" t="n">
        <v>1800</v>
      </c>
      <c r="T8" s="19" t="inlineStr"/>
      <c r="U8" s="19" t="inlineStr"/>
      <c r="V8" s="19" t="n"/>
      <c r="W8" s="19" t="n"/>
      <c r="X8" s="19" t="inlineStr"/>
      <c r="Y8" s="19" t="inlineStr"/>
      <c r="Z8" s="19" t="inlineStr"/>
      <c r="AA8" s="21" t="n"/>
    </row>
    <row r="9">
      <c r="A9" s="18" t="inlineStr">
        <is>
          <t>ACC-05</t>
        </is>
      </c>
      <c r="B9" s="18" t="inlineStr">
        <is>
          <t>Inmobiliaria Sur (ficticio)</t>
        </is>
      </c>
      <c r="C9" s="18" t="inlineStr">
        <is>
          <t>Patrimonio</t>
        </is>
      </c>
      <c r="D9" s="18" t="inlineStr">
        <is>
          <t>Mantener para cobrar</t>
        </is>
      </c>
      <c r="E9" s="18" t="inlineStr"/>
      <c r="F9" s="18" t="inlineStr">
        <is>
          <t>VR con cambios en ORI</t>
        </is>
      </c>
      <c r="G9" s="18" t="inlineStr">
        <is>
          <t>VRORI</t>
        </is>
      </c>
      <c r="H9" s="35" t="n"/>
      <c r="I9" s="35" t="n"/>
      <c r="J9" s="20" t="n"/>
      <c r="K9" s="20" t="n">
        <v>10000</v>
      </c>
      <c r="L9" s="18" t="n"/>
      <c r="M9" s="31" t="n">
        <v>1</v>
      </c>
      <c r="N9" s="20" t="n">
        <v>12500</v>
      </c>
      <c r="O9" s="20" t="n">
        <v>12500</v>
      </c>
      <c r="P9" s="31" t="n">
        <v>3</v>
      </c>
      <c r="Q9" s="20" t="n"/>
      <c r="R9" s="20" t="n">
        <v>0</v>
      </c>
      <c r="S9" s="20" t="n">
        <v>500</v>
      </c>
      <c r="T9" s="18" t="inlineStr"/>
      <c r="U9" s="18" t="inlineStr"/>
      <c r="V9" s="18" t="n"/>
      <c r="W9" s="18" t="n"/>
      <c r="X9" s="18" t="inlineStr"/>
      <c r="Y9" s="18" t="inlineStr"/>
      <c r="Z9" s="18" t="inlineStr"/>
      <c r="AA9" s="20" t="n"/>
    </row>
    <row r="10">
      <c r="A10" s="19" t="inlineStr">
        <is>
          <t>FND-06</t>
        </is>
      </c>
      <c r="B10" s="19" t="inlineStr">
        <is>
          <t>Fondo Renta Fija (ficticio)</t>
        </is>
      </c>
      <c r="C10" s="19" t="inlineStr">
        <is>
          <t>Fondo</t>
        </is>
      </c>
      <c r="D10" s="19" t="inlineStr">
        <is>
          <t>Negociar</t>
        </is>
      </c>
      <c r="E10" s="19" t="inlineStr"/>
      <c r="F10" s="19" t="inlineStr">
        <is>
          <t>VR con cambios en resultados</t>
        </is>
      </c>
      <c r="G10" s="19" t="inlineStr">
        <is>
          <t>VRR</t>
        </is>
      </c>
      <c r="H10" s="34" t="n"/>
      <c r="I10" s="34" t="n"/>
      <c r="J10" s="21" t="n"/>
      <c r="K10" s="21" t="n">
        <v>19000</v>
      </c>
      <c r="L10" s="19" t="n"/>
      <c r="M10" s="33" t="n">
        <v>1</v>
      </c>
      <c r="N10" s="21" t="n">
        <v>20000</v>
      </c>
      <c r="O10" s="21" t="n">
        <v>20500</v>
      </c>
      <c r="P10" s="33" t="n"/>
      <c r="Q10" s="21" t="n"/>
      <c r="R10" s="21" t="n">
        <v>0</v>
      </c>
      <c r="S10" s="21" t="n"/>
      <c r="T10" s="19" t="inlineStr"/>
      <c r="U10" s="19" t="inlineStr"/>
      <c r="V10" s="19" t="n"/>
      <c r="W10" s="19" t="n"/>
      <c r="X10" s="19" t="inlineStr"/>
      <c r="Y10" s="19" t="inlineStr"/>
      <c r="Z10" s="19" t="inlineStr"/>
      <c r="AA10" s="21" t="n"/>
    </row>
    <row r="11">
      <c r="A11" s="18" t="inlineStr">
        <is>
          <t>PAG-07</t>
        </is>
      </c>
      <c r="B11" s="18" t="inlineStr">
        <is>
          <t>Distribuidora Norte (ficticio)</t>
        </is>
      </c>
      <c r="C11" s="18" t="inlineStr">
        <is>
          <t>Deuda</t>
        </is>
      </c>
      <c r="D11" s="18" t="inlineStr">
        <is>
          <t>Mantener para cobrar</t>
        </is>
      </c>
      <c r="E11" s="18" t="inlineStr">
        <is>
          <t>Sí</t>
        </is>
      </c>
      <c r="F11" s="18" t="inlineStr">
        <is>
          <t>Costo amortizado</t>
        </is>
      </c>
      <c r="G11" s="18" t="inlineStr">
        <is>
          <t>CA</t>
        </is>
      </c>
      <c r="H11" s="29" t="n">
        <v>45565</v>
      </c>
      <c r="I11" s="29" t="n">
        <v>46295</v>
      </c>
      <c r="J11" s="20" t="n">
        <v>25000</v>
      </c>
      <c r="K11" s="20" t="n">
        <v>25000</v>
      </c>
      <c r="L11" s="30" t="n">
        <v>10</v>
      </c>
      <c r="M11" s="31" t="n">
        <v>2</v>
      </c>
      <c r="N11" s="20" t="n">
        <v>25000</v>
      </c>
      <c r="O11" s="20" t="n"/>
      <c r="P11" s="31" t="n"/>
      <c r="Q11" s="20" t="n">
        <v>3000</v>
      </c>
      <c r="R11" s="20" t="n">
        <v>2500</v>
      </c>
      <c r="S11" s="20" t="n"/>
      <c r="T11" s="18" t="inlineStr">
        <is>
          <t>Sí</t>
        </is>
      </c>
      <c r="U11" s="18" t="inlineStr">
        <is>
          <t>C</t>
        </is>
      </c>
      <c r="V11" s="30" t="n">
        <v>60</v>
      </c>
      <c r="W11" s="30" t="n">
        <v>50</v>
      </c>
      <c r="X11" s="18" t="inlineStr"/>
      <c r="Y11" s="18" t="inlineStr"/>
      <c r="Z11" s="18" t="inlineStr"/>
      <c r="AA11" s="20" t="n"/>
    </row>
    <row r="12">
      <c r="A12" s="19" t="inlineStr">
        <is>
          <t>BONO-08</t>
        </is>
      </c>
      <c r="B12" s="19" t="inlineStr">
        <is>
          <t>Energía Convertible (ficticio)</t>
        </is>
      </c>
      <c r="C12" s="19" t="inlineStr">
        <is>
          <t>Deuda</t>
        </is>
      </c>
      <c r="D12" s="19" t="inlineStr">
        <is>
          <t>Mantener para cobrar</t>
        </is>
      </c>
      <c r="E12" s="19" t="inlineStr">
        <is>
          <t>No</t>
        </is>
      </c>
      <c r="F12" s="19" t="inlineStr">
        <is>
          <t>Costo amortizado</t>
        </is>
      </c>
      <c r="G12" s="19" t="inlineStr">
        <is>
          <t>CA</t>
        </is>
      </c>
      <c r="H12" s="32" t="n">
        <v>45688</v>
      </c>
      <c r="I12" s="32" t="n">
        <v>46783</v>
      </c>
      <c r="J12" s="21" t="n">
        <v>15000</v>
      </c>
      <c r="K12" s="21" t="n">
        <v>15000</v>
      </c>
      <c r="L12" s="28" t="n">
        <v>5</v>
      </c>
      <c r="M12" s="33" t="n">
        <v>1</v>
      </c>
      <c r="N12" s="21" t="n">
        <v>15000</v>
      </c>
      <c r="O12" s="21" t="n">
        <v>15800</v>
      </c>
      <c r="P12" s="33" t="n">
        <v>2</v>
      </c>
      <c r="Q12" s="21" t="n"/>
      <c r="R12" s="21" t="n">
        <v>687.5</v>
      </c>
      <c r="S12" s="21" t="n"/>
      <c r="T12" s="19" t="inlineStr"/>
      <c r="U12" s="19" t="inlineStr"/>
      <c r="V12" s="19" t="n"/>
      <c r="W12" s="19" t="n"/>
      <c r="X12" s="19" t="inlineStr"/>
      <c r="Y12" s="19" t="inlineStr"/>
      <c r="Z12" s="19" t="inlineStr"/>
      <c r="AA12" s="21" t="n"/>
    </row>
    <row r="13">
      <c r="A13" s="18" t="inlineStr">
        <is>
          <t>POL-09</t>
        </is>
      </c>
      <c r="B13" s="18" t="inlineStr">
        <is>
          <t>Financiera Pacífico (ficticio)</t>
        </is>
      </c>
      <c r="C13" s="18" t="inlineStr">
        <is>
          <t>Deuda</t>
        </is>
      </c>
      <c r="D13" s="18" t="inlineStr">
        <is>
          <t>Mantener para cobrar</t>
        </is>
      </c>
      <c r="E13" s="18" t="inlineStr">
        <is>
          <t>Sí</t>
        </is>
      </c>
      <c r="F13" s="18" t="inlineStr">
        <is>
          <t>Costo amortizado</t>
        </is>
      </c>
      <c r="G13" s="18" t="inlineStr">
        <is>
          <t>CA</t>
        </is>
      </c>
      <c r="H13" s="29" t="n">
        <v>45961</v>
      </c>
      <c r="I13" s="29" t="n">
        <v>46142</v>
      </c>
      <c r="J13" s="20" t="n">
        <v>10000</v>
      </c>
      <c r="K13" s="20" t="n">
        <v>9800</v>
      </c>
      <c r="L13" s="30" t="n">
        <v>0</v>
      </c>
      <c r="M13" s="31" t="n">
        <v>2</v>
      </c>
      <c r="N13" s="20" t="n">
        <v>9800</v>
      </c>
      <c r="O13" s="20" t="n"/>
      <c r="P13" s="31" t="n"/>
      <c r="Q13" s="20" t="n"/>
      <c r="R13" s="20" t="n">
        <v>0</v>
      </c>
      <c r="S13" s="20" t="n"/>
      <c r="T13" s="18" t="inlineStr">
        <is>
          <t>No</t>
        </is>
      </c>
      <c r="U13" s="18" t="inlineStr">
        <is>
          <t>BB</t>
        </is>
      </c>
      <c r="V13" s="30" t="n">
        <v>2</v>
      </c>
      <c r="W13" s="30" t="n">
        <v>40</v>
      </c>
      <c r="X13" s="18" t="inlineStr"/>
      <c r="Y13" s="18" t="inlineStr"/>
      <c r="Z13" s="18" t="inlineStr"/>
      <c r="AA13" s="20" t="n"/>
    </row>
    <row r="14">
      <c r="A14" s="19" t="inlineStr">
        <is>
          <t>OBL-10</t>
        </is>
      </c>
      <c r="B14" s="19" t="inlineStr">
        <is>
          <t>Eléctrica Costa (ficticio)</t>
        </is>
      </c>
      <c r="C14" s="19" t="inlineStr">
        <is>
          <t>Deuda</t>
        </is>
      </c>
      <c r="D14" s="19" t="inlineStr">
        <is>
          <t>Cobrar y vender</t>
        </is>
      </c>
      <c r="E14" s="19" t="inlineStr">
        <is>
          <t>Sí</t>
        </is>
      </c>
      <c r="F14" s="19" t="inlineStr">
        <is>
          <t>VR con cambios en ORI</t>
        </is>
      </c>
      <c r="G14" s="19" t="inlineStr">
        <is>
          <t>VRORI</t>
        </is>
      </c>
      <c r="H14" s="32" t="n">
        <v>45291</v>
      </c>
      <c r="I14" s="32" t="n">
        <v>47118</v>
      </c>
      <c r="J14" s="21" t="n">
        <v>20000</v>
      </c>
      <c r="K14" s="21" t="n">
        <v>20000</v>
      </c>
      <c r="L14" s="28" t="n">
        <v>8</v>
      </c>
      <c r="M14" s="33" t="n">
        <v>1</v>
      </c>
      <c r="N14" s="21" t="n">
        <v>20200</v>
      </c>
      <c r="O14" s="21" t="n">
        <v>20200</v>
      </c>
      <c r="P14" s="33" t="n">
        <v>2</v>
      </c>
      <c r="Q14" s="21" t="n">
        <v>0</v>
      </c>
      <c r="R14" s="21" t="n">
        <v>1600</v>
      </c>
      <c r="S14" s="21" t="n"/>
      <c r="T14" s="19" t="inlineStr">
        <is>
          <t>No</t>
        </is>
      </c>
      <c r="U14" s="19" t="inlineStr">
        <is>
          <t>A</t>
        </is>
      </c>
      <c r="V14" s="28" t="n">
        <v>1.5</v>
      </c>
      <c r="W14" s="28" t="n">
        <v>45</v>
      </c>
      <c r="X14" s="19" t="inlineStr">
        <is>
          <t>CA</t>
        </is>
      </c>
      <c r="Y14" s="19" t="inlineStr">
        <is>
          <t>No</t>
        </is>
      </c>
      <c r="Z14" s="19" t="inlineStr"/>
      <c r="AA14" s="21" t="n"/>
    </row>
    <row r="15">
      <c r="A15" s="18" t="inlineStr">
        <is>
          <t>BONO-11</t>
        </is>
      </c>
      <c r="B15" s="18" t="inlineStr">
        <is>
          <t>Constructora Sierra (ficticio)</t>
        </is>
      </c>
      <c r="C15" s="18" t="inlineStr">
        <is>
          <t>Deuda</t>
        </is>
      </c>
      <c r="D15" s="18" t="inlineStr">
        <is>
          <t>Mantener para cobrar</t>
        </is>
      </c>
      <c r="E15" s="18" t="inlineStr">
        <is>
          <t>Sí</t>
        </is>
      </c>
      <c r="F15" s="18" t="inlineStr">
        <is>
          <t>Costo amortizado</t>
        </is>
      </c>
      <c r="G15" s="18" t="inlineStr">
        <is>
          <t>CA</t>
        </is>
      </c>
      <c r="H15" s="29" t="n">
        <v>45260</v>
      </c>
      <c r="I15" s="29" t="n">
        <v>45991</v>
      </c>
      <c r="J15" s="20" t="n">
        <v>5000</v>
      </c>
      <c r="K15" s="20" t="n">
        <v>5000</v>
      </c>
      <c r="L15" s="30" t="n">
        <v>7</v>
      </c>
      <c r="M15" s="31" t="n">
        <v>1</v>
      </c>
      <c r="N15" s="20" t="n">
        <v>5000</v>
      </c>
      <c r="O15" s="20" t="n"/>
      <c r="P15" s="31" t="n"/>
      <c r="Q15" s="20" t="n"/>
      <c r="R15" s="20" t="n">
        <v>350</v>
      </c>
      <c r="S15" s="20" t="n"/>
      <c r="T15" s="18" t="inlineStr"/>
      <c r="U15" s="18" t="inlineStr"/>
      <c r="V15" s="18" t="n"/>
      <c r="W15" s="18" t="n"/>
      <c r="X15" s="18" t="inlineStr"/>
      <c r="Y15" s="18" t="inlineStr"/>
      <c r="Z15" s="18" t="inlineStr"/>
      <c r="AA15" s="20" t="n"/>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26"/>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22" customWidth="1" min="3" max="3"/>
    <col width="37" customWidth="1" min="4" max="4"/>
    <col width="29" customWidth="1" min="5" max="5"/>
    <col width="27" customWidth="1" min="6" max="6"/>
    <col width="14" customWidth="1" min="7" max="7"/>
    <col width="30" customWidth="1" min="8" max="8"/>
    <col width="15" customWidth="1" min="9" max="9"/>
    <col width="60" customWidth="1" min="10" max="10"/>
  </cols>
  <sheetData>
    <row r="1">
      <c r="A1" s="3" t="inlineStr">
        <is>
          <t>Clasificación</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c r="I2" s="16" t="n"/>
      <c r="J2" s="16" t="n"/>
    </row>
    <row r="4" ht="30" customHeight="1">
      <c r="A4" s="17" t="inlineStr">
        <is>
          <t>Instrumento</t>
        </is>
      </c>
      <c r="B4" s="17" t="inlineStr">
        <is>
          <t>Tipo</t>
        </is>
      </c>
      <c r="C4" s="17" t="inlineStr">
        <is>
          <t>Modelo de negocio</t>
        </is>
      </c>
      <c r="D4" s="17" t="inlineStr">
        <is>
          <t>¿Flujos solo principal e intereses?</t>
        </is>
      </c>
      <c r="E4" s="17" t="inlineStr">
        <is>
          <t>¿Básico 11.9 a)–d)? (PYMES)</t>
        </is>
      </c>
      <c r="F4" s="17" t="inlineStr">
        <is>
          <t>Clasificación del cliente</t>
        </is>
      </c>
      <c r="G4" s="17" t="inlineStr">
        <is>
          <t>¿VR medible?</t>
        </is>
      </c>
      <c r="H4" s="17" t="inlineStr">
        <is>
          <t>Clasificación según la norma</t>
        </is>
      </c>
      <c r="I4" s="17" t="inlineStr">
        <is>
          <t>¿Consistente?</t>
        </is>
      </c>
      <c r="J4" s="17" t="inlineStr">
        <is>
          <t>Fundamento</t>
        </is>
      </c>
    </row>
    <row r="5">
      <c r="A5" s="18" t="inlineStr">
        <is>
          <t>BONO-01</t>
        </is>
      </c>
      <c r="B5" s="18">
        <f>'03_Inventario'!C5&amp;""</f>
        <v/>
      </c>
      <c r="C5" s="18">
        <f>'03_Inventario'!D5&amp;""</f>
        <v/>
      </c>
      <c r="D5" s="18">
        <f>'03_Inventario'!E5&amp;""</f>
        <v/>
      </c>
      <c r="E5" s="18">
        <f>'03_Inventario'!Z5&amp;""</f>
        <v/>
      </c>
      <c r="F5" s="18">
        <f>'03_Inventario'!G5&amp;""</f>
        <v/>
      </c>
      <c r="G5" s="18">
        <f>IF('03_Inventario'!O5&lt;&gt;"","Sí","No")</f>
        <v/>
      </c>
      <c r="H5" s="18">
        <f>IF(B5="Deuda",IF(D5="","",IF(D5="No","VRR",IF(C5="Mantener para cobrar","CA",IF(C5="Cobrar y vender","VRORI",IF(C5="Negociar","VRR",""))))),IF(B5="Patrimonio",IF(AND(F5="VRORI",C5&lt;&gt;"Negociar"),"VRORI","VRR"),"VRR"))</f>
        <v/>
      </c>
      <c r="I5" s="18">
        <f>IF(H5="","",IF(H5=F5,"Sí","No"))</f>
        <v/>
      </c>
      <c r="J5" s="18" t="inlineStr">
        <is>
          <t>SPPI y mantener para cobrar: costo amortizado (4.1.2).</t>
        </is>
      </c>
    </row>
    <row r="6">
      <c r="A6" s="19" t="inlineStr">
        <is>
          <t>CDP-02</t>
        </is>
      </c>
      <c r="B6" s="19">
        <f>'03_Inventario'!C6&amp;""</f>
        <v/>
      </c>
      <c r="C6" s="19">
        <f>'03_Inventario'!D6&amp;""</f>
        <v/>
      </c>
      <c r="D6" s="19">
        <f>'03_Inventario'!E6&amp;""</f>
        <v/>
      </c>
      <c r="E6" s="19">
        <f>'03_Inventario'!Z6&amp;""</f>
        <v/>
      </c>
      <c r="F6" s="19">
        <f>'03_Inventario'!G6&amp;""</f>
        <v/>
      </c>
      <c r="G6" s="19">
        <f>IF('03_Inventario'!O6&lt;&gt;"","Sí","No")</f>
        <v/>
      </c>
      <c r="H6" s="19">
        <f>IF(B6="Deuda",IF(D6="","",IF(D6="No","VRR",IF(C6="Mantener para cobrar","CA",IF(C6="Cobrar y vender","VRORI",IF(C6="Negociar","VRR",""))))),IF(B6="Patrimonio",IF(AND(F6="VRORI",C6&lt;&gt;"Negociar"),"VRORI","VRR"),"VRR"))</f>
        <v/>
      </c>
      <c r="I6" s="19">
        <f>IF(H6="","",IF(H6=F6,"Sí","No"))</f>
        <v/>
      </c>
      <c r="J6" s="19" t="inlineStr">
        <is>
          <t>SPPI y mantener para cobrar: costo amortizado (4.1.2).</t>
        </is>
      </c>
    </row>
    <row r="7">
      <c r="A7" s="18" t="inlineStr">
        <is>
          <t>OBL-03</t>
        </is>
      </c>
      <c r="B7" s="18">
        <f>'03_Inventario'!C7&amp;""</f>
        <v/>
      </c>
      <c r="C7" s="18">
        <f>'03_Inventario'!D7&amp;""</f>
        <v/>
      </c>
      <c r="D7" s="18">
        <f>'03_Inventario'!E7&amp;""</f>
        <v/>
      </c>
      <c r="E7" s="18">
        <f>'03_Inventario'!Z7&amp;""</f>
        <v/>
      </c>
      <c r="F7" s="18">
        <f>'03_Inventario'!G7&amp;""</f>
        <v/>
      </c>
      <c r="G7" s="18">
        <f>IF('03_Inventario'!O7&lt;&gt;"","Sí","No")</f>
        <v/>
      </c>
      <c r="H7" s="18">
        <f>IF(B7="Deuda",IF(D7="","",IF(D7="No","VRR",IF(C7="Mantener para cobrar","CA",IF(C7="Cobrar y vender","VRORI",IF(C7="Negociar","VRR",""))))),IF(B7="Patrimonio",IF(AND(F7="VRORI",C7&lt;&gt;"Negociar"),"VRORI","VRR"),"VRR"))</f>
        <v/>
      </c>
      <c r="I7" s="18">
        <f>IF(H7="","",IF(H7=F7,"Sí","No"))</f>
        <v/>
      </c>
      <c r="J7" s="18" t="inlineStr">
        <is>
          <t>SPPI y cobrar y vender: VR con cambios en ORI (4.1.2A).</t>
        </is>
      </c>
    </row>
    <row r="8">
      <c r="A8" s="19" t="inlineStr">
        <is>
          <t>ACC-04</t>
        </is>
      </c>
      <c r="B8" s="19">
        <f>'03_Inventario'!C8&amp;""</f>
        <v/>
      </c>
      <c r="C8" s="19">
        <f>'03_Inventario'!D8&amp;""</f>
        <v/>
      </c>
      <c r="D8" s="19">
        <f>'03_Inventario'!E8&amp;""</f>
        <v/>
      </c>
      <c r="E8" s="19">
        <f>'03_Inventario'!Z8&amp;""</f>
        <v/>
      </c>
      <c r="F8" s="19">
        <f>'03_Inventario'!G8&amp;""</f>
        <v/>
      </c>
      <c r="G8" s="19">
        <f>IF('03_Inventario'!O8&lt;&gt;"","Sí","No")</f>
        <v/>
      </c>
      <c r="H8" s="19">
        <f>IF(B8="Deuda",IF(D8="","",IF(D8="No","VRR",IF(C8="Mantener para cobrar","CA",IF(C8="Cobrar y vender","VRORI",IF(C8="Negociar","VRR",""))))),IF(B8="Patrimonio",IF(AND(F8="VRORI",C8&lt;&gt;"Negociar"),"VRORI","VRR"),"VRR"))</f>
        <v/>
      </c>
      <c r="I8" s="19">
        <f>IF(H8="","",IF(H8=F8,"Sí","No"))</f>
        <v/>
      </c>
      <c r="J8" s="19" t="inlineStr">
        <is>
          <t>Patrimonio: VR con cambios en resultados (4.1.4).</t>
        </is>
      </c>
    </row>
    <row r="9">
      <c r="A9" s="18" t="inlineStr">
        <is>
          <t>ACC-05</t>
        </is>
      </c>
      <c r="B9" s="18">
        <f>'03_Inventario'!C9&amp;""</f>
        <v/>
      </c>
      <c r="C9" s="18">
        <f>'03_Inventario'!D9&amp;""</f>
        <v/>
      </c>
      <c r="D9" s="18">
        <f>'03_Inventario'!E9&amp;""</f>
        <v/>
      </c>
      <c r="E9" s="18">
        <f>'03_Inventario'!Z9&amp;""</f>
        <v/>
      </c>
      <c r="F9" s="18">
        <f>'03_Inventario'!G9&amp;""</f>
        <v/>
      </c>
      <c r="G9" s="18">
        <f>IF('03_Inventario'!O9&lt;&gt;"","Sí","No")</f>
        <v/>
      </c>
      <c r="H9" s="18">
        <f>IF(B9="Deuda",IF(D9="","",IF(D9="No","VRR",IF(C9="Mantener para cobrar","CA",IF(C9="Cobrar y vender","VRORI",IF(C9="Negociar","VRR",""))))),IF(B9="Patrimonio",IF(AND(F9="VRORI",C9&lt;&gt;"Negociar"),"VRORI","VRR"),"VRR"))</f>
        <v/>
      </c>
      <c r="I9" s="18">
        <f>IF(H9="","",IF(H9=F9,"Sí","No"))</f>
        <v/>
      </c>
      <c r="J9" s="18" t="inlineStr">
        <is>
          <t>Elección irrevocable de ORI para patrimonio no mantenido para negociar (4.1.4, 5.7.5, B5.7.1); dividendos a resultados (5.7.6).</t>
        </is>
      </c>
    </row>
    <row r="10">
      <c r="A10" s="19" t="inlineStr">
        <is>
          <t>FND-06</t>
        </is>
      </c>
      <c r="B10" s="19">
        <f>'03_Inventario'!C10&amp;""</f>
        <v/>
      </c>
      <c r="C10" s="19">
        <f>'03_Inventario'!D10&amp;""</f>
        <v/>
      </c>
      <c r="D10" s="19">
        <f>'03_Inventario'!E10&amp;""</f>
        <v/>
      </c>
      <c r="E10" s="19">
        <f>'03_Inventario'!Z10&amp;""</f>
        <v/>
      </c>
      <c r="F10" s="19">
        <f>'03_Inventario'!G10&amp;""</f>
        <v/>
      </c>
      <c r="G10" s="19">
        <f>IF('03_Inventario'!O10&lt;&gt;"","Sí","No")</f>
        <v/>
      </c>
      <c r="H10" s="19">
        <f>IF(B10="Deuda",IF(D10="","",IF(D10="No","VRR",IF(C10="Mantener para cobrar","CA",IF(C10="Cobrar y vender","VRORI",IF(C10="Negociar","VRR",""))))),IF(B10="Patrimonio",IF(AND(F10="VRORI",C10&lt;&gt;"Negociar"),"VRORI","VRR"),"VRR"))</f>
        <v/>
      </c>
      <c r="I10" s="19">
        <f>IF(H10="","",IF(H10=F10,"Sí","No"))</f>
        <v/>
      </c>
      <c r="J10" s="19" t="inlineStr">
        <is>
          <t>Derivado o participación en fondo: VR con cambios en resultados (4.1.4; fondos: flujos no SPPI, revisar B4.1.7–B4.1.26).</t>
        </is>
      </c>
    </row>
    <row r="11">
      <c r="A11" s="18" t="inlineStr">
        <is>
          <t>PAG-07</t>
        </is>
      </c>
      <c r="B11" s="18">
        <f>'03_Inventario'!C11&amp;""</f>
        <v/>
      </c>
      <c r="C11" s="18">
        <f>'03_Inventario'!D11&amp;""</f>
        <v/>
      </c>
      <c r="D11" s="18">
        <f>'03_Inventario'!E11&amp;""</f>
        <v/>
      </c>
      <c r="E11" s="18">
        <f>'03_Inventario'!Z11&amp;""</f>
        <v/>
      </c>
      <c r="F11" s="18">
        <f>'03_Inventario'!G11&amp;""</f>
        <v/>
      </c>
      <c r="G11" s="18">
        <f>IF('03_Inventario'!O11&lt;&gt;"","Sí","No")</f>
        <v/>
      </c>
      <c r="H11" s="18">
        <f>IF(B11="Deuda",IF(D11="","",IF(D11="No","VRR",IF(C11="Mantener para cobrar","CA",IF(C11="Cobrar y vender","VRORI",IF(C11="Negociar","VRR",""))))),IF(B11="Patrimonio",IF(AND(F11="VRORI",C11&lt;&gt;"Negociar"),"VRORI","VRR"),"VRR"))</f>
        <v/>
      </c>
      <c r="I11" s="18">
        <f>IF(H11="","",IF(H11=F11,"Sí","No"))</f>
        <v/>
      </c>
      <c r="J11" s="18" t="inlineStr">
        <is>
          <t>SPPI y mantener para cobrar: costo amortizado (4.1.2).</t>
        </is>
      </c>
    </row>
    <row r="12">
      <c r="A12" s="19" t="inlineStr">
        <is>
          <t>BONO-08</t>
        </is>
      </c>
      <c r="B12" s="19">
        <f>'03_Inventario'!C12&amp;""</f>
        <v/>
      </c>
      <c r="C12" s="19">
        <f>'03_Inventario'!D12&amp;""</f>
        <v/>
      </c>
      <c r="D12" s="19">
        <f>'03_Inventario'!E12&amp;""</f>
        <v/>
      </c>
      <c r="E12" s="19">
        <f>'03_Inventario'!Z12&amp;""</f>
        <v/>
      </c>
      <c r="F12" s="19">
        <f>'03_Inventario'!G12&amp;""</f>
        <v/>
      </c>
      <c r="G12" s="19">
        <f>IF('03_Inventario'!O12&lt;&gt;"","Sí","No")</f>
        <v/>
      </c>
      <c r="H12" s="19">
        <f>IF(B12="Deuda",IF(D12="","",IF(D12="No","VRR",IF(C12="Mantener para cobrar","CA",IF(C12="Cobrar y vender","VRORI",IF(C12="Negociar","VRR",""))))),IF(B12="Patrimonio",IF(AND(F12="VRORI",C12&lt;&gt;"Negociar"),"VRORI","VRR"),"VRR"))</f>
        <v/>
      </c>
      <c r="I12" s="19">
        <f>IF(H12="","",IF(H12=F12,"Sí","No"))</f>
        <v/>
      </c>
      <c r="J12" s="19" t="inlineStr">
        <is>
          <t>No SPPI o modelo de negociación: VR con cambios en resultados (4.1.4); designación 4.1.5 solo si elimina una asimetría.</t>
        </is>
      </c>
    </row>
    <row r="13">
      <c r="A13" s="18" t="inlineStr">
        <is>
          <t>POL-09</t>
        </is>
      </c>
      <c r="B13" s="18">
        <f>'03_Inventario'!C13&amp;""</f>
        <v/>
      </c>
      <c r="C13" s="18">
        <f>'03_Inventario'!D13&amp;""</f>
        <v/>
      </c>
      <c r="D13" s="18">
        <f>'03_Inventario'!E13&amp;""</f>
        <v/>
      </c>
      <c r="E13" s="18">
        <f>'03_Inventario'!Z13&amp;""</f>
        <v/>
      </c>
      <c r="F13" s="18">
        <f>'03_Inventario'!G13&amp;""</f>
        <v/>
      </c>
      <c r="G13" s="18">
        <f>IF('03_Inventario'!O13&lt;&gt;"","Sí","No")</f>
        <v/>
      </c>
      <c r="H13" s="18">
        <f>IF(B13="Deuda",IF(D13="","",IF(D13="No","VRR",IF(C13="Mantener para cobrar","CA",IF(C13="Cobrar y vender","VRORI",IF(C13="Negociar","VRR",""))))),IF(B13="Patrimonio",IF(AND(F13="VRORI",C13&lt;&gt;"Negociar"),"VRORI","VRR"),"VRR"))</f>
        <v/>
      </c>
      <c r="I13" s="18">
        <f>IF(H13="","",IF(H13=F13,"Sí","No"))</f>
        <v/>
      </c>
      <c r="J13" s="18" t="inlineStr">
        <is>
          <t>SPPI y mantener para cobrar: costo amortizado (4.1.2).</t>
        </is>
      </c>
    </row>
    <row r="14">
      <c r="A14" s="19" t="inlineStr">
        <is>
          <t>OBL-10</t>
        </is>
      </c>
      <c r="B14" s="19">
        <f>'03_Inventario'!C14&amp;""</f>
        <v/>
      </c>
      <c r="C14" s="19">
        <f>'03_Inventario'!D14&amp;""</f>
        <v/>
      </c>
      <c r="D14" s="19">
        <f>'03_Inventario'!E14&amp;""</f>
        <v/>
      </c>
      <c r="E14" s="19">
        <f>'03_Inventario'!Z14&amp;""</f>
        <v/>
      </c>
      <c r="F14" s="19">
        <f>'03_Inventario'!G14&amp;""</f>
        <v/>
      </c>
      <c r="G14" s="19">
        <f>IF('03_Inventario'!O14&lt;&gt;"","Sí","No")</f>
        <v/>
      </c>
      <c r="H14" s="19">
        <f>IF(B14="Deuda",IF(D14="","",IF(D14="No","VRR",IF(C14="Mantener para cobrar","CA",IF(C14="Cobrar y vender","VRORI",IF(C14="Negociar","VRR",""))))),IF(B14="Patrimonio",IF(AND(F14="VRORI",C14&lt;&gt;"Negociar"),"VRORI","VRR"),"VRR"))</f>
        <v/>
      </c>
      <c r="I14" s="19">
        <f>IF(H14="","",IF(H14=F14,"Sí","No"))</f>
        <v/>
      </c>
      <c r="J14" s="19" t="inlineStr">
        <is>
          <t>SPPI y cobrar y vender: VR con cambios en ORI (4.1.2A).</t>
        </is>
      </c>
    </row>
    <row r="15">
      <c r="A15" s="18" t="inlineStr">
        <is>
          <t>BONO-11</t>
        </is>
      </c>
      <c r="B15" s="18">
        <f>'03_Inventario'!C15&amp;""</f>
        <v/>
      </c>
      <c r="C15" s="18">
        <f>'03_Inventario'!D15&amp;""</f>
        <v/>
      </c>
      <c r="D15" s="18">
        <f>'03_Inventario'!E15&amp;""</f>
        <v/>
      </c>
      <c r="E15" s="18">
        <f>'03_Inventario'!Z15&amp;""</f>
        <v/>
      </c>
      <c r="F15" s="18">
        <f>'03_Inventario'!G15&amp;""</f>
        <v/>
      </c>
      <c r="G15" s="18">
        <f>IF('03_Inventario'!O15&lt;&gt;"","Sí","No")</f>
        <v/>
      </c>
      <c r="H15" s="18">
        <f>IF(B15="Deuda",IF(D15="","",IF(D15="No","VRR",IF(C15="Mantener para cobrar","CA",IF(C15="Cobrar y vender","VRORI",IF(C15="Negociar","VRR",""))))),IF(B15="Patrimonio",IF(AND(F15="VRORI",C15&lt;&gt;"Negociar"),"VRORI","VRR"),"VRR"))</f>
        <v/>
      </c>
      <c r="I15" s="18">
        <f>IF(H15="","",IF(H15=F15,"Sí","No"))</f>
        <v/>
      </c>
      <c r="J15" s="18" t="inlineStr">
        <is>
          <t>SPPI y mantener para cobrar: costo amortizado (4.1.2).</t>
        </is>
      </c>
    </row>
    <row r="17">
      <c r="A17" s="22" t="inlineStr">
        <is>
          <t>ⓘ  Cómo se calcula esta hoja</t>
        </is>
      </c>
    </row>
    <row r="18">
      <c r="A18" s="23" t="inlineStr">
        <is>
          <t>Columna</t>
        </is>
      </c>
      <c r="B18" s="23" t="inlineStr">
        <is>
          <t>Fórmula (Excel)</t>
        </is>
      </c>
      <c r="C18" s="23" t="inlineStr">
        <is>
          <t>Cómo se calcula (sencillo)</t>
        </is>
      </c>
      <c r="D18" s="23" t="inlineStr">
        <is>
          <t>Ejemplo con números reales</t>
        </is>
      </c>
      <c r="E18" s="23" t="inlineStr">
        <is>
          <t>De dónde viene</t>
        </is>
      </c>
      <c r="F18" s="23" t="inlineStr">
        <is>
          <t>Norma</t>
        </is>
      </c>
    </row>
    <row r="19">
      <c r="A19" s="24" t="inlineStr">
        <is>
          <t>Tipo</t>
        </is>
      </c>
      <c r="B19" s="25" t="inlineStr">
        <is>
          <t>'='03_Inventario'!C5&amp;""</t>
        </is>
      </c>
      <c r="C19" s="24" t="inlineStr">
        <is>
          <t>Copia el tipo de instrumento (deuda, patrimonio u otro) del inventario de la hoja 03 (Inventario de inversiones).</t>
        </is>
      </c>
      <c r="D19" s="24" t="inlineStr">
        <is>
          <t>Fila 1: «Deuda»&amp;"" → Deuda</t>
        </is>
      </c>
      <c r="E19" s="24" t="inlineStr">
        <is>
          <t>hoja «Inventario de inversiones»</t>
        </is>
      </c>
      <c r="F19" s="24" t="inlineStr">
        <is>
          <t>—</t>
        </is>
      </c>
    </row>
    <row r="20">
      <c r="A20" s="24" t="inlineStr">
        <is>
          <t>Modelo de negocio</t>
        </is>
      </c>
      <c r="B20" s="25" t="inlineStr">
        <is>
          <t>'='03_Inventario'!D5&amp;""</t>
        </is>
      </c>
      <c r="C20" s="24" t="inlineStr">
        <is>
          <t>Copia el modelo de negocio informado por el cliente en la hoja 03 (Inventario de inversiones); si no se informó, queda en blanco.</t>
        </is>
      </c>
      <c r="D20" s="24" t="inlineStr">
        <is>
          <t>Fila 1: «Mantener para cobrar»&amp;"" → Mantener para cobrar</t>
        </is>
      </c>
      <c r="E20" s="24" t="inlineStr">
        <is>
          <t>hoja «Inventario de inversiones»</t>
        </is>
      </c>
      <c r="F20" s="24" t="inlineStr">
        <is>
          <t>—</t>
        </is>
      </c>
    </row>
    <row r="21">
      <c r="A21" s="24" t="inlineStr">
        <is>
          <t>¿Flujos solo principal e intereses?</t>
        </is>
      </c>
      <c r="B21" s="25" t="inlineStr">
        <is>
          <t>'='03_Inventario'!E5&amp;""</t>
        </is>
      </c>
      <c r="C21" s="24" t="inlineStr">
        <is>
          <t>Copia de la hoja 03 (Inventario de inversiones) la respuesta a si los flujos del instrumento son solo pagos de principal e intereses (SPPI).</t>
        </is>
      </c>
      <c r="D21" s="24" t="inlineStr">
        <is>
          <t>Fila 1: «Sí»&amp;"" → Sí</t>
        </is>
      </c>
      <c r="E21" s="24" t="inlineStr">
        <is>
          <t>hoja «Inventario de inversiones»</t>
        </is>
      </c>
      <c r="F21" s="24" t="inlineStr">
        <is>
          <t>—</t>
        </is>
      </c>
    </row>
    <row r="22">
      <c r="A22" s="24" t="inlineStr">
        <is>
          <t>¿Básico 11.9 a)–d)? (PYMES)</t>
        </is>
      </c>
      <c r="B22" s="25" t="inlineStr">
        <is>
          <t>'='03_Inventario'!Z5&amp;""</t>
        </is>
      </c>
      <c r="C22" s="24" t="inlineStr">
        <is>
          <t>Copia de la hoja 03 (Inventario de inversiones) si el instrumento cumple las condiciones de instrumento básico 11.9 a)–d); este dato solo lo usa la clasificación para PYMES.</t>
        </is>
      </c>
      <c r="D22" s="24" t="inlineStr">
        <is>
          <t>Fila 1: (vacío)&amp;"" → (en blanco)</t>
        </is>
      </c>
      <c r="E22" s="24" t="inlineStr">
        <is>
          <t>hoja «Inventario de inversiones»</t>
        </is>
      </c>
      <c r="F22" s="24" t="inlineStr">
        <is>
          <t>—</t>
        </is>
      </c>
    </row>
    <row r="23">
      <c r="A23" s="24" t="inlineStr">
        <is>
          <t>Clasificación del cliente</t>
        </is>
      </c>
      <c r="B23" s="25" t="inlineStr">
        <is>
          <t>'='03_Inventario'!G5&amp;""</t>
        </is>
      </c>
      <c r="C23" s="24" t="inlineStr">
        <is>
          <t>Copia el código de clasificación que el cliente dio al instrumento (CA, VRORI, VRR o COSTO) desde la hoja 03 (Inventario de inversiones).</t>
        </is>
      </c>
      <c r="D23" s="24" t="inlineStr">
        <is>
          <t>Fila 1: «CA»&amp;"" → CA</t>
        </is>
      </c>
      <c r="E23" s="24" t="inlineStr">
        <is>
          <t>hoja «Inventario de inversiones»</t>
        </is>
      </c>
      <c r="F23" s="24" t="inlineStr">
        <is>
          <t>—</t>
        </is>
      </c>
    </row>
    <row r="24">
      <c r="A24" s="24" t="inlineStr">
        <is>
          <t>¿VR medible?</t>
        </is>
      </c>
      <c r="B24" s="25" t="inlineStr">
        <is>
          <t>'=IF('03_Inventario'!O5&lt;&gt;"","Sí","No")</t>
        </is>
      </c>
      <c r="C24" s="24" t="inlineStr">
        <is>
          <t>Responde «Sí» si en la hoja 03 (Inventario de inversiones) hay un valor razonable informado para el instrumento y «No» si esa celda está vacía.</t>
        </is>
      </c>
      <c r="D24" s="24" t="inlineStr">
        <is>
          <t>Fila 1: IF(97.200,00&lt;&gt;""; "Sí"; "No") → Sí</t>
        </is>
      </c>
      <c r="E24" s="24" t="inlineStr">
        <is>
          <t>hoja «Inventario de inversiones»</t>
        </is>
      </c>
      <c r="F24" s="24" t="inlineStr">
        <is>
          <t>—</t>
        </is>
      </c>
    </row>
    <row r="25">
      <c r="A25" s="24" t="inlineStr">
        <is>
          <t>Clasificación según la norma</t>
        </is>
      </c>
      <c r="B25" s="25" t="inlineStr">
        <is>
          <t>'=IF(B5="Deuda",IF(D5="","",IF(D5="No","VRR",IF(C5="Mantener para cobrar","CA",IF(C5="Cobrar y vender","VRORI",IF(C5="Negociar","VRR",""))))),IF(B5="Patrimonio",IF(AND(F5="VRORI",C5&lt;&gt;"Negociar"),"VRORI","VRR"),"VRR"))</t>
        </is>
      </c>
      <c r="C25" s="24" t="inlineStr">
        <is>
          <t>Aplica la regla de NIIF 9: la deuda cuyos flujos no son solo principal e intereses va a VRR; si lo son, va a costo amortizado (CA) con el modelo «Mantener para cobrar», a VRORI con «Cobrar y vender» y a VRR con «Negociar». Las acciones van a VRORI solo si el cliente eligió VRORI y no se mantienen para negociar; si no, a VRR. Si falta el dato de flujos de la deuda, queda en blanco.</t>
        </is>
      </c>
      <c r="D25" s="24" t="inlineStr">
        <is>
          <t>Fila 1: IF(«Deuda»="Deuda"; IF(«Sí»=""; ""; IF(«Sí»="No"; "VRR"; IF(«Mantener para cobrar»="Mantener para cobrar"; "CA"; IF(«Mantener para cobrar»="Cobrar y vender"; "VRORI"; IF(«Mantener para cobrar»="Negociar"; "VRR"; ""))))); IF(«Deuda»="Patrimonio"; IF(AND(«CA»="VRORI"; «Mantener para cobrar»&lt;&gt;"Negociar"); "VRORI"; "VRR"); "VRR")) → CA</t>
        </is>
      </c>
      <c r="E25" s="24" t="inlineStr">
        <is>
          <t>«Tipo» (esta hoja), «¿Flujos solo principal e intereses?» (esta hoja), «Modelo de negocio» (esta hoja), «Clasificación del cliente» (esta hoja)</t>
        </is>
      </c>
      <c r="F25" s="24" t="inlineStr">
        <is>
          <t>—</t>
        </is>
      </c>
    </row>
    <row r="26">
      <c r="A26" s="24" t="inlineStr">
        <is>
          <t>¿Consistente?</t>
        </is>
      </c>
      <c r="B26" s="25" t="inlineStr">
        <is>
          <t>'=IF(H5="","",IF(H5=F5,"Sí","No"))</t>
        </is>
      </c>
      <c r="C26" s="24" t="inlineStr">
        <is>
          <t>Compara la clasificación según la norma con la del cliente: «Sí» si coinciden, «No» si difieren y en blanco si la norma no se pudo determinar por falta de datos.</t>
        </is>
      </c>
      <c r="D26" s="24" t="inlineStr">
        <is>
          <t>Fila 1: IF(«CA»=""; ""; IF(«CA»=«CA»; "Sí"; "No")) → Sí</t>
        </is>
      </c>
      <c r="E26" s="24" t="inlineStr">
        <is>
          <t>«Clasificación según la norma» (esta hoja), «Clasificación del cliente» (esta hoja)</t>
        </is>
      </c>
      <c r="F26" s="24" t="inlineStr">
        <is>
          <t>—</t>
        </is>
      </c>
    </row>
  </sheetData>
  <mergeCells count="3">
    <mergeCell ref="A2:F2"/>
    <mergeCell ref="A1:F1"/>
    <mergeCell ref="A17:F1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W35"/>
  <sheetViews>
    <sheetView showGridLines="0" workbookViewId="0">
      <pane ySplit="4" topLeftCell="A5" activePane="bottomLeft" state="frozen"/>
      <selection pane="bottomLeft" activeCell="A1" sqref="A1"/>
    </sheetView>
  </sheetViews>
  <sheetFormatPr baseColWidth="8" defaultRowHeight="15"/>
  <cols>
    <col width="13" customWidth="1" min="1" max="1"/>
    <col width="13" customWidth="1" min="2" max="2"/>
    <col width="13" customWidth="1" min="3" max="3"/>
    <col width="12" customWidth="1" min="4" max="4"/>
    <col width="12" customWidth="1" min="5" max="5"/>
    <col width="12" customWidth="1" min="6" max="6"/>
    <col width="15" customWidth="1" min="7" max="7"/>
    <col width="19" customWidth="1" min="8" max="8"/>
    <col width="18" customWidth="1" min="9" max="9"/>
    <col width="19" customWidth="1" min="10" max="10"/>
    <col width="22" customWidth="1" min="11" max="11"/>
    <col width="22" customWidth="1" min="12" max="12"/>
    <col width="24" customWidth="1" min="13" max="13"/>
    <col width="27" customWidth="1" min="14" max="14"/>
    <col width="22" customWidth="1" min="15" max="15"/>
    <col width="20" customWidth="1" min="16" max="16"/>
    <col width="33" customWidth="1" min="17" max="17"/>
    <col width="20" customWidth="1" min="18" max="18"/>
    <col width="22" customWidth="1" min="19" max="19"/>
    <col width="28" customWidth="1" min="20" max="20"/>
    <col width="28" customWidth="1" min="21" max="21"/>
    <col width="34" customWidth="1" min="22" max="22"/>
    <col width="32" customWidth="1" min="23" max="23"/>
  </cols>
  <sheetData>
    <row r="1">
      <c r="A1" s="3" t="inlineStr">
        <is>
          <t>Costo amortizado y TIE</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row>
    <row r="4" ht="30" customHeight="1">
      <c r="A4" s="17" t="inlineStr">
        <is>
          <t>Instrumento</t>
        </is>
      </c>
      <c r="B4" s="17" t="inlineStr">
        <is>
          <t>Adquisición</t>
        </is>
      </c>
      <c r="C4" s="17" t="inlineStr">
        <is>
          <t>Vencimiento</t>
        </is>
      </c>
      <c r="D4" s="17" t="inlineStr">
        <is>
          <t>Nominal</t>
        </is>
      </c>
      <c r="E4" s="17" t="inlineStr">
        <is>
          <t>Costo</t>
        </is>
      </c>
      <c r="F4" s="17" t="inlineStr">
        <is>
          <t>Cupón %</t>
        </is>
      </c>
      <c r="G4" s="17" t="inlineStr">
        <is>
          <t>Pagos por año</t>
        </is>
      </c>
      <c r="H4" s="17" t="inlineStr">
        <is>
          <t>Meses por período</t>
        </is>
      </c>
      <c r="I4" s="17" t="inlineStr">
        <is>
          <t>Períodos totales</t>
        </is>
      </c>
      <c r="J4" s="17" t="inlineStr">
        <is>
          <t>Cupón por período</t>
        </is>
      </c>
      <c r="K4" s="17" t="inlineStr">
        <is>
          <t>TIE periódica</t>
        </is>
      </c>
      <c r="L4" s="17" t="inlineStr">
        <is>
          <t>TIE anual</t>
        </is>
      </c>
      <c r="M4" s="17" t="inlineStr">
        <is>
          <t>Control VA − costo</t>
        </is>
      </c>
      <c r="N4" s="17" t="inlineStr">
        <is>
          <t>Cupones cobrados al corte</t>
        </is>
      </c>
      <c r="O4" s="17" t="inlineStr">
        <is>
          <t>Fracción del período</t>
        </is>
      </c>
      <c r="P4" s="17" t="inlineStr">
        <is>
          <t>CA al último cupón</t>
        </is>
      </c>
      <c r="Q4" s="17" t="inlineStr">
        <is>
          <t>CA al corte (con cupón corrido)</t>
        </is>
      </c>
      <c r="R4" s="17" t="inlineStr">
        <is>
          <t>Cupón corrido</t>
        </is>
      </c>
      <c r="S4" s="17" t="inlineStr">
        <is>
          <t>CA al corte (limpio)</t>
        </is>
      </c>
      <c r="T4" s="17" t="inlineStr">
        <is>
          <t>Cupones cobrados al inicio</t>
        </is>
      </c>
      <c r="U4" s="17" t="inlineStr">
        <is>
          <t>CA al inicio del ejercicio</t>
        </is>
      </c>
      <c r="V4" s="17" t="inlineStr">
        <is>
          <t>Cupones cobrados en el ejercicio</t>
        </is>
      </c>
      <c r="W4" s="17" t="inlineStr">
        <is>
          <t>Interés efectivo del ejercicio</t>
        </is>
      </c>
    </row>
    <row r="5">
      <c r="A5" s="18" t="inlineStr">
        <is>
          <t>BONO-01</t>
        </is>
      </c>
      <c r="B5" s="29" t="n">
        <v>45473</v>
      </c>
      <c r="C5" s="29" t="n">
        <v>47299</v>
      </c>
      <c r="D5" s="20">
        <f>'03_Inventario'!J5</f>
        <v/>
      </c>
      <c r="E5" s="20">
        <f>'03_Inventario'!K5</f>
        <v/>
      </c>
      <c r="F5" s="30">
        <f>'03_Inventario'!L5</f>
        <v/>
      </c>
      <c r="G5" s="31">
        <f>'03_Inventario'!M5</f>
        <v/>
      </c>
      <c r="H5" s="31">
        <f>12/G5</f>
        <v/>
      </c>
      <c r="I5" s="31">
        <f>ROUND(DATEDIF(B5,C5,"m")/H5,0)</f>
        <v/>
      </c>
      <c r="J5" s="20">
        <f>D5*F5/100/G5</f>
        <v/>
      </c>
      <c r="K5" s="36">
        <f>RATE(I5,J5,-E5,D5)</f>
        <v/>
      </c>
      <c r="L5" s="36">
        <f>(1+K5)^G5-1</f>
        <v/>
      </c>
      <c r="M5" s="20">
        <f>PV(K5,I5,-J5,-D5)-E5</f>
        <v/>
      </c>
      <c r="N5" s="31">
        <f>INT(DATEDIF(B5,'02_Parametros'!$B$5,"m")/H5)</f>
        <v/>
      </c>
      <c r="O5" s="36">
        <f>('02_Parametros'!$B$5-EDATE(B5,N5*H5))/(EDATE(B5,(N5+1)*H5)-EDATE(B5,N5*H5))</f>
        <v/>
      </c>
      <c r="P5" s="20">
        <f>PV(K5,I5-N5,-J5,-D5)</f>
        <v/>
      </c>
      <c r="Q5" s="20">
        <f>P5*(1+K5*O5)</f>
        <v/>
      </c>
      <c r="R5" s="20">
        <f>J5*O5</f>
        <v/>
      </c>
      <c r="S5" s="20">
        <f>Q5-R5</f>
        <v/>
      </c>
      <c r="T5" s="31">
        <f>IF(B5&gt;'02_Parametros'!$B$6,0,INT(DATEDIF(B5,'02_Parametros'!$B$6,"m")/H5))</f>
        <v/>
      </c>
      <c r="U5" s="20">
        <f>IF(B5&gt;'02_Parametros'!$B$6,E5,PV(K5,I5-T5,-J5,-D5)*(1+K5*('02_Parametros'!$B$6-EDATE(B5,T5*H5))/(EDATE(B5,(T5+1)*H5)-EDATE(B5,T5*H5))))</f>
        <v/>
      </c>
      <c r="V5" s="20">
        <f>J5*(N5-T5)</f>
        <v/>
      </c>
      <c r="W5" s="20">
        <f>Q5-U5+V5</f>
        <v/>
      </c>
    </row>
    <row r="6">
      <c r="A6" s="19" t="inlineStr">
        <is>
          <t>CDP-02</t>
        </is>
      </c>
      <c r="B6" s="32" t="n">
        <v>45853</v>
      </c>
      <c r="C6" s="32" t="n">
        <v>46218</v>
      </c>
      <c r="D6" s="21">
        <f>'03_Inventario'!J6</f>
        <v/>
      </c>
      <c r="E6" s="21">
        <f>'03_Inventario'!K6</f>
        <v/>
      </c>
      <c r="F6" s="28">
        <f>'03_Inventario'!L6</f>
        <v/>
      </c>
      <c r="G6" s="33">
        <f>'03_Inventario'!M6</f>
        <v/>
      </c>
      <c r="H6" s="33">
        <f>12/G6</f>
        <v/>
      </c>
      <c r="I6" s="33">
        <f>ROUND(DATEDIF(B6,C6,"m")/H6,0)</f>
        <v/>
      </c>
      <c r="J6" s="21">
        <f>D6*F6/100/G6</f>
        <v/>
      </c>
      <c r="K6" s="37">
        <f>RATE(I6,J6,-E6,D6)</f>
        <v/>
      </c>
      <c r="L6" s="37">
        <f>(1+K6)^G6-1</f>
        <v/>
      </c>
      <c r="M6" s="21">
        <f>PV(K6,I6,-J6,-D6)-E6</f>
        <v/>
      </c>
      <c r="N6" s="33">
        <f>INT(DATEDIF(B6,'02_Parametros'!$B$5,"m")/H6)</f>
        <v/>
      </c>
      <c r="O6" s="37">
        <f>('02_Parametros'!$B$5-EDATE(B6,N6*H6))/(EDATE(B6,(N6+1)*H6)-EDATE(B6,N6*H6))</f>
        <v/>
      </c>
      <c r="P6" s="21">
        <f>PV(K6,I6-N6,-J6,-D6)</f>
        <v/>
      </c>
      <c r="Q6" s="21">
        <f>P6*(1+K6*O6)</f>
        <v/>
      </c>
      <c r="R6" s="21">
        <f>J6*O6</f>
        <v/>
      </c>
      <c r="S6" s="21">
        <f>Q6-R6</f>
        <v/>
      </c>
      <c r="T6" s="33">
        <f>IF(B6&gt;'02_Parametros'!$B$6,0,INT(DATEDIF(B6,'02_Parametros'!$B$6,"m")/H6))</f>
        <v/>
      </c>
      <c r="U6" s="21">
        <f>IF(B6&gt;'02_Parametros'!$B$6,E6,PV(K6,I6-T6,-J6,-D6)*(1+K6*('02_Parametros'!$B$6-EDATE(B6,T6*H6))/(EDATE(B6,(T6+1)*H6)-EDATE(B6,T6*H6))))</f>
        <v/>
      </c>
      <c r="V6" s="21">
        <f>J6*(N6-T6)</f>
        <v/>
      </c>
      <c r="W6" s="21">
        <f>Q6-U6+V6</f>
        <v/>
      </c>
    </row>
    <row r="7">
      <c r="A7" s="18" t="inlineStr">
        <is>
          <t>OBL-03</t>
        </is>
      </c>
      <c r="B7" s="29" t="n">
        <v>45382</v>
      </c>
      <c r="C7" s="29" t="n">
        <v>46477</v>
      </c>
      <c r="D7" s="20">
        <f>'03_Inventario'!J7</f>
        <v/>
      </c>
      <c r="E7" s="20">
        <f>'03_Inventario'!K7</f>
        <v/>
      </c>
      <c r="F7" s="30">
        <f>'03_Inventario'!L7</f>
        <v/>
      </c>
      <c r="G7" s="31">
        <f>'03_Inventario'!M7</f>
        <v/>
      </c>
      <c r="H7" s="31">
        <f>12/G7</f>
        <v/>
      </c>
      <c r="I7" s="31">
        <f>ROUND(DATEDIF(B7,C7,"m")/H7,0)</f>
        <v/>
      </c>
      <c r="J7" s="20">
        <f>D7*F7/100/G7</f>
        <v/>
      </c>
      <c r="K7" s="36">
        <f>RATE(I7,J7,-E7,D7)</f>
        <v/>
      </c>
      <c r="L7" s="36">
        <f>(1+K7)^G7-1</f>
        <v/>
      </c>
      <c r="M7" s="20">
        <f>PV(K7,I7,-J7,-D7)-E7</f>
        <v/>
      </c>
      <c r="N7" s="31">
        <f>INT(DATEDIF(B7,'02_Parametros'!$B$5,"m")/H7)</f>
        <v/>
      </c>
      <c r="O7" s="36">
        <f>('02_Parametros'!$B$5-EDATE(B7,N7*H7))/(EDATE(B7,(N7+1)*H7)-EDATE(B7,N7*H7))</f>
        <v/>
      </c>
      <c r="P7" s="20">
        <f>PV(K7,I7-N7,-J7,-D7)</f>
        <v/>
      </c>
      <c r="Q7" s="20">
        <f>P7*(1+K7*O7)</f>
        <v/>
      </c>
      <c r="R7" s="20">
        <f>J7*O7</f>
        <v/>
      </c>
      <c r="S7" s="20">
        <f>Q7-R7</f>
        <v/>
      </c>
      <c r="T7" s="31">
        <f>IF(B7&gt;'02_Parametros'!$B$6,0,INT(DATEDIF(B7,'02_Parametros'!$B$6,"m")/H7))</f>
        <v/>
      </c>
      <c r="U7" s="20">
        <f>IF(B7&gt;'02_Parametros'!$B$6,E7,PV(K7,I7-T7,-J7,-D7)*(1+K7*('02_Parametros'!$B$6-EDATE(B7,T7*H7))/(EDATE(B7,(T7+1)*H7)-EDATE(B7,T7*H7))))</f>
        <v/>
      </c>
      <c r="V7" s="20">
        <f>J7*(N7-T7)</f>
        <v/>
      </c>
      <c r="W7" s="20">
        <f>Q7-U7+V7</f>
        <v/>
      </c>
    </row>
    <row r="8">
      <c r="A8" s="19" t="inlineStr">
        <is>
          <t>PAG-07</t>
        </is>
      </c>
      <c r="B8" s="32" t="n">
        <v>45565</v>
      </c>
      <c r="C8" s="32" t="n">
        <v>46295</v>
      </c>
      <c r="D8" s="21">
        <f>'03_Inventario'!J11</f>
        <v/>
      </c>
      <c r="E8" s="21">
        <f>'03_Inventario'!K11</f>
        <v/>
      </c>
      <c r="F8" s="28">
        <f>'03_Inventario'!L11</f>
        <v/>
      </c>
      <c r="G8" s="33">
        <f>'03_Inventario'!M11</f>
        <v/>
      </c>
      <c r="H8" s="33">
        <f>12/G8</f>
        <v/>
      </c>
      <c r="I8" s="33">
        <f>ROUND(DATEDIF(B8,C8,"m")/H8,0)</f>
        <v/>
      </c>
      <c r="J8" s="21">
        <f>D8*F8/100/G8</f>
        <v/>
      </c>
      <c r="K8" s="37">
        <f>RATE(I8,J8,-E8,D8)</f>
        <v/>
      </c>
      <c r="L8" s="37">
        <f>(1+K8)^G8-1</f>
        <v/>
      </c>
      <c r="M8" s="21">
        <f>PV(K8,I8,-J8,-D8)-E8</f>
        <v/>
      </c>
      <c r="N8" s="33">
        <f>INT(DATEDIF(B8,'02_Parametros'!$B$5,"m")/H8)</f>
        <v/>
      </c>
      <c r="O8" s="37">
        <f>('02_Parametros'!$B$5-EDATE(B8,N8*H8))/(EDATE(B8,(N8+1)*H8)-EDATE(B8,N8*H8))</f>
        <v/>
      </c>
      <c r="P8" s="21">
        <f>PV(K8,I8-N8,-J8,-D8)</f>
        <v/>
      </c>
      <c r="Q8" s="21">
        <f>P8*(1+K8*O8)</f>
        <v/>
      </c>
      <c r="R8" s="21">
        <f>J8*O8</f>
        <v/>
      </c>
      <c r="S8" s="21">
        <f>Q8-R8</f>
        <v/>
      </c>
      <c r="T8" s="33">
        <f>IF(B8&gt;'02_Parametros'!$B$6,0,INT(DATEDIF(B8,'02_Parametros'!$B$6,"m")/H8))</f>
        <v/>
      </c>
      <c r="U8" s="21">
        <f>IF(B8&gt;'02_Parametros'!$B$6,E8,PV(K8,I8-T8,-J8,-D8)*(1+K8*('02_Parametros'!$B$6-EDATE(B8,T8*H8))/(EDATE(B8,(T8+1)*H8)-EDATE(B8,T8*H8))))</f>
        <v/>
      </c>
      <c r="V8" s="21">
        <f>J8*(N8-T8)</f>
        <v/>
      </c>
      <c r="W8" s="21">
        <f>Q8-U8+V8</f>
        <v/>
      </c>
    </row>
    <row r="9">
      <c r="A9" s="18" t="inlineStr">
        <is>
          <t>BONO-08</t>
        </is>
      </c>
      <c r="B9" s="29" t="n">
        <v>45688</v>
      </c>
      <c r="C9" s="29" t="n">
        <v>46783</v>
      </c>
      <c r="D9" s="20">
        <f>'03_Inventario'!J12</f>
        <v/>
      </c>
      <c r="E9" s="20">
        <f>'03_Inventario'!K12</f>
        <v/>
      </c>
      <c r="F9" s="30">
        <f>'03_Inventario'!L12</f>
        <v/>
      </c>
      <c r="G9" s="31">
        <f>'03_Inventario'!M12</f>
        <v/>
      </c>
      <c r="H9" s="31">
        <f>12/G9</f>
        <v/>
      </c>
      <c r="I9" s="31">
        <f>ROUND(DATEDIF(B9,C9,"m")/H9,0)</f>
        <v/>
      </c>
      <c r="J9" s="20">
        <f>D9*F9/100/G9</f>
        <v/>
      </c>
      <c r="K9" s="36">
        <f>RATE(I9,J9,-E9,D9)</f>
        <v/>
      </c>
      <c r="L9" s="36">
        <f>(1+K9)^G9-1</f>
        <v/>
      </c>
      <c r="M9" s="20">
        <f>PV(K9,I9,-J9,-D9)-E9</f>
        <v/>
      </c>
      <c r="N9" s="31">
        <f>INT(DATEDIF(B9,'02_Parametros'!$B$5,"m")/H9)</f>
        <v/>
      </c>
      <c r="O9" s="36">
        <f>('02_Parametros'!$B$5-EDATE(B9,N9*H9))/(EDATE(B9,(N9+1)*H9)-EDATE(B9,N9*H9))</f>
        <v/>
      </c>
      <c r="P9" s="20">
        <f>PV(K9,I9-N9,-J9,-D9)</f>
        <v/>
      </c>
      <c r="Q9" s="20">
        <f>P9*(1+K9*O9)</f>
        <v/>
      </c>
      <c r="R9" s="20">
        <f>J9*O9</f>
        <v/>
      </c>
      <c r="S9" s="20">
        <f>Q9-R9</f>
        <v/>
      </c>
      <c r="T9" s="31">
        <f>IF(B9&gt;'02_Parametros'!$B$6,0,INT(DATEDIF(B9,'02_Parametros'!$B$6,"m")/H9))</f>
        <v/>
      </c>
      <c r="U9" s="20">
        <f>IF(B9&gt;'02_Parametros'!$B$6,E9,PV(K9,I9-T9,-J9,-D9)*(1+K9*('02_Parametros'!$B$6-EDATE(B9,T9*H9))/(EDATE(B9,(T9+1)*H9)-EDATE(B9,T9*H9))))</f>
        <v/>
      </c>
      <c r="V9" s="20">
        <f>J9*(N9-T9)</f>
        <v/>
      </c>
      <c r="W9" s="20">
        <f>Q9-U9+V9</f>
        <v/>
      </c>
    </row>
    <row r="10">
      <c r="A10" s="19" t="inlineStr">
        <is>
          <t>POL-09</t>
        </is>
      </c>
      <c r="B10" s="32" t="n">
        <v>45961</v>
      </c>
      <c r="C10" s="32" t="n">
        <v>46142</v>
      </c>
      <c r="D10" s="21">
        <f>'03_Inventario'!J13</f>
        <v/>
      </c>
      <c r="E10" s="21">
        <f>'03_Inventario'!K13</f>
        <v/>
      </c>
      <c r="F10" s="28">
        <f>'03_Inventario'!L13</f>
        <v/>
      </c>
      <c r="G10" s="33">
        <f>'03_Inventario'!M13</f>
        <v/>
      </c>
      <c r="H10" s="33">
        <f>12/G10</f>
        <v/>
      </c>
      <c r="I10" s="33">
        <f>ROUND(DATEDIF(B10,C10,"m")/H10,0)</f>
        <v/>
      </c>
      <c r="J10" s="21">
        <f>D10*F10/100/G10</f>
        <v/>
      </c>
      <c r="K10" s="37">
        <f>RATE(I10,J10,-E10,D10)</f>
        <v/>
      </c>
      <c r="L10" s="37">
        <f>(1+K10)^G10-1</f>
        <v/>
      </c>
      <c r="M10" s="21">
        <f>PV(K10,I10,-J10,-D10)-E10</f>
        <v/>
      </c>
      <c r="N10" s="33">
        <f>INT(DATEDIF(B10,'02_Parametros'!$B$5,"m")/H10)</f>
        <v/>
      </c>
      <c r="O10" s="37">
        <f>('02_Parametros'!$B$5-EDATE(B10,N10*H10))/(EDATE(B10,(N10+1)*H10)-EDATE(B10,N10*H10))</f>
        <v/>
      </c>
      <c r="P10" s="21">
        <f>PV(K10,I10-N10,-J10,-D10)</f>
        <v/>
      </c>
      <c r="Q10" s="21">
        <f>P10*(1+K10*O10)</f>
        <v/>
      </c>
      <c r="R10" s="21">
        <f>J10*O10</f>
        <v/>
      </c>
      <c r="S10" s="21">
        <f>Q10-R10</f>
        <v/>
      </c>
      <c r="T10" s="33">
        <f>IF(B10&gt;'02_Parametros'!$B$6,0,INT(DATEDIF(B10,'02_Parametros'!$B$6,"m")/H10))</f>
        <v/>
      </c>
      <c r="U10" s="21">
        <f>IF(B10&gt;'02_Parametros'!$B$6,E10,PV(K10,I10-T10,-J10,-D10)*(1+K10*('02_Parametros'!$B$6-EDATE(B10,T10*H10))/(EDATE(B10,(T10+1)*H10)-EDATE(B10,T10*H10))))</f>
        <v/>
      </c>
      <c r="V10" s="21">
        <f>J10*(N10-T10)</f>
        <v/>
      </c>
      <c r="W10" s="21">
        <f>Q10-U10+V10</f>
        <v/>
      </c>
    </row>
    <row r="11">
      <c r="A11" s="18" t="inlineStr">
        <is>
          <t>OBL-10</t>
        </is>
      </c>
      <c r="B11" s="29" t="n">
        <v>45291</v>
      </c>
      <c r="C11" s="29" t="n">
        <v>47118</v>
      </c>
      <c r="D11" s="20">
        <f>'03_Inventario'!J14</f>
        <v/>
      </c>
      <c r="E11" s="20">
        <f>'03_Inventario'!K14</f>
        <v/>
      </c>
      <c r="F11" s="30">
        <f>'03_Inventario'!L14</f>
        <v/>
      </c>
      <c r="G11" s="31">
        <f>'03_Inventario'!M14</f>
        <v/>
      </c>
      <c r="H11" s="31">
        <f>12/G11</f>
        <v/>
      </c>
      <c r="I11" s="31">
        <f>ROUND(DATEDIF(B11,C11,"m")/H11,0)</f>
        <v/>
      </c>
      <c r="J11" s="20">
        <f>D11*F11/100/G11</f>
        <v/>
      </c>
      <c r="K11" s="36">
        <f>RATE(I11,J11,-E11,D11)</f>
        <v/>
      </c>
      <c r="L11" s="36">
        <f>(1+K11)^G11-1</f>
        <v/>
      </c>
      <c r="M11" s="20">
        <f>PV(K11,I11,-J11,-D11)-E11</f>
        <v/>
      </c>
      <c r="N11" s="31">
        <f>INT(DATEDIF(B11,'02_Parametros'!$B$5,"m")/H11)</f>
        <v/>
      </c>
      <c r="O11" s="36">
        <f>('02_Parametros'!$B$5-EDATE(B11,N11*H11))/(EDATE(B11,(N11+1)*H11)-EDATE(B11,N11*H11))</f>
        <v/>
      </c>
      <c r="P11" s="20">
        <f>PV(K11,I11-N11,-J11,-D11)</f>
        <v/>
      </c>
      <c r="Q11" s="20">
        <f>P11*(1+K11*O11)</f>
        <v/>
      </c>
      <c r="R11" s="20">
        <f>J11*O11</f>
        <v/>
      </c>
      <c r="S11" s="20">
        <f>Q11-R11</f>
        <v/>
      </c>
      <c r="T11" s="31">
        <f>IF(B11&gt;'02_Parametros'!$B$6,0,INT(DATEDIF(B11,'02_Parametros'!$B$6,"m")/H11))</f>
        <v/>
      </c>
      <c r="U11" s="20">
        <f>IF(B11&gt;'02_Parametros'!$B$6,E11,PV(K11,I11-T11,-J11,-D11)*(1+K11*('02_Parametros'!$B$6-EDATE(B11,T11*H11))/(EDATE(B11,(T11+1)*H11)-EDATE(B11,T11*H11))))</f>
        <v/>
      </c>
      <c r="V11" s="20">
        <f>J11*(N11-T11)</f>
        <v/>
      </c>
      <c r="W11" s="20">
        <f>Q11-U11+V11</f>
        <v/>
      </c>
    </row>
    <row r="12">
      <c r="A12" s="38" t="inlineStr">
        <is>
          <t>TOTAL</t>
        </is>
      </c>
      <c r="B12" s="39" t="inlineStr"/>
      <c r="C12" s="39" t="inlineStr"/>
      <c r="D12" s="40">
        <f>SUM(D5:D11)</f>
        <v/>
      </c>
      <c r="E12" s="40">
        <f>SUM(E5:E11)</f>
        <v/>
      </c>
      <c r="F12" s="38" t="n"/>
      <c r="G12" s="41" t="n"/>
      <c r="H12" s="41" t="n"/>
      <c r="I12" s="41" t="n"/>
      <c r="J12" s="40" t="n"/>
      <c r="K12" s="42" t="n"/>
      <c r="L12" s="42" t="n"/>
      <c r="M12" s="40" t="n"/>
      <c r="N12" s="41" t="n"/>
      <c r="O12" s="42" t="n"/>
      <c r="P12" s="40" t="n"/>
      <c r="Q12" s="40">
        <f>SUM(Q5:Q11)</f>
        <v/>
      </c>
      <c r="R12" s="40">
        <f>SUM(R5:R11)</f>
        <v/>
      </c>
      <c r="S12" s="40">
        <f>SUM(S5:S11)</f>
        <v/>
      </c>
      <c r="T12" s="41" t="n"/>
      <c r="U12" s="40">
        <f>SUM(U5:U11)</f>
        <v/>
      </c>
      <c r="V12" s="40">
        <f>SUM(V5:V11)</f>
        <v/>
      </c>
      <c r="W12" s="40">
        <f>SUM(W5:W11)</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Nominal</t>
        </is>
      </c>
      <c r="B16" s="25" t="inlineStr">
        <is>
          <t>'='03_Inventario'!J5</t>
        </is>
      </c>
      <c r="C16" s="24" t="inlineStr">
        <is>
          <t>Trae el valor nominal (lo que se cobrará al vencimiento) del instrumento desde la hoja 03 (Inventario de inversiones).</t>
        </is>
      </c>
      <c r="D16" s="24" t="inlineStr">
        <is>
          <t>Fila 1: 100.000,00 → 100.000,00</t>
        </is>
      </c>
      <c r="E16" s="24" t="inlineStr">
        <is>
          <t>hoja «Inventario de inversiones»</t>
        </is>
      </c>
      <c r="F16" s="24" t="inlineStr">
        <is>
          <t>—</t>
        </is>
      </c>
    </row>
    <row r="17">
      <c r="A17" s="24" t="inlineStr">
        <is>
          <t>Costo</t>
        </is>
      </c>
      <c r="B17" s="25" t="inlineStr">
        <is>
          <t>'='03_Inventario'!K5</t>
        </is>
      </c>
      <c r="C17" s="24" t="inlineStr">
        <is>
          <t>Trae el costo de adquisición pagado por el instrumento desde la hoja 03 (Inventario de inversiones).</t>
        </is>
      </c>
      <c r="D17" s="24" t="inlineStr">
        <is>
          <t>Fila 1: 96.000,00 → 96.000,00</t>
        </is>
      </c>
      <c r="E17" s="24" t="inlineStr">
        <is>
          <t>hoja «Inventario de inversiones»</t>
        </is>
      </c>
      <c r="F17" s="24" t="inlineStr">
        <is>
          <t>—</t>
        </is>
      </c>
    </row>
    <row r="18">
      <c r="A18" s="24" t="inlineStr">
        <is>
          <t>Cupón %</t>
        </is>
      </c>
      <c r="B18" s="25" t="inlineStr">
        <is>
          <t>'='03_Inventario'!L5</t>
        </is>
      </c>
      <c r="C18" s="24" t="inlineStr">
        <is>
          <t>Trae la tasa de cupón anual del instrumento, en porcentaje, desde la hoja 03 (Inventario de inversiones).</t>
        </is>
      </c>
      <c r="D18" s="24" t="inlineStr">
        <is>
          <t>Fila 1: 8,00 → 8,00</t>
        </is>
      </c>
      <c r="E18" s="24" t="inlineStr">
        <is>
          <t>hoja «Inventario de inversiones»</t>
        </is>
      </c>
      <c r="F18" s="24" t="inlineStr">
        <is>
          <t>—</t>
        </is>
      </c>
    </row>
    <row r="19">
      <c r="A19" s="24" t="inlineStr">
        <is>
          <t>Pagos por año</t>
        </is>
      </c>
      <c r="B19" s="25" t="inlineStr">
        <is>
          <t>'='03_Inventario'!M5</t>
        </is>
      </c>
      <c r="C19" s="24" t="inlineStr">
        <is>
          <t>Trae cuántas veces al año paga cupón el instrumento desde la hoja 03 (Inventario de inversiones), que ya aplica el valor por defecto de la hoja 02 si el anexo no lo indicaba.</t>
        </is>
      </c>
      <c r="D19" s="24" t="inlineStr">
        <is>
          <t>Fila 1: 2 → 2</t>
        </is>
      </c>
      <c r="E19" s="24" t="inlineStr">
        <is>
          <t>hoja «Inventario de inversiones»</t>
        </is>
      </c>
      <c r="F19" s="24" t="inlineStr">
        <is>
          <t>—</t>
        </is>
      </c>
    </row>
    <row r="20">
      <c r="A20" s="24" t="inlineStr">
        <is>
          <t>Meses por período</t>
        </is>
      </c>
      <c r="B20" s="25" t="inlineStr">
        <is>
          <t>'=12/G5</t>
        </is>
      </c>
      <c r="C20" s="24" t="inlineStr">
        <is>
          <t>Divide los 12 meses del año para los pagos por año: son los meses que hay entre un cupón y el siguiente.</t>
        </is>
      </c>
      <c r="D20" s="24" t="inlineStr">
        <is>
          <t>Fila 1: 12/2 → 6</t>
        </is>
      </c>
      <c r="E20" s="24" t="inlineStr">
        <is>
          <t>«Pagos por año» (esta hoja)</t>
        </is>
      </c>
      <c r="F20" s="24" t="inlineStr">
        <is>
          <t>—</t>
        </is>
      </c>
    </row>
    <row r="21">
      <c r="A21" s="24" t="inlineStr">
        <is>
          <t>Períodos totales</t>
        </is>
      </c>
      <c r="B21" s="25" t="inlineStr">
        <is>
          <t>'=ROUND(DATEDIF(B5,C5,"m")/H5,0)</t>
        </is>
      </c>
      <c r="C21" s="24" t="inlineStr">
        <is>
          <t>Cuenta los meses completos entre la adquisición y el vencimiento y los divide para los meses por período, redondeando: es el número total de cupones que paga el instrumento.</t>
        </is>
      </c>
      <c r="D21" s="24" t="inlineStr">
        <is>
          <t>Fila 1: ROUND(DATEDIF(«2024-06-30»; «2029-06-30»; "m")/6; 0) → 10</t>
        </is>
      </c>
      <c r="E21" s="24" t="inlineStr">
        <is>
          <t>«Adquisición» (esta hoja), «Vencimiento» (esta hoja), «Meses por período» (esta hoja)</t>
        </is>
      </c>
      <c r="F21" s="24" t="inlineStr">
        <is>
          <t>—</t>
        </is>
      </c>
    </row>
    <row r="22">
      <c r="A22" s="24" t="inlineStr">
        <is>
          <t>Cupón por período</t>
        </is>
      </c>
      <c r="B22" s="25" t="inlineStr">
        <is>
          <t>'=D5*F5/100/G5</t>
        </is>
      </c>
      <c r="C22" s="24" t="inlineStr">
        <is>
          <t>Multiplica el nominal por la tasa de cupón (en %) y lo divide para los pagos por año: es el importe que se cobra en cada cupón.</t>
        </is>
      </c>
      <c r="D22" s="24" t="inlineStr">
        <is>
          <t>Fila 1: 100.000,00*8,00/100/2 → 4.000,00</t>
        </is>
      </c>
      <c r="E22" s="24" t="inlineStr">
        <is>
          <t>«Nominal» (esta hoja), «Cupón %» (esta hoja), «Pagos por año» (esta hoja)</t>
        </is>
      </c>
      <c r="F22" s="24" t="inlineStr">
        <is>
          <t>—</t>
        </is>
      </c>
    </row>
    <row r="23">
      <c r="A23" s="24" t="inlineStr">
        <is>
          <t>TIE periódica</t>
        </is>
      </c>
      <c r="B23" s="25" t="inlineStr">
        <is>
          <t>'=RATE(I5,J5,-E5,D5)</t>
        </is>
      </c>
      <c r="C23" s="24" t="inlineStr">
        <is>
          <t>Calcula con TASA de Excel la tasa por período que iguala el costo pagado con el valor actual de todos los cupones más el nominal al vencimiento: es la tasa de interés efectiva de cada período.</t>
        </is>
      </c>
      <c r="D23" s="24" t="inlineStr">
        <is>
          <t>Fila 1: RATE(10; 4.000,00; -96.000,00; 100.000,00) → 4,51 %</t>
        </is>
      </c>
      <c r="E23" s="24" t="inlineStr">
        <is>
          <t>«Períodos totales» (esta hoja), «Cupón por período» (esta hoja), «Costo» (esta hoja), «Nominal» (esta hoja)</t>
        </is>
      </c>
      <c r="F23" s="24" t="inlineStr">
        <is>
          <t>—</t>
        </is>
      </c>
    </row>
    <row r="24">
      <c r="A24" s="24" t="inlineStr">
        <is>
          <t>TIE anual</t>
        </is>
      </c>
      <c r="B24" s="25" t="inlineStr">
        <is>
          <t>'=(1+K5)^G5-1</t>
        </is>
      </c>
      <c r="C24" s="24" t="inlineStr">
        <is>
          <t>Convierte la TIE periódica en tasa anual compuesta: (1 + TIE periódica) elevado a los pagos por año, menos 1.</t>
        </is>
      </c>
      <c r="D24" s="24" t="inlineStr">
        <is>
          <t>Fila 1: (1+4,51 %)^2-1 → 9,21 %</t>
        </is>
      </c>
      <c r="E24" s="24" t="inlineStr">
        <is>
          <t>«TIE periódica» (esta hoja), «Pagos por año» (esta hoja)</t>
        </is>
      </c>
      <c r="F24" s="24" t="inlineStr">
        <is>
          <t>—</t>
        </is>
      </c>
    </row>
    <row r="25">
      <c r="A25" s="24" t="inlineStr">
        <is>
          <t>Control VA − costo</t>
        </is>
      </c>
      <c r="B25" s="25" t="inlineStr">
        <is>
          <t>'=PV(K5,I5,-J5,-D5)-E5</t>
        </is>
      </c>
      <c r="C25" s="24" t="inlineStr">
        <is>
          <t>Descuenta todos los cupones y el nominal a la TIE periódica y le resta el costo; debe dar cero, lo que confirma que la TIE está bien calculada.</t>
        </is>
      </c>
      <c r="D25" s="24" t="inlineStr">
        <is>
          <t>Fila 1: PV(4,51 %; 10; -4.000,00; -100.000,00)-96.000,00 → 0,00</t>
        </is>
      </c>
      <c r="E25" s="24" t="inlineStr">
        <is>
          <t>«TIE periódica» (esta hoja), «Períodos totales» (esta hoja), «Cupón por período» (esta hoja), «Nominal» (esta hoja), «Costo» (esta hoja)</t>
        </is>
      </c>
      <c r="F25" s="24" t="inlineStr">
        <is>
          <t>—</t>
        </is>
      </c>
    </row>
    <row r="26">
      <c r="A26" s="24" t="inlineStr">
        <is>
          <t>Cupones cobrados al corte</t>
        </is>
      </c>
      <c r="B26" s="25" t="inlineStr">
        <is>
          <t>'=INT(DATEDIF(B5,'02_Parametros'!$B$5,"m")/H5)</t>
        </is>
      </c>
      <c r="C26" s="24" t="inlineStr">
        <is>
          <t>Cuenta los meses completos entre la adquisición y la fecha de corte de la hoja 02 (Parámetros) y los divide para los meses por período, sin decimales: son los cupones ya cobrados al corte.</t>
        </is>
      </c>
      <c r="D26" s="24" t="inlineStr">
        <is>
          <t>Fila 1: INT(DATEDIF(«2024-06-30»; «2025-12-31»; "m")/6) → 3</t>
        </is>
      </c>
      <c r="E26" s="24" t="inlineStr">
        <is>
          <t>«Adquisición» (esta hoja), «Meses por período» (esta hoja), hoja «Parámetros»</t>
        </is>
      </c>
      <c r="F26" s="24" t="inlineStr">
        <is>
          <t>—</t>
        </is>
      </c>
    </row>
    <row r="27">
      <c r="A27" s="24" t="inlineStr">
        <is>
          <t>Fracción del período</t>
        </is>
      </c>
      <c r="B27" s="25" t="inlineStr">
        <is>
          <t>'=('02_Parametros'!$B$5-EDATE(B5,N5*H5))/(EDATE(B5,(N5+1)*H5)-EDATE(B5,N5*H5))</t>
        </is>
      </c>
      <c r="C27" s="24" t="inlineStr">
        <is>
          <t>Mide qué parte del período de cupón en curso ya transcurrió al corte: días desde el último cupón hasta la fecha de corte de la hoja 02 (Parámetros) sobre los días del período completo.</t>
        </is>
      </c>
      <c r="D27" s="24" t="inlineStr">
        <is>
          <t>Fila 1: («2025-12-31»-EDATE(«2024-06-30»; 3*6))/(EDATE(«2024-06-30»; (3+1)*6)-EDATE(«2024-06-30»; 3*6)) → 0,55 %</t>
        </is>
      </c>
      <c r="E27" s="24" t="inlineStr">
        <is>
          <t>«Adquisición» (esta hoja), «Cupones cobrados al corte» (esta hoja), «Meses por período» (esta hoja), hoja «Parámetros»</t>
        </is>
      </c>
      <c r="F27" s="24" t="inlineStr">
        <is>
          <t>—</t>
        </is>
      </c>
    </row>
    <row r="28">
      <c r="A28" s="24" t="inlineStr">
        <is>
          <t>CA al último cupón</t>
        </is>
      </c>
      <c r="B28" s="25" t="inlineStr">
        <is>
          <t>'=PV(K5,I5-N5,-J5,-D5)</t>
        </is>
      </c>
      <c r="C28" s="24" t="inlineStr">
        <is>
          <t>Descuenta a la TIE periódica los cupones que faltan y el nominal: es el costo amortizado justo después del último cupón cobrado antes del corte.</t>
        </is>
      </c>
      <c r="D28" s="24" t="inlineStr">
        <is>
          <t>Fila 1: PV(4,51 %; 10-3; -4.000,00; -100.000,00) → 97.020,94</t>
        </is>
      </c>
      <c r="E28" s="24" t="inlineStr">
        <is>
          <t>«TIE periódica» (esta hoja), «Períodos totales» (esta hoja), «Cupones cobrados al corte» (esta hoja), «Cupón por período» (esta hoja), «Nominal» (esta hoja)</t>
        </is>
      </c>
      <c r="F28" s="24" t="inlineStr">
        <is>
          <t>—</t>
        </is>
      </c>
    </row>
    <row r="29">
      <c r="A29" s="24" t="inlineStr">
        <is>
          <t>CA al corte (con cupón corrido)</t>
        </is>
      </c>
      <c r="B29" s="25" t="inlineStr">
        <is>
          <t>'=P5*(1+K5*O5)</t>
        </is>
      </c>
      <c r="C29" s="24" t="inlineStr">
        <is>
          <t>Toma el costo amortizado al último cupón y le suma el interés efectivo de la parte del período ya transcurrida (TIE periódica × fracción del período).</t>
        </is>
      </c>
      <c r="D29" s="24" t="inlineStr">
        <is>
          <t>Fila 1: 97.020,94*(1+4,51 %*0,55 %) → 97.044,96</t>
        </is>
      </c>
      <c r="E29" s="24" t="inlineStr">
        <is>
          <t>«CA al último cupón» (esta hoja), «TIE periódica» (esta hoja), «Fracción del período» (esta hoja)</t>
        </is>
      </c>
      <c r="F29" s="24" t="inlineStr">
        <is>
          <t>—</t>
        </is>
      </c>
    </row>
    <row r="30">
      <c r="A30" s="24" t="inlineStr">
        <is>
          <t>Cupón corrido</t>
        </is>
      </c>
      <c r="B30" s="25" t="inlineStr">
        <is>
          <t>'=J5*O5</t>
        </is>
      </c>
      <c r="C30" s="24" t="inlineStr">
        <is>
          <t>Multiplica el cupón por período por la fracción del período transcurrida: es el cupón devengado al corte que aún no se cobra.</t>
        </is>
      </c>
      <c r="D30" s="24" t="inlineStr">
        <is>
          <t>Fila 1: 4.000,00*0,55 % → 21,98</t>
        </is>
      </c>
      <c r="E30" s="24" t="inlineStr">
        <is>
          <t>«Cupón por período» (esta hoja), «Fracción del período» (esta hoja)</t>
        </is>
      </c>
      <c r="F30" s="24" t="inlineStr">
        <is>
          <t>—</t>
        </is>
      </c>
    </row>
    <row r="31">
      <c r="A31" s="24" t="inlineStr">
        <is>
          <t>CA al corte (limpio)</t>
        </is>
      </c>
      <c r="B31" s="25" t="inlineStr">
        <is>
          <t>'=Q5-R5</t>
        </is>
      </c>
      <c r="C31" s="24" t="inlineStr">
        <is>
          <t>Resta el cupón corrido al costo amortizado al corte con cupón corrido: es la medición a costo amortizado que se compara con los libros en la hoja 10 (Conciliación y ajuste).</t>
        </is>
      </c>
      <c r="D31" s="24" t="inlineStr">
        <is>
          <t>Fila 1: 97.044,96-21,98 → 97.022,98</t>
        </is>
      </c>
      <c r="E31" s="24" t="inlineStr">
        <is>
          <t>«CA al corte (con cupón corrido)» (esta hoja), «Cupón corrido» (esta hoja)</t>
        </is>
      </c>
      <c r="F31" s="24" t="inlineStr">
        <is>
          <t>—</t>
        </is>
      </c>
    </row>
    <row r="32">
      <c r="A32" s="24" t="inlineStr">
        <is>
          <t>Cupones cobrados al inicio</t>
        </is>
      </c>
      <c r="B32" s="25" t="inlineStr">
        <is>
          <t>'=IF(B5&gt;'02_Parametros'!$B$6,0,INT(DATEDIF(B5,'02_Parametros'!$B$6,"m")/H5))</t>
        </is>
      </c>
      <c r="C32" s="24" t="inlineStr">
        <is>
          <t>Cuenta los cupones cobrados hasta el inicio del ejercicio de la hoja 02 (Parámetros); si el instrumento se compró después de esa fecha, pone cero.</t>
        </is>
      </c>
      <c r="D32" s="24" t="inlineStr">
        <is>
          <t>Fila 1: IF(«2024-06-30»&gt;«2024-12-31»; 0; INT(DATEDIF(«2024-06-30»; «2024-12-31»; "m")/6)) → 1</t>
        </is>
      </c>
      <c r="E32" s="24" t="inlineStr">
        <is>
          <t>«Adquisición» (esta hoja), «Meses por período» (esta hoja), hoja «Parámetros»</t>
        </is>
      </c>
      <c r="F32" s="24" t="inlineStr">
        <is>
          <t>—</t>
        </is>
      </c>
    </row>
    <row r="33">
      <c r="A33" s="24" t="inlineStr">
        <is>
          <t>CA al inicio del ejercicio</t>
        </is>
      </c>
      <c r="B33" s="25" t="inlineStr">
        <is>
          <t>'=IF(B5&gt;'02_Parametros'!$B$6,E5,PV(K5,I5-T5,-J5,-D5)*(1+K5*('02_Parametros'!$B$6-EDATE(B5,T5*H5))/(EDATE(B5,(T5+1)*H5)-EDATE(B5,T5*H5))))</t>
        </is>
      </c>
      <c r="C33" s="24" t="inlineStr">
        <is>
          <t>Si el instrumento se compró durante el ejercicio, usa su costo; si ya existía, recalcula su costo amortizado (con el interés corrido) a la fecha de inicio de la hoja 02 (Parámetros).</t>
        </is>
      </c>
      <c r="D33" s="24" t="inlineStr">
        <is>
          <t>Fila 1: IF(«2024-06-30»&gt;«2024-12-31»; 96.000,00; PV(4,51 %; 10-1; -4.000,00; -100.000,00)*(1+4,51 %*(«2024-12-31»-EDATE(«2024-06-30»; 1*6))/(EDATE(«2024-06-30»; (1+1)*6)-EDATE(«2024-06-30»; 1*6)))) → 96.349,28</t>
        </is>
      </c>
      <c r="E33" s="24" t="inlineStr">
        <is>
          <t>«Adquisición» (esta hoja), «Costo» (esta hoja), «TIE periódica» (esta hoja), «Períodos totales» (esta hoja), «Cupones cobrados al inicio» (esta hoja), «Cupón por período» (esta hoja), «Nominal» (esta hoja), «Meses por período» (esta hoja), hoja «Parámetros»</t>
        </is>
      </c>
      <c r="F33" s="24" t="inlineStr">
        <is>
          <t>—</t>
        </is>
      </c>
    </row>
    <row r="34">
      <c r="A34" s="24" t="inlineStr">
        <is>
          <t>Cupones cobrados en el ejercicio</t>
        </is>
      </c>
      <c r="B34" s="25" t="inlineStr">
        <is>
          <t>'=J5*(N5-T5)</t>
        </is>
      </c>
      <c r="C34" s="24" t="inlineStr">
        <is>
          <t>Multiplica el cupón por período por los cupones cobrados entre el inicio del ejercicio y el corte (cupones al corte menos cupones al inicio).</t>
        </is>
      </c>
      <c r="D34" s="24" t="inlineStr">
        <is>
          <t>Fila 1: 4.000,00*(3-1) → 8.000,00</t>
        </is>
      </c>
      <c r="E34" s="24" t="inlineStr">
        <is>
          <t>«Cupón por período» (esta hoja), «Cupones cobrados al corte» (esta hoja), «Cupones cobrados al inicio» (esta hoja)</t>
        </is>
      </c>
      <c r="F34" s="24" t="inlineStr">
        <is>
          <t>—</t>
        </is>
      </c>
    </row>
    <row r="35">
      <c r="A35" s="24" t="inlineStr">
        <is>
          <t>Interés efectivo del ejercicio</t>
        </is>
      </c>
      <c r="B35" s="25" t="inlineStr">
        <is>
          <t>'=Q5-U5+V5</t>
        </is>
      </c>
      <c r="C35" s="24" t="inlineStr">
        <is>
          <t>Costo amortizado al corte con cupón corrido, menos el costo amortizado al inicio, más los cupones cobrados en el ejercicio: es el ingreso por intereses que debió registrarse.</t>
        </is>
      </c>
      <c r="D35" s="24" t="inlineStr">
        <is>
          <t>Fila 1: 97.044,96-96.349,28+8.000,00 → 8.695,68</t>
        </is>
      </c>
      <c r="E35" s="24" t="inlineStr">
        <is>
          <t>«CA al corte (con cupón corrido)» (esta hoja), «CA al inicio del ejercicio» (esta hoja), «Cupones cobrados en el ejercicio» (esta hoja)</t>
        </is>
      </c>
      <c r="F35"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13" customWidth="1" min="1" max="1"/>
    <col width="30" customWidth="1" min="2" max="2"/>
    <col width="12" customWidth="1" min="3" max="3"/>
    <col width="26" customWidth="1" min="4" max="4"/>
    <col width="17" customWidth="1" min="5" max="5"/>
    <col width="45" customWidth="1" min="6" max="6"/>
    <col width="58" customWidth="1" min="7" max="7"/>
    <col width="45" customWidth="1" min="8" max="8"/>
  </cols>
  <sheetData>
    <row r="1">
      <c r="A1" s="3" t="inlineStr">
        <is>
          <t>Valor razonable y jerarquía</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row>
    <row r="4" ht="30" customHeight="1">
      <c r="A4" s="17" t="inlineStr">
        <is>
          <t>Instrumento</t>
        </is>
      </c>
      <c r="B4" s="17" t="inlineStr">
        <is>
          <t>Clasificación según la norma</t>
        </is>
      </c>
      <c r="C4" s="17" t="inlineStr">
        <is>
          <t>Nivel</t>
        </is>
      </c>
      <c r="D4" s="17" t="inlineStr">
        <is>
          <t>Valor razonable al corte</t>
        </is>
      </c>
      <c r="E4" s="17" t="inlineStr">
        <is>
          <t>Saldo en libros</t>
        </is>
      </c>
      <c r="F4" s="17" t="inlineStr">
        <is>
          <t>Diferencia (ganancia/pérdida no registrada)</t>
        </is>
      </c>
      <c r="G4" s="17" t="inlineStr">
        <is>
          <t>Se reconoce en</t>
        </is>
      </c>
      <c r="H4" s="17" t="inlineStr">
        <is>
          <t>¿Nivel informado?</t>
        </is>
      </c>
    </row>
    <row r="5">
      <c r="A5" s="18" t="inlineStr">
        <is>
          <t>BONO-01</t>
        </is>
      </c>
      <c r="B5" s="18">
        <f>'04_Clasificacion'!H5</f>
        <v/>
      </c>
      <c r="C5" s="31" t="n">
        <v>2</v>
      </c>
      <c r="D5" s="20" t="n">
        <v>97200</v>
      </c>
      <c r="E5" s="20">
        <f>'03_Inventario'!N5</f>
        <v/>
      </c>
      <c r="F5" s="20">
        <f>IF(OR(B5="VRR",B5="VRORI"),IF(D5="","",D5-E5),"")</f>
        <v/>
      </c>
      <c r="G5" s="18">
        <f>IF(B5="VRR","Resultados",IF(B5="VRORI","ORI; intereses y deterioro a resultados (4.1.2A, 5.7.10)","Solo revelación (NIIF 7 25)"))</f>
        <v/>
      </c>
      <c r="H5" s="18">
        <f>IF(OR(B5="VRR",B5="VRORI"),IF(C5="","Falta nivel",IF(C5=3,"Nivel 3: revisar supuestos (NIIF 13 86, 93)","Sí")),"")</f>
        <v/>
      </c>
    </row>
    <row r="6">
      <c r="A6" s="19" t="inlineStr">
        <is>
          <t>OBL-03</t>
        </is>
      </c>
      <c r="B6" s="19">
        <f>'04_Clasificacion'!H7</f>
        <v/>
      </c>
      <c r="C6" s="33" t="n">
        <v>2</v>
      </c>
      <c r="D6" s="21" t="n">
        <v>29400</v>
      </c>
      <c r="E6" s="21">
        <f>'03_Inventario'!N7</f>
        <v/>
      </c>
      <c r="F6" s="21">
        <f>IF(OR(B6="VRR",B6="VRORI"),IF(D6="","",D6-E6),"")</f>
        <v/>
      </c>
      <c r="G6" s="19">
        <f>IF(B6="VRR","Resultados",IF(B6="VRORI","ORI; intereses y deterioro a resultados (4.1.2A, 5.7.10)","Solo revelación (NIIF 7 25)"))</f>
        <v/>
      </c>
      <c r="H6" s="19">
        <f>IF(OR(B6="VRR",B6="VRORI"),IF(C6="","Falta nivel",IF(C6=3,"Nivel 3: revisar supuestos (NIIF 13 86, 93)","Sí")),"")</f>
        <v/>
      </c>
    </row>
    <row r="7">
      <c r="A7" s="18" t="inlineStr">
        <is>
          <t>ACC-04</t>
        </is>
      </c>
      <c r="B7" s="18">
        <f>'04_Clasificacion'!H8</f>
        <v/>
      </c>
      <c r="C7" s="31" t="n">
        <v>1</v>
      </c>
      <c r="D7" s="20" t="n">
        <v>45000</v>
      </c>
      <c r="E7" s="20">
        <f>'03_Inventario'!N8</f>
        <v/>
      </c>
      <c r="F7" s="20">
        <f>IF(OR(B7="VRR",B7="VRORI"),IF(D7="","",D7-E7),"")</f>
        <v/>
      </c>
      <c r="G7" s="18">
        <f>IF(B7="VRR","Resultados",IF(B7="VRORI","ORI sin reciclaje (5.7.5, B5.7.1)","Solo revelación (NIIF 7 25)"))</f>
        <v/>
      </c>
      <c r="H7" s="18">
        <f>IF(OR(B7="VRR",B7="VRORI"),IF(C7="","Falta nivel",IF(C7=3,"Nivel 3: revisar supuestos (NIIF 13 86, 93)","Sí")),"")</f>
        <v/>
      </c>
    </row>
    <row r="8">
      <c r="A8" s="19" t="inlineStr">
        <is>
          <t>ACC-05</t>
        </is>
      </c>
      <c r="B8" s="19">
        <f>'04_Clasificacion'!H9</f>
        <v/>
      </c>
      <c r="C8" s="33" t="n">
        <v>3</v>
      </c>
      <c r="D8" s="21" t="n">
        <v>12500</v>
      </c>
      <c r="E8" s="21">
        <f>'03_Inventario'!N9</f>
        <v/>
      </c>
      <c r="F8" s="21">
        <f>IF(OR(B8="VRR",B8="VRORI"),IF(D8="","",D8-E8),"")</f>
        <v/>
      </c>
      <c r="G8" s="19">
        <f>IF(B8="VRR","Resultados",IF(B8="VRORI","ORI sin reciclaje (5.7.5, B5.7.1)","Solo revelación (NIIF 7 25)"))</f>
        <v/>
      </c>
      <c r="H8" s="19">
        <f>IF(OR(B8="VRR",B8="VRORI"),IF(C8="","Falta nivel",IF(C8=3,"Nivel 3: revisar supuestos (NIIF 13 86, 93)","Sí")),"")</f>
        <v/>
      </c>
    </row>
    <row r="9">
      <c r="A9" s="18" t="inlineStr">
        <is>
          <t>FND-06</t>
        </is>
      </c>
      <c r="B9" s="18">
        <f>'04_Clasificacion'!H10</f>
        <v/>
      </c>
      <c r="C9" s="31" t="n"/>
      <c r="D9" s="20" t="n">
        <v>20500</v>
      </c>
      <c r="E9" s="20">
        <f>'03_Inventario'!N10</f>
        <v/>
      </c>
      <c r="F9" s="20">
        <f>IF(OR(B9="VRR",B9="VRORI"),IF(D9="","",D9-E9),"")</f>
        <v/>
      </c>
      <c r="G9" s="18">
        <f>IF(B9="VRR","Resultados",IF(B9="VRORI","ORI; intereses y deterioro a resultados (4.1.2A, 5.7.10)","Solo revelación (NIIF 7 25)"))</f>
        <v/>
      </c>
      <c r="H9" s="18">
        <f>IF(OR(B9="VRR",B9="VRORI"),IF(C9="","Falta nivel",IF(C9=3,"Nivel 3: revisar supuestos (NIIF 13 86, 93)","Sí")),"")</f>
        <v/>
      </c>
    </row>
    <row r="10">
      <c r="A10" s="19" t="inlineStr">
        <is>
          <t>BONO-08</t>
        </is>
      </c>
      <c r="B10" s="19">
        <f>'04_Clasificacion'!H12</f>
        <v/>
      </c>
      <c r="C10" s="33" t="n">
        <v>2</v>
      </c>
      <c r="D10" s="21" t="n">
        <v>15800</v>
      </c>
      <c r="E10" s="21">
        <f>'03_Inventario'!N12</f>
        <v/>
      </c>
      <c r="F10" s="21">
        <f>IF(OR(B10="VRR",B10="VRORI"),IF(D10="","",D10-E10),"")</f>
        <v/>
      </c>
      <c r="G10" s="19">
        <f>IF(B10="VRR","Resultados",IF(B10="VRORI","ORI; intereses y deterioro a resultados (4.1.2A, 5.7.10)","Solo revelación (NIIF 7 25)"))</f>
        <v/>
      </c>
      <c r="H10" s="19">
        <f>IF(OR(B10="VRR",B10="VRORI"),IF(C10="","Falta nivel",IF(C10=3,"Nivel 3: revisar supuestos (NIIF 13 86, 93)","Sí")),"")</f>
        <v/>
      </c>
    </row>
    <row r="11">
      <c r="A11" s="18" t="inlineStr">
        <is>
          <t>OBL-10</t>
        </is>
      </c>
      <c r="B11" s="18">
        <f>'04_Clasificacion'!H14</f>
        <v/>
      </c>
      <c r="C11" s="31" t="n">
        <v>2</v>
      </c>
      <c r="D11" s="20" t="n">
        <v>20200</v>
      </c>
      <c r="E11" s="20">
        <f>'03_Inventario'!N14</f>
        <v/>
      </c>
      <c r="F11" s="20">
        <f>IF(OR(B11="VRR",B11="VRORI"),IF(D11="","",D11-E11),"")</f>
        <v/>
      </c>
      <c r="G11" s="18">
        <f>IF(B11="VRR","Resultados",IF(B11="VRORI","ORI; intereses y deterioro a resultados (4.1.2A, 5.7.10)","Solo revelación (NIIF 7 25)"))</f>
        <v/>
      </c>
      <c r="H11" s="18">
        <f>IF(OR(B11="VRR",B11="VRORI"),IF(C11="","Falta nivel",IF(C11=3,"Nivel 3: revisar supuestos (NIIF 13 86, 93)","Sí")),"")</f>
        <v/>
      </c>
    </row>
    <row r="12">
      <c r="A12" s="38" t="inlineStr">
        <is>
          <t>TOTAL</t>
        </is>
      </c>
      <c r="B12" s="38" t="inlineStr"/>
      <c r="C12" s="41" t="n"/>
      <c r="D12" s="40">
        <f>SUM(D5:D11)</f>
        <v/>
      </c>
      <c r="E12" s="40">
        <f>SUM(E5:E11)</f>
        <v/>
      </c>
      <c r="F12" s="40">
        <f>SUM(F5:F11)</f>
        <v/>
      </c>
      <c r="G12" s="38" t="inlineStr"/>
      <c r="H12" s="38" t="inlineStr"/>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Clasificación según la norma</t>
        </is>
      </c>
      <c r="B16" s="25" t="inlineStr">
        <is>
          <t>'='04_Clasificacion'!H5</t>
        </is>
      </c>
      <c r="C16" s="24" t="inlineStr">
        <is>
          <t>Trae la clasificación que corresponde según la norma, calculada en la hoja 04 (Clasificación).</t>
        </is>
      </c>
      <c r="D16" s="24" t="inlineStr">
        <is>
          <t>Fila 1: «CA» → CA</t>
        </is>
      </c>
      <c r="E16" s="24" t="inlineStr">
        <is>
          <t>hoja «Clasificación»</t>
        </is>
      </c>
      <c r="F16" s="24" t="inlineStr">
        <is>
          <t>—</t>
        </is>
      </c>
    </row>
    <row r="17">
      <c r="A17" s="24" t="inlineStr">
        <is>
          <t>Saldo en libros</t>
        </is>
      </c>
      <c r="B17" s="25" t="inlineStr">
        <is>
          <t>'='03_Inventario'!N5</t>
        </is>
      </c>
      <c r="C17" s="24" t="inlineStr">
        <is>
          <t>Trae el saldo en libros del instrumento desde la hoja 03 (Inventario de inversiones).</t>
        </is>
      </c>
      <c r="D17" s="24" t="inlineStr">
        <is>
          <t>Fila 1: 96.500,00 → 96.500,00</t>
        </is>
      </c>
      <c r="E17" s="24" t="inlineStr">
        <is>
          <t>hoja «Inventario de inversiones»</t>
        </is>
      </c>
      <c r="F17" s="24" t="inlineStr">
        <is>
          <t>—</t>
        </is>
      </c>
    </row>
    <row r="18">
      <c r="A18" s="24" t="inlineStr">
        <is>
          <t>Diferencia (ganancia/pérdida no registrada)</t>
        </is>
      </c>
      <c r="B18" s="25" t="inlineStr">
        <is>
          <t>'=IF(OR(B5="VRR",B5="VRORI"),IF(D5="","",D5-E5),"")</t>
        </is>
      </c>
      <c r="C18" s="24" t="inlineStr">
        <is>
          <t>Solo para instrumentos a valor razonable (VRR o VRORI): valor razonable al corte menos saldo en libros. Queda en blanco si no hay valor razonable o si el instrumento no se mide a valor razonable.</t>
        </is>
      </c>
      <c r="D18" s="24" t="inlineStr">
        <is>
          <t>Fila 1: IF(OR(«CA»="VRR"; «CA»="VRORI"); IF(97.200,00=""; ""; 97.200,00-96.500,00); "") → (en blanco)</t>
        </is>
      </c>
      <c r="E18" s="24" t="inlineStr">
        <is>
          <t>«Clasificación según la norma» (esta hoja), «Valor razonable al corte» (esta hoja), «Saldo en libros» (esta hoja)</t>
        </is>
      </c>
      <c r="F18" s="24" t="inlineStr">
        <is>
          <t>—</t>
        </is>
      </c>
    </row>
    <row r="19">
      <c r="A19" s="24" t="inlineStr">
        <is>
          <t>Se reconoce en</t>
        </is>
      </c>
      <c r="B19" s="25" t="inlineStr">
        <is>
          <t>'=IF(B5="VRR","Resultados",IF(B5="VRORI","ORI; intereses y deterioro a resultados (4.1.2A, 5.7.10)","Solo revelación (NIIF 7 25)"))</t>
        </is>
      </c>
      <c r="C19" s="24" t="inlineStr">
        <is>
          <t>Indica dónde va la diferencia de valor razonable: en resultados si es VRR, en ORI si es VRORI (con el matiz según sea deuda o patrimonio) y, en las demás clasificaciones, solo se revela.</t>
        </is>
      </c>
      <c r="D19" s="24" t="inlineStr">
        <is>
          <t>Fila 1: IF(«CA»="VRR"; "Resultados"; IF(«CA»="VRORI"; "ORI; intereses y deterioro a resultados (4.1.2A, 5.7.10)"; "Solo revelación (NIIF 7 25)")) → Solo revelación (NIIF 7 25)</t>
        </is>
      </c>
      <c r="E19" s="24" t="inlineStr">
        <is>
          <t>«Clasificación según la norma» (esta hoja)</t>
        </is>
      </c>
      <c r="F19" s="24" t="inlineStr">
        <is>
          <t>—</t>
        </is>
      </c>
    </row>
    <row r="20">
      <c r="A20" s="24" t="inlineStr">
        <is>
          <t>¿Nivel informado?</t>
        </is>
      </c>
      <c r="B20" s="25" t="inlineStr">
        <is>
          <t>'=IF(OR(B5="VRR",B5="VRORI"),IF(C5="","Falta nivel",IF(C5=3,"Nivel 3: revisar supuestos (NIIF 13 86, 93)","Sí")),"")</t>
        </is>
      </c>
      <c r="C20" s="24" t="inlineStr">
        <is>
          <t>Para instrumentos a valor razonable revisa el nivel de jerarquía: avisa «Falta nivel» si está vacío, pide revisar supuestos si es nivel 3 y pone «Sí» en otro caso; en las demás clasificaciones queda vacío.</t>
        </is>
      </c>
      <c r="D20" s="24" t="inlineStr">
        <is>
          <t>Fila 1: IF(OR(«CA»="VRR"; «CA»="VRORI"); IF(2=""; "Falta nivel"; IF(2=3; "Nivel 3: revisar supuestos (NIIF 13 86, 93)"; "Sí")); "") → (en blanco)</t>
        </is>
      </c>
      <c r="E20" s="24" t="inlineStr">
        <is>
          <t>«Clasificación según la norma» (esta hoja), «Nivel» (esta hoja)</t>
        </is>
      </c>
      <c r="F20"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30" customWidth="1" min="3" max="3"/>
    <col width="24" customWidth="1" min="4" max="4"/>
    <col width="20" customWidth="1" min="5" max="5"/>
    <col width="24" customWidth="1" min="6" max="6"/>
  </cols>
  <sheetData>
    <row r="1">
      <c r="A1" s="3" t="inlineStr">
        <is>
          <t>Intereses y dividendos</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Instrumento</t>
        </is>
      </c>
      <c r="B4" s="17" t="inlineStr">
        <is>
          <t>Tipo</t>
        </is>
      </c>
      <c r="C4" s="17" t="inlineStr">
        <is>
          <t>Clasificación según la norma</t>
        </is>
      </c>
      <c r="D4" s="17" t="inlineStr">
        <is>
          <t>Ingreso según la norma</t>
        </is>
      </c>
      <c r="E4" s="17" t="inlineStr">
        <is>
          <t>Ingreso registrado</t>
        </is>
      </c>
      <c r="F4" s="17" t="inlineStr">
        <is>
          <t>Diferencia</t>
        </is>
      </c>
    </row>
    <row r="5">
      <c r="A5" s="18" t="inlineStr">
        <is>
          <t>BONO-01</t>
        </is>
      </c>
      <c r="B5" s="18">
        <f>'03_Inventario'!C5&amp;""</f>
        <v/>
      </c>
      <c r="C5" s="18">
        <f>'04_Clasificacion'!H5</f>
        <v/>
      </c>
      <c r="D5" s="20">
        <f>IF(OR(C5="CA",C5="VRORI"),'05_Costo_amortizado'!W5,"")</f>
        <v/>
      </c>
      <c r="E5" s="20">
        <f>'03_Inventario'!R5</f>
        <v/>
      </c>
      <c r="F5" s="20">
        <f>IF(D5="","",D5-E5)</f>
        <v/>
      </c>
    </row>
    <row r="6">
      <c r="A6" s="19" t="inlineStr">
        <is>
          <t>CDP-02</t>
        </is>
      </c>
      <c r="B6" s="19">
        <f>'03_Inventario'!C6&amp;""</f>
        <v/>
      </c>
      <c r="C6" s="19">
        <f>'04_Clasificacion'!H6</f>
        <v/>
      </c>
      <c r="D6" s="21">
        <f>IF(OR(C6="CA",C6="VRORI"),'05_Costo_amortizado'!W6,"")</f>
        <v/>
      </c>
      <c r="E6" s="21">
        <f>'03_Inventario'!R6</f>
        <v/>
      </c>
      <c r="F6" s="21">
        <f>IF(D6="","",D6-E6)</f>
        <v/>
      </c>
    </row>
    <row r="7">
      <c r="A7" s="18" t="inlineStr">
        <is>
          <t>OBL-03</t>
        </is>
      </c>
      <c r="B7" s="18">
        <f>'03_Inventario'!C7&amp;""</f>
        <v/>
      </c>
      <c r="C7" s="18">
        <f>'04_Clasificacion'!H7</f>
        <v/>
      </c>
      <c r="D7" s="20">
        <f>IF(OR(C7="CA",C7="VRORI"),'05_Costo_amortizado'!W7,"")</f>
        <v/>
      </c>
      <c r="E7" s="20">
        <f>'03_Inventario'!R7</f>
        <v/>
      </c>
      <c r="F7" s="20">
        <f>IF(D7="","",D7-E7)</f>
        <v/>
      </c>
    </row>
    <row r="8">
      <c r="A8" s="19" t="inlineStr">
        <is>
          <t>ACC-04</t>
        </is>
      </c>
      <c r="B8" s="19">
        <f>'03_Inventario'!C8&amp;""</f>
        <v/>
      </c>
      <c r="C8" s="19">
        <f>'04_Clasificacion'!H8</f>
        <v/>
      </c>
      <c r="D8" s="21">
        <f>IF('03_Inventario'!S8="","",'03_Inventario'!S8)</f>
        <v/>
      </c>
      <c r="E8" s="21">
        <f>'03_Inventario'!R8</f>
        <v/>
      </c>
      <c r="F8" s="21">
        <f>IF(D8="","",D8-E8)</f>
        <v/>
      </c>
    </row>
    <row r="9">
      <c r="A9" s="18" t="inlineStr">
        <is>
          <t>ACC-05</t>
        </is>
      </c>
      <c r="B9" s="18">
        <f>'03_Inventario'!C9&amp;""</f>
        <v/>
      </c>
      <c r="C9" s="18">
        <f>'04_Clasificacion'!H9</f>
        <v/>
      </c>
      <c r="D9" s="20">
        <f>IF('03_Inventario'!S9="","",'03_Inventario'!S9)</f>
        <v/>
      </c>
      <c r="E9" s="20">
        <f>'03_Inventario'!R9</f>
        <v/>
      </c>
      <c r="F9" s="20">
        <f>IF(D9="","",D9-E9)</f>
        <v/>
      </c>
    </row>
    <row r="10">
      <c r="A10" s="19" t="inlineStr">
        <is>
          <t>FND-06</t>
        </is>
      </c>
      <c r="B10" s="19">
        <f>'03_Inventario'!C10&amp;""</f>
        <v/>
      </c>
      <c r="C10" s="19">
        <f>'04_Clasificacion'!H10</f>
        <v/>
      </c>
      <c r="D10" s="21">
        <f>""</f>
        <v/>
      </c>
      <c r="E10" s="21">
        <f>'03_Inventario'!R10</f>
        <v/>
      </c>
      <c r="F10" s="21">
        <f>IF(D10="","",D10-E10)</f>
        <v/>
      </c>
    </row>
    <row r="11">
      <c r="A11" s="18" t="inlineStr">
        <is>
          <t>PAG-07</t>
        </is>
      </c>
      <c r="B11" s="18">
        <f>'03_Inventario'!C11&amp;""</f>
        <v/>
      </c>
      <c r="C11" s="18">
        <f>'04_Clasificacion'!H11</f>
        <v/>
      </c>
      <c r="D11" s="20">
        <f>IF(OR(C11="CA",C11="VRORI"),'05_Costo_amortizado'!W8,"")</f>
        <v/>
      </c>
      <c r="E11" s="20">
        <f>'03_Inventario'!R11</f>
        <v/>
      </c>
      <c r="F11" s="20">
        <f>IF(D11="","",D11-E11)</f>
        <v/>
      </c>
    </row>
    <row r="12">
      <c r="A12" s="19" t="inlineStr">
        <is>
          <t>BONO-08</t>
        </is>
      </c>
      <c r="B12" s="19">
        <f>'03_Inventario'!C12&amp;""</f>
        <v/>
      </c>
      <c r="C12" s="19">
        <f>'04_Clasificacion'!H12</f>
        <v/>
      </c>
      <c r="D12" s="21">
        <f>IF(OR(C12="CA",C12="VRORI"),'05_Costo_amortizado'!W9,"")</f>
        <v/>
      </c>
      <c r="E12" s="21">
        <f>'03_Inventario'!R12</f>
        <v/>
      </c>
      <c r="F12" s="21">
        <f>IF(D12="","",D12-E12)</f>
        <v/>
      </c>
    </row>
    <row r="13">
      <c r="A13" s="18" t="inlineStr">
        <is>
          <t>POL-09</t>
        </is>
      </c>
      <c r="B13" s="18">
        <f>'03_Inventario'!C13&amp;""</f>
        <v/>
      </c>
      <c r="C13" s="18">
        <f>'04_Clasificacion'!H13</f>
        <v/>
      </c>
      <c r="D13" s="20">
        <f>IF(OR(C13="CA",C13="VRORI"),'05_Costo_amortizado'!W10,"")</f>
        <v/>
      </c>
      <c r="E13" s="20">
        <f>'03_Inventario'!R13</f>
        <v/>
      </c>
      <c r="F13" s="20">
        <f>IF(D13="","",D13-E13)</f>
        <v/>
      </c>
    </row>
    <row r="14">
      <c r="A14" s="19" t="inlineStr">
        <is>
          <t>OBL-10</t>
        </is>
      </c>
      <c r="B14" s="19">
        <f>'03_Inventario'!C14&amp;""</f>
        <v/>
      </c>
      <c r="C14" s="19">
        <f>'04_Clasificacion'!H14</f>
        <v/>
      </c>
      <c r="D14" s="21">
        <f>IF(OR(C14="CA",C14="VRORI"),'05_Costo_amortizado'!W11,"")</f>
        <v/>
      </c>
      <c r="E14" s="21">
        <f>'03_Inventario'!R14</f>
        <v/>
      </c>
      <c r="F14" s="21">
        <f>IF(D14="","",D14-E14)</f>
        <v/>
      </c>
    </row>
    <row r="15">
      <c r="A15" s="18" t="inlineStr">
        <is>
          <t>BONO-11</t>
        </is>
      </c>
      <c r="B15" s="18">
        <f>'03_Inventario'!C15&amp;""</f>
        <v/>
      </c>
      <c r="C15" s="18">
        <f>'04_Clasificacion'!H15</f>
        <v/>
      </c>
      <c r="D15" s="20">
        <f>""</f>
        <v/>
      </c>
      <c r="E15" s="20">
        <f>'03_Inventario'!R15</f>
        <v/>
      </c>
      <c r="F15" s="20">
        <f>IF(D15="","",D15-E15)</f>
        <v/>
      </c>
    </row>
    <row r="16">
      <c r="A16" s="38" t="inlineStr">
        <is>
          <t>TOTAL</t>
        </is>
      </c>
      <c r="B16" s="38" t="inlineStr"/>
      <c r="C16" s="38" t="inlineStr"/>
      <c r="D16" s="40">
        <f>SUM(D5:D15)</f>
        <v/>
      </c>
      <c r="E16" s="40">
        <f>SUM(E5:E15)</f>
        <v/>
      </c>
      <c r="F16" s="40">
        <f>SUM(F5:F15)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Tipo</t>
        </is>
      </c>
      <c r="B20" s="25" t="inlineStr">
        <is>
          <t>'='03_Inventario'!C5&amp;""</t>
        </is>
      </c>
      <c r="C20" s="24" t="inlineStr">
        <is>
          <t>Copia el tipo de instrumento (deuda o patrimonio) desde la hoja 03 (Inventario de inversiones).</t>
        </is>
      </c>
      <c r="D20" s="24" t="inlineStr">
        <is>
          <t>Fila 1: «Deuda»&amp;"" → Deuda</t>
        </is>
      </c>
      <c r="E20" s="24" t="inlineStr">
        <is>
          <t>hoja «Inventario de inversiones»</t>
        </is>
      </c>
      <c r="F20" s="24" t="inlineStr">
        <is>
          <t>—</t>
        </is>
      </c>
    </row>
    <row r="21">
      <c r="A21" s="24" t="inlineStr">
        <is>
          <t>Clasificación según la norma</t>
        </is>
      </c>
      <c r="B21" s="25" t="inlineStr">
        <is>
          <t>'='04_Clasificacion'!H5</t>
        </is>
      </c>
      <c r="C21" s="24" t="inlineStr">
        <is>
          <t>Trae la clasificación que corresponde según la norma desde la hoja 04 (Clasificación).</t>
        </is>
      </c>
      <c r="D21" s="24" t="inlineStr">
        <is>
          <t>Fila 1: «CA» → CA</t>
        </is>
      </c>
      <c r="E21" s="24" t="inlineStr">
        <is>
          <t>hoja «Clasificación»</t>
        </is>
      </c>
      <c r="F21" s="24" t="inlineStr">
        <is>
          <t>—</t>
        </is>
      </c>
    </row>
    <row r="22">
      <c r="A22" s="24" t="inlineStr">
        <is>
          <t>Ingreso según la norma</t>
        </is>
      </c>
      <c r="B22" s="25" t="inlineStr">
        <is>
          <t>'=IF(OR(C5="CA",C5="VRORI"),'05_Costo_amortizado'!W5,"")</t>
        </is>
      </c>
      <c r="C22" s="24" t="inlineStr">
        <is>
          <t>Para la deuda a costo amortizado o VRORI trae el interés efectivo del ejercicio de la hoja 05 (Costo amortizado y TIE); para acciones trae los dividendos decretados de la hoja 03 (Inventario de inversiones); en los demás casos queda en blanco.</t>
        </is>
      </c>
      <c r="D22" s="24" t="inlineStr">
        <is>
          <t>Fila 1: IF(OR(«CA»="CA"; «CA»="VRORI"); 8.695,68; "") → 8.695,68</t>
        </is>
      </c>
      <c r="E22" s="24" t="inlineStr">
        <is>
          <t>«Clasificación según la norma» (esta hoja), hoja «Costo amortizado y TIE»</t>
        </is>
      </c>
      <c r="F22" s="24" t="inlineStr">
        <is>
          <t>—</t>
        </is>
      </c>
    </row>
    <row r="23">
      <c r="A23" s="24" t="inlineStr">
        <is>
          <t>Ingreso registrado</t>
        </is>
      </c>
      <c r="B23" s="25" t="inlineStr">
        <is>
          <t>'='03_Inventario'!R5</t>
        </is>
      </c>
      <c r="C23" s="24" t="inlineStr">
        <is>
          <t>Trae el ingreso por intereses o dividendos que el cliente registró en el año, desde la hoja 03 (Inventario de inversiones).</t>
        </is>
      </c>
      <c r="D23" s="24" t="inlineStr">
        <is>
          <t>Fila 1: 8.000,00 → 8.000,00</t>
        </is>
      </c>
      <c r="E23" s="24" t="inlineStr">
        <is>
          <t>hoja «Inventario de inversiones»</t>
        </is>
      </c>
      <c r="F23" s="24" t="inlineStr">
        <is>
          <t>—</t>
        </is>
      </c>
    </row>
    <row r="24">
      <c r="A24" s="24" t="inlineStr">
        <is>
          <t>Diferencia</t>
        </is>
      </c>
      <c r="B24" s="25" t="inlineStr">
        <is>
          <t>'=IF(D5="","",D5-E5)</t>
        </is>
      </c>
      <c r="C24" s="24" t="inlineStr">
        <is>
          <t>Ingreso según la norma menos ingreso registrado: si es positivo falta registrar ingreso. Queda en blanco cuando no hay ingreso según la norma.</t>
        </is>
      </c>
      <c r="D24" s="24" t="inlineStr">
        <is>
          <t>Fila 1: IF(8.695,68=""; ""; 8.695,68-8.000,00) → 695,68</t>
        </is>
      </c>
      <c r="E24" s="24" t="inlineStr">
        <is>
          <t>«Ingreso según la norma» (esta hoja), «Ingreso registrado» (esta hoja)</t>
        </is>
      </c>
      <c r="F24"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K25"/>
  <sheetViews>
    <sheetView showGridLines="0" workbookViewId="0">
      <pane ySplit="4" topLeftCell="A5" activePane="bottomLeft" state="frozen"/>
      <selection pane="bottomLeft" activeCell="A1" sqref="A1"/>
    </sheetView>
  </sheetViews>
  <sheetFormatPr baseColWidth="8" defaultRowHeight="15"/>
  <cols>
    <col width="13" customWidth="1" min="1" max="1"/>
    <col width="30" customWidth="1" min="2" max="2"/>
    <col width="12" customWidth="1" min="3" max="3"/>
    <col width="21" customWidth="1" min="4" max="4"/>
    <col width="37" customWidth="1" min="5" max="5"/>
    <col width="12" customWidth="1" min="6" max="6"/>
    <col width="24" customWidth="1" min="7" max="7"/>
    <col width="41" customWidth="1" min="8" max="8"/>
    <col width="23" customWidth="1" min="9" max="9"/>
    <col width="22" customWidth="1" min="10" max="10"/>
    <col width="20" customWidth="1" min="11" max="11"/>
  </cols>
  <sheetData>
    <row r="1">
      <c r="A1" s="3" t="inlineStr">
        <is>
          <t>Deterioro</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c r="I2" s="16" t="n"/>
      <c r="J2" s="16" t="n"/>
      <c r="K2" s="16" t="n"/>
    </row>
    <row r="4" ht="30" customHeight="1">
      <c r="A4" s="17" t="inlineStr">
        <is>
          <t>Instrumento</t>
        </is>
      </c>
      <c r="B4" s="17" t="inlineStr">
        <is>
          <t>Clasificación según la norma</t>
        </is>
      </c>
      <c r="C4" s="17" t="inlineStr">
        <is>
          <t>Indicio</t>
        </is>
      </c>
      <c r="D4" s="17" t="inlineStr">
        <is>
          <t>Enfoque</t>
        </is>
      </c>
      <c r="E4" s="17" t="inlineStr">
        <is>
          <t>Base (CA con cupón corrido / costo)</t>
        </is>
      </c>
      <c r="F4" s="17" t="inlineStr">
        <is>
          <t>PD %</t>
        </is>
      </c>
      <c r="G4" s="17" t="inlineStr">
        <is>
          <t>LGD / no recuperable %</t>
        </is>
      </c>
      <c r="H4" s="17" t="inlineStr">
        <is>
          <t>Estimación de venta al cierre (11.25 b)</t>
        </is>
      </c>
      <c r="I4" s="17" t="inlineStr">
        <is>
          <t>Deterioro recalculado</t>
        </is>
      </c>
      <c r="J4" s="17" t="inlineStr">
        <is>
          <t>Deterioro registrado</t>
        </is>
      </c>
      <c r="K4" s="17" t="inlineStr">
        <is>
          <t>Diferencia</t>
        </is>
      </c>
    </row>
    <row r="5">
      <c r="A5" s="18" t="inlineStr">
        <is>
          <t>BONO-01</t>
        </is>
      </c>
      <c r="B5" s="18">
        <f>'04_Clasificacion'!H5</f>
        <v/>
      </c>
      <c r="C5" s="18" t="inlineStr">
        <is>
          <t>No</t>
        </is>
      </c>
      <c r="D5" s="18">
        <f>IF(OR(B5="CA",AND(B5="VRORI",'03_Inventario'!C5="Deuda")),IF(C5="Sí","Vida entera (5.5.3)","12 meses (5.5.5)"),"No aplica")</f>
        <v/>
      </c>
      <c r="E5" s="20">
        <f>IF(OR(B5="CA",AND(B5="VRORI",'03_Inventario'!C5="Deuda")),'05_Costo_amortizado'!Q5,"")</f>
        <v/>
      </c>
      <c r="F5" s="30" t="n">
        <v>1</v>
      </c>
      <c r="G5" s="30" t="n">
        <v>45</v>
      </c>
      <c r="H5" s="20" t="n"/>
      <c r="I5" s="20">
        <f>IF(OR(B5="CA",AND(B5="VRORI",'03_Inventario'!C5="Deuda")),IF(OR(E5="",F5="",G5=""),"",E5*F5/100*G5/100),"")</f>
        <v/>
      </c>
      <c r="J5" s="20">
        <f>'03_Inventario'!Q5</f>
        <v/>
      </c>
      <c r="K5" s="20">
        <f>IF(I5="","",I5-J5)</f>
        <v/>
      </c>
    </row>
    <row r="6">
      <c r="A6" s="19" t="inlineStr">
        <is>
          <t>CDP-02</t>
        </is>
      </c>
      <c r="B6" s="19">
        <f>'04_Clasificacion'!H6</f>
        <v/>
      </c>
      <c r="C6" s="19" t="inlineStr">
        <is>
          <t>No</t>
        </is>
      </c>
      <c r="D6" s="19">
        <f>IF(OR(B6="CA",AND(B6="VRORI",'03_Inventario'!C6="Deuda")),IF(C6="Sí","Vida entera (5.5.3)","12 meses (5.5.5)"),"No aplica")</f>
        <v/>
      </c>
      <c r="E6" s="21">
        <f>IF(OR(B6="CA",AND(B6="VRORI",'03_Inventario'!C6="Deuda")),'05_Costo_amortizado'!Q6,"")</f>
        <v/>
      </c>
      <c r="F6" s="28" t="n">
        <v>0.5</v>
      </c>
      <c r="G6" s="28" t="n">
        <v>40</v>
      </c>
      <c r="H6" s="21" t="n"/>
      <c r="I6" s="21">
        <f>IF(OR(B6="CA",AND(B6="VRORI",'03_Inventario'!C6="Deuda")),IF(OR(E6="",F6="",G6=""),"",E6*F6/100*G6/100),"")</f>
        <v/>
      </c>
      <c r="J6" s="21">
        <f>'03_Inventario'!Q6</f>
        <v/>
      </c>
      <c r="K6" s="21">
        <f>IF(I6="","",I6-J6)</f>
        <v/>
      </c>
    </row>
    <row r="7">
      <c r="A7" s="18" t="inlineStr">
        <is>
          <t>OBL-03</t>
        </is>
      </c>
      <c r="B7" s="18">
        <f>'04_Clasificacion'!H7</f>
        <v/>
      </c>
      <c r="C7" s="18" t="inlineStr">
        <is>
          <t>No</t>
        </is>
      </c>
      <c r="D7" s="18">
        <f>IF(OR(B7="CA",AND(B7="VRORI",'03_Inventario'!C7="Deuda")),IF(C7="Sí","Vida entera (5.5.3)","12 meses (5.5.5)"),"No aplica")</f>
        <v/>
      </c>
      <c r="E7" s="20">
        <f>IF(OR(B7="CA",AND(B7="VRORI",'03_Inventario'!C7="Deuda")),'05_Costo_amortizado'!Q7,"")</f>
        <v/>
      </c>
      <c r="F7" s="30" t="n">
        <v>1</v>
      </c>
      <c r="G7" s="30" t="n">
        <v>45</v>
      </c>
      <c r="H7" s="20" t="n"/>
      <c r="I7" s="20">
        <f>IF(OR(B7="CA",AND(B7="VRORI",'03_Inventario'!C7="Deuda")),IF(OR(E7="",F7="",G7=""),"",E7*F7/100*G7/100),"")</f>
        <v/>
      </c>
      <c r="J7" s="20">
        <f>'03_Inventario'!Q7</f>
        <v/>
      </c>
      <c r="K7" s="20">
        <f>IF(I7="","",I7-J7)</f>
        <v/>
      </c>
    </row>
    <row r="8">
      <c r="A8" s="19" t="inlineStr">
        <is>
          <t>ACC-04</t>
        </is>
      </c>
      <c r="B8" s="19">
        <f>'04_Clasificacion'!H8</f>
        <v/>
      </c>
      <c r="C8" s="19" t="inlineStr"/>
      <c r="D8" s="19">
        <f>IF(OR(B8="CA",AND(B8="VRORI",'03_Inventario'!C8="Deuda")),IF(C8="Sí","Vida entera (5.5.3)","12 meses (5.5.5)"),"No aplica")</f>
        <v/>
      </c>
      <c r="E8" s="21">
        <f>""</f>
        <v/>
      </c>
      <c r="F8" s="19" t="n"/>
      <c r="G8" s="19" t="n"/>
      <c r="H8" s="21" t="n"/>
      <c r="I8" s="21">
        <f>IF(OR(B8="CA",AND(B8="VRORI",'03_Inventario'!C8="Deuda")),IF(OR(E8="",F8="",G8=""),"",E8*F8/100*G8/100),"")</f>
        <v/>
      </c>
      <c r="J8" s="21">
        <f>'03_Inventario'!Q8</f>
        <v/>
      </c>
      <c r="K8" s="21">
        <f>IF(I8="","",I8-J8)</f>
        <v/>
      </c>
    </row>
    <row r="9">
      <c r="A9" s="18" t="inlineStr">
        <is>
          <t>ACC-05</t>
        </is>
      </c>
      <c r="B9" s="18">
        <f>'04_Clasificacion'!H9</f>
        <v/>
      </c>
      <c r="C9" s="18" t="inlineStr"/>
      <c r="D9" s="18">
        <f>IF(OR(B9="CA",AND(B9="VRORI",'03_Inventario'!C9="Deuda")),IF(C9="Sí","Vida entera (5.5.3)","12 meses (5.5.5)"),"No aplica")</f>
        <v/>
      </c>
      <c r="E9" s="20">
        <f>""</f>
        <v/>
      </c>
      <c r="F9" s="18" t="n"/>
      <c r="G9" s="18" t="n"/>
      <c r="H9" s="20" t="n"/>
      <c r="I9" s="20">
        <f>IF(OR(B9="CA",AND(B9="VRORI",'03_Inventario'!C9="Deuda")),IF(OR(E9="",F9="",G9=""),"",E9*F9/100*G9/100),"")</f>
        <v/>
      </c>
      <c r="J9" s="20">
        <f>'03_Inventario'!Q9</f>
        <v/>
      </c>
      <c r="K9" s="20">
        <f>IF(I9="","",I9-J9)</f>
        <v/>
      </c>
    </row>
    <row r="10">
      <c r="A10" s="19" t="inlineStr">
        <is>
          <t>FND-06</t>
        </is>
      </c>
      <c r="B10" s="19">
        <f>'04_Clasificacion'!H10</f>
        <v/>
      </c>
      <c r="C10" s="19" t="inlineStr"/>
      <c r="D10" s="19">
        <f>IF(OR(B10="CA",AND(B10="VRORI",'03_Inventario'!C10="Deuda")),IF(C10="Sí","Vida entera (5.5.3)","12 meses (5.5.5)"),"No aplica")</f>
        <v/>
      </c>
      <c r="E10" s="21">
        <f>""</f>
        <v/>
      </c>
      <c r="F10" s="19" t="n"/>
      <c r="G10" s="19" t="n"/>
      <c r="H10" s="21" t="n"/>
      <c r="I10" s="21">
        <f>IF(OR(B10="CA",AND(B10="VRORI",'03_Inventario'!C10="Deuda")),IF(OR(E10="",F10="",G10=""),"",E10*F10/100*G10/100),"")</f>
        <v/>
      </c>
      <c r="J10" s="21">
        <f>'03_Inventario'!Q10</f>
        <v/>
      </c>
      <c r="K10" s="21">
        <f>IF(I10="","",I10-J10)</f>
        <v/>
      </c>
    </row>
    <row r="11">
      <c r="A11" s="18" t="inlineStr">
        <is>
          <t>PAG-07</t>
        </is>
      </c>
      <c r="B11" s="18">
        <f>'04_Clasificacion'!H11</f>
        <v/>
      </c>
      <c r="C11" s="18" t="inlineStr">
        <is>
          <t>Sí</t>
        </is>
      </c>
      <c r="D11" s="18">
        <f>IF(OR(B11="CA",AND(B11="VRORI",'03_Inventario'!C11="Deuda")),IF(C11="Sí","Vida entera (5.5.3)","12 meses (5.5.5)"),"No aplica")</f>
        <v/>
      </c>
      <c r="E11" s="20">
        <f>IF(OR(B11="CA",AND(B11="VRORI",'03_Inventario'!C11="Deuda")),'05_Costo_amortizado'!Q8,"")</f>
        <v/>
      </c>
      <c r="F11" s="30" t="n">
        <v>60</v>
      </c>
      <c r="G11" s="30" t="n">
        <v>50</v>
      </c>
      <c r="H11" s="20" t="n"/>
      <c r="I11" s="20">
        <f>IF(OR(B11="CA",AND(B11="VRORI",'03_Inventario'!C11="Deuda")),IF(OR(E11="",F11="",G11=""),"",E11*F11/100*G11/100),"")</f>
        <v/>
      </c>
      <c r="J11" s="20">
        <f>'03_Inventario'!Q11</f>
        <v/>
      </c>
      <c r="K11" s="20">
        <f>IF(I11="","",I11-J11)</f>
        <v/>
      </c>
    </row>
    <row r="12">
      <c r="A12" s="19" t="inlineStr">
        <is>
          <t>BONO-08</t>
        </is>
      </c>
      <c r="B12" s="19">
        <f>'04_Clasificacion'!H12</f>
        <v/>
      </c>
      <c r="C12" s="19" t="inlineStr"/>
      <c r="D12" s="19">
        <f>IF(OR(B12="CA",AND(B12="VRORI",'03_Inventario'!C12="Deuda")),IF(C12="Sí","Vida entera (5.5.3)","12 meses (5.5.5)"),"No aplica")</f>
        <v/>
      </c>
      <c r="E12" s="21">
        <f>IF(OR(B12="CA",AND(B12="VRORI",'03_Inventario'!C12="Deuda")),'05_Costo_amortizado'!Q9,"")</f>
        <v/>
      </c>
      <c r="F12" s="19" t="n"/>
      <c r="G12" s="19" t="n"/>
      <c r="H12" s="21" t="n"/>
      <c r="I12" s="21">
        <f>IF(OR(B12="CA",AND(B12="VRORI",'03_Inventario'!C12="Deuda")),IF(OR(E12="",F12="",G12=""),"",E12*F12/100*G12/100),"")</f>
        <v/>
      </c>
      <c r="J12" s="21">
        <f>'03_Inventario'!Q12</f>
        <v/>
      </c>
      <c r="K12" s="21">
        <f>IF(I12="","",I12-J12)</f>
        <v/>
      </c>
    </row>
    <row r="13">
      <c r="A13" s="18" t="inlineStr">
        <is>
          <t>POL-09</t>
        </is>
      </c>
      <c r="B13" s="18">
        <f>'04_Clasificacion'!H13</f>
        <v/>
      </c>
      <c r="C13" s="18" t="inlineStr">
        <is>
          <t>No</t>
        </is>
      </c>
      <c r="D13" s="18">
        <f>IF(OR(B13="CA",AND(B13="VRORI",'03_Inventario'!C13="Deuda")),IF(C13="Sí","Vida entera (5.5.3)","12 meses (5.5.5)"),"No aplica")</f>
        <v/>
      </c>
      <c r="E13" s="20">
        <f>IF(OR(B13="CA",AND(B13="VRORI",'03_Inventario'!C13="Deuda")),'05_Costo_amortizado'!Q10,"")</f>
        <v/>
      </c>
      <c r="F13" s="30" t="n">
        <v>2</v>
      </c>
      <c r="G13" s="30" t="n">
        <v>40</v>
      </c>
      <c r="H13" s="20" t="n"/>
      <c r="I13" s="20">
        <f>IF(OR(B13="CA",AND(B13="VRORI",'03_Inventario'!C13="Deuda")),IF(OR(E13="",F13="",G13=""),"",E13*F13/100*G13/100),"")</f>
        <v/>
      </c>
      <c r="J13" s="20">
        <f>'03_Inventario'!Q13</f>
        <v/>
      </c>
      <c r="K13" s="20">
        <f>IF(I13="","",I13-J13)</f>
        <v/>
      </c>
    </row>
    <row r="14">
      <c r="A14" s="19" t="inlineStr">
        <is>
          <t>OBL-10</t>
        </is>
      </c>
      <c r="B14" s="19">
        <f>'04_Clasificacion'!H14</f>
        <v/>
      </c>
      <c r="C14" s="19" t="inlineStr">
        <is>
          <t>No</t>
        </is>
      </c>
      <c r="D14" s="19">
        <f>IF(OR(B14="CA",AND(B14="VRORI",'03_Inventario'!C14="Deuda")),IF(C14="Sí","Vida entera (5.5.3)","12 meses (5.5.5)"),"No aplica")</f>
        <v/>
      </c>
      <c r="E14" s="21">
        <f>IF(OR(B14="CA",AND(B14="VRORI",'03_Inventario'!C14="Deuda")),'05_Costo_amortizado'!Q11,"")</f>
        <v/>
      </c>
      <c r="F14" s="28" t="n">
        <v>1.5</v>
      </c>
      <c r="G14" s="28" t="n">
        <v>45</v>
      </c>
      <c r="H14" s="21" t="n"/>
      <c r="I14" s="21">
        <f>IF(OR(B14="CA",AND(B14="VRORI",'03_Inventario'!C14="Deuda")),IF(OR(E14="",F14="",G14=""),"",E14*F14/100*G14/100),"")</f>
        <v/>
      </c>
      <c r="J14" s="21">
        <f>'03_Inventario'!Q14</f>
        <v/>
      </c>
      <c r="K14" s="21">
        <f>IF(I14="","",I14-J14)</f>
        <v/>
      </c>
    </row>
    <row r="15">
      <c r="A15" s="18" t="inlineStr">
        <is>
          <t>BONO-11</t>
        </is>
      </c>
      <c r="B15" s="18">
        <f>'04_Clasificacion'!H15</f>
        <v/>
      </c>
      <c r="C15" s="18" t="inlineStr"/>
      <c r="D15" s="18">
        <f>IF(OR(B15="CA",AND(B15="VRORI",'03_Inventario'!C15="Deuda")),IF(C15="Sí","Vida entera (5.5.3)","12 meses (5.5.5)"),"No aplica")</f>
        <v/>
      </c>
      <c r="E15" s="20">
        <f>""</f>
        <v/>
      </c>
      <c r="F15" s="18" t="n"/>
      <c r="G15" s="18" t="n"/>
      <c r="H15" s="20" t="n"/>
      <c r="I15" s="20">
        <f>IF(OR(B15="CA",AND(B15="VRORI",'03_Inventario'!C15="Deuda")),IF(OR(E15="",F15="",G15=""),"",E15*F15/100*G15/100),"")</f>
        <v/>
      </c>
      <c r="J15" s="20">
        <f>'03_Inventario'!Q15</f>
        <v/>
      </c>
      <c r="K15" s="20">
        <f>IF(I15="","",I15-J15)</f>
        <v/>
      </c>
    </row>
    <row r="16">
      <c r="A16" s="38" t="inlineStr">
        <is>
          <t>TOTAL</t>
        </is>
      </c>
      <c r="B16" s="38" t="inlineStr"/>
      <c r="C16" s="38" t="inlineStr"/>
      <c r="D16" s="38" t="inlineStr"/>
      <c r="E16" s="40" t="n"/>
      <c r="F16" s="38" t="n"/>
      <c r="G16" s="38" t="n"/>
      <c r="H16" s="40" t="n"/>
      <c r="I16" s="40">
        <f>SUM(I5:I15)</f>
        <v/>
      </c>
      <c r="J16" s="40">
        <f>SUM(J5:J15)</f>
        <v/>
      </c>
      <c r="K16" s="40">
        <f>SUM(K5:K15)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Clasificación según la norma</t>
        </is>
      </c>
      <c r="B20" s="25" t="inlineStr">
        <is>
          <t>'='04_Clasificacion'!H5</t>
        </is>
      </c>
      <c r="C20" s="24" t="inlineStr">
        <is>
          <t>Trae la clasificación según la norma de la hoja 04 (Clasificación), que decide si se mide deterioro y con qué enfoque.</t>
        </is>
      </c>
      <c r="D20" s="24" t="inlineStr">
        <is>
          <t>Fila 1: «CA» → CA</t>
        </is>
      </c>
      <c r="E20" s="24" t="inlineStr">
        <is>
          <t>hoja «Clasificación»</t>
        </is>
      </c>
      <c r="F20" s="24" t="inlineStr">
        <is>
          <t>—</t>
        </is>
      </c>
    </row>
    <row r="21">
      <c r="A21" s="24" t="inlineStr">
        <is>
          <t>Enfoque</t>
        </is>
      </c>
      <c r="B21" s="25" t="inlineStr">
        <is>
          <t>'=IF(OR(B5="CA",AND(B5="VRORI",'03_Inventario'!C5="Deuda")),IF(C5="Sí","Vida entera (5.5.3)","12 meses (5.5.5)"),"No aplica")</t>
        </is>
      </c>
      <c r="C21" s="24" t="inlineStr">
        <is>
          <t>Solo para deuda a costo amortizado o VRORI: con indicio de aumento significativo del riesgo usa pérdida esperada de vida entera y, sin él, de 12 meses; las demás clasificaciones dicen «No aplica».</t>
        </is>
      </c>
      <c r="D21" s="24" t="inlineStr">
        <is>
          <t>Fila 1: IF(OR(«CA»="CA"; AND(«CA»="VRORI"; «Deuda»="Deuda")); IF(«No»="Sí"; "Vida entera (5.5.3)"; "12 meses (5.5.5)"); "No aplica") → 12 meses (5.5.5)</t>
        </is>
      </c>
      <c r="E21" s="24" t="inlineStr">
        <is>
          <t>«Clasificación según la norma» (esta hoja), «Indicio» (esta hoja), hoja «Inventario de inversiones»</t>
        </is>
      </c>
      <c r="F21" s="24" t="inlineStr">
        <is>
          <t>—</t>
        </is>
      </c>
    </row>
    <row r="22">
      <c r="A22" s="24" t="inlineStr">
        <is>
          <t>Base (CA con cupón corrido / costo)</t>
        </is>
      </c>
      <c r="B22" s="25" t="inlineStr">
        <is>
          <t>'=IF(OR(B5="CA",AND(B5="VRORI",'03_Inventario'!C5="Deuda")),'05_Costo_amortizado'!Q5,"")</t>
        </is>
      </c>
      <c r="C22" s="24" t="inlineStr">
        <is>
          <t>Para deuda a costo amortizado o VRORI trae el costo amortizado al corte con cupón corrido de la hoja 05 (Costo amortizado y TIE); en los demás casos queda en blanco.</t>
        </is>
      </c>
      <c r="D22" s="24" t="inlineStr">
        <is>
          <t>Fila 1: IF(OR(«CA»="CA"; AND(«CA»="VRORI"; «Deuda»="Deuda")); 97.044,96; "") → 97.044,96</t>
        </is>
      </c>
      <c r="E22" s="24" t="inlineStr">
        <is>
          <t>«Clasificación según la norma» (esta hoja), hoja «Inventario de inversiones», hoja «Costo amortizado y TIE»</t>
        </is>
      </c>
      <c r="F22" s="24" t="inlineStr">
        <is>
          <t>—</t>
        </is>
      </c>
    </row>
    <row r="23">
      <c r="A23" s="24" t="inlineStr">
        <is>
          <t>Deterioro recalculado</t>
        </is>
      </c>
      <c r="B23" s="25" t="inlineStr">
        <is>
          <t>'=IF(OR(B5="CA",AND(B5="VRORI",'03_Inventario'!C5="Deuda")),IF(OR(E5="",F5="",G5=""),"",E5*F5/100*G5/100),"")</t>
        </is>
      </c>
      <c r="C23" s="24" t="inlineStr">
        <is>
          <t>Pérdida esperada = base × PD % × LGD %, solo para deuda a costo amortizado o VRORI. Si falta la base, la PD o la LGD, queda en blanco.</t>
        </is>
      </c>
      <c r="D23" s="24" t="inlineStr">
        <is>
          <t>Fila 1: IF(OR(«CA»="CA"; AND(«CA»="VRORI"; «Deuda»="Deuda")); IF(OR(97.044,96=""; 1,00=""; 45,00=""); ""; 97.044,96*1,00/100*45,00/100); "") → 436,70</t>
        </is>
      </c>
      <c r="E23" s="24" t="inlineStr">
        <is>
          <t>«Clasificación según la norma» (esta hoja), «Base (CA con cupón corrido / costo)» (esta hoja), «PD %» (esta hoja), «LGD / no recuperable %» (esta hoja), hoja «Inventario de inversiones»</t>
        </is>
      </c>
      <c r="F23" s="24" t="inlineStr">
        <is>
          <t>—</t>
        </is>
      </c>
    </row>
    <row r="24">
      <c r="A24" s="24" t="inlineStr">
        <is>
          <t>Deterioro registrado</t>
        </is>
      </c>
      <c r="B24" s="25" t="inlineStr">
        <is>
          <t>'='03_Inventario'!Q5</t>
        </is>
      </c>
      <c r="C24" s="24" t="inlineStr">
        <is>
          <t>Trae la provisión por deterioro que el cliente tiene registrada, desde la hoja 03 (Inventario de inversiones).</t>
        </is>
      </c>
      <c r="D24" s="24" t="inlineStr">
        <is>
          <t>Fila 1: 0,00 → 0,00</t>
        </is>
      </c>
      <c r="E24" s="24" t="inlineStr">
        <is>
          <t>hoja «Inventario de inversiones»</t>
        </is>
      </c>
      <c r="F24" s="24" t="inlineStr">
        <is>
          <t>—</t>
        </is>
      </c>
    </row>
    <row r="25">
      <c r="A25" s="24" t="inlineStr">
        <is>
          <t>Diferencia</t>
        </is>
      </c>
      <c r="B25" s="25" t="inlineStr">
        <is>
          <t>'=IF(I5="","",I5-J5)</t>
        </is>
      </c>
      <c r="C25" s="24" t="inlineStr">
        <is>
          <t>Deterioro recalculado menos deterioro registrado: si es positivo falta provisión. Queda en blanco si el deterioro no se pudo recalcular.</t>
        </is>
      </c>
      <c r="D25" s="24" t="inlineStr">
        <is>
          <t>Fila 1: IF(436,70=""; ""; 436,70-0,00) → 436,70</t>
        </is>
      </c>
      <c r="E25" s="24" t="inlineStr">
        <is>
          <t>«Deterioro recalculado» (esta hoja), «Deterioro registrado» (esta hoja)</t>
        </is>
      </c>
      <c r="F25"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13"/>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24" customWidth="1" min="3" max="3"/>
    <col width="32" customWidth="1" min="4" max="4"/>
    <col width="18" customWidth="1" min="5" max="5"/>
    <col width="30" customWidth="1" min="6" max="6"/>
    <col width="45" customWidth="1" min="7" max="7"/>
    <col width="60" customWidth="1" min="8" max="8"/>
  </cols>
  <sheetData>
    <row r="1">
      <c r="A1" s="3" t="inlineStr">
        <is>
          <t>Reclasificación</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row>
    <row r="4" ht="30" customHeight="1">
      <c r="A4" s="17" t="inlineStr">
        <is>
          <t>Instrumento</t>
        </is>
      </c>
      <c r="B4" s="17" t="inlineStr">
        <is>
          <t>Tipo</t>
        </is>
      </c>
      <c r="C4" s="17" t="inlineStr">
        <is>
          <t>Clasificación anterior</t>
        </is>
      </c>
      <c r="D4" s="17" t="inlineStr">
        <is>
          <t>Clasificación actual (cliente)</t>
        </is>
      </c>
      <c r="E4" s="17" t="inlineStr">
        <is>
          <t>Cambio de modelo</t>
        </is>
      </c>
      <c r="F4" s="17" t="inlineStr">
        <is>
          <t>Clasificación según la norma</t>
        </is>
      </c>
      <c r="G4" s="17" t="inlineStr">
        <is>
          <t>¿Permitida?</t>
        </is>
      </c>
      <c r="H4" s="17" t="inlineStr">
        <is>
          <t>Tratamiento</t>
        </is>
      </c>
    </row>
    <row r="5">
      <c r="A5" s="18" t="inlineStr">
        <is>
          <t>OBL-10</t>
        </is>
      </c>
      <c r="B5" s="18">
        <f>'03_Inventario'!C14&amp;""</f>
        <v/>
      </c>
      <c r="C5" s="18">
        <f>'03_Inventario'!X14</f>
        <v/>
      </c>
      <c r="D5" s="18">
        <f>'03_Inventario'!G14</f>
        <v/>
      </c>
      <c r="E5" s="18" t="inlineStr">
        <is>
          <t>No</t>
        </is>
      </c>
      <c r="F5" s="18">
        <f>'04_Clasificacion'!H14</f>
        <v/>
      </c>
      <c r="G5" s="18">
        <f>IF(C5=D5,"Sin cambio",IF(AND(B5="Patrimonio",C5="VRORI"),"No: elección irrevocable (5.7.5)",IF(AND(B5="Deuda",E5="Sí"),"Sí: cambio de modelo de negocio (4.4.1)","No: sin cambio de modelo de negocio (4.4.1)")))</f>
        <v/>
      </c>
      <c r="H5" s="18" t="inlineStr">
        <is>
          <t>VR a la fecha de reclasificación; diferencia a ORI; TIE y pérdida esperada no cambian (5.6.4).</t>
        </is>
      </c>
    </row>
    <row r="7">
      <c r="A7" s="22" t="inlineStr">
        <is>
          <t>ⓘ  Cómo se calcula esta hoja</t>
        </is>
      </c>
    </row>
    <row r="8">
      <c r="A8" s="23" t="inlineStr">
        <is>
          <t>Columna</t>
        </is>
      </c>
      <c r="B8" s="23" t="inlineStr">
        <is>
          <t>Fórmula (Excel)</t>
        </is>
      </c>
      <c r="C8" s="23" t="inlineStr">
        <is>
          <t>Cómo se calcula (sencillo)</t>
        </is>
      </c>
      <c r="D8" s="23" t="inlineStr">
        <is>
          <t>Ejemplo con números reales</t>
        </is>
      </c>
      <c r="E8" s="23" t="inlineStr">
        <is>
          <t>De dónde viene</t>
        </is>
      </c>
      <c r="F8" s="23" t="inlineStr">
        <is>
          <t>Norma</t>
        </is>
      </c>
    </row>
    <row r="9">
      <c r="A9" s="24" t="inlineStr">
        <is>
          <t>Tipo</t>
        </is>
      </c>
      <c r="B9" s="25" t="inlineStr">
        <is>
          <t>'='03_Inventario'!C14&amp;""</t>
        </is>
      </c>
      <c r="C9" s="24" t="inlineStr">
        <is>
          <t>Copia el tipo de instrumento (deuda o patrimonio) desde la hoja 03 (Inventario de inversiones), para este instrumento reclasificado.</t>
        </is>
      </c>
      <c r="D9" s="24" t="inlineStr">
        <is>
          <t>Fila 1: «Deuda»&amp;"" → Deuda</t>
        </is>
      </c>
      <c r="E9" s="24" t="inlineStr">
        <is>
          <t>hoja «Inventario de inversiones»</t>
        </is>
      </c>
      <c r="F9" s="24" t="inlineStr">
        <is>
          <t>—</t>
        </is>
      </c>
    </row>
    <row r="10">
      <c r="A10" s="24" t="inlineStr">
        <is>
          <t>Clasificación anterior</t>
        </is>
      </c>
      <c r="B10" s="25" t="inlineStr">
        <is>
          <t>'='03_Inventario'!X14</t>
        </is>
      </c>
      <c r="C10" s="24" t="inlineStr">
        <is>
          <t>Trae la clasificación que el instrumento tenía antes del cambio, informada en la hoja 03 (Inventario de inversiones).</t>
        </is>
      </c>
      <c r="D10" s="24" t="inlineStr">
        <is>
          <t>Fila 1: «CA» → CA</t>
        </is>
      </c>
      <c r="E10" s="24" t="inlineStr">
        <is>
          <t>hoja «Inventario de inversiones»</t>
        </is>
      </c>
      <c r="F10" s="24" t="inlineStr">
        <is>
          <t>—</t>
        </is>
      </c>
    </row>
    <row r="11">
      <c r="A11" s="24" t="inlineStr">
        <is>
          <t>Clasificación actual (cliente)</t>
        </is>
      </c>
      <c r="B11" s="25" t="inlineStr">
        <is>
          <t>'='03_Inventario'!G14</t>
        </is>
      </c>
      <c r="C11" s="24" t="inlineStr">
        <is>
          <t>Trae la clasificación que el cliente usa hoy para el instrumento, desde la hoja 03 (Inventario de inversiones).</t>
        </is>
      </c>
      <c r="D11" s="24" t="inlineStr">
        <is>
          <t>Fila 1: «VRORI» → VRORI</t>
        </is>
      </c>
      <c r="E11" s="24" t="inlineStr">
        <is>
          <t>hoja «Inventario de inversiones»</t>
        </is>
      </c>
      <c r="F11" s="24" t="inlineStr">
        <is>
          <t>—</t>
        </is>
      </c>
    </row>
    <row r="12">
      <c r="A12" s="24" t="inlineStr">
        <is>
          <t>Clasificación según la norma</t>
        </is>
      </c>
      <c r="B12" s="25" t="inlineStr">
        <is>
          <t>'='04_Clasificacion'!H14</t>
        </is>
      </c>
      <c r="C12" s="24" t="inlineStr">
        <is>
          <t>Trae la clasificación que corresponde según la norma, calculada en la hoja 04 (Clasificación).</t>
        </is>
      </c>
      <c r="D12" s="24" t="inlineStr">
        <is>
          <t>Fila 1: «VRORI» → VRORI</t>
        </is>
      </c>
      <c r="E12" s="24" t="inlineStr">
        <is>
          <t>hoja «Clasificación»</t>
        </is>
      </c>
      <c r="F12" s="24" t="inlineStr">
        <is>
          <t>—</t>
        </is>
      </c>
    </row>
    <row r="13">
      <c r="A13" s="24" t="inlineStr">
        <is>
          <t>¿Permitida?</t>
        </is>
      </c>
      <c r="B13" s="25" t="inlineStr">
        <is>
          <t>'=IF(C5=D5,"Sin cambio",IF(AND(B5="Patrimonio",C5="VRORI"),"No: elección irrevocable (5.7.5)",IF(AND(B5="Deuda",E5="Sí"),"Sí: cambio de modelo de negocio (4.4.1)","No: sin cambio de modelo de negocio (4.4.1)")))</t>
        </is>
      </c>
      <c r="C13" s="24" t="inlineStr">
        <is>
          <t>Si la clasificación anterior y la actual son iguales dice «Sin cambio»; unas acciones que estaban en VRORI no pueden salir (elección irrevocable); la deuda solo se puede reclasificar si hubo cambio de modelo de negocio.</t>
        </is>
      </c>
      <c r="D13" s="24" t="inlineStr">
        <is>
          <t>Fila 1: IF(«CA»=«VRORI»; "Sin cambio"; IF(AND(«Deuda»="Patrimonio"; «CA»="VRORI"); "No: elección irrevocable (5.7.5)"; IF(AND(«Deuda»="Deuda"; «No»="Sí"); "Sí: cambio de modelo de negocio (4.4.1)"; "No: sin cambio de modelo de negocio (4.4.1)"))) → No: sin cambio de modelo de negocio (4.4.1)</t>
        </is>
      </c>
      <c r="E13" s="24" t="inlineStr">
        <is>
          <t>«Clasificación anterior» (esta hoja), «Clasificación actual (cliente)» (esta hoja), «Tipo» (esta hoja), «Cambio de modelo» (esta hoja)</t>
        </is>
      </c>
      <c r="F13" s="24" t="inlineStr">
        <is>
          <t>—</t>
        </is>
      </c>
    </row>
  </sheetData>
  <mergeCells count="3">
    <mergeCell ref="A2:F2"/>
    <mergeCell ref="A1:F1"/>
    <mergeCell ref="A7:F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J27"/>
  <sheetViews>
    <sheetView showGridLines="0" workbookViewId="0">
      <pane ySplit="4" topLeftCell="A5" activePane="bottomLeft" state="frozen"/>
      <selection pane="bottomLeft" activeCell="A1" sqref="A1"/>
    </sheetView>
  </sheetViews>
  <sheetFormatPr baseColWidth="8" defaultRowHeight="15"/>
  <cols>
    <col width="13" customWidth="1" min="1" max="1"/>
    <col width="30" customWidth="1" min="2" max="2"/>
    <col width="25" customWidth="1" min="3" max="3"/>
    <col width="17" customWidth="1" min="4" max="4"/>
    <col width="24" customWidth="1" min="5" max="5"/>
    <col width="23" customWidth="1" min="6" max="6"/>
    <col width="22" customWidth="1" min="7" max="7"/>
    <col width="21" customWidth="1" min="8" max="8"/>
    <col width="33" customWidth="1" min="9" max="9"/>
  </cols>
  <sheetData>
    <row r="1">
      <c r="A1" s="3" t="inlineStr">
        <is>
          <t>Conciliación y ajuste</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c r="G2" s="16" t="n"/>
      <c r="H2" s="16" t="n"/>
      <c r="I2" s="16" t="n"/>
    </row>
    <row r="4" ht="30" customHeight="1">
      <c r="A4" s="17" t="inlineStr">
        <is>
          <t>Instrumento</t>
        </is>
      </c>
      <c r="B4" s="17" t="inlineStr">
        <is>
          <t>Clasificación según la norma</t>
        </is>
      </c>
      <c r="C4" s="17" t="inlineStr">
        <is>
          <t>Medición según la norma</t>
        </is>
      </c>
      <c r="D4" s="17" t="inlineStr">
        <is>
          <t>Saldo en libros</t>
        </is>
      </c>
      <c r="E4" s="17" t="inlineStr">
        <is>
          <t>Diferencia de medición</t>
        </is>
      </c>
      <c r="F4" s="17" t="inlineStr">
        <is>
          <t>Deterioro recalculado</t>
        </is>
      </c>
      <c r="G4" s="17" t="inlineStr">
        <is>
          <t>Deterioro registrado</t>
        </is>
      </c>
      <c r="H4" s="17" t="inlineStr">
        <is>
          <t>Ajuste de deterioro</t>
        </is>
      </c>
      <c r="I4" s="17" t="inlineStr">
        <is>
          <t>Ajuste propuesto (importe neto)</t>
        </is>
      </c>
    </row>
    <row r="5">
      <c r="A5" s="18" t="inlineStr">
        <is>
          <t>BONO-01</t>
        </is>
      </c>
      <c r="B5" s="18">
        <f>'04_Clasificacion'!H5</f>
        <v/>
      </c>
      <c r="C5" s="20">
        <f>IF(B5="CA",'05_Costo_amortizado'!S5,IF(OR(B5="VRR",B5="VRORI"),IF('06_Valor_razonable'!D5="","",'06_Valor_razonable'!D5),IF(B5="COSTO",IF('03_Inventario'!K5="","",'03_Inventario'!K5),"")))</f>
        <v/>
      </c>
      <c r="D5" s="20">
        <f>'03_Inventario'!N5</f>
        <v/>
      </c>
      <c r="E5" s="20">
        <f>IF(C5="","",C5-D5)</f>
        <v/>
      </c>
      <c r="F5" s="20">
        <f>'08_Deterioro'!I5</f>
        <v/>
      </c>
      <c r="G5" s="20">
        <f>'08_Deterioro'!J5</f>
        <v/>
      </c>
      <c r="H5" s="20">
        <f>IF(OR(B5="CA",B5="COSTO"),IF(F5="","",F5-G5),0)</f>
        <v/>
      </c>
      <c r="I5" s="20">
        <f>IF(OR(E5="",H5=""),"",E5-H5)</f>
        <v/>
      </c>
    </row>
    <row r="6">
      <c r="A6" s="19" t="inlineStr">
        <is>
          <t>CDP-02</t>
        </is>
      </c>
      <c r="B6" s="19">
        <f>'04_Clasificacion'!H6</f>
        <v/>
      </c>
      <c r="C6" s="21">
        <f>IF(B6="CA",'05_Costo_amortizado'!S6,IF(OR(B6="VRR",B6="VRORI"),"",IF(B6="COSTO",IF('03_Inventario'!K6="","",'03_Inventario'!K6),"")))</f>
        <v/>
      </c>
      <c r="D6" s="21">
        <f>'03_Inventario'!N6</f>
        <v/>
      </c>
      <c r="E6" s="21">
        <f>IF(C6="","",C6-D6)</f>
        <v/>
      </c>
      <c r="F6" s="21">
        <f>'08_Deterioro'!I6</f>
        <v/>
      </c>
      <c r="G6" s="21">
        <f>'08_Deterioro'!J6</f>
        <v/>
      </c>
      <c r="H6" s="21">
        <f>IF(OR(B6="CA",B6="COSTO"),IF(F6="","",F6-G6),0)</f>
        <v/>
      </c>
      <c r="I6" s="21">
        <f>IF(OR(E6="",H6=""),"",E6-H6)</f>
        <v/>
      </c>
    </row>
    <row r="7">
      <c r="A7" s="18" t="inlineStr">
        <is>
          <t>OBL-03</t>
        </is>
      </c>
      <c r="B7" s="18">
        <f>'04_Clasificacion'!H7</f>
        <v/>
      </c>
      <c r="C7" s="20">
        <f>IF(B7="CA",'05_Costo_amortizado'!S7,IF(OR(B7="VRR",B7="VRORI"),IF('06_Valor_razonable'!D6="","",'06_Valor_razonable'!D6),IF(B7="COSTO",IF('03_Inventario'!K7="","",'03_Inventario'!K7),"")))</f>
        <v/>
      </c>
      <c r="D7" s="20">
        <f>'03_Inventario'!N7</f>
        <v/>
      </c>
      <c r="E7" s="20">
        <f>IF(C7="","",C7-D7)</f>
        <v/>
      </c>
      <c r="F7" s="20">
        <f>'08_Deterioro'!I7</f>
        <v/>
      </c>
      <c r="G7" s="20">
        <f>'08_Deterioro'!J7</f>
        <v/>
      </c>
      <c r="H7" s="20">
        <f>IF(OR(B7="CA",B7="COSTO"),IF(F7="","",F7-G7),0)</f>
        <v/>
      </c>
      <c r="I7" s="20">
        <f>IF(OR(E7="",H7=""),"",E7-H7)</f>
        <v/>
      </c>
    </row>
    <row r="8">
      <c r="A8" s="19" t="inlineStr">
        <is>
          <t>ACC-04</t>
        </is>
      </c>
      <c r="B8" s="19">
        <f>'04_Clasificacion'!H8</f>
        <v/>
      </c>
      <c r="C8" s="21">
        <f>IF(B8="CA","",IF(OR(B8="VRR",B8="VRORI"),IF('06_Valor_razonable'!D7="","",'06_Valor_razonable'!D7),IF(B8="COSTO",IF('03_Inventario'!K8="","",'03_Inventario'!K8),"")))</f>
        <v/>
      </c>
      <c r="D8" s="21">
        <f>'03_Inventario'!N8</f>
        <v/>
      </c>
      <c r="E8" s="21">
        <f>IF(C8="","",C8-D8)</f>
        <v/>
      </c>
      <c r="F8" s="21">
        <f>'08_Deterioro'!I8</f>
        <v/>
      </c>
      <c r="G8" s="21">
        <f>'08_Deterioro'!J8</f>
        <v/>
      </c>
      <c r="H8" s="21">
        <f>IF(OR(B8="CA",B8="COSTO"),IF(F8="","",F8-G8),0)</f>
        <v/>
      </c>
      <c r="I8" s="21">
        <f>IF(OR(E8="",H8=""),"",E8-H8)</f>
        <v/>
      </c>
    </row>
    <row r="9">
      <c r="A9" s="18" t="inlineStr">
        <is>
          <t>ACC-05</t>
        </is>
      </c>
      <c r="B9" s="18">
        <f>'04_Clasificacion'!H9</f>
        <v/>
      </c>
      <c r="C9" s="20">
        <f>IF(B9="CA","",IF(OR(B9="VRR",B9="VRORI"),IF('06_Valor_razonable'!D8="","",'06_Valor_razonable'!D8),IF(B9="COSTO",IF('03_Inventario'!K9="","",'03_Inventario'!K9),"")))</f>
        <v/>
      </c>
      <c r="D9" s="20">
        <f>'03_Inventario'!N9</f>
        <v/>
      </c>
      <c r="E9" s="20">
        <f>IF(C9="","",C9-D9)</f>
        <v/>
      </c>
      <c r="F9" s="20">
        <f>'08_Deterioro'!I9</f>
        <v/>
      </c>
      <c r="G9" s="20">
        <f>'08_Deterioro'!J9</f>
        <v/>
      </c>
      <c r="H9" s="20">
        <f>IF(OR(B9="CA",B9="COSTO"),IF(F9="","",F9-G9),0)</f>
        <v/>
      </c>
      <c r="I9" s="20">
        <f>IF(OR(E9="",H9=""),"",E9-H9)</f>
        <v/>
      </c>
    </row>
    <row r="10">
      <c r="A10" s="19" t="inlineStr">
        <is>
          <t>FND-06</t>
        </is>
      </c>
      <c r="B10" s="19">
        <f>'04_Clasificacion'!H10</f>
        <v/>
      </c>
      <c r="C10" s="21">
        <f>IF(B10="CA","",IF(OR(B10="VRR",B10="VRORI"),IF('06_Valor_razonable'!D9="","",'06_Valor_razonable'!D9),IF(B10="COSTO",IF('03_Inventario'!K10="","",'03_Inventario'!K10),"")))</f>
        <v/>
      </c>
      <c r="D10" s="21">
        <f>'03_Inventario'!N10</f>
        <v/>
      </c>
      <c r="E10" s="21">
        <f>IF(C10="","",C10-D10)</f>
        <v/>
      </c>
      <c r="F10" s="21">
        <f>'08_Deterioro'!I10</f>
        <v/>
      </c>
      <c r="G10" s="21">
        <f>'08_Deterioro'!J10</f>
        <v/>
      </c>
      <c r="H10" s="21">
        <f>IF(OR(B10="CA",B10="COSTO"),IF(F10="","",F10-G10),0)</f>
        <v/>
      </c>
      <c r="I10" s="21">
        <f>IF(OR(E10="",H10=""),"",E10-H10)</f>
        <v/>
      </c>
    </row>
    <row r="11">
      <c r="A11" s="18" t="inlineStr">
        <is>
          <t>PAG-07</t>
        </is>
      </c>
      <c r="B11" s="18">
        <f>'04_Clasificacion'!H11</f>
        <v/>
      </c>
      <c r="C11" s="20">
        <f>IF(B11="CA",'05_Costo_amortizado'!S8,IF(OR(B11="VRR",B11="VRORI"),"",IF(B11="COSTO",IF('03_Inventario'!K11="","",'03_Inventario'!K11),"")))</f>
        <v/>
      </c>
      <c r="D11" s="20">
        <f>'03_Inventario'!N11</f>
        <v/>
      </c>
      <c r="E11" s="20">
        <f>IF(C11="","",C11-D11)</f>
        <v/>
      </c>
      <c r="F11" s="20">
        <f>'08_Deterioro'!I11</f>
        <v/>
      </c>
      <c r="G11" s="20">
        <f>'08_Deterioro'!J11</f>
        <v/>
      </c>
      <c r="H11" s="20">
        <f>IF(OR(B11="CA",B11="COSTO"),IF(F11="","",F11-G11),0)</f>
        <v/>
      </c>
      <c r="I11" s="20">
        <f>IF(OR(E11="",H11=""),"",E11-H11)</f>
        <v/>
      </c>
    </row>
    <row r="12">
      <c r="A12" s="19" t="inlineStr">
        <is>
          <t>BONO-08</t>
        </is>
      </c>
      <c r="B12" s="19">
        <f>'04_Clasificacion'!H12</f>
        <v/>
      </c>
      <c r="C12" s="21">
        <f>IF(B12="CA",'05_Costo_amortizado'!S9,IF(OR(B12="VRR",B12="VRORI"),IF('06_Valor_razonable'!D10="","",'06_Valor_razonable'!D10),IF(B12="COSTO",IF('03_Inventario'!K12="","",'03_Inventario'!K12),"")))</f>
        <v/>
      </c>
      <c r="D12" s="21">
        <f>'03_Inventario'!N12</f>
        <v/>
      </c>
      <c r="E12" s="21">
        <f>IF(C12="","",C12-D12)</f>
        <v/>
      </c>
      <c r="F12" s="21">
        <f>'08_Deterioro'!I12</f>
        <v/>
      </c>
      <c r="G12" s="21">
        <f>'08_Deterioro'!J12</f>
        <v/>
      </c>
      <c r="H12" s="21">
        <f>IF(OR(B12="CA",B12="COSTO"),IF(F12="","",F12-G12),0)</f>
        <v/>
      </c>
      <c r="I12" s="21">
        <f>IF(OR(E12="",H12=""),"",E12-H12)</f>
        <v/>
      </c>
    </row>
    <row r="13">
      <c r="A13" s="18" t="inlineStr">
        <is>
          <t>POL-09</t>
        </is>
      </c>
      <c r="B13" s="18">
        <f>'04_Clasificacion'!H13</f>
        <v/>
      </c>
      <c r="C13" s="20">
        <f>IF(B13="CA",'05_Costo_amortizado'!S10,IF(OR(B13="VRR",B13="VRORI"),"",IF(B13="COSTO",IF('03_Inventario'!K13="","",'03_Inventario'!K13),"")))</f>
        <v/>
      </c>
      <c r="D13" s="20">
        <f>'03_Inventario'!N13</f>
        <v/>
      </c>
      <c r="E13" s="20">
        <f>IF(C13="","",C13-D13)</f>
        <v/>
      </c>
      <c r="F13" s="20">
        <f>'08_Deterioro'!I13</f>
        <v/>
      </c>
      <c r="G13" s="20">
        <f>'08_Deterioro'!J13</f>
        <v/>
      </c>
      <c r="H13" s="20">
        <f>IF(OR(B13="CA",B13="COSTO"),IF(F13="","",F13-G13),0)</f>
        <v/>
      </c>
      <c r="I13" s="20">
        <f>IF(OR(E13="",H13=""),"",E13-H13)</f>
        <v/>
      </c>
    </row>
    <row r="14">
      <c r="A14" s="19" t="inlineStr">
        <is>
          <t>OBL-10</t>
        </is>
      </c>
      <c r="B14" s="19">
        <f>'04_Clasificacion'!H14</f>
        <v/>
      </c>
      <c r="C14" s="21">
        <f>IF(B14="CA",'05_Costo_amortizado'!S11,IF(OR(B14="VRR",B14="VRORI"),IF('06_Valor_razonable'!D11="","",'06_Valor_razonable'!D11),IF(B14="COSTO",IF('03_Inventario'!K14="","",'03_Inventario'!K14),"")))</f>
        <v/>
      </c>
      <c r="D14" s="21">
        <f>'03_Inventario'!N14</f>
        <v/>
      </c>
      <c r="E14" s="21">
        <f>IF(C14="","",C14-D14)</f>
        <v/>
      </c>
      <c r="F14" s="21">
        <f>'08_Deterioro'!I14</f>
        <v/>
      </c>
      <c r="G14" s="21">
        <f>'08_Deterioro'!J14</f>
        <v/>
      </c>
      <c r="H14" s="21">
        <f>IF(OR(B14="CA",B14="COSTO"),IF(F14="","",F14-G14),0)</f>
        <v/>
      </c>
      <c r="I14" s="21">
        <f>IF(OR(E14="",H14=""),"",E14-H14)</f>
        <v/>
      </c>
    </row>
    <row r="15">
      <c r="A15" s="18" t="inlineStr">
        <is>
          <t>BONO-11</t>
        </is>
      </c>
      <c r="B15" s="18">
        <f>'04_Clasificacion'!H15</f>
        <v/>
      </c>
      <c r="C15" s="20">
        <f>IF(B15="CA","",IF(OR(B15="VRR",B15="VRORI"),"",IF(B15="COSTO",IF('03_Inventario'!K15="","",'03_Inventario'!K15),"")))</f>
        <v/>
      </c>
      <c r="D15" s="20">
        <f>'03_Inventario'!N15</f>
        <v/>
      </c>
      <c r="E15" s="20">
        <f>IF(C15="","",C15-D15)</f>
        <v/>
      </c>
      <c r="F15" s="20">
        <f>'08_Deterioro'!I15</f>
        <v/>
      </c>
      <c r="G15" s="20">
        <f>'08_Deterioro'!J15</f>
        <v/>
      </c>
      <c r="H15" s="20">
        <f>IF(OR(B15="CA",B15="COSTO"),IF(F15="","",F15-G15),0)</f>
        <v/>
      </c>
      <c r="I15" s="20">
        <f>IF(OR(E15="",H15=""),"",E15-H15)</f>
        <v/>
      </c>
    </row>
    <row r="16">
      <c r="A16" s="38" t="inlineStr">
        <is>
          <t>TOTAL</t>
        </is>
      </c>
      <c r="B16" s="38" t="inlineStr"/>
      <c r="C16" s="40">
        <f>SUM(C5:C15)</f>
        <v/>
      </c>
      <c r="D16" s="40">
        <f>SUM(D5:D15)</f>
        <v/>
      </c>
      <c r="E16" s="40">
        <f>SUM(E5:E15)</f>
        <v/>
      </c>
      <c r="F16" s="40">
        <f>SUM(F5:F15)</f>
        <v/>
      </c>
      <c r="G16" s="40">
        <f>SUM(G5:G15)</f>
        <v/>
      </c>
      <c r="H16" s="40">
        <f>SUM(H5:H15)</f>
        <v/>
      </c>
      <c r="I16" s="40">
        <f>SUM(I5:I15)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Clasificación según la norma</t>
        </is>
      </c>
      <c r="B20" s="25" t="inlineStr">
        <is>
          <t>'='04_Clasificacion'!H5</t>
        </is>
      </c>
      <c r="C20" s="24" t="inlineStr">
        <is>
          <t>Trae la clasificación según la norma de la hoja 04 (Clasificación), que define con qué base se mide el instrumento.</t>
        </is>
      </c>
      <c r="D20" s="24" t="inlineStr">
        <is>
          <t>Fila 1: «CA» → CA</t>
        </is>
      </c>
      <c r="E20" s="24" t="inlineStr">
        <is>
          <t>hoja «Clasificación»</t>
        </is>
      </c>
      <c r="F20" s="24" t="inlineStr">
        <is>
          <t>—</t>
        </is>
      </c>
    </row>
    <row r="21">
      <c r="A21" s="24" t="inlineStr">
        <is>
          <t>Medición según la norma</t>
        </is>
      </c>
      <c r="B21" s="25" t="inlineStr">
        <is>
          <t>'=IF(B5="CA",'05_Costo_amortizado'!S5,IF(OR(B5="VRR",B5="VRORI"),IF('06_Valor_razonable'!D5="","",'06_Valor_razonable'!D5),IF(B5="COSTO",IF('03_Inventario'!K5="","",'03_Inventario'!K5),"")))</t>
        </is>
      </c>
      <c r="C21" s="24" t="inlineStr">
        <is>
          <t>Elige la medición correcta según la clasificación: CA usa el costo amortizado limpio de la hoja 05, VRR y VRORI el valor razonable al corte de la hoja 06, y COSTO el costo de la hoja 03. Si falta el dato, queda en blanco.</t>
        </is>
      </c>
      <c r="D21" s="24" t="inlineStr">
        <is>
          <t>Fila 1: IF(«CA»="CA"; 97.022,98; IF(OR(«CA»="VRR"; «CA»="VRORI"); IF(97.200,00=""; ""; 97.200,00); IF(«CA»="COSTO"; IF(96.000,00=""; ""; 96.000,00); ""))) → 97.022,98</t>
        </is>
      </c>
      <c r="E21" s="24" t="inlineStr">
        <is>
          <t>«Clasificación según la norma» (esta hoja), hoja «Costo amortizado y TIE», hoja «Valor razonable y jerarquía», hoja «Inventario de inversiones»</t>
        </is>
      </c>
      <c r="F21" s="24" t="inlineStr">
        <is>
          <t>—</t>
        </is>
      </c>
    </row>
    <row r="22">
      <c r="A22" s="24" t="inlineStr">
        <is>
          <t>Saldo en libros</t>
        </is>
      </c>
      <c r="B22" s="25" t="inlineStr">
        <is>
          <t>'='03_Inventario'!N5</t>
        </is>
      </c>
      <c r="C22" s="24" t="inlineStr">
        <is>
          <t>Trae el saldo en libros (bruto) del instrumento desde la hoja 03 (Inventario de inversiones).</t>
        </is>
      </c>
      <c r="D22" s="24" t="inlineStr">
        <is>
          <t>Fila 1: 96.500,00 → 96.500,00</t>
        </is>
      </c>
      <c r="E22" s="24" t="inlineStr">
        <is>
          <t>hoja «Inventario de inversiones»</t>
        </is>
      </c>
      <c r="F22" s="24" t="inlineStr">
        <is>
          <t>—</t>
        </is>
      </c>
    </row>
    <row r="23">
      <c r="A23" s="24" t="inlineStr">
        <is>
          <t>Diferencia de medición</t>
        </is>
      </c>
      <c r="B23" s="25" t="inlineStr">
        <is>
          <t>'=IF(C5="","",C5-D5)</t>
        </is>
      </c>
      <c r="C23" s="24" t="inlineStr">
        <is>
          <t>Medición según la norma menos saldo en libros; queda en blanco si no hay medición según la norma.</t>
        </is>
      </c>
      <c r="D23" s="24" t="inlineStr">
        <is>
          <t>Fila 1: IF(97.022,98=""; ""; 97.022,98-96.500,00) → 522,98</t>
        </is>
      </c>
      <c r="E23" s="24" t="inlineStr">
        <is>
          <t>«Medición según la norma» (esta hoja), «Saldo en libros» (esta hoja)</t>
        </is>
      </c>
      <c r="F23" s="24" t="inlineStr">
        <is>
          <t>—</t>
        </is>
      </c>
    </row>
    <row r="24">
      <c r="A24" s="24" t="inlineStr">
        <is>
          <t>Deterioro recalculado</t>
        </is>
      </c>
      <c r="B24" s="25" t="inlineStr">
        <is>
          <t>'='08_Deterioro'!I5</t>
        </is>
      </c>
      <c r="C24" s="24" t="inlineStr">
        <is>
          <t>Trae el deterioro recalculado del instrumento desde la hoja 08 (Deterioro).</t>
        </is>
      </c>
      <c r="D24" s="24" t="inlineStr">
        <is>
          <t>Fila 1: 436,70 → 436,70</t>
        </is>
      </c>
      <c r="E24" s="24" t="inlineStr">
        <is>
          <t>hoja «Deterioro»</t>
        </is>
      </c>
      <c r="F24" s="24" t="inlineStr">
        <is>
          <t>—</t>
        </is>
      </c>
    </row>
    <row r="25">
      <c r="A25" s="24" t="inlineStr">
        <is>
          <t>Deterioro registrado</t>
        </is>
      </c>
      <c r="B25" s="25" t="inlineStr">
        <is>
          <t>'='08_Deterioro'!J5</t>
        </is>
      </c>
      <c r="C25" s="24" t="inlineStr">
        <is>
          <t>Trae el deterioro que el cliente tiene registrado para el instrumento, desde la hoja 08 (Deterioro).</t>
        </is>
      </c>
      <c r="D25" s="24" t="inlineStr">
        <is>
          <t>Fila 1: 0,00 → 0,00</t>
        </is>
      </c>
      <c r="E25" s="24" t="inlineStr">
        <is>
          <t>hoja «Deterioro»</t>
        </is>
      </c>
      <c r="F25" s="24" t="inlineStr">
        <is>
          <t>—</t>
        </is>
      </c>
    </row>
    <row r="26">
      <c r="A26" s="24" t="inlineStr">
        <is>
          <t>Ajuste de deterioro</t>
        </is>
      </c>
      <c r="B26" s="25" t="inlineStr">
        <is>
          <t>'=IF(OR(B5="CA",B5="COSTO"),IF(F5="","",F5-G5),0)</t>
        </is>
      </c>
      <c r="C26" s="24" t="inlineStr">
        <is>
          <t>Para CA y COSTO resta el deterioro registrado del recalculado (en blanco si no se recalculó); en las clasificaciones a valor razonable pone cero, porque ahí el deterioro no reduce el saldo.</t>
        </is>
      </c>
      <c r="D26" s="24" t="inlineStr">
        <is>
          <t>Fila 1: IF(OR(«CA»="CA"; «CA»="COSTO"); IF(436,70=""; ""; 436,70-0,00); 0) → 436,70</t>
        </is>
      </c>
      <c r="E26" s="24" t="inlineStr">
        <is>
          <t>«Clasificación según la norma» (esta hoja), «Deterioro recalculado» (esta hoja), «Deterioro registrado» (esta hoja)</t>
        </is>
      </c>
      <c r="F26" s="24" t="inlineStr">
        <is>
          <t>—</t>
        </is>
      </c>
    </row>
    <row r="27">
      <c r="A27" s="24" t="inlineStr">
        <is>
          <t>Ajuste propuesto (importe neto)</t>
        </is>
      </c>
      <c r="B27" s="25" t="inlineStr">
        <is>
          <t>'=IF(OR(E5="",H5=""),"",E5-H5)</t>
        </is>
      </c>
      <c r="C27" s="24" t="inlineStr">
        <is>
          <t>Diferencia de medición menos ajuste de deterioro: es el ajuste neto que se propone al saldo de la inversión. Queda en blanco si falta alguno de los dos.</t>
        </is>
      </c>
      <c r="D27" s="24" t="inlineStr">
        <is>
          <t>Fila 1: IF(OR(522,98=""; 436,70=""); ""; 522,98-436,70) → 86,28</t>
        </is>
      </c>
      <c r="E27" s="24" t="inlineStr">
        <is>
          <t>«Diferencia de medición» (esta hoja), «Ajuste de deterioro» (esta hoja)</t>
        </is>
      </c>
      <c r="F27"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31"/>
  <sheetViews>
    <sheetView showGridLines="0" workbookViewId="0">
      <pane ySplit="4" topLeftCell="A5" activePane="bottomLeft" state="frozen"/>
      <selection pane="bottomLeft" activeCell="A1" sqref="A1"/>
    </sheetView>
  </sheetViews>
  <sheetFormatPr baseColWidth="8" defaultRowHeight="15"/>
  <cols>
    <col width="31" customWidth="1" min="1" max="1"/>
    <col width="60" customWidth="1" min="2" max="2"/>
    <col width="12" customWidth="1" min="3" max="3"/>
  </cols>
  <sheetData>
    <row r="1">
      <c r="A1" s="3" t="inlineStr">
        <is>
          <t>Problemas encontrados</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Código</t>
        </is>
      </c>
      <c r="B4" s="17" t="inlineStr">
        <is>
          <t>Descripción</t>
        </is>
      </c>
      <c r="C4" s="17" t="inlineStr">
        <is>
          <t>Importe</t>
        </is>
      </c>
    </row>
    <row r="5">
      <c r="A5" s="18" t="inlineStr">
        <is>
          <t>DIFERENCIA_COSTO_AMORTIZADO</t>
        </is>
      </c>
      <c r="B5" s="18" t="inlineStr">
        <is>
          <t>BONO-01: costo amortizado recalculado 97.022,98 vs libros 96.500,00.</t>
        </is>
      </c>
      <c r="C5" s="20" t="n">
        <v>522.98</v>
      </c>
    </row>
    <row r="6">
      <c r="A6" s="19" t="inlineStr">
        <is>
          <t>INTERES_NO_REGISTRADO</t>
        </is>
      </c>
      <c r="B6" s="19" t="inlineStr">
        <is>
          <t>BONO-01: Intereses devengados (TIE) 8.695,68 vs registrado 8.000,00.</t>
        </is>
      </c>
      <c r="C6" s="21" t="n">
        <v>695.6799999999999</v>
      </c>
    </row>
    <row r="7">
      <c r="A7" s="18" t="inlineStr">
        <is>
          <t>DIFERENCIA_DETERIORO</t>
        </is>
      </c>
      <c r="B7" s="18" t="inlineStr">
        <is>
          <t>BONO-01: deterioro recalculado 436,70 vs registrado 0,00.</t>
        </is>
      </c>
      <c r="C7" s="20" t="n">
        <v>436.7</v>
      </c>
    </row>
    <row r="8">
      <c r="A8" s="19" t="inlineStr">
        <is>
          <t>INTERES_NO_REGISTRADO</t>
        </is>
      </c>
      <c r="B8" s="19" t="inlineStr">
        <is>
          <t>CDP-02: Intereses devengados (TIE) 1.389,04 vs registrado 0,00.</t>
        </is>
      </c>
      <c r="C8" s="21" t="n">
        <v>1389.04</v>
      </c>
    </row>
    <row r="9">
      <c r="A9" s="18" t="inlineStr">
        <is>
          <t>DIFERENCIA_DETERIORO</t>
        </is>
      </c>
      <c r="B9" s="18" t="inlineStr">
        <is>
          <t>CDP-02: deterioro recalculado 102,78 vs registrado 100,00.</t>
        </is>
      </c>
      <c r="C9" s="20" t="n">
        <v>2.78</v>
      </c>
    </row>
    <row r="10">
      <c r="A10" s="19" t="inlineStr">
        <is>
          <t>CLASIFICACION_INCONSISTENTE</t>
        </is>
      </c>
      <c r="B10" s="19" t="inlineStr">
        <is>
          <t>OBL-03: el cliente lo clasifica como Costo amortizado y según el modelo de negocio/marco corresponde VR con cambios en ORI. SPPI y cobrar y vender: VR con cambios en ORI (4.1.2A).</t>
        </is>
      </c>
      <c r="C10" s="21" t="n">
        <v>30400</v>
      </c>
    </row>
    <row r="11">
      <c r="A11" s="18" t="inlineStr">
        <is>
          <t>DIFERENCIA_VR</t>
        </is>
      </c>
      <c r="B11" s="18" t="inlineStr">
        <is>
          <t>OBL-03: valor razonable 29.400,00 vs libros 30.400,00; ganancia/pérdida no registrada en ORI.</t>
        </is>
      </c>
      <c r="C11" s="20" t="n">
        <v>-1000</v>
      </c>
    </row>
    <row r="12">
      <c r="A12" s="19" t="inlineStr">
        <is>
          <t>INTERES_NO_REGISTRADO</t>
        </is>
      </c>
      <c r="B12" s="19" t="inlineStr">
        <is>
          <t>OBL-03: Intereses devengados (TIE) 2.504,47 vs registrado 2.500,00.</t>
        </is>
      </c>
      <c r="C12" s="21" t="n">
        <v>4.47</v>
      </c>
    </row>
    <row r="13">
      <c r="A13" s="18" t="inlineStr">
        <is>
          <t>DIFERENCIA_DETERIORO</t>
        </is>
      </c>
      <c r="B13" s="18" t="inlineStr">
        <is>
          <t>OBL-03: deterioro recalculado 136,21 vs registrado 0,00 (en VR con cambios en ORI la corrección va a ORI, 5.5.2).</t>
        </is>
      </c>
      <c r="C13" s="20" t="n">
        <v>136.21</v>
      </c>
    </row>
    <row r="14">
      <c r="A14" s="19" t="inlineStr">
        <is>
          <t>DIFERENCIA_VR</t>
        </is>
      </c>
      <c r="B14" s="19" t="inlineStr">
        <is>
          <t>ACC-04: valor razonable 45.000,00 vs libros 42.000,00; ganancia/pérdida no registrada en resultados.</t>
        </is>
      </c>
      <c r="C14" s="21" t="n">
        <v>3000</v>
      </c>
    </row>
    <row r="15">
      <c r="A15" s="18" t="inlineStr">
        <is>
          <t>VR_NIVEL_3</t>
        </is>
      </c>
      <c r="B15" s="18" t="inlineStr">
        <is>
          <t>ACC-05: valor razonable de nivel 3; evalúe supuestos no observables y la conciliación de nivel 3 (NIIF 13 86, 93 e; NIA 540).</t>
        </is>
      </c>
      <c r="C15" s="20" t="n">
        <v>12500</v>
      </c>
    </row>
    <row r="16">
      <c r="A16" s="19" t="inlineStr">
        <is>
          <t>DIVIDENDO_NO_REGISTRADO</t>
        </is>
      </c>
      <c r="B16" s="19" t="inlineStr">
        <is>
          <t>ACC-05: Dividendos decretados 500,00 vs registrado 0,00.</t>
        </is>
      </c>
      <c r="C16" s="21" t="n">
        <v>500</v>
      </c>
    </row>
    <row r="17">
      <c r="A17" s="18" t="inlineStr">
        <is>
          <t>VR_SIN_NIVEL</t>
        </is>
      </c>
      <c r="B17" s="18" t="inlineStr">
        <is>
          <t>FND-06: valor razonable sin nivel de jerarquía (NIIF 13 72–90; PYMES 2025 12.22).</t>
        </is>
      </c>
      <c r="C17" s="20" t="n">
        <v>20500</v>
      </c>
    </row>
    <row r="18">
      <c r="A18" s="19" t="inlineStr">
        <is>
          <t>DIFERENCIA_VR</t>
        </is>
      </c>
      <c r="B18" s="19" t="inlineStr">
        <is>
          <t>FND-06: valor razonable 20.500,00 vs libros 20.000,00; ganancia/pérdida no registrada en resultados.</t>
        </is>
      </c>
      <c r="C18" s="21" t="n">
        <v>500</v>
      </c>
    </row>
    <row r="19">
      <c r="A19" s="18" t="inlineStr">
        <is>
          <t>INDICIO_DETERIORO</t>
        </is>
      </c>
      <c r="B19" s="18" t="inlineStr">
        <is>
          <t>PAG-07: indicio de deterioro / aumento significativo del riesgo (C); enfoque: Vida entera (5.5.3).</t>
        </is>
      </c>
      <c r="C19" s="20" t="n">
        <v>7690.61</v>
      </c>
    </row>
    <row r="20">
      <c r="A20" s="19" t="inlineStr">
        <is>
          <t>DIFERENCIA_DETERIORO</t>
        </is>
      </c>
      <c r="B20" s="19" t="inlineStr">
        <is>
          <t>PAG-07: deterioro recalculado 7.690,61 vs registrado 3.000,00.</t>
        </is>
      </c>
      <c r="C20" s="21" t="n">
        <v>4690.61</v>
      </c>
    </row>
    <row r="21">
      <c r="A21" s="18" t="inlineStr">
        <is>
          <t>CLASIFICACION_INCONSISTENTE</t>
        </is>
      </c>
      <c r="B21" s="18" t="inlineStr">
        <is>
          <t>BONO-08: el cliente lo clasifica como Costo amortizado y según el modelo de negocio/marco corresponde VR con cambios en resultados. No SPPI o modelo de negociación: VR con cambios en resultados (4.1.4); designación 4.1.5 solo si elimina una asimetría.</t>
        </is>
      </c>
      <c r="C21" s="20" t="n">
        <v>15000</v>
      </c>
    </row>
    <row r="22">
      <c r="A22" s="19" t="inlineStr">
        <is>
          <t>DIFERENCIA_VR</t>
        </is>
      </c>
      <c r="B22" s="19" t="inlineStr">
        <is>
          <t>BONO-08: valor razonable 15.800,00 vs libros 15.000,00; ganancia/pérdida no registrada en resultados.</t>
        </is>
      </c>
      <c r="C22" s="21" t="n">
        <v>800</v>
      </c>
    </row>
    <row r="23">
      <c r="A23" s="18" t="inlineStr">
        <is>
          <t>DIFERENCIA_COSTO_AMORTIZADO</t>
        </is>
      </c>
      <c r="B23" s="18" t="inlineStr">
        <is>
          <t>POL-09: costo amortizado recalculado 9.867,40 vs libros 9.800,00.</t>
        </is>
      </c>
      <c r="C23" s="20" t="n">
        <v>67.40000000000001</v>
      </c>
    </row>
    <row r="24">
      <c r="A24" s="19" t="inlineStr">
        <is>
          <t>INTERES_NO_REGISTRADO</t>
        </is>
      </c>
      <c r="B24" s="19" t="inlineStr">
        <is>
          <t>POL-09: Intereses devengados (TIE) 67,40 vs registrado 0,00.</t>
        </is>
      </c>
      <c r="C24" s="21" t="n">
        <v>67.40000000000001</v>
      </c>
    </row>
    <row r="25">
      <c r="A25" s="18" t="inlineStr">
        <is>
          <t>CALIFICACION_BAJA_SIN_INDICIO</t>
        </is>
      </c>
      <c r="B25" s="18" t="inlineStr">
        <is>
          <t>POL-09: calificación BB (bajo grado de inversión) sin indicio marcado; evalúe aumento significativo del riesgo (5.5.9–5.5.11) o evidencia objetiva (11.22).</t>
        </is>
      </c>
      <c r="C25" s="20" t="n">
        <v>9800</v>
      </c>
    </row>
    <row r="26">
      <c r="A26" s="19" t="inlineStr">
        <is>
          <t>DIFERENCIA_DETERIORO</t>
        </is>
      </c>
      <c r="B26" s="19" t="inlineStr">
        <is>
          <t>POL-09: deterioro recalculado 78,94 vs registrado 0,00.</t>
        </is>
      </c>
      <c r="C26" s="21" t="n">
        <v>78.94</v>
      </c>
    </row>
    <row r="27">
      <c r="A27" s="18" t="inlineStr">
        <is>
          <t>DIFERENCIA_DETERIORO</t>
        </is>
      </c>
      <c r="B27" s="18" t="inlineStr">
        <is>
          <t>OBL-10: deterioro recalculado 135,00 vs registrado 0,00 (en VR con cambios en ORI la corrección va a ORI, 5.5.2).</t>
        </is>
      </c>
      <c r="C27" s="20" t="n">
        <v>135</v>
      </c>
    </row>
    <row r="28">
      <c r="A28" s="19" t="inlineStr">
        <is>
          <t>RECLASIFICACION_NO_PERMITIDA</t>
        </is>
      </c>
      <c r="B28" s="19" t="inlineStr">
        <is>
          <t>OBL-10: pasó de Costo amortizado a VR con cambios en ORI. No: sin cambio de modelo de negocio (4.4.1).</t>
        </is>
      </c>
      <c r="C28" s="21" t="n">
        <v>20200</v>
      </c>
    </row>
    <row r="29">
      <c r="A29" s="18" t="inlineStr">
        <is>
          <t>INSTRUMENTO_VENCIDO</t>
        </is>
      </c>
      <c r="B29" s="18" t="inlineStr">
        <is>
          <t>BONO-11: venció el 2025-11-30 y sigue en libros; confirme cobro o baja (NIIF 9 3.2.3 / PYMES 11.33).</t>
        </is>
      </c>
      <c r="C29" s="20" t="n">
        <v>5000</v>
      </c>
    </row>
    <row r="30">
      <c r="A30" s="19" t="inlineStr">
        <is>
          <t>SIN_MEDICION</t>
        </is>
      </c>
      <c r="B30" s="19" t="inlineStr">
        <is>
          <t>Sin medición completa (no suman al ajuste): BONO-11.</t>
        </is>
      </c>
      <c r="C30" s="21" t="n">
        <v>0</v>
      </c>
    </row>
    <row r="31">
      <c r="A31" s="18" t="inlineStr">
        <is>
          <t>AJUSTE</t>
        </is>
      </c>
      <c r="B31" s="18" t="inlineStr">
        <is>
          <t>Ajuste propuesto al importe en libros neto de las inversiones: -1.318,65.</t>
        </is>
      </c>
      <c r="C31" s="20" t="n">
        <v>-1318.65</v>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7" customWidth="1" min="1" max="1"/>
    <col width="47" customWidth="1" min="2" max="2"/>
  </cols>
  <sheetData>
    <row r="1">
      <c r="A1" s="3" t="inlineStr">
        <is>
          <t>Conclusión</t>
        </is>
      </c>
      <c r="H1" s="14" t="inlineStr">
        <is>
          <t>⟵ Inicio</t>
        </is>
      </c>
      <c r="I1" s="14" t="inlineStr">
        <is>
          <t>◀ Anterior</t>
        </is>
      </c>
      <c r="J1" s="14" t="inlineStr">
        <is>
          <t>Siguiente ▶</t>
        </is>
      </c>
    </row>
    <row r="2">
      <c r="A2" s="15" t="inlineStr">
        <is>
          <t>Inversiones e instrumentos financieros · Cliente de muestra S.A. · corte 2025-12-31</t>
        </is>
      </c>
      <c r="B2" s="16" t="n"/>
      <c r="C2" s="16" t="n"/>
      <c r="D2" s="16" t="n"/>
      <c r="E2" s="16" t="n"/>
      <c r="F2" s="16" t="n"/>
    </row>
    <row r="4" ht="30" customHeight="1">
      <c r="A4" s="17" t="inlineStr">
        <is>
          <t>Concepto</t>
        </is>
      </c>
      <c r="B4" s="17" t="inlineStr">
        <is>
          <t>Detalle</t>
        </is>
      </c>
    </row>
    <row r="5">
      <c r="A5" s="18" t="inlineStr">
        <is>
          <t>Conciliación con el mayor</t>
        </is>
      </c>
      <c r="B5" s="18" t="inlineStr">
        <is>
          <t>Población None · mayor None · diferencia None</t>
        </is>
      </c>
    </row>
    <row r="6">
      <c r="A6" s="19" t="inlineStr">
        <is>
          <t>Evaluación de excepciones</t>
        </is>
      </c>
      <c r="B6" s="19" t="inlineStr"/>
    </row>
    <row r="7">
      <c r="A7" s="18" t="inlineStr">
        <is>
          <t>Análisis</t>
        </is>
      </c>
      <c r="B7" s="18" t="inlineStr"/>
    </row>
    <row r="8">
      <c r="A8" s="19" t="inlineStr">
        <is>
          <t>Conclusión</t>
        </is>
      </c>
      <c r="B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I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s>
  <sheetData>
    <row r="1">
      <c r="A1" s="3" t="inlineStr">
        <is>
          <t>Control de revisión</t>
        </is>
      </c>
      <c r="H1" s="14" t="inlineStr">
        <is>
          <t>⟵ Inicio</t>
        </is>
      </c>
      <c r="I1" s="14" t="inlineStr">
        <is>
          <t>◀ Anterior</t>
        </is>
      </c>
    </row>
    <row r="2">
      <c r="A2" s="15" t="inlineStr">
        <is>
          <t>Inversiones e instrumentos financieros · Cliente de muestra S.A. · corte 2025-12-31</t>
        </is>
      </c>
      <c r="B2" s="16" t="n"/>
      <c r="C2" s="16" t="n"/>
      <c r="D2" s="16" t="n"/>
      <c r="E2" s="16" t="n"/>
      <c r="F2" s="16" t="n"/>
    </row>
    <row r="4" ht="30" customHeight="1">
      <c r="A4" s="17" t="inlineStr">
        <is>
          <t>Fecha</t>
        </is>
      </c>
      <c r="B4" s="17" t="inlineStr">
        <is>
          <t>Acción</t>
        </is>
      </c>
      <c r="C4" s="17" t="inlineStr">
        <is>
          <t>Estado anterior</t>
        </is>
      </c>
      <c r="D4" s="17" t="inlineStr">
        <is>
          <t>Estado nuevo</t>
        </is>
      </c>
      <c r="E4" s="17" t="inlineStr">
        <is>
          <t>Actor</t>
        </is>
      </c>
      <c r="F4" s="17" t="inlineStr">
        <is>
          <t>Comentario</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2026-09-24T04:19:22Z</dcterms:created>
  <dcterms:modified xmlns:dcterms="http://purl.org/dc/terms/" xmlns:xsi="http://www.w3.org/2001/XMLSchema-instance" xsi:type="dcterms:W3CDTF">2026-09-24T04:19:22Z</dcterms:modified>
</cp:coreProperties>
</file>