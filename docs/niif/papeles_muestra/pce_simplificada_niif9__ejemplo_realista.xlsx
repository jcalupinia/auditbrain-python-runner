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Tasas_historicas" sheetId="7" state="visible" r:id="rId7"/>
    <sheet xmlns:r="http://schemas.openxmlformats.org/officeDocument/2006/relationships" name="04_Matriz_provisiones" sheetId="8" state="visible" r:id="rId8"/>
    <sheet xmlns:r="http://schemas.openxmlformats.org/officeDocument/2006/relationships" name="05_Revelacion_NIIF7" sheetId="9" state="visible" r:id="rId9"/>
    <sheet xmlns:r="http://schemas.openxmlformats.org/officeDocument/2006/relationships" name="06_Movimiento" sheetId="10" state="visible" r:id="rId10"/>
    <sheet xmlns:r="http://schemas.openxmlformats.org/officeDocument/2006/relationships" name="07_Fiscal" sheetId="11" state="visible" r:id="rId11"/>
    <sheet xmlns:r="http://schemas.openxmlformats.org/officeDocument/2006/relationships" name="08_Asientos" sheetId="12" state="visible" r:id="rId12"/>
    <sheet xmlns:r="http://schemas.openxmlformats.org/officeDocument/2006/relationships" name="09_Detalle" sheetId="13" state="visible" r:id="rId13"/>
    <sheet xmlns:r="http://schemas.openxmlformats.org/officeDocument/2006/relationships" name="10_Cartera_anterior" sheetId="14" state="visible" r:id="rId14"/>
    <sheet xmlns:r="http://schemas.openxmlformats.org/officeDocument/2006/relationships" name="11_Castigos" sheetId="15" state="visible" r:id="rId15"/>
    <sheet xmlns:r="http://schemas.openxmlformats.org/officeDocument/2006/relationships" name="12_Problemas" sheetId="16" state="visible" r:id="rId16"/>
    <sheet xmlns:r="http://schemas.openxmlformats.org/officeDocument/2006/relationships" name="13_Conclusion" sheetId="17" state="visible" r:id="rId17"/>
    <sheet xmlns:r="http://schemas.openxmlformats.org/officeDocument/2006/relationships" name="14_Control_Revision" sheetId="18" state="visible" r:id="rId18"/>
  </sheets>
  <definedNames>
    <definedName name="_xlnm.Print_Area" localSheetId="0">'00_Inicio'!$A$1:$L$62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165" fontId="4" fillId="6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10" fontId="13" fillId="5" borderId="4" applyAlignment="1" pivotButton="0" quotePrefix="0" xfId="0">
      <alignment horizontal="right" vertical="center"/>
    </xf>
    <xf numFmtId="4" fontId="13" fillId="5" borderId="4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13" fillId="5" borderId="4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'00_Inicio'!$N$24:$N$33</f>
            </numRef>
          </cat>
          <val>
            <numRef>
              <f>'00_Inicio'!$O$24:$O$33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'00_Inicio'!O35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'00_Inicio'!$N$36:$N$39</f>
            </numRef>
          </cat>
          <val>
            <numRef>
              <f>'00_Inicio'!$O$36:$O$39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367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45</row>
      <rowOff>0</rowOff>
    </from>
    <ext cx="77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Tasas_historicas'!A1" TargetMode="External" Id="rId6"/><Relationship Type="http://schemas.openxmlformats.org/officeDocument/2006/relationships/hyperlink" Target="#'04_Matriz_provisiones'!A1" TargetMode="External" Id="rId7"/><Relationship Type="http://schemas.openxmlformats.org/officeDocument/2006/relationships/hyperlink" Target="#'05_Revelacion_NIIF7'!A1" TargetMode="External" Id="rId8"/><Relationship Type="http://schemas.openxmlformats.org/officeDocument/2006/relationships/hyperlink" Target="#'06_Movimiento'!A1" TargetMode="External" Id="rId9"/><Relationship Type="http://schemas.openxmlformats.org/officeDocument/2006/relationships/hyperlink" Target="#'07_Fiscal'!A1" TargetMode="External" Id="rId10"/><Relationship Type="http://schemas.openxmlformats.org/officeDocument/2006/relationships/hyperlink" Target="#'08_Asientos'!A1" TargetMode="External" Id="rId11"/><Relationship Type="http://schemas.openxmlformats.org/officeDocument/2006/relationships/hyperlink" Target="#'09_Detalle'!A1" TargetMode="External" Id="rId12"/><Relationship Type="http://schemas.openxmlformats.org/officeDocument/2006/relationships/hyperlink" Target="#'10_Cartera_anterior'!A1" TargetMode="External" Id="rId13"/><Relationship Type="http://schemas.openxmlformats.org/officeDocument/2006/relationships/hyperlink" Target="#'11_Castigos'!A1" TargetMode="External" Id="rId14"/><Relationship Type="http://schemas.openxmlformats.org/officeDocument/2006/relationships/hyperlink" Target="#'12_Problemas'!A1" TargetMode="External" Id="rId15"/><Relationship Type="http://schemas.openxmlformats.org/officeDocument/2006/relationships/hyperlink" Target="#'13_Conclusion'!A1" TargetMode="External" Id="rId16"/><Relationship Type="http://schemas.openxmlformats.org/officeDocument/2006/relationships/hyperlink" Target="#'14_Control_Revision'!A1" TargetMode="External" Id="rId17"/><Relationship Type="http://schemas.openxmlformats.org/officeDocument/2006/relationships/drawing" Target="/xl/drawings/drawing1.xml" Id="rId18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Tasas_historica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Matriz_provisiones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Tasas_historicas'!A1" TargetMode="External" Id="rId2"/><Relationship Type="http://schemas.openxmlformats.org/officeDocument/2006/relationships/hyperlink" Target="#'05_Revelacion_NIIF7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Matriz_provisiones'!A1" TargetMode="External" Id="rId2"/><Relationship Type="http://schemas.openxmlformats.org/officeDocument/2006/relationships/hyperlink" Target="#'06_Movimiento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Revelacion_NIIF7'!A1" TargetMode="External" Id="rId2"/><Relationship Type="http://schemas.openxmlformats.org/officeDocument/2006/relationships/hyperlink" Target="#'07_Fiscal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Movimiento'!A1" TargetMode="External" Id="rId2"/><Relationship Type="http://schemas.openxmlformats.org/officeDocument/2006/relationships/hyperlink" Target="#'08_Asientos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Fiscal'!A1" TargetMode="External" Id="rId2"/><Relationship Type="http://schemas.openxmlformats.org/officeDocument/2006/relationships/hyperlink" Target="#'09_Detalle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Asientos'!A1" TargetMode="External" Id="rId2"/><Relationship Type="http://schemas.openxmlformats.org/officeDocument/2006/relationships/hyperlink" Target="#'10_Cartera_anterior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Detalle'!A1" TargetMode="External" Id="rId2"/><Relationship Type="http://schemas.openxmlformats.org/officeDocument/2006/relationships/hyperlink" Target="#'11_Castig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Cartera_anterior'!A1" TargetMode="External" Id="rId2"/><Relationship Type="http://schemas.openxmlformats.org/officeDocument/2006/relationships/hyperlink" Target="#'12_Problema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Castigos'!A1" TargetMode="External" Id="rId2"/><Relationship Type="http://schemas.openxmlformats.org/officeDocument/2006/relationships/hyperlink" Target="#'13_Conclus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Problemas'!A1" TargetMode="External" Id="rId2"/><Relationship Type="http://schemas.openxmlformats.org/officeDocument/2006/relationships/hyperlink" Target="#'14_Control_Revi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Pérdida crediticia esperada · enfoque simplificado (NIIF 9)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</t>
        </is>
      </c>
      <c r="C11" s="7" t="inlineStr">
        <is>
          <t>Problemas encontrados</t>
        </is>
      </c>
    </row>
    <row r="12">
      <c r="B12" s="8" t="n">
        <v>18377.39</v>
      </c>
      <c r="C12" s="9" t="n">
        <v>5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Tasas históricas</t>
        </is>
      </c>
      <c r="D17" s="10" t="inlineStr">
        <is>
          <t>Matriz de provisiones</t>
        </is>
      </c>
      <c r="E17" s="10" t="inlineStr">
        <is>
          <t>Revelación NIIF 7 (35M/35N)</t>
        </is>
      </c>
    </row>
    <row r="18" ht="32" customHeight="1">
      <c r="B18" s="10" t="inlineStr">
        <is>
          <t>Movimiento de la provisión (NIIF 7 35H)</t>
        </is>
      </c>
      <c r="C18" s="10" t="inlineStr">
        <is>
          <t>Fiscal e impuesto diferido</t>
        </is>
      </c>
      <c r="D18" s="10" t="inlineStr">
        <is>
          <t>Asientos propuestos</t>
        </is>
      </c>
      <c r="E18" s="10" t="inlineStr">
        <is>
          <t>Detalle por factura</t>
        </is>
      </c>
    </row>
    <row r="19" ht="32" customHeight="1">
      <c r="B19" s="10" t="inlineStr">
        <is>
          <t>Cartera del corte anterior</t>
        </is>
      </c>
      <c r="C19" s="10" t="inlineStr">
        <is>
          <t>Castigos del ejercicio</t>
        </is>
      </c>
      <c r="D19" s="10" t="inlineStr">
        <is>
          <t>Problemas encontrados</t>
        </is>
      </c>
      <c r="E19" s="10" t="inlineStr">
        <is>
          <t>Conclusión</t>
        </is>
      </c>
    </row>
    <row r="20" ht="32" customHeight="1">
      <c r="B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5">
      <c r="N35" s="12" t="inlineStr">
        <is>
          <t>Hallazgos de mayor impacto</t>
        </is>
      </c>
      <c r="O35" s="12" t="inlineStr">
        <is>
          <t>Importe (USD)</t>
        </is>
      </c>
    </row>
    <row r="36">
      <c r="N36" s="12" t="inlineStr">
        <is>
          <t>Tasa cero (×2)</t>
        </is>
      </c>
      <c r="O36" s="13">
        <f>SUMIFS('12_Problemas'!$C$5:$C$9,'12_Problemas'!$A$5:$A$9,"TASA_CERO",'12_Problemas'!$C$5:$C$9,"&gt;0")-SUMIFS('12_Problemas'!$C$5:$C$9,'12_Problemas'!$A$5:$A$9,"TASA_CERO",'12_Problemas'!$C$5:$C$9,"&lt;0")</f>
        <v/>
      </c>
    </row>
    <row r="37">
      <c r="N37" s="12" t="inlineStr">
        <is>
          <t>En impago</t>
        </is>
      </c>
      <c r="O37" s="13">
        <f>SUMIFS('12_Problemas'!$C$5:$C$9,'12_Problemas'!$A$5:$A$9,"EN_IMPAGO",'12_Problemas'!$C$5:$C$9,"&gt;0")-SUMIFS('12_Problemas'!$C$5:$C$9,'12_Problemas'!$A$5:$A$9,"EN_IMPAGO",'12_Problemas'!$C$5:$C$9,"&lt;0")</f>
        <v/>
      </c>
    </row>
    <row r="38">
      <c r="N38" s="12" t="inlineStr">
        <is>
          <t>No deducible</t>
        </is>
      </c>
      <c r="O38" s="13">
        <f>SUMIFS('12_Problemas'!$C$5:$C$9,'12_Problemas'!$A$5:$A$9,"NO_DEDUCIBLE",'12_Problemas'!$C$5:$C$9,"&gt;0")-SUMIFS('12_Problemas'!$C$5:$C$9,'12_Problemas'!$A$5:$A$9,"NO_DEDUCIBLE",'12_Problemas'!$C$5:$C$9,"&lt;0")</f>
        <v/>
      </c>
    </row>
    <row r="39">
      <c r="N39" s="12" t="inlineStr">
        <is>
          <t>Ajuste</t>
        </is>
      </c>
      <c r="O39" s="13">
        <f>SUMIFS('12_Problemas'!$C$5:$C$9,'12_Problemas'!$A$5:$A$9,"AJUSTE",'12_Problemas'!$C$5:$C$9,"&gt;0")-SUMIFS('12_Problemas'!$C$5:$C$9,'12_Problemas'!$A$5:$A$9,"AJUSTE",'12_Problemas'!$C$5:$C$9,"&lt;0")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Pérdida crediticia esperada · enfoque simplificado (NIIF 9)</t>
        </is>
      </c>
    </row>
    <row r="12">
      <c r="A12" s="19" t="inlineStr">
        <is>
          <t>Rubro</t>
        </is>
      </c>
      <c r="B12" s="19" t="inlineStr">
        <is>
          <t>Cuentas por cobrar</t>
        </is>
      </c>
    </row>
    <row r="13">
      <c r="A13" s="18" t="inlineStr">
        <is>
          <t>Motor</t>
        </is>
      </c>
      <c r="B13" s="18" t="inlineStr">
        <is>
          <t>pce-simplificada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60" customWidth="1" min="4" max="4"/>
    <col width="55" customWidth="1" min="5" max="5"/>
    <col width="45" customWidth="1" min="6" max="6"/>
    <col width="37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CXCPCE-01</t>
        </is>
      </c>
      <c r="B5" s="18" t="inlineStr">
        <is>
          <t>Integridad de la cartera</t>
        </is>
      </c>
      <c r="C5" s="18" t="inlineStr">
        <is>
          <t>Integridad</t>
        </is>
      </c>
      <c r="D5" s="18" t="inlineStr">
        <is>
          <t>Conciliar la cartera por factura con el mayor al corte</t>
        </is>
      </c>
      <c r="E5" s="18" t="inlineStr">
        <is>
          <t>Cartera por factura y mayor</t>
        </is>
      </c>
      <c r="F5" s="18" t="inlineStr">
        <is>
          <t>Diferencia dentro de tolerancia o explicada</t>
        </is>
      </c>
      <c r="G5" s="18" t="inlineStr">
        <is>
          <t>NIA 500 párr. 9</t>
        </is>
      </c>
    </row>
    <row r="6">
      <c r="A6" s="19" t="inlineStr">
        <is>
          <t>CXCPCE-02</t>
        </is>
      </c>
      <c r="B6" s="19" t="inlineStr">
        <is>
          <t>Tasas históricas</t>
        </is>
      </c>
      <c r="C6" s="19" t="inlineStr">
        <is>
          <t>Valoración</t>
        </is>
      </c>
      <c r="D6" s="19" t="inlineStr">
        <is>
          <t>Medir por tramo la pérdida observada un año después (impago o castigo) sobre la cartera del corte anterior</t>
        </is>
      </c>
      <c r="E6" s="19" t="inlineStr">
        <is>
          <t>Cartera del corte anterior y castigos del año</t>
        </is>
      </c>
      <c r="F6" s="19" t="inlineStr">
        <is>
          <t>Tasa por tramo medida o fijada con sustento</t>
        </is>
      </c>
      <c r="G6" s="19" t="inlineStr">
        <is>
          <t>NIIF 9 B5.5.35, B5.5.37 · NIA 540</t>
        </is>
      </c>
    </row>
    <row r="7">
      <c r="A7" s="18" t="inlineStr">
        <is>
          <t>CXCPCE-03</t>
        </is>
      </c>
      <c r="B7" s="18" t="inlineStr">
        <is>
          <t>Información prospectiva</t>
        </is>
      </c>
      <c r="C7" s="18" t="inlineStr">
        <is>
          <t>Valoración</t>
        </is>
      </c>
      <c r="D7" s="18" t="inlineStr">
        <is>
          <t>Evaluar los escenarios, sus pesos y ajustes, y su sustento</t>
        </is>
      </c>
      <c r="E7" s="18" t="inlineStr">
        <is>
          <t>Proyecciones, indicadores del sector y de la economía</t>
        </is>
      </c>
      <c r="F7" s="18" t="inlineStr">
        <is>
          <t>Factor prospectivo documentado</t>
        </is>
      </c>
      <c r="G7" s="18" t="inlineStr">
        <is>
          <t>NIIF 9 5.5.17, B5.5.52</t>
        </is>
      </c>
    </row>
    <row r="8">
      <c r="A8" s="19" t="inlineStr">
        <is>
          <t>CXCPCE-04</t>
        </is>
      </c>
      <c r="B8" s="19" t="inlineStr">
        <is>
          <t>Medición de la pérdida esperada</t>
        </is>
      </c>
      <c r="C8" s="19" t="inlineStr">
        <is>
          <t>Valoración</t>
        </is>
      </c>
      <c r="D8" s="19" t="inlineStr">
        <is>
          <t>Recalcular la pérdida esperada por factura con la matriz y compararla con la provisión registrada</t>
        </is>
      </c>
      <c r="E8" s="19" t="inlineStr">
        <is>
          <t>Detalle por factura</t>
        </is>
      </c>
      <c r="F8" s="19" t="inlineStr">
        <is>
          <t>Ajuste cuantificado</t>
        </is>
      </c>
      <c r="G8" s="19" t="inlineStr">
        <is>
          <t>NIIF 9 5.5.15, B5.5.35</t>
        </is>
      </c>
    </row>
    <row r="9">
      <c r="A9" s="18" t="inlineStr">
        <is>
          <t>CXCPCE-05</t>
        </is>
      </c>
      <c r="B9" s="18" t="inlineStr">
        <is>
          <t>Movimiento, castigos y revelación</t>
        </is>
      </c>
      <c r="C9" s="18" t="inlineStr">
        <is>
          <t>Presentación</t>
        </is>
      </c>
      <c r="D9" s="18" t="inlineStr">
        <is>
          <t>Conciliar el movimiento de la provisión y preparar la matriz de revelación</t>
        </is>
      </c>
      <c r="E9" s="18" t="inlineStr">
        <is>
          <t>Castigos, mayor, notas</t>
        </is>
      </c>
      <c r="F9" s="18" t="inlineStr">
        <is>
          <t>Movimiento conciliado; nota NIIF 7 completa</t>
        </is>
      </c>
      <c r="G9" s="18" t="inlineStr">
        <is>
          <t>NIIF 9 5.4.4 · NIIF 7 35H, 35M, 35N</t>
        </is>
      </c>
    </row>
    <row r="10">
      <c r="A10" s="19" t="inlineStr">
        <is>
          <t>CXCPCE-06</t>
        </is>
      </c>
      <c r="B10" s="19" t="inlineStr">
        <is>
          <t>Tratamiento fiscal</t>
        </is>
      </c>
      <c r="C10" s="19" t="inlineStr">
        <is>
          <t>Presentación</t>
        </is>
      </c>
      <c r="D10" s="19" t="inlineStr">
        <is>
          <t>Aplicar los límites de deducibilidad y medir el impuesto diferido</t>
        </is>
      </c>
      <c r="E10" s="19" t="inlineStr">
        <is>
          <t>Parámetros fiscales</t>
        </is>
      </c>
      <c r="F10" s="19" t="inlineStr">
        <is>
          <t>Deducible y diferido recalculados</t>
        </is>
      </c>
      <c r="G10" s="19" t="inlineStr">
        <is>
          <t>LRTI Art. 10 num. 11 · NIC 12</t>
        </is>
      </c>
    </row>
    <row r="11">
      <c r="A11" s="18" t="inlineStr">
        <is>
          <t>CXCPCE-07</t>
        </is>
      </c>
      <c r="B11" s="18" t="inlineStr">
        <is>
          <t>Cobros posteriores</t>
        </is>
      </c>
      <c r="C11" s="18" t="inlineStr">
        <is>
          <t>Valoración</t>
        </is>
      </c>
      <c r="D11" s="18" t="inlineStr">
        <is>
          <t>Cotejar cobros posteriores al cierre con la cartera en impago y con tasa alta</t>
        </is>
      </c>
      <c r="E11" s="18" t="inlineStr">
        <is>
          <t>Estados de cuenta, depósitos posteriores</t>
        </is>
      </c>
      <c r="F11" s="18" t="inlineStr">
        <is>
          <t>Diferencias evaluadas</t>
        </is>
      </c>
      <c r="G11" s="18" t="inlineStr">
        <is>
          <t>NIA 560 párr. 6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540 (Revisada)</t>
        </is>
      </c>
      <c r="B5" s="18" t="inlineStr">
        <is>
          <t>Estimación contable: evaluar el método (matriz), los datos (cartera y castigos) y los supuestos (escenarios, tasas fijadas) y el posible sesgo.</t>
        </is>
      </c>
      <c r="C5" s="18" t="inlineStr">
        <is>
          <t>párr. 13 y 17–30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Evaluar exactitud e integridad de los anexos de cartera contra el mayor.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505</t>
        </is>
      </c>
      <c r="B7" s="18" t="inlineStr">
        <is>
          <t>Considerar confirmaciones de saldos significativos.</t>
        </is>
      </c>
      <c r="C7" s="18" t="inlineStr">
        <is>
          <t>párr. 7</t>
        </is>
      </c>
      <c r="D7" s="18" t="inlineStr"/>
      <c r="E7" s="18" t="inlineStr"/>
    </row>
    <row r="8">
      <c r="A8" s="19" t="inlineStr">
        <is>
          <t>NIA · NIA 560</t>
        </is>
      </c>
      <c r="B8" s="19" t="inlineStr">
        <is>
          <t>Cobros posteriores al cierre como evidencia sobre la estimación.</t>
        </is>
      </c>
      <c r="C8" s="19" t="inlineStr">
        <is>
          <t>párr. 6</t>
        </is>
      </c>
      <c r="D8" s="19" t="inlineStr"/>
      <c r="E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Cartera al corte</t>
        </is>
      </c>
      <c r="B5" s="20">
        <f>'07_Fiscal'!$B$5</f>
        <v/>
      </c>
    </row>
    <row r="6">
      <c r="A6" s="19" t="inlineStr">
        <is>
          <t>Pérdida crediticia esperada</t>
        </is>
      </c>
      <c r="B6" s="21">
        <f>'07_Fiscal'!$B$7</f>
        <v/>
      </c>
    </row>
    <row r="7">
      <c r="A7" s="18" t="inlineStr">
        <is>
          <t>Provisión registrada (mayor)</t>
        </is>
      </c>
      <c r="B7" s="20">
        <f>'02_Parametros'!B16</f>
        <v/>
      </c>
    </row>
    <row r="8">
      <c r="A8" s="19" t="inlineStr">
        <is>
          <t>Ajuste propuesto</t>
        </is>
      </c>
      <c r="B8" s="21">
        <f>B6-B7</f>
        <v/>
      </c>
    </row>
    <row r="9">
      <c r="A9" s="18" t="inlineStr">
        <is>
          <t>Dotación neta del ejercicio</t>
        </is>
      </c>
      <c r="B9" s="20">
        <f>'07_Fiscal'!$B$10</f>
        <v/>
      </c>
    </row>
    <row r="10">
      <c r="A10" s="19" t="inlineStr">
        <is>
          <t>Castigos del ejercicio</t>
        </is>
      </c>
      <c r="B10" s="21">
        <f>'07_Fiscal'!$B$9</f>
        <v/>
      </c>
    </row>
    <row r="11">
      <c r="A11" s="18" t="inlineStr">
        <is>
          <t>Gasto deducible</t>
        </is>
      </c>
      <c r="B11" s="20">
        <f>'07_Fiscal'!$B$15</f>
        <v/>
      </c>
    </row>
    <row r="12">
      <c r="A12" s="19" t="inlineStr">
        <is>
          <t>Gasto no deducible</t>
        </is>
      </c>
      <c r="B12" s="21">
        <f>'07_Fiscal'!$B$16</f>
        <v/>
      </c>
    </row>
    <row r="13">
      <c r="A13" s="18" t="inlineStr">
        <is>
          <t>Activo por impuesto diferido</t>
        </is>
      </c>
      <c r="B13" s="20">
        <f>'07_Fiscal'!$B$19</f>
        <v/>
      </c>
    </row>
    <row r="14">
      <c r="A14" s="19" t="inlineStr">
        <is>
          <t>Movimiento del diferido</t>
        </is>
      </c>
      <c r="B14" s="21">
        <f>'07_Fiscal'!$B$21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Importe</t>
        </is>
      </c>
      <c r="B18" s="25" t="inlineStr">
        <is>
          <t>'='07_Fiscal'!$B$5</t>
        </is>
      </c>
      <c r="C18" s="24" t="inlineStr">
        <is>
          <t>Trae cada importe de la hoja donde se calculó: cartera, pérdida esperada, dotación, castigos, gasto deducible y no deducible y diferido de la hoja 07 (Fiscal e impuesto diferido); la provisión registrada de la hoja 02 (Parámetros). El ajuste propuesto es la pérdida esperada menos la provisión registrada.</t>
        </is>
      </c>
      <c r="D18" s="24" t="inlineStr">
        <is>
          <t>Fila 1: 167.059,86 → 167.059,86</t>
        </is>
      </c>
      <c r="E18" s="24" t="inlineStr">
        <is>
          <t>hoja «Fiscal e impuesto diferido»</t>
        </is>
      </c>
      <c r="F18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Corte anterior (un año antes)</t>
        </is>
      </c>
      <c r="B6" s="27" t="n">
        <v>45657</v>
      </c>
      <c r="C6" s="19" t="inlineStr">
        <is>
          <t>Base de la tasa histórica</t>
        </is>
      </c>
    </row>
    <row r="7">
      <c r="A7" s="18" t="inlineStr">
        <is>
          <t>Tasa efectiva para descontar (%)</t>
        </is>
      </c>
      <c r="B7" s="28" t="n">
        <v>0</v>
      </c>
      <c r="C7" s="18" t="inlineStr">
        <is>
          <t>5.5.17 b; 0 % en cartera de corto plazo sin componente financiero</t>
        </is>
      </c>
    </row>
    <row r="8">
      <c r="A8" s="19" t="inlineStr">
        <is>
          <t>Plazo esperado de cobro (meses)</t>
        </is>
      </c>
      <c r="B8" s="29" t="n">
        <v>12</v>
      </c>
      <c r="C8" s="19" t="inlineStr">
        <is>
          <t>Juicio del auditor</t>
        </is>
      </c>
    </row>
    <row r="9">
      <c r="A9" s="18" t="inlineStr">
        <is>
          <t>Escenario base: peso (%)</t>
        </is>
      </c>
      <c r="B9" s="28" t="n">
        <v>60</v>
      </c>
      <c r="C9" s="18" t="inlineStr">
        <is>
          <t>5.5.17 a — importe ponderado por probabilidad</t>
        </is>
      </c>
    </row>
    <row r="10">
      <c r="A10" s="19" t="inlineStr">
        <is>
          <t>Escenario base: ajuste a la historia (%)</t>
        </is>
      </c>
      <c r="B10" s="29" t="n">
        <v>0</v>
      </c>
      <c r="C10" s="19" t="inlineStr">
        <is>
          <t>5.5.17 c, B5.5.52</t>
        </is>
      </c>
    </row>
    <row r="11">
      <c r="A11" s="18" t="inlineStr">
        <is>
          <t>Escenario optimista: peso (%)</t>
        </is>
      </c>
      <c r="B11" s="28" t="n">
        <v>20</v>
      </c>
      <c r="C11" s="18" t="inlineStr">
        <is>
          <t>5.5.17 a</t>
        </is>
      </c>
    </row>
    <row r="12">
      <c r="A12" s="19" t="inlineStr">
        <is>
          <t>Escenario optimista: ajuste (%)</t>
        </is>
      </c>
      <c r="B12" s="29" t="n">
        <v>-10</v>
      </c>
      <c r="C12" s="19" t="inlineStr">
        <is>
          <t>B5.5.52</t>
        </is>
      </c>
    </row>
    <row r="13">
      <c r="A13" s="18" t="inlineStr">
        <is>
          <t>Escenario pesimista: peso (%)</t>
        </is>
      </c>
      <c r="B13" s="28" t="n">
        <v>20</v>
      </c>
      <c r="C13" s="18" t="inlineStr">
        <is>
          <t>5.5.17 a</t>
        </is>
      </c>
    </row>
    <row r="14">
      <c r="A14" s="19" t="inlineStr">
        <is>
          <t>Escenario pesimista: ajuste (%)</t>
        </is>
      </c>
      <c r="B14" s="29" t="n">
        <v>25</v>
      </c>
      <c r="C14" s="19" t="inlineStr">
        <is>
          <t>B5.5.52</t>
        </is>
      </c>
    </row>
    <row r="15">
      <c r="A15" s="18" t="inlineStr">
        <is>
          <t>Factor prospectivo ponderado</t>
        </is>
      </c>
      <c r="B15" s="28">
        <f>(B9*(1+B10/100)+B11*(1+B12/100)+B13*(1+B14/100))/(B9+B11+B13)</f>
        <v/>
      </c>
      <c r="C15" s="18" t="inlineStr">
        <is>
          <t>Σ peso × (1 + ajuste) ÷ Σ peso</t>
        </is>
      </c>
    </row>
    <row r="16">
      <c r="A16" s="19" t="inlineStr">
        <is>
          <t>Provisión registrada al cierre (mayor)</t>
        </is>
      </c>
      <c r="B16" s="29" t="n">
        <v>5816.04</v>
      </c>
      <c r="C16" s="19" t="inlineStr">
        <is>
          <t>Mayor contable</t>
        </is>
      </c>
    </row>
    <row r="17">
      <c r="A17" s="18" t="inlineStr">
        <is>
          <t>Provisión al inicio del ejercicio</t>
        </is>
      </c>
      <c r="B17" s="28" t="n">
        <v>0</v>
      </c>
      <c r="C17" s="18" t="inlineStr">
        <is>
          <t>Mayor contable</t>
        </is>
      </c>
    </row>
    <row r="18">
      <c r="A18" s="19" t="inlineStr">
        <is>
          <t>Límite anual deducible (%)</t>
        </is>
      </c>
      <c r="B18" s="29" t="n">
        <v>1</v>
      </c>
      <c r="C18" s="19" t="inlineStr">
        <is>
          <t>LRTI Art. 10 num. 11</t>
        </is>
      </c>
    </row>
    <row r="19">
      <c r="A19" s="18" t="inlineStr">
        <is>
          <t>Límite acumulado (%)</t>
        </is>
      </c>
      <c r="B19" s="28" t="n">
        <v>10</v>
      </c>
      <c r="C19" s="18" t="inlineStr">
        <is>
          <t>LRTI Art. 10 num. 11</t>
        </is>
      </c>
    </row>
    <row r="20">
      <c r="A20" s="19" t="inlineStr">
        <is>
          <t>Tasa del impuesto (%)</t>
        </is>
      </c>
      <c r="B20" s="29" t="n">
        <v>25</v>
      </c>
      <c r="C20" s="19" t="inlineStr">
        <is>
          <t>Tarifa del contribuyente</t>
        </is>
      </c>
    </row>
    <row r="21">
      <c r="A21" s="18" t="inlineStr">
        <is>
          <t>Provisión fiscal acumulada anterior</t>
        </is>
      </c>
      <c r="B21" s="18" t="n"/>
      <c r="C21" s="18" t="inlineStr">
        <is>
          <t>En blanco: mínimo entre la provisión inicial y el límite acumulado</t>
        </is>
      </c>
    </row>
    <row r="23">
      <c r="A23" s="22" t="inlineStr">
        <is>
          <t>ⓘ  Cómo se calcula esta hoja</t>
        </is>
      </c>
    </row>
    <row r="24">
      <c r="A24" s="23" t="inlineStr">
        <is>
          <t>Columna</t>
        </is>
      </c>
      <c r="B24" s="23" t="inlineStr">
        <is>
          <t>Fórmula (Excel)</t>
        </is>
      </c>
      <c r="C24" s="23" t="inlineStr">
        <is>
          <t>Cómo se calcula (sencillo)</t>
        </is>
      </c>
      <c r="D24" s="23" t="inlineStr">
        <is>
          <t>Ejemplo con números reales</t>
        </is>
      </c>
      <c r="E24" s="23" t="inlineStr">
        <is>
          <t>De dónde viene</t>
        </is>
      </c>
      <c r="F24" s="23" t="inlineStr">
        <is>
          <t>Norma</t>
        </is>
      </c>
    </row>
    <row r="25">
      <c r="A25" s="24" t="inlineStr">
        <is>
          <t>Valor</t>
        </is>
      </c>
      <c r="B25" s="25" t="inlineStr">
        <is>
          <t>'=(B9*(1+B10/100)+B11*(1+B12/100)+B13*(1+B14/100))/(B9+B11+B13)</t>
        </is>
      </c>
      <c r="C25" s="24" t="inlineStr">
        <is>
          <t>Los parámetros son datos del encargo o juicio del auditor; solo el factor prospectivo ponderado se calcula: suma peso × (1 + ajuste) de los tres escenarios y lo divide para la suma de los pesos.</t>
        </is>
      </c>
      <c r="D25" s="24" t="inlineStr">
        <is>
          <t>Fila 11: (60,00*(1+0,00/100)+20,00*(1+-10,00/100)+20,00*(1+25,00/100))/(60,00+20,00+20,00) → 1,03</t>
        </is>
      </c>
      <c r="E25" s="24" t="inlineStr">
        <is>
          <t>«Valor» (esta hoja)</t>
        </is>
      </c>
      <c r="F25" s="24" t="inlineStr">
        <is>
          <t>—</t>
        </is>
      </c>
    </row>
  </sheetData>
  <mergeCells count="3">
    <mergeCell ref="A2:F2"/>
    <mergeCell ref="A1:F1"/>
    <mergeCell ref="A23:F23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2" customWidth="1" min="4" max="4"/>
    <col width="25" customWidth="1" min="5" max="5"/>
    <col width="35" customWidth="1" min="6" max="6"/>
    <col width="21" customWidth="1" min="7" max="7"/>
  </cols>
  <sheetData>
    <row r="1">
      <c r="A1" s="3" t="inlineStr">
        <is>
          <t>Tasas históricas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Segmento</t>
        </is>
      </c>
      <c r="B4" s="17" t="inlineStr">
        <is>
          <t>Tramo</t>
        </is>
      </c>
      <c r="C4" s="17" t="inlineStr">
        <is>
          <t>Clave</t>
        </is>
      </c>
      <c r="D4" s="17" t="inlineStr">
        <is>
          <t>Facturas</t>
        </is>
      </c>
      <c r="E4" s="17" t="inlineStr">
        <is>
          <t>Saldo al corte anterior</t>
        </is>
      </c>
      <c r="F4" s="17" t="inlineStr">
        <is>
          <t>Impago o castigado un año después</t>
        </is>
      </c>
      <c r="G4" s="17" t="inlineStr">
        <is>
          <t>Tasa histórica</t>
        </is>
      </c>
    </row>
    <row r="5">
      <c r="A5" s="18" t="inlineStr">
        <is>
          <t>General</t>
        </is>
      </c>
      <c r="B5" s="18" t="inlineStr">
        <is>
          <t>Corriente / por vencer</t>
        </is>
      </c>
      <c r="C5" s="18" t="inlineStr">
        <is>
          <t>General|Corriente / por vencer</t>
        </is>
      </c>
      <c r="D5" s="30">
        <f>COUNTIF('10_Cartera_anterior'!$G$5:$G$21,C5)</f>
        <v/>
      </c>
      <c r="E5" s="20">
        <f>SUMIF('10_Cartera_anterior'!$G$5:$G$21,C5,'10_Cartera_anterior'!$H$5:$H$21)</f>
        <v/>
      </c>
      <c r="F5" s="20">
        <f>SUMIF('10_Cartera_anterior'!$G$5:$G$21,C5,'10_Cartera_anterior'!$K$5:$K$21)</f>
        <v/>
      </c>
      <c r="G5" s="31">
        <f>IF(E5=0,"",F5/E5)</f>
        <v/>
      </c>
    </row>
    <row r="6">
      <c r="A6" s="19" t="inlineStr">
        <is>
          <t>General</t>
        </is>
      </c>
      <c r="B6" s="19" t="inlineStr">
        <is>
          <t>1 a 30 días</t>
        </is>
      </c>
      <c r="C6" s="19" t="inlineStr">
        <is>
          <t>General|1 a 30 días</t>
        </is>
      </c>
      <c r="D6" s="32">
        <f>COUNTIF('10_Cartera_anterior'!$G$5:$G$21,C6)</f>
        <v/>
      </c>
      <c r="E6" s="21">
        <f>SUMIF('10_Cartera_anterior'!$G$5:$G$21,C6,'10_Cartera_anterior'!$H$5:$H$21)</f>
        <v/>
      </c>
      <c r="F6" s="21">
        <f>SUMIF('10_Cartera_anterior'!$G$5:$G$21,C6,'10_Cartera_anterior'!$K$5:$K$21)</f>
        <v/>
      </c>
      <c r="G6" s="33">
        <f>IF(E6=0,"",F6/E6)</f>
        <v/>
      </c>
    </row>
    <row r="7">
      <c r="A7" s="18" t="inlineStr">
        <is>
          <t>General</t>
        </is>
      </c>
      <c r="B7" s="18" t="inlineStr">
        <is>
          <t>31 a 60 días</t>
        </is>
      </c>
      <c r="C7" s="18" t="inlineStr">
        <is>
          <t>General|31 a 60 días</t>
        </is>
      </c>
      <c r="D7" s="30">
        <f>COUNTIF('10_Cartera_anterior'!$G$5:$G$21,C7)</f>
        <v/>
      </c>
      <c r="E7" s="20">
        <f>SUMIF('10_Cartera_anterior'!$G$5:$G$21,C7,'10_Cartera_anterior'!$H$5:$H$21)</f>
        <v/>
      </c>
      <c r="F7" s="20">
        <f>SUMIF('10_Cartera_anterior'!$G$5:$G$21,C7,'10_Cartera_anterior'!$K$5:$K$21)</f>
        <v/>
      </c>
      <c r="G7" s="31">
        <f>IF(E7=0,"",F7/E7)</f>
        <v/>
      </c>
    </row>
    <row r="8">
      <c r="A8" s="19" t="inlineStr">
        <is>
          <t>General</t>
        </is>
      </c>
      <c r="B8" s="19" t="inlineStr">
        <is>
          <t>61 a 90 días</t>
        </is>
      </c>
      <c r="C8" s="19" t="inlineStr">
        <is>
          <t>General|61 a 90 días</t>
        </is>
      </c>
      <c r="D8" s="32">
        <f>COUNTIF('10_Cartera_anterior'!$G$5:$G$21,C8)</f>
        <v/>
      </c>
      <c r="E8" s="21">
        <f>SUMIF('10_Cartera_anterior'!$G$5:$G$21,C8,'10_Cartera_anterior'!$H$5:$H$21)</f>
        <v/>
      </c>
      <c r="F8" s="21">
        <f>SUMIF('10_Cartera_anterior'!$G$5:$G$21,C8,'10_Cartera_anterior'!$K$5:$K$21)</f>
        <v/>
      </c>
      <c r="G8" s="33">
        <f>IF(E8=0,"",F8/E8)</f>
        <v/>
      </c>
    </row>
    <row r="9">
      <c r="A9" s="18" t="inlineStr">
        <is>
          <t>General</t>
        </is>
      </c>
      <c r="B9" s="18" t="inlineStr">
        <is>
          <t>91 a 180 días</t>
        </is>
      </c>
      <c r="C9" s="18" t="inlineStr">
        <is>
          <t>General|91 a 180 días</t>
        </is>
      </c>
      <c r="D9" s="30">
        <f>COUNTIF('10_Cartera_anterior'!$G$5:$G$21,C9)</f>
        <v/>
      </c>
      <c r="E9" s="20">
        <f>SUMIF('10_Cartera_anterior'!$G$5:$G$21,C9,'10_Cartera_anterior'!$H$5:$H$21)</f>
        <v/>
      </c>
      <c r="F9" s="20">
        <f>SUMIF('10_Cartera_anterior'!$G$5:$G$21,C9,'10_Cartera_anterior'!$K$5:$K$21)</f>
        <v/>
      </c>
      <c r="G9" s="31">
        <f>IF(E9=0,"",F9/E9)</f>
        <v/>
      </c>
    </row>
    <row r="10">
      <c r="A10" s="19" t="inlineStr">
        <is>
          <t>General</t>
        </is>
      </c>
      <c r="B10" s="19" t="inlineStr">
        <is>
          <t>181 a 360 días</t>
        </is>
      </c>
      <c r="C10" s="19" t="inlineStr">
        <is>
          <t>General|181 a 360 días</t>
        </is>
      </c>
      <c r="D10" s="32">
        <f>COUNTIF('10_Cartera_anterior'!$G$5:$G$21,C10)</f>
        <v/>
      </c>
      <c r="E10" s="21">
        <f>SUMIF('10_Cartera_anterior'!$G$5:$G$21,C10,'10_Cartera_anterior'!$H$5:$H$21)</f>
        <v/>
      </c>
      <c r="F10" s="21">
        <f>SUMIF('10_Cartera_anterior'!$G$5:$G$21,C10,'10_Cartera_anterior'!$K$5:$K$21)</f>
        <v/>
      </c>
      <c r="G10" s="33">
        <f>IF(E10=0,"",F10/E10)</f>
        <v/>
      </c>
    </row>
    <row r="11">
      <c r="A11" s="18" t="inlineStr">
        <is>
          <t>General</t>
        </is>
      </c>
      <c r="B11" s="18" t="inlineStr">
        <is>
          <t>Más de 360 días</t>
        </is>
      </c>
      <c r="C11" s="18" t="inlineStr">
        <is>
          <t>General|Más de 360 días</t>
        </is>
      </c>
      <c r="D11" s="30">
        <f>COUNTIF('10_Cartera_anterior'!$G$5:$G$21,C11)</f>
        <v/>
      </c>
      <c r="E11" s="20">
        <f>SUMIF('10_Cartera_anterior'!$G$5:$G$21,C11,'10_Cartera_anterior'!$H$5:$H$21)</f>
        <v/>
      </c>
      <c r="F11" s="20">
        <f>SUMIF('10_Cartera_anterior'!$G$5:$G$21,C11,'10_Cartera_anterior'!$K$5:$K$21)</f>
        <v/>
      </c>
      <c r="G11" s="31">
        <f>IF(E11=0,"",F11/E11)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Facturas</t>
        </is>
      </c>
      <c r="B15" s="25" t="inlineStr">
        <is>
          <t>'=COUNTIF('10_Cartera_anterior'!$G$5:$G$21,C5)</t>
        </is>
      </c>
      <c r="C15" s="24" t="inlineStr">
        <is>
          <t>Cuenta cuántas facturas de la cartera del corte anterior (hoja 10) tienen este mismo segmento y tramo de mora.</t>
        </is>
      </c>
      <c r="D15" s="24" t="inlineStr">
        <is>
          <t>Fila 1: COUNTIF([«Clave» de «Cartera del corte anterior», 17 filas]; «General|Corriente / por vencer») → 3</t>
        </is>
      </c>
      <c r="E15" s="24" t="inlineStr">
        <is>
          <t>«Clave» (esta hoja), hoja «Cartera del corte anterior»</t>
        </is>
      </c>
      <c r="F15" s="24" t="inlineStr">
        <is>
          <t>—</t>
        </is>
      </c>
    </row>
    <row r="16">
      <c r="A16" s="24" t="inlineStr">
        <is>
          <t>Saldo al corte anterior</t>
        </is>
      </c>
      <c r="B16" s="25" t="inlineStr">
        <is>
          <t>'=SUMIF('10_Cartera_anterior'!$G$5:$G$21,C5,'10_Cartera_anterior'!$H$5:$H$21)</t>
        </is>
      </c>
      <c r="C16" s="24" t="inlineStr">
        <is>
          <t>Suma el saldo que tenían, al corte anterior, las facturas de este segmento y tramo en la hoja 10 (Cartera del corte anterior).</t>
        </is>
      </c>
      <c r="D16" s="24" t="inlineStr">
        <is>
          <t>Fila 1: SUMIF([«Clave» de «Cartera del corte anterior», 17 filas]; «General|Corriente / por vencer»; [«Saldo» de «Cartera del corte anterior», 17 filas]) → 46.175,33</t>
        </is>
      </c>
      <c r="E16" s="24" t="inlineStr">
        <is>
          <t>«Clave» (esta hoja), hoja «Cartera del corte anterior»</t>
        </is>
      </c>
      <c r="F16" s="24" t="inlineStr">
        <is>
          <t>—</t>
        </is>
      </c>
    </row>
    <row r="17">
      <c r="A17" s="24" t="inlineStr">
        <is>
          <t>Impago o castigado un año después</t>
        </is>
      </c>
      <c r="B17" s="25" t="inlineStr">
        <is>
          <t>'=SUMIF('10_Cartera_anterior'!$G$5:$G$21,C5,'10_Cartera_anterior'!$K$5:$K$21)</t>
        </is>
      </c>
      <c r="C17" s="24" t="inlineStr">
        <is>
          <t>Suma la pérdida observada de esas mismas facturas en la hoja 10: lo que un año después seguía impago más lo que se castigó.</t>
        </is>
      </c>
      <c r="D17" s="24" t="inlineStr">
        <is>
          <t>Fila 1: SUMIF([«Clave» de «Cartera del corte anterior», 17 filas]; «General|Corriente / por vencer»; [«Pérdida observada» de «Cartera del corte anterior», 17 filas]) → 0,00</t>
        </is>
      </c>
      <c r="E17" s="24" t="inlineStr">
        <is>
          <t>«Clave» (esta hoja), hoja «Cartera del corte anterior»</t>
        </is>
      </c>
      <c r="F17" s="24" t="inlineStr">
        <is>
          <t>—</t>
        </is>
      </c>
    </row>
    <row r="18">
      <c r="A18" s="24" t="inlineStr">
        <is>
          <t>Tasa histórica</t>
        </is>
      </c>
      <c r="B18" s="25" t="inlineStr">
        <is>
          <t>'=IF(E5=0,"",F5/E5)</t>
        </is>
      </c>
      <c r="C18" s="24" t="inlineStr">
        <is>
          <t>Divide lo impago o castigado un año después para el saldo al corte anterior: es la tasa de pérdida que mostró la historia. Si no hubo saldo anterior, queda en blanco.</t>
        </is>
      </c>
      <c r="D18" s="24" t="inlineStr">
        <is>
          <t>Fila 1: IF(46.175,33=0; ""; 0,00/46.175,33) → 0,00 %</t>
        </is>
      </c>
      <c r="E18" s="24" t="inlineStr">
        <is>
          <t>«Saldo al corte anterior» (esta hoja), «Impago o castigado un año después» (esta hoja)</t>
        </is>
      </c>
      <c r="F18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21" customWidth="1" min="4" max="4"/>
    <col width="13" customWidth="1" min="5" max="5"/>
    <col width="21" customWidth="1" min="6" max="6"/>
    <col width="20" customWidth="1" min="7" max="7"/>
    <col width="21" customWidth="1" min="8" max="8"/>
    <col width="16" customWidth="1" min="9" max="9"/>
    <col width="18" customWidth="1" min="10" max="10"/>
  </cols>
  <sheetData>
    <row r="1">
      <c r="A1" s="3" t="inlineStr">
        <is>
          <t>Matriz de provisiones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Segmento</t>
        </is>
      </c>
      <c r="B4" s="17" t="inlineStr">
        <is>
          <t>Tramo</t>
        </is>
      </c>
      <c r="C4" s="17" t="inlineStr">
        <is>
          <t>Clave</t>
        </is>
      </c>
      <c r="D4" s="17" t="inlineStr">
        <is>
          <t>Tasa histórica</t>
        </is>
      </c>
      <c r="E4" s="17" t="inlineStr">
        <is>
          <t>Tasa fijada</t>
        </is>
      </c>
      <c r="F4" s="17" t="inlineStr">
        <is>
          <t>Tasa base</t>
        </is>
      </c>
      <c r="G4" s="17" t="inlineStr">
        <is>
          <t>Factor prospectivo</t>
        </is>
      </c>
      <c r="H4" s="17" t="inlineStr">
        <is>
          <t>Tasa aplicada</t>
        </is>
      </c>
      <c r="I4" s="17" t="inlineStr">
        <is>
          <t>Saldo al corte</t>
        </is>
      </c>
      <c r="J4" s="17" t="inlineStr">
        <is>
          <t>Pérdida esperada</t>
        </is>
      </c>
    </row>
    <row r="5">
      <c r="A5" s="18" t="inlineStr">
        <is>
          <t>General</t>
        </is>
      </c>
      <c r="B5" s="18" t="inlineStr">
        <is>
          <t>Corriente / por vencer</t>
        </is>
      </c>
      <c r="C5" s="18" t="inlineStr">
        <is>
          <t>General|Corriente / por vencer</t>
        </is>
      </c>
      <c r="D5" s="31">
        <f>'03_Tasas_historicas'!G5</f>
        <v/>
      </c>
      <c r="E5" s="31" t="n"/>
      <c r="F5" s="31">
        <f>IF(D5&lt;&gt;"",D5,IF(E5&lt;&gt;"",E5,""))</f>
        <v/>
      </c>
      <c r="G5" s="28">
        <f>'02_Parametros'!$B$15</f>
        <v/>
      </c>
      <c r="H5" s="31">
        <f>IF(F5="","",MIN(F5*G5,1))</f>
        <v/>
      </c>
      <c r="I5" s="20">
        <f>SUMIF('09_Detalle'!$G$5:$G$24,C5,'09_Detalle'!$H$5:$H$24)</f>
        <v/>
      </c>
      <c r="J5" s="20">
        <f>SUMIF('09_Detalle'!$G$5:$G$24,C5,'09_Detalle'!$K$5:$K$24)</f>
        <v/>
      </c>
    </row>
    <row r="6">
      <c r="A6" s="19" t="inlineStr">
        <is>
          <t>General</t>
        </is>
      </c>
      <c r="B6" s="19" t="inlineStr">
        <is>
          <t>1 a 30 días</t>
        </is>
      </c>
      <c r="C6" s="19" t="inlineStr">
        <is>
          <t>General|1 a 30 días</t>
        </is>
      </c>
      <c r="D6" s="33">
        <f>'03_Tasas_historicas'!G6</f>
        <v/>
      </c>
      <c r="E6" s="33" t="n"/>
      <c r="F6" s="33">
        <f>IF(D6&lt;&gt;"",D6,IF(E6&lt;&gt;"",E6,""))</f>
        <v/>
      </c>
      <c r="G6" s="29">
        <f>'02_Parametros'!$B$15</f>
        <v/>
      </c>
      <c r="H6" s="33">
        <f>IF(F6="","",MIN(F6*G6,1))</f>
        <v/>
      </c>
      <c r="I6" s="21">
        <f>SUMIF('09_Detalle'!$G$5:$G$24,C6,'09_Detalle'!$H$5:$H$24)</f>
        <v/>
      </c>
      <c r="J6" s="21">
        <f>SUMIF('09_Detalle'!$G$5:$G$24,C6,'09_Detalle'!$K$5:$K$24)</f>
        <v/>
      </c>
    </row>
    <row r="7">
      <c r="A7" s="18" t="inlineStr">
        <is>
          <t>General</t>
        </is>
      </c>
      <c r="B7" s="18" t="inlineStr">
        <is>
          <t>31 a 60 días</t>
        </is>
      </c>
      <c r="C7" s="18" t="inlineStr">
        <is>
          <t>General|31 a 60 días</t>
        </is>
      </c>
      <c r="D7" s="31">
        <f>'03_Tasas_historicas'!G7</f>
        <v/>
      </c>
      <c r="E7" s="31" t="n"/>
      <c r="F7" s="31">
        <f>IF(D7&lt;&gt;"",D7,IF(E7&lt;&gt;"",E7,""))</f>
        <v/>
      </c>
      <c r="G7" s="28">
        <f>'02_Parametros'!$B$15</f>
        <v/>
      </c>
      <c r="H7" s="31">
        <f>IF(F7="","",MIN(F7*G7,1))</f>
        <v/>
      </c>
      <c r="I7" s="20">
        <f>SUMIF('09_Detalle'!$G$5:$G$24,C7,'09_Detalle'!$H$5:$H$24)</f>
        <v/>
      </c>
      <c r="J7" s="20">
        <f>SUMIF('09_Detalle'!$G$5:$G$24,C7,'09_Detalle'!$K$5:$K$24)</f>
        <v/>
      </c>
    </row>
    <row r="8">
      <c r="A8" s="19" t="inlineStr">
        <is>
          <t>General</t>
        </is>
      </c>
      <c r="B8" s="19" t="inlineStr">
        <is>
          <t>61 a 90 días</t>
        </is>
      </c>
      <c r="C8" s="19" t="inlineStr">
        <is>
          <t>General|61 a 90 días</t>
        </is>
      </c>
      <c r="D8" s="33">
        <f>'03_Tasas_historicas'!G8</f>
        <v/>
      </c>
      <c r="E8" s="33" t="n"/>
      <c r="F8" s="33">
        <f>IF(D8&lt;&gt;"",D8,IF(E8&lt;&gt;"",E8,""))</f>
        <v/>
      </c>
      <c r="G8" s="29">
        <f>'02_Parametros'!$B$15</f>
        <v/>
      </c>
      <c r="H8" s="33">
        <f>IF(F8="","",MIN(F8*G8,1))</f>
        <v/>
      </c>
      <c r="I8" s="21">
        <f>SUMIF('09_Detalle'!$G$5:$G$24,C8,'09_Detalle'!$H$5:$H$24)</f>
        <v/>
      </c>
      <c r="J8" s="21">
        <f>SUMIF('09_Detalle'!$G$5:$G$24,C8,'09_Detalle'!$K$5:$K$24)</f>
        <v/>
      </c>
    </row>
    <row r="9">
      <c r="A9" s="18" t="inlineStr">
        <is>
          <t>General</t>
        </is>
      </c>
      <c r="B9" s="18" t="inlineStr">
        <is>
          <t>91 a 180 días</t>
        </is>
      </c>
      <c r="C9" s="18" t="inlineStr">
        <is>
          <t>General|91 a 180 días</t>
        </is>
      </c>
      <c r="D9" s="31">
        <f>'03_Tasas_historicas'!G9</f>
        <v/>
      </c>
      <c r="E9" s="31" t="n"/>
      <c r="F9" s="31">
        <f>IF(D9&lt;&gt;"",D9,IF(E9&lt;&gt;"",E9,""))</f>
        <v/>
      </c>
      <c r="G9" s="28">
        <f>'02_Parametros'!$B$15</f>
        <v/>
      </c>
      <c r="H9" s="31">
        <f>IF(F9="","",MIN(F9*G9,1))</f>
        <v/>
      </c>
      <c r="I9" s="20">
        <f>SUMIF('09_Detalle'!$G$5:$G$24,C9,'09_Detalle'!$H$5:$H$24)</f>
        <v/>
      </c>
      <c r="J9" s="20">
        <f>SUMIF('09_Detalle'!$G$5:$G$24,C9,'09_Detalle'!$K$5:$K$24)</f>
        <v/>
      </c>
    </row>
    <row r="10">
      <c r="A10" s="19" t="inlineStr">
        <is>
          <t>General</t>
        </is>
      </c>
      <c r="B10" s="19" t="inlineStr">
        <is>
          <t>181 a 360 días</t>
        </is>
      </c>
      <c r="C10" s="19" t="inlineStr">
        <is>
          <t>General|181 a 360 días</t>
        </is>
      </c>
      <c r="D10" s="33">
        <f>'03_Tasas_historicas'!G10</f>
        <v/>
      </c>
      <c r="E10" s="33" t="n"/>
      <c r="F10" s="33">
        <f>IF(D10&lt;&gt;"",D10,IF(E10&lt;&gt;"",E10,""))</f>
        <v/>
      </c>
      <c r="G10" s="29">
        <f>'02_Parametros'!$B$15</f>
        <v/>
      </c>
      <c r="H10" s="33">
        <f>IF(F10="","",MIN(F10*G10,1))</f>
        <v/>
      </c>
      <c r="I10" s="21">
        <f>SUMIF('09_Detalle'!$G$5:$G$24,C10,'09_Detalle'!$H$5:$H$24)</f>
        <v/>
      </c>
      <c r="J10" s="21">
        <f>SUMIF('09_Detalle'!$G$5:$G$24,C10,'09_Detalle'!$K$5:$K$24)</f>
        <v/>
      </c>
    </row>
    <row r="11">
      <c r="A11" s="18" t="inlineStr">
        <is>
          <t>General</t>
        </is>
      </c>
      <c r="B11" s="18" t="inlineStr">
        <is>
          <t>Más de 360 días</t>
        </is>
      </c>
      <c r="C11" s="18" t="inlineStr">
        <is>
          <t>General|Más de 360 días</t>
        </is>
      </c>
      <c r="D11" s="31">
        <f>'03_Tasas_historicas'!G11</f>
        <v/>
      </c>
      <c r="E11" s="31" t="n"/>
      <c r="F11" s="31">
        <f>IF(D11&lt;&gt;"",D11,IF(E11&lt;&gt;"",E11,""))</f>
        <v/>
      </c>
      <c r="G11" s="28">
        <f>'02_Parametros'!$B$15</f>
        <v/>
      </c>
      <c r="H11" s="31">
        <f>IF(F11="","",MIN(F11*G11,1))</f>
        <v/>
      </c>
      <c r="I11" s="20">
        <f>SUMIF('09_Detalle'!$G$5:$G$24,C11,'09_Detalle'!$H$5:$H$24)</f>
        <v/>
      </c>
      <c r="J11" s="20">
        <f>SUMIF('09_Detalle'!$G$5:$G$24,C11,'09_Detalle'!$K$5:$K$24)</f>
        <v/>
      </c>
    </row>
    <row r="12">
      <c r="A12" s="34" t="inlineStr">
        <is>
          <t>TOTAL</t>
        </is>
      </c>
      <c r="B12" s="34" t="inlineStr"/>
      <c r="C12" s="34" t="inlineStr"/>
      <c r="D12" s="35" t="n"/>
      <c r="E12" s="35" t="n"/>
      <c r="F12" s="35" t="n"/>
      <c r="G12" s="34" t="n"/>
      <c r="H12" s="35" t="n"/>
      <c r="I12" s="36">
        <f>SUM(I5:I11)</f>
        <v/>
      </c>
      <c r="J12" s="36">
        <f>SUM(J5:J11)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Tasa histórica</t>
        </is>
      </c>
      <c r="B16" s="25" t="inlineStr">
        <is>
          <t>'='03_Tasas_historicas'!G5</t>
        </is>
      </c>
      <c r="C16" s="24" t="inlineStr">
        <is>
          <t>Trae la tasa histórica del mismo segmento y tramo desde la hoja 03 (Tasas históricas).</t>
        </is>
      </c>
      <c r="D16" s="24" t="inlineStr">
        <is>
          <t>Fila 1: 0,00 % → 0,00 %</t>
        </is>
      </c>
      <c r="E16" s="24" t="inlineStr">
        <is>
          <t>hoja «Tasas históricas»</t>
        </is>
      </c>
      <c r="F16" s="24" t="inlineStr">
        <is>
          <t>—</t>
        </is>
      </c>
    </row>
    <row r="17">
      <c r="A17" s="24" t="inlineStr">
        <is>
          <t>Tasa base</t>
        </is>
      </c>
      <c r="B17" s="25" t="inlineStr">
        <is>
          <t>'=IF(D5&lt;&gt;"",D5,IF(E5&lt;&gt;"",E5,""))</t>
        </is>
      </c>
      <c r="C17" s="24" t="inlineStr">
        <is>
          <t>Usa la tasa histórica si existe; si no hay historia, usa la tasa fijada por el auditor; si no hay ninguna de las dos, queda en blanco.</t>
        </is>
      </c>
      <c r="D17" s="24" t="inlineStr">
        <is>
          <t>Fila 1: IF(0,00 %&lt;&gt;""; 0,00 %; IF((vacío)&lt;&gt;""; (vacío); "")) → 0,00 %</t>
        </is>
      </c>
      <c r="E17" s="24" t="inlineStr">
        <is>
          <t>«Tasa histórica» (esta hoja), «Tasa fijada» (esta hoja)</t>
        </is>
      </c>
      <c r="F17" s="24" t="inlineStr">
        <is>
          <t>—</t>
        </is>
      </c>
    </row>
    <row r="18">
      <c r="A18" s="24" t="inlineStr">
        <is>
          <t>Factor prospectivo</t>
        </is>
      </c>
      <c r="B18" s="25" t="inlineStr">
        <is>
          <t>'='02_Parametros'!$B$15</t>
        </is>
      </c>
      <c r="C18" s="24" t="inlineStr">
        <is>
          <t>Trae el factor prospectivo ponderado de la hoja 02 (Parámetros), que ajusta la historia con los escenarios base, optimista y pesimista.</t>
        </is>
      </c>
      <c r="D18" s="24" t="inlineStr">
        <is>
          <t>Fila 1: 1,03 → 1,03</t>
        </is>
      </c>
      <c r="E18" s="24" t="inlineStr">
        <is>
          <t>hoja «Parámetros»</t>
        </is>
      </c>
      <c r="F18" s="24" t="inlineStr">
        <is>
          <t>—</t>
        </is>
      </c>
    </row>
    <row r="19">
      <c r="A19" s="24" t="inlineStr">
        <is>
          <t>Tasa aplicada</t>
        </is>
      </c>
      <c r="B19" s="25" t="inlineStr">
        <is>
          <t>'=IF(F5="","",MIN(F5*G5,1))</t>
        </is>
      </c>
      <c r="C19" s="24" t="inlineStr">
        <is>
          <t>Multiplica la tasa base por el factor prospectivo, con un tope de 100 %. Si el tramo no tiene tasa base, queda en blanco.</t>
        </is>
      </c>
      <c r="D19" s="24" t="inlineStr">
        <is>
          <t>Fila 1: IF(0,00 %=""; ""; MIN(0,00 %*1,03; 1)) → 0,00 %</t>
        </is>
      </c>
      <c r="E19" s="24" t="inlineStr">
        <is>
          <t>«Tasa base» (esta hoja), «Factor prospectivo» (esta hoja)</t>
        </is>
      </c>
      <c r="F19" s="24" t="inlineStr">
        <is>
          <t>—</t>
        </is>
      </c>
    </row>
    <row r="20">
      <c r="A20" s="24" t="inlineStr">
        <is>
          <t>Saldo al corte</t>
        </is>
      </c>
      <c r="B20" s="25" t="inlineStr">
        <is>
          <t>'=SUMIF('09_Detalle'!$G$5:$G$24,C5,'09_Detalle'!$H$5:$H$24)</t>
        </is>
      </c>
      <c r="C20" s="24" t="inlineStr">
        <is>
          <t>Suma el saldo de las facturas del detalle (hoja 09) que tienen este mismo segmento y tramo de mora.</t>
        </is>
      </c>
      <c r="D20" s="24" t="inlineStr">
        <is>
          <t>Fila 1: SUMIF([«Clave» de «Detalle por factura», 20 filas]; «General|Corriente / por vencer»; [«Saldo» de «Detalle por factura», 20 filas]) → 90.377,19</t>
        </is>
      </c>
      <c r="E20" s="24" t="inlineStr">
        <is>
          <t>«Clave» (esta hoja), hoja «Detalle por factura»</t>
        </is>
      </c>
      <c r="F20" s="24" t="inlineStr">
        <is>
          <t>—</t>
        </is>
      </c>
    </row>
    <row r="21">
      <c r="A21" s="24" t="inlineStr">
        <is>
          <t>Pérdida esperada</t>
        </is>
      </c>
      <c r="B21" s="25" t="inlineStr">
        <is>
          <t>'=SUMIF('09_Detalle'!$G$5:$G$24,C5,'09_Detalle'!$K$5:$K$24)</t>
        </is>
      </c>
      <c r="C21" s="24" t="inlineStr">
        <is>
          <t>Suma la pérdida esperada calculada factura por factura en la hoja 09 (Detalle por factura) para este segmento y tramo.</t>
        </is>
      </c>
      <c r="D21" s="24" t="inlineStr">
        <is>
          <t>Fila 1: SUMIF([«Clave» de «Detalle por factura», 20 filas]; «General|Corriente / por vencer»; [«Pérdida esperada» de «Detalle por factura», 20 filas]) → 0,00</t>
        </is>
      </c>
      <c r="E21" s="24" t="inlineStr">
        <is>
          <t>«Clave» (esta hoja), hoja «Detalle por factura»</t>
        </is>
      </c>
      <c r="F21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4" customWidth="1" min="3" max="3"/>
    <col width="18" customWidth="1" min="4" max="4"/>
    <col width="21" customWidth="1" min="5" max="5"/>
  </cols>
  <sheetData>
    <row r="1">
      <c r="A1" s="3" t="inlineStr">
        <is>
          <t>Revelación NIIF 7 (35M/35N)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Tramo de mora</t>
        </is>
      </c>
      <c r="B4" s="17" t="inlineStr">
        <is>
          <t>Importe en libros bruto</t>
        </is>
      </c>
      <c r="C4" s="17" t="inlineStr">
        <is>
          <t>Tasa esperada promedio</t>
        </is>
      </c>
      <c r="D4" s="17" t="inlineStr">
        <is>
          <t>Pérdida esperada</t>
        </is>
      </c>
      <c r="E4" s="17" t="inlineStr">
        <is>
          <t>En impago (B5.5.37)</t>
        </is>
      </c>
    </row>
    <row r="5">
      <c r="A5" s="18" t="inlineStr">
        <is>
          <t>Corriente / por vencer</t>
        </is>
      </c>
      <c r="B5" s="20">
        <f>SUMIF('09_Detalle'!$F$5:$F$24,A5,'09_Detalle'!$H$5:$H$24)</f>
        <v/>
      </c>
      <c r="C5" s="31">
        <f>IF(B5=0,"",D5/B5)</f>
        <v/>
      </c>
      <c r="D5" s="20">
        <f>SUMIF('09_Detalle'!$F$5:$F$24,A5,'09_Detalle'!$K$5:$K$24)</f>
        <v/>
      </c>
      <c r="E5" s="18" t="inlineStr">
        <is>
          <t>No</t>
        </is>
      </c>
    </row>
    <row r="6">
      <c r="A6" s="19" t="inlineStr">
        <is>
          <t>1 a 30 días</t>
        </is>
      </c>
      <c r="B6" s="21">
        <f>SUMIF('09_Detalle'!$F$5:$F$24,A6,'09_Detalle'!$H$5:$H$24)</f>
        <v/>
      </c>
      <c r="C6" s="33">
        <f>IF(B6=0,"",D6/B6)</f>
        <v/>
      </c>
      <c r="D6" s="21">
        <f>SUMIF('09_Detalle'!$F$5:$F$24,A6,'09_Detalle'!$K$5:$K$24)</f>
        <v/>
      </c>
      <c r="E6" s="19" t="inlineStr">
        <is>
          <t>No</t>
        </is>
      </c>
    </row>
    <row r="7">
      <c r="A7" s="18" t="inlineStr">
        <is>
          <t>31 a 60 días</t>
        </is>
      </c>
      <c r="B7" s="20">
        <f>SUMIF('09_Detalle'!$F$5:$F$24,A7,'09_Detalle'!$H$5:$H$24)</f>
        <v/>
      </c>
      <c r="C7" s="31">
        <f>IF(B7=0,"",D7/B7)</f>
        <v/>
      </c>
      <c r="D7" s="20">
        <f>SUMIF('09_Detalle'!$F$5:$F$24,A7,'09_Detalle'!$K$5:$K$24)</f>
        <v/>
      </c>
      <c r="E7" s="18" t="inlineStr">
        <is>
          <t>No</t>
        </is>
      </c>
    </row>
    <row r="8">
      <c r="A8" s="19" t="inlineStr">
        <is>
          <t>61 a 90 días</t>
        </is>
      </c>
      <c r="B8" s="21">
        <f>SUMIF('09_Detalle'!$F$5:$F$24,A8,'09_Detalle'!$H$5:$H$24)</f>
        <v/>
      </c>
      <c r="C8" s="33">
        <f>IF(B8=0,"",D8/B8)</f>
        <v/>
      </c>
      <c r="D8" s="21">
        <f>SUMIF('09_Detalle'!$F$5:$F$24,A8,'09_Detalle'!$K$5:$K$24)</f>
        <v/>
      </c>
      <c r="E8" s="19" t="inlineStr">
        <is>
          <t>No</t>
        </is>
      </c>
    </row>
    <row r="9">
      <c r="A9" s="18" t="inlineStr">
        <is>
          <t>91 a 180 días</t>
        </is>
      </c>
      <c r="B9" s="20">
        <f>SUMIF('09_Detalle'!$F$5:$F$24,A9,'09_Detalle'!$H$5:$H$24)</f>
        <v/>
      </c>
      <c r="C9" s="31">
        <f>IF(B9=0,"",D9/B9)</f>
        <v/>
      </c>
      <c r="D9" s="20">
        <f>SUMIF('09_Detalle'!$F$5:$F$24,A9,'09_Detalle'!$K$5:$K$24)</f>
        <v/>
      </c>
      <c r="E9" s="18" t="inlineStr">
        <is>
          <t>Sí</t>
        </is>
      </c>
    </row>
    <row r="10">
      <c r="A10" s="19" t="inlineStr">
        <is>
          <t>181 a 360 días</t>
        </is>
      </c>
      <c r="B10" s="21">
        <f>SUMIF('09_Detalle'!$F$5:$F$24,A10,'09_Detalle'!$H$5:$H$24)</f>
        <v/>
      </c>
      <c r="C10" s="33">
        <f>IF(B10=0,"",D10/B10)</f>
        <v/>
      </c>
      <c r="D10" s="21">
        <f>SUMIF('09_Detalle'!$F$5:$F$24,A10,'09_Detalle'!$K$5:$K$24)</f>
        <v/>
      </c>
      <c r="E10" s="19" t="inlineStr">
        <is>
          <t>Sí</t>
        </is>
      </c>
    </row>
    <row r="11">
      <c r="A11" s="18" t="inlineStr">
        <is>
          <t>Más de 360 días</t>
        </is>
      </c>
      <c r="B11" s="20">
        <f>SUMIF('09_Detalle'!$F$5:$F$24,A11,'09_Detalle'!$H$5:$H$24)</f>
        <v/>
      </c>
      <c r="C11" s="31">
        <f>IF(B11=0,"",D11/B11)</f>
        <v/>
      </c>
      <c r="D11" s="20">
        <f>SUMIF('09_Detalle'!$F$5:$F$24,A11,'09_Detalle'!$K$5:$K$24)</f>
        <v/>
      </c>
      <c r="E11" s="18" t="inlineStr">
        <is>
          <t>Sí</t>
        </is>
      </c>
    </row>
    <row r="12">
      <c r="A12" s="34" t="inlineStr">
        <is>
          <t>TOTAL</t>
        </is>
      </c>
      <c r="B12" s="36">
        <f>SUM(B5:B11)</f>
        <v/>
      </c>
      <c r="C12" s="35" t="n"/>
      <c r="D12" s="36">
        <f>SUM(D5:D11)</f>
        <v/>
      </c>
      <c r="E12" s="34" t="inlineStr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Importe en libros bruto</t>
        </is>
      </c>
      <c r="B16" s="25" t="inlineStr">
        <is>
          <t>'=SUMIF('09_Detalle'!$F$5:$F$24,A5,'09_Detalle'!$H$5:$H$24)</t>
        </is>
      </c>
      <c r="C16" s="24" t="inlineStr">
        <is>
          <t>Suma el saldo de todas las facturas del detalle (hoja 09) que caen en este tramo de mora, sin importar el segmento.</t>
        </is>
      </c>
      <c r="D16" s="24" t="inlineStr">
        <is>
          <t>Fila 1: SUMIF([«Tramo» de «Detalle por factura», 20 filas]; «Corriente / por vencer»; [«Saldo» de «Detalle por factura», 20 filas]) → 90.377,19</t>
        </is>
      </c>
      <c r="E16" s="24" t="inlineStr">
        <is>
          <t>«Tramo de mora» (esta hoja), hoja «Detalle por factura»</t>
        </is>
      </c>
      <c r="F16" s="24" t="inlineStr">
        <is>
          <t>—</t>
        </is>
      </c>
    </row>
    <row r="17">
      <c r="A17" s="24" t="inlineStr">
        <is>
          <t>Tasa esperada promedio</t>
        </is>
      </c>
      <c r="B17" s="25" t="inlineStr">
        <is>
          <t>'=IF(B5=0,"",D5/B5)</t>
        </is>
      </c>
      <c r="C17" s="24" t="inlineStr">
        <is>
          <t>Divide la pérdida esperada del tramo para su importe en libros bruto: es la tasa promedio del tramo. Si el tramo no tiene saldo, queda en blanco.</t>
        </is>
      </c>
      <c r="D17" s="24" t="inlineStr">
        <is>
          <t>Fila 1: IF(90.377,19=0; ""; 0,00/90.377,19) → 0,00 %</t>
        </is>
      </c>
      <c r="E17" s="24" t="inlineStr">
        <is>
          <t>«Importe en libros bruto» (esta hoja), «Pérdida esperada» (esta hoja)</t>
        </is>
      </c>
      <c r="F17" s="24" t="inlineStr">
        <is>
          <t>—</t>
        </is>
      </c>
    </row>
    <row r="18">
      <c r="A18" s="24" t="inlineStr">
        <is>
          <t>Pérdida esperada</t>
        </is>
      </c>
      <c r="B18" s="25" t="inlineStr">
        <is>
          <t>'=SUMIF('09_Detalle'!$F$5:$F$24,A5,'09_Detalle'!$K$5:$K$24)</t>
        </is>
      </c>
      <c r="C18" s="24" t="inlineStr">
        <is>
          <t>Suma la pérdida esperada de todas las facturas del detalle (hoja 09) que caen en este tramo de mora, de todos los segmentos.</t>
        </is>
      </c>
      <c r="D18" s="24" t="inlineStr">
        <is>
          <t>Fila 1: SUMIF([«Tramo» de «Detalle por factura», 20 filas]; «Corriente / por vencer»; [«Pérdida esperada» de «Detalle por factura», 20 filas]) → 0,00</t>
        </is>
      </c>
      <c r="E18" s="24" t="inlineStr">
        <is>
          <t>«Tramo de mora» (esta hoja), hoja «Detalle por factura»</t>
        </is>
      </c>
      <c r="F18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</cols>
  <sheetData>
    <row r="1">
      <c r="A1" s="3" t="inlineStr">
        <is>
          <t>Movimiento de la provisión (NIIF 7 35H)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Provisión al inicio del ejercicio</t>
        </is>
      </c>
      <c r="B5" s="20">
        <f>'07_Fiscal'!$B$8</f>
        <v/>
      </c>
    </row>
    <row r="6">
      <c r="A6" s="19" t="inlineStr">
        <is>
          <t>(−) Castigos del ejercicio (5.4.4)</t>
        </is>
      </c>
      <c r="B6" s="21">
        <f>'07_Fiscal'!$B$9</f>
        <v/>
      </c>
    </row>
    <row r="7">
      <c r="A7" s="18" t="inlineStr">
        <is>
          <t>(+) Dotación neta / (−) reversión del ejercicio</t>
        </is>
      </c>
      <c r="B7" s="20">
        <f>'07_Fiscal'!$B$10</f>
        <v/>
      </c>
    </row>
    <row r="8">
      <c r="A8" s="19" t="inlineStr">
        <is>
          <t>Provisión al cierre = pérdida crediticia esperada</t>
        </is>
      </c>
      <c r="B8" s="21">
        <f>B5-B6+B7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Importe</t>
        </is>
      </c>
      <c r="B12" s="25" t="inlineStr">
        <is>
          <t>'='07_Fiscal'!$B$8</t>
        </is>
      </c>
      <c r="C12" s="24" t="inlineStr">
        <is>
          <t>Trae la provisión inicial, los castigos y la dotación neta de la hoja 07 (Fiscal e impuesto diferido); la última fila parte de la provisión inicial, resta los castigos y suma la dotación, y debe igualar la pérdida esperada al cierre.</t>
        </is>
      </c>
      <c r="D12" s="24" t="inlineStr">
        <is>
          <t>Fila 1: 0,00 → 0,00</t>
        </is>
      </c>
      <c r="E12" s="24" t="inlineStr">
        <is>
          <t>hoja «Fiscal e impuesto diferido»</t>
        </is>
      </c>
      <c r="F12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3" t="inlineStr">
        <is>
          <t>Fiscal e impuesto diferido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Cartera total al corte</t>
        </is>
      </c>
      <c r="B5" s="20">
        <f>SUM('09_Detalle'!$H$5:$H$24)</f>
        <v/>
      </c>
    </row>
    <row r="6">
      <c r="A6" s="19" t="inlineStr">
        <is>
          <t>Cartera corriente (créditos del ejercicio)</t>
        </is>
      </c>
      <c r="B6" s="21">
        <f>SUMIF('09_Detalle'!$E$5:$E$24,"&lt;=0",'09_Detalle'!$H$5:$H$24)</f>
        <v/>
      </c>
    </row>
    <row r="7">
      <c r="A7" s="18" t="inlineStr">
        <is>
          <t>Pérdida crediticia esperada al cierre</t>
        </is>
      </c>
      <c r="B7" s="20">
        <f>SUM('09_Detalle'!$K$5:$K$24)</f>
        <v/>
      </c>
    </row>
    <row r="8">
      <c r="A8" s="19" t="inlineStr">
        <is>
          <t>Provisión al inicio del ejercicio</t>
        </is>
      </c>
      <c r="B8" s="21">
        <f>'02_Parametros'!B17</f>
        <v/>
      </c>
    </row>
    <row r="9">
      <c r="A9" s="18" t="inlineStr">
        <is>
          <t>Castigos del ejercicio</t>
        </is>
      </c>
      <c r="B9" s="20">
        <f>SUM('11_Castigos'!$C$5:$C$7)</f>
        <v/>
      </c>
    </row>
    <row r="10">
      <c r="A10" s="19" t="inlineStr">
        <is>
          <t>Dotación neta del ejercicio</t>
        </is>
      </c>
      <c r="B10" s="21">
        <f>'07_Fiscal'!$B$7-'07_Fiscal'!$B$8+'07_Fiscal'!$B$9</f>
        <v/>
      </c>
    </row>
    <row r="11">
      <c r="A11" s="18" t="inlineStr">
        <is>
          <t>Límite anual (% sobre la cartera corriente)</t>
        </is>
      </c>
      <c r="B11" s="20">
        <f>'07_Fiscal'!$B$6*'02_Parametros'!$B$18/100</f>
        <v/>
      </c>
    </row>
    <row r="12">
      <c r="A12" s="19" t="inlineStr">
        <is>
          <t>Límite acumulado (% sobre la cartera total)</t>
        </is>
      </c>
      <c r="B12" s="21">
        <f>'07_Fiscal'!$B$5*'02_Parametros'!$B$19/100</f>
        <v/>
      </c>
    </row>
    <row r="13">
      <c r="A13" s="18" t="inlineStr">
        <is>
          <t>Provisión fiscal acumulada anterior (estimada)</t>
        </is>
      </c>
      <c r="B13" s="20">
        <f>MIN('07_Fiscal'!$B$8,'07_Fiscal'!$B$12)</f>
        <v/>
      </c>
    </row>
    <row r="14">
      <c r="A14" s="19" t="inlineStr">
        <is>
          <t>Margen acumulado disponible</t>
        </is>
      </c>
      <c r="B14" s="21">
        <f>MAX('07_Fiscal'!$B$12-'07_Fiscal'!$B$13,0)</f>
        <v/>
      </c>
    </row>
    <row r="15">
      <c r="A15" s="18" t="inlineStr">
        <is>
          <t>Gasto deducible</t>
        </is>
      </c>
      <c r="B15" s="20">
        <f>MAX(MIN(MAX('07_Fiscal'!$B$10,0),'07_Fiscal'!$B$11,'07_Fiscal'!$B$14),0)</f>
        <v/>
      </c>
    </row>
    <row r="16">
      <c r="A16" s="19" t="inlineStr">
        <is>
          <t>Gasto no deducible</t>
        </is>
      </c>
      <c r="B16" s="21">
        <f>MAX(MAX('07_Fiscal'!$B$10,0)-'07_Fiscal'!$B$15,0)</f>
        <v/>
      </c>
    </row>
    <row r="17">
      <c r="A17" s="18" t="inlineStr">
        <is>
          <t>Provisión fiscal acumulada al cierre</t>
        </is>
      </c>
      <c r="B17" s="20">
        <f>'07_Fiscal'!$B$13+'07_Fiscal'!$B$15</f>
        <v/>
      </c>
    </row>
    <row r="18">
      <c r="A18" s="19" t="inlineStr">
        <is>
          <t>Diferencia temporaria al cierre</t>
        </is>
      </c>
      <c r="B18" s="21">
        <f>MAX('07_Fiscal'!$B$7-'07_Fiscal'!$B$17,0)</f>
        <v/>
      </c>
    </row>
    <row r="19">
      <c r="A19" s="18" t="inlineStr">
        <is>
          <t>Activo por impuesto diferido al cierre</t>
        </is>
      </c>
      <c r="B19" s="20">
        <f>'07_Fiscal'!$B$18*'02_Parametros'!$B$20/100</f>
        <v/>
      </c>
    </row>
    <row r="20">
      <c r="A20" s="19" t="inlineStr">
        <is>
          <t>Activo por impuesto diferido inicial</t>
        </is>
      </c>
      <c r="B20" s="21">
        <f>MAX('07_Fiscal'!$B$8-'07_Fiscal'!$B$13,0)*'02_Parametros'!$B$20/100</f>
        <v/>
      </c>
    </row>
    <row r="21">
      <c r="A21" s="18" t="inlineStr">
        <is>
          <t>Movimiento del diferido</t>
        </is>
      </c>
      <c r="B21" s="20">
        <f>'07_Fiscal'!$B$19-'07_Fiscal'!$B$20</f>
        <v/>
      </c>
    </row>
    <row r="23">
      <c r="A23" s="22" t="inlineStr">
        <is>
          <t>ⓘ  Cómo se calcula esta hoja</t>
        </is>
      </c>
    </row>
    <row r="24">
      <c r="A24" s="23" t="inlineStr">
        <is>
          <t>Columna</t>
        </is>
      </c>
      <c r="B24" s="23" t="inlineStr">
        <is>
          <t>Fórmula (Excel)</t>
        </is>
      </c>
      <c r="C24" s="23" t="inlineStr">
        <is>
          <t>Cómo se calcula (sencillo)</t>
        </is>
      </c>
      <c r="D24" s="23" t="inlineStr">
        <is>
          <t>Ejemplo con números reales</t>
        </is>
      </c>
      <c r="E24" s="23" t="inlineStr">
        <is>
          <t>De dónde viene</t>
        </is>
      </c>
      <c r="F24" s="23" t="inlineStr">
        <is>
          <t>Norma</t>
        </is>
      </c>
    </row>
    <row r="25">
      <c r="A25" s="24" t="inlineStr">
        <is>
          <t>Importe</t>
        </is>
      </c>
      <c r="B25" s="25" t="inlineStr">
        <is>
          <t>'=SUM('09_Detalle'!$H$5:$H$24)</t>
        </is>
      </c>
      <c r="C25" s="24" t="inlineStr">
        <is>
          <t>Cada concepto tiene su propio cálculo: cartera, parte corriente y pérdida esperada se suman del detalle (hoja 09); la provisión inicial viene de la hoja 02 (Parámetros) y los castigos de la hoja 11; la dotación es pérdida esperada − provisión inicial + castigos; los límites y el diferido aplican los porcentajes de la hoja 02; el resto combina las filas anteriores de esta hoja.</t>
        </is>
      </c>
      <c r="D25" s="24" t="inlineStr">
        <is>
          <t>Fila 1: SUM([«Saldo» de «Detalle por factura», 20 filas]) → 167.059,86</t>
        </is>
      </c>
      <c r="E25" s="24" t="inlineStr">
        <is>
          <t>hoja «Detalle por factura»</t>
        </is>
      </c>
      <c r="F25" s="24" t="inlineStr">
        <is>
          <t>—</t>
        </is>
      </c>
    </row>
  </sheetData>
  <mergeCells count="3">
    <mergeCell ref="A2:F2"/>
    <mergeCell ref="A1:F1"/>
    <mergeCell ref="A23:F23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Pérdida crediticia esperada del ejercicio</t>
        </is>
      </c>
      <c r="B5" s="18" t="inlineStr">
        <is>
          <t>Gasto por pérdidas crediticias esperadas</t>
        </is>
      </c>
      <c r="C5" s="20">
        <f>ABS('07_Fiscal'!$B$10)</f>
        <v/>
      </c>
      <c r="D5" s="20" t="n"/>
    </row>
    <row r="6">
      <c r="A6" s="19" t="inlineStr"/>
      <c r="B6" s="19" t="inlineStr">
        <is>
          <t>(-) Provisión por pérdidas crediticias esperadas</t>
        </is>
      </c>
      <c r="C6" s="21" t="n"/>
      <c r="D6" s="21">
        <f>ABS('07_Fiscal'!$B$10)</f>
        <v/>
      </c>
    </row>
    <row r="7">
      <c r="A7" s="18" t="inlineStr">
        <is>
          <t>2 · Castigos del ejercicio (5.4.4)</t>
        </is>
      </c>
      <c r="B7" s="18" t="inlineStr">
        <is>
          <t>(-) Provisión por pérdidas crediticias esperadas</t>
        </is>
      </c>
      <c r="C7" s="20">
        <f>'07_Fiscal'!$B$9</f>
        <v/>
      </c>
      <c r="D7" s="20" t="n"/>
    </row>
    <row r="8">
      <c r="A8" s="19" t="inlineStr"/>
      <c r="B8" s="19" t="inlineStr">
        <is>
          <t>Cuentas por cobrar comerciales</t>
        </is>
      </c>
      <c r="C8" s="21" t="n"/>
      <c r="D8" s="21">
        <f>'07_Fiscal'!$B$9</f>
        <v/>
      </c>
    </row>
    <row r="9">
      <c r="A9" s="18" t="inlineStr">
        <is>
          <t>3 · Activo por impuesto diferido</t>
        </is>
      </c>
      <c r="B9" s="18" t="inlineStr">
        <is>
          <t>Activo por impuesto diferido</t>
        </is>
      </c>
      <c r="C9" s="20">
        <f>ABS('07_Fiscal'!$B$21)</f>
        <v/>
      </c>
      <c r="D9" s="20" t="n"/>
    </row>
    <row r="10">
      <c r="A10" s="19" t="inlineStr"/>
      <c r="B10" s="19" t="inlineStr">
        <is>
          <t>Ingreso por impuesto a la renta diferido</t>
        </is>
      </c>
      <c r="C10" s="21" t="n"/>
      <c r="D10" s="21">
        <f>ABS('07_Fiscal'!$B$21)</f>
        <v/>
      </c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Debe</t>
        </is>
      </c>
      <c r="B14" s="25" t="inlineStr">
        <is>
          <t>'=ABS('07_Fiscal'!$B$10)</t>
        </is>
      </c>
      <c r="C14" s="24" t="inlineStr">
        <is>
          <t>Toma el importe del asiento de la hoja 07 (Fiscal e impuesto diferido): la dotación neta y el movimiento del diferido en valor absoluto, y los castigos del ejercicio.</t>
        </is>
      </c>
      <c r="D14" s="24" t="inlineStr">
        <is>
          <t>Fila 1: ABS(30.225,13) → 30.225,13</t>
        </is>
      </c>
      <c r="E14" s="24" t="inlineStr">
        <is>
          <t>hoja «Fiscal e impuesto diferido»</t>
        </is>
      </c>
      <c r="F14" s="24" t="inlineStr">
        <is>
          <t>—</t>
        </is>
      </c>
    </row>
    <row r="15">
      <c r="A15" s="24" t="inlineStr">
        <is>
          <t>Haber</t>
        </is>
      </c>
      <c r="B15" s="25" t="inlineStr">
        <is>
          <t>'=ABS('07_Fiscal'!$B$10)</t>
        </is>
      </c>
      <c r="C15" s="24" t="inlineStr">
        <is>
          <t>Lleva a la contrapartida el mismo importe del asiento, tomado de la hoja 07 (Fiscal e impuesto diferido), para que debe y haber cuadren.</t>
        </is>
      </c>
      <c r="D15" s="24" t="inlineStr">
        <is>
          <t>Fila 2: ABS(30.225,13) → 30.225,13</t>
        </is>
      </c>
      <c r="E15" s="24" t="inlineStr">
        <is>
          <t>hoja «Fiscal e impuesto diferido»</t>
        </is>
      </c>
      <c r="F15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3" customWidth="1" min="4" max="4"/>
    <col width="14" customWidth="1" min="5" max="5"/>
    <col width="24" customWidth="1" min="6" max="6"/>
    <col width="32" customWidth="1" min="7" max="7"/>
    <col width="12" customWidth="1" min="8" max="8"/>
    <col width="21" customWidth="1" min="9" max="9"/>
    <col width="15" customWidth="1" min="10" max="10"/>
    <col width="18" customWidth="1" min="11" max="11"/>
    <col width="12" customWidth="1" min="12" max="12"/>
  </cols>
  <sheetData>
    <row r="1">
      <c r="A1" s="3" t="inlineStr">
        <is>
          <t>Detalle por factura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Segmento</t>
        </is>
      </c>
      <c r="D4" s="17" t="inlineStr">
        <is>
          <t>Vencimiento</t>
        </is>
      </c>
      <c r="E4" s="17" t="inlineStr">
        <is>
          <t>Días de mora</t>
        </is>
      </c>
      <c r="F4" s="17" t="inlineStr">
        <is>
          <t>Tramo</t>
        </is>
      </c>
      <c r="G4" s="17" t="inlineStr">
        <is>
          <t>Clave</t>
        </is>
      </c>
      <c r="H4" s="17" t="inlineStr">
        <is>
          <t>Saldo</t>
        </is>
      </c>
      <c r="I4" s="17" t="inlineStr">
        <is>
          <t>Tasa individual (%)</t>
        </is>
      </c>
      <c r="J4" s="17" t="inlineStr">
        <is>
          <t>Tasa aplicada</t>
        </is>
      </c>
      <c r="K4" s="17" t="inlineStr">
        <is>
          <t>Pérdida esperada</t>
        </is>
      </c>
      <c r="L4" s="17" t="inlineStr">
        <is>
          <t>En impago</t>
        </is>
      </c>
    </row>
    <row r="5">
      <c r="A5" s="18" t="inlineStr">
        <is>
          <t>001-001-000001009</t>
        </is>
      </c>
      <c r="B5" s="18" t="inlineStr">
        <is>
          <t>Vialidad Norte S.A.</t>
        </is>
      </c>
      <c r="C5" s="18" t="inlineStr">
        <is>
          <t>General</t>
        </is>
      </c>
      <c r="D5" s="37" t="n">
        <v>45203</v>
      </c>
      <c r="E5" s="30">
        <f>IF(D5="","",'02_Parametros'!$B$5-D5)</f>
        <v/>
      </c>
      <c r="F5" s="18">
        <f>IF(E5="","",IF(E5&lt;=0,"Corriente / por vencer",IF(E5&lt;=30,"1 a 30 días",IF(E5&lt;=60,"31 a 60 días",IF(E5&lt;=90,"61 a 90 días",IF(E5&lt;=180,"91 a 180 días",IF(E5&lt;=360,"181 a 360 días","Más de 360 días")))))))</f>
        <v/>
      </c>
      <c r="G5" s="18">
        <f>C5&amp;"|"&amp;F5</f>
        <v/>
      </c>
      <c r="H5" s="20" t="n">
        <v>2266.21</v>
      </c>
      <c r="I5" s="18" t="n"/>
      <c r="J5" s="31">
        <f>IF(I5&lt;&gt;"",I5/100,IF(ISNA(MATCH(G5,'04_Matriz_provisiones'!$C$5:$C$11,0)),"",IF(INDEX('04_Matriz_provisiones'!$H$5:$H$11,MATCH(G5,'04_Matriz_provisiones'!$C$5:$C$11,0))="","",INDEX('04_Matriz_provisiones'!$H$5:$H$11,MATCH(G5,'04_Matriz_provisiones'!$C$5:$C$11,0)))))</f>
        <v/>
      </c>
      <c r="K5" s="20">
        <f>IF(J5="","",MAX(H5*J5/(1+'02_Parametros'!$B$7/100)^('02_Parametros'!$B$8/12),0))</f>
        <v/>
      </c>
      <c r="L5" s="18">
        <f>IF(E5="","",IF(E5&gt;90,"Sí","No"))</f>
        <v/>
      </c>
    </row>
    <row r="6">
      <c r="A6" s="19" t="inlineStr">
        <is>
          <t>001-001-000001011</t>
        </is>
      </c>
      <c r="B6" s="19" t="inlineStr">
        <is>
          <t>Obras Civiles Pacífico S.A.</t>
        </is>
      </c>
      <c r="C6" s="19" t="inlineStr">
        <is>
          <t>General</t>
        </is>
      </c>
      <c r="D6" s="38" t="n">
        <v>45051</v>
      </c>
      <c r="E6" s="32">
        <f>IF(D6="","",'02_Parametros'!$B$5-D6)</f>
        <v/>
      </c>
      <c r="F6" s="19">
        <f>IF(E6="","",IF(E6&lt;=0,"Corriente / por vencer",IF(E6&lt;=30,"1 a 30 días",IF(E6&lt;=60,"31 a 60 días",IF(E6&lt;=90,"61 a 90 días",IF(E6&lt;=180,"91 a 180 días",IF(E6&lt;=360,"181 a 360 días","Más de 360 días")))))))</f>
        <v/>
      </c>
      <c r="G6" s="19">
        <f>C6&amp;"|"&amp;F6</f>
        <v/>
      </c>
      <c r="H6" s="21" t="n">
        <v>4342.93</v>
      </c>
      <c r="I6" s="19" t="n"/>
      <c r="J6" s="33">
        <f>IF(I6&lt;&gt;"",I6/100,IF(ISNA(MATCH(G6,'04_Matriz_provisiones'!$C$5:$C$11,0)),"",IF(INDEX('04_Matriz_provisiones'!$H$5:$H$11,MATCH(G6,'04_Matriz_provisiones'!$C$5:$C$11,0))="","",INDEX('04_Matriz_provisiones'!$H$5:$H$11,MATCH(G6,'04_Matriz_provisiones'!$C$5:$C$11,0)))))</f>
        <v/>
      </c>
      <c r="K6" s="21">
        <f>IF(J6="","",MAX(H6*J6/(1+'02_Parametros'!$B$7/100)^('02_Parametros'!$B$8/12),0))</f>
        <v/>
      </c>
      <c r="L6" s="19">
        <f>IF(E6="","",IF(E6&gt;90,"Sí","No"))</f>
        <v/>
      </c>
    </row>
    <row r="7">
      <c r="A7" s="18" t="inlineStr">
        <is>
          <t>001-001-000001021</t>
        </is>
      </c>
      <c r="B7" s="18" t="inlineStr">
        <is>
          <t>Minera Austral S.A.</t>
        </is>
      </c>
      <c r="C7" s="18" t="inlineStr">
        <is>
          <t>General</t>
        </is>
      </c>
      <c r="D7" s="37" t="n">
        <v>45387</v>
      </c>
      <c r="E7" s="30">
        <f>IF(D7="","",'02_Parametros'!$B$5-D7)</f>
        <v/>
      </c>
      <c r="F7" s="18">
        <f>IF(E7="","",IF(E7&lt;=0,"Corriente / por vencer",IF(E7&lt;=30,"1 a 30 días",IF(E7&lt;=60,"31 a 60 días",IF(E7&lt;=90,"61 a 90 días",IF(E7&lt;=180,"91 a 180 días",IF(E7&lt;=360,"181 a 360 días","Más de 360 días")))))))</f>
        <v/>
      </c>
      <c r="G7" s="18">
        <f>C7&amp;"|"&amp;F7</f>
        <v/>
      </c>
      <c r="H7" s="20" t="n">
        <v>1375.09</v>
      </c>
      <c r="I7" s="18" t="n"/>
      <c r="J7" s="31">
        <f>IF(I7&lt;&gt;"",I7/100,IF(ISNA(MATCH(G7,'04_Matriz_provisiones'!$C$5:$C$11,0)),"",IF(INDEX('04_Matriz_provisiones'!$H$5:$H$11,MATCH(G7,'04_Matriz_provisiones'!$C$5:$C$11,0))="","",INDEX('04_Matriz_provisiones'!$H$5:$H$11,MATCH(G7,'04_Matriz_provisiones'!$C$5:$C$11,0)))))</f>
        <v/>
      </c>
      <c r="K7" s="20">
        <f>IF(J7="","",MAX(H7*J7/(1+'02_Parametros'!$B$7/100)^('02_Parametros'!$B$8/12),0))</f>
        <v/>
      </c>
      <c r="L7" s="18">
        <f>IF(E7="","",IF(E7&gt;90,"Sí","No"))</f>
        <v/>
      </c>
    </row>
    <row r="8">
      <c r="A8" s="19" t="inlineStr">
        <is>
          <t>001-001-000001022</t>
        </is>
      </c>
      <c r="B8" s="19" t="inlineStr">
        <is>
          <t>Vialidad Norte S.A.</t>
        </is>
      </c>
      <c r="C8" s="19" t="inlineStr">
        <is>
          <t>General</t>
        </is>
      </c>
      <c r="D8" s="38" t="n">
        <v>45394</v>
      </c>
      <c r="E8" s="32">
        <f>IF(D8="","",'02_Parametros'!$B$5-D8)</f>
        <v/>
      </c>
      <c r="F8" s="19">
        <f>IF(E8="","",IF(E8&lt;=0,"Corriente / por vencer",IF(E8&lt;=30,"1 a 30 días",IF(E8&lt;=60,"31 a 60 días",IF(E8&lt;=90,"61 a 90 días",IF(E8&lt;=180,"91 a 180 días",IF(E8&lt;=360,"181 a 360 días","Más de 360 días")))))))</f>
        <v/>
      </c>
      <c r="G8" s="19">
        <f>C8&amp;"|"&amp;F8</f>
        <v/>
      </c>
      <c r="H8" s="21" t="n">
        <v>7172.35</v>
      </c>
      <c r="I8" s="19" t="n"/>
      <c r="J8" s="33">
        <f>IF(I8&lt;&gt;"",I8/100,IF(ISNA(MATCH(G8,'04_Matriz_provisiones'!$C$5:$C$11,0)),"",IF(INDEX('04_Matriz_provisiones'!$H$5:$H$11,MATCH(G8,'04_Matriz_provisiones'!$C$5:$C$11,0))="","",INDEX('04_Matriz_provisiones'!$H$5:$H$11,MATCH(G8,'04_Matriz_provisiones'!$C$5:$C$11,0)))))</f>
        <v/>
      </c>
      <c r="K8" s="21">
        <f>IF(J8="","",MAX(H8*J8/(1+'02_Parametros'!$B$7/100)^('02_Parametros'!$B$8/12),0))</f>
        <v/>
      </c>
      <c r="L8" s="19">
        <f>IF(E8="","",IF(E8&gt;90,"Sí","No"))</f>
        <v/>
      </c>
    </row>
    <row r="9">
      <c r="A9" s="18" t="inlineStr">
        <is>
          <t>001-001-000001023</t>
        </is>
      </c>
      <c r="B9" s="18" t="inlineStr">
        <is>
          <t>Hidrosur Cía. Ltda.</t>
        </is>
      </c>
      <c r="C9" s="18" t="inlineStr">
        <is>
          <t>General</t>
        </is>
      </c>
      <c r="D9" s="37" t="n">
        <v>45571</v>
      </c>
      <c r="E9" s="30">
        <f>IF(D9="","",'02_Parametros'!$B$5-D9)</f>
        <v/>
      </c>
      <c r="F9" s="18">
        <f>IF(E9="","",IF(E9&lt;=0,"Corriente / por vencer",IF(E9&lt;=30,"1 a 30 días",IF(E9&lt;=60,"31 a 60 días",IF(E9&lt;=90,"61 a 90 días",IF(E9&lt;=180,"91 a 180 días",IF(E9&lt;=360,"181 a 360 días","Más de 360 días")))))))</f>
        <v/>
      </c>
      <c r="G9" s="18">
        <f>C9&amp;"|"&amp;F9</f>
        <v/>
      </c>
      <c r="H9" s="20" t="n">
        <v>1787.01</v>
      </c>
      <c r="I9" s="18" t="n"/>
      <c r="J9" s="31">
        <f>IF(I9&lt;&gt;"",I9/100,IF(ISNA(MATCH(G9,'04_Matriz_provisiones'!$C$5:$C$11,0)),"",IF(INDEX('04_Matriz_provisiones'!$H$5:$H$11,MATCH(G9,'04_Matriz_provisiones'!$C$5:$C$11,0))="","",INDEX('04_Matriz_provisiones'!$H$5:$H$11,MATCH(G9,'04_Matriz_provisiones'!$C$5:$C$11,0)))))</f>
        <v/>
      </c>
      <c r="K9" s="20">
        <f>IF(J9="","",MAX(H9*J9/(1+'02_Parametros'!$B$7/100)^('02_Parametros'!$B$8/12),0))</f>
        <v/>
      </c>
      <c r="L9" s="18">
        <f>IF(E9="","",IF(E9&gt;90,"Sí","No"))</f>
        <v/>
      </c>
    </row>
    <row r="10">
      <c r="A10" s="19" t="inlineStr">
        <is>
          <t>001-001-000001024</t>
        </is>
      </c>
      <c r="B10" s="19" t="inlineStr">
        <is>
          <t>Obras Civiles Pacífico S.A.</t>
        </is>
      </c>
      <c r="C10" s="19" t="inlineStr">
        <is>
          <t>General</t>
        </is>
      </c>
      <c r="D10" s="38" t="n">
        <v>45621</v>
      </c>
      <c r="E10" s="32">
        <f>IF(D10="","",'02_Parametros'!$B$5-D10)</f>
        <v/>
      </c>
      <c r="F10" s="19">
        <f>IF(E10="","",IF(E10&lt;=0,"Corriente / por vencer",IF(E10&lt;=30,"1 a 30 días",IF(E10&lt;=60,"31 a 60 días",IF(E10&lt;=90,"61 a 90 días",IF(E10&lt;=180,"91 a 180 días",IF(E10&lt;=360,"181 a 360 días","Más de 360 días")))))))</f>
        <v/>
      </c>
      <c r="G10" s="19">
        <f>C10&amp;"|"&amp;F10</f>
        <v/>
      </c>
      <c r="H10" s="21" t="n">
        <v>5514.61</v>
      </c>
      <c r="I10" s="19" t="n"/>
      <c r="J10" s="33">
        <f>IF(I10&lt;&gt;"",I10/100,IF(ISNA(MATCH(G10,'04_Matriz_provisiones'!$C$5:$C$11,0)),"",IF(INDEX('04_Matriz_provisiones'!$H$5:$H$11,MATCH(G10,'04_Matriz_provisiones'!$C$5:$C$11,0))="","",INDEX('04_Matriz_provisiones'!$H$5:$H$11,MATCH(G10,'04_Matriz_provisiones'!$C$5:$C$11,0)))))</f>
        <v/>
      </c>
      <c r="K10" s="21">
        <f>IF(J10="","",MAX(H10*J10/(1+'02_Parametros'!$B$7/100)^('02_Parametros'!$B$8/12),0))</f>
        <v/>
      </c>
      <c r="L10" s="19">
        <f>IF(E10="","",IF(E10&gt;90,"Sí","No"))</f>
        <v/>
      </c>
    </row>
    <row r="11">
      <c r="A11" s="18" t="inlineStr">
        <is>
          <t>001-001-000001027</t>
        </is>
      </c>
      <c r="B11" s="18" t="inlineStr">
        <is>
          <t>Minera Austral S.A.</t>
        </is>
      </c>
      <c r="C11" s="18" t="inlineStr">
        <is>
          <t>General</t>
        </is>
      </c>
      <c r="D11" s="37" t="n">
        <v>45611</v>
      </c>
      <c r="E11" s="30">
        <f>IF(D11="","",'02_Parametros'!$B$5-D11)</f>
        <v/>
      </c>
      <c r="F11" s="18">
        <f>IF(E11="","",IF(E11&lt;=0,"Corriente / por vencer",IF(E11&lt;=30,"1 a 30 días",IF(E11&lt;=60,"31 a 60 días",IF(E11&lt;=90,"61 a 90 días",IF(E11&lt;=180,"91 a 180 días",IF(E11&lt;=360,"181 a 360 días","Más de 360 días")))))))</f>
        <v/>
      </c>
      <c r="G11" s="18">
        <f>C11&amp;"|"&amp;F11</f>
        <v/>
      </c>
      <c r="H11" s="20" t="n">
        <v>442.06</v>
      </c>
      <c r="I11" s="18" t="n"/>
      <c r="J11" s="31">
        <f>IF(I11&lt;&gt;"",I11/100,IF(ISNA(MATCH(G11,'04_Matriz_provisiones'!$C$5:$C$11,0)),"",IF(INDEX('04_Matriz_provisiones'!$H$5:$H$11,MATCH(G11,'04_Matriz_provisiones'!$C$5:$C$11,0))="","",INDEX('04_Matriz_provisiones'!$H$5:$H$11,MATCH(G11,'04_Matriz_provisiones'!$C$5:$C$11,0)))))</f>
        <v/>
      </c>
      <c r="K11" s="20">
        <f>IF(J11="","",MAX(H11*J11/(1+'02_Parametros'!$B$7/100)^('02_Parametros'!$B$8/12),0))</f>
        <v/>
      </c>
      <c r="L11" s="18">
        <f>IF(E11="","",IF(E11&gt;90,"Sí","No"))</f>
        <v/>
      </c>
    </row>
    <row r="12">
      <c r="A12" s="19" t="inlineStr">
        <is>
          <t>001-001-000001028</t>
        </is>
      </c>
      <c r="B12" s="19" t="inlineStr">
        <is>
          <t>Vialidad Norte S.A.</t>
        </is>
      </c>
      <c r="C12" s="19" t="inlineStr">
        <is>
          <t>General</t>
        </is>
      </c>
      <c r="D12" s="38" t="n">
        <v>45435</v>
      </c>
      <c r="E12" s="32">
        <f>IF(D12="","",'02_Parametros'!$B$5-D12)</f>
        <v/>
      </c>
      <c r="F12" s="19">
        <f>IF(E12="","",IF(E12&lt;=0,"Corriente / por vencer",IF(E12&lt;=30,"1 a 30 días",IF(E12&lt;=60,"31 a 60 días",IF(E12&lt;=90,"61 a 90 días",IF(E12&lt;=180,"91 a 180 días",IF(E12&lt;=360,"181 a 360 días","Más de 360 días")))))))</f>
        <v/>
      </c>
      <c r="G12" s="19">
        <f>C12&amp;"|"&amp;F12</f>
        <v/>
      </c>
      <c r="H12" s="21" t="n">
        <v>8659.559999999999</v>
      </c>
      <c r="I12" s="19" t="n"/>
      <c r="J12" s="33">
        <f>IF(I12&lt;&gt;"",I12/100,IF(ISNA(MATCH(G12,'04_Matriz_provisiones'!$C$5:$C$11,0)),"",IF(INDEX('04_Matriz_provisiones'!$H$5:$H$11,MATCH(G12,'04_Matriz_provisiones'!$C$5:$C$11,0))="","",INDEX('04_Matriz_provisiones'!$H$5:$H$11,MATCH(G12,'04_Matriz_provisiones'!$C$5:$C$11,0)))))</f>
        <v/>
      </c>
      <c r="K12" s="21">
        <f>IF(J12="","",MAX(H12*J12/(1+'02_Parametros'!$B$7/100)^('02_Parametros'!$B$8/12),0))</f>
        <v/>
      </c>
      <c r="L12" s="19">
        <f>IF(E12="","",IF(E12&gt;90,"Sí","No"))</f>
        <v/>
      </c>
    </row>
    <row r="13">
      <c r="A13" s="18" t="inlineStr">
        <is>
          <t>001-001-000001029</t>
        </is>
      </c>
      <c r="B13" s="18" t="inlineStr">
        <is>
          <t>Vialidad Norte S.A.</t>
        </is>
      </c>
      <c r="C13" s="18" t="inlineStr">
        <is>
          <t>General</t>
        </is>
      </c>
      <c r="D13" s="37" t="n">
        <v>46023</v>
      </c>
      <c r="E13" s="30">
        <f>IF(D13="","",'02_Parametros'!$B$5-D13)</f>
        <v/>
      </c>
      <c r="F13" s="18">
        <f>IF(E13="","",IF(E13&lt;=0,"Corriente / por vencer",IF(E13&lt;=30,"1 a 30 días",IF(E13&lt;=60,"31 a 60 días",IF(E13&lt;=90,"61 a 90 días",IF(E13&lt;=180,"91 a 180 días",IF(E13&lt;=360,"181 a 360 días","Más de 360 días")))))))</f>
        <v/>
      </c>
      <c r="G13" s="18">
        <f>C13&amp;"|"&amp;F13</f>
        <v/>
      </c>
      <c r="H13" s="20" t="n">
        <v>7754.65</v>
      </c>
      <c r="I13" s="18" t="n"/>
      <c r="J13" s="31">
        <f>IF(I13&lt;&gt;"",I13/100,IF(ISNA(MATCH(G13,'04_Matriz_provisiones'!$C$5:$C$11,0)),"",IF(INDEX('04_Matriz_provisiones'!$H$5:$H$11,MATCH(G13,'04_Matriz_provisiones'!$C$5:$C$11,0))="","",INDEX('04_Matriz_provisiones'!$H$5:$H$11,MATCH(G13,'04_Matriz_provisiones'!$C$5:$C$11,0)))))</f>
        <v/>
      </c>
      <c r="K13" s="20">
        <f>IF(J13="","",MAX(H13*J13/(1+'02_Parametros'!$B$7/100)^('02_Parametros'!$B$8/12),0))</f>
        <v/>
      </c>
      <c r="L13" s="18">
        <f>IF(E13="","",IF(E13&gt;90,"Sí","No"))</f>
        <v/>
      </c>
    </row>
    <row r="14">
      <c r="A14" s="19" t="inlineStr">
        <is>
          <t>001-001-000001030</t>
        </is>
      </c>
      <c r="B14" s="19" t="inlineStr">
        <is>
          <t>Hidrosur Cía. Ltda.</t>
        </is>
      </c>
      <c r="C14" s="19" t="inlineStr">
        <is>
          <t>General</t>
        </is>
      </c>
      <c r="D14" s="38" t="n">
        <v>46034</v>
      </c>
      <c r="E14" s="32">
        <f>IF(D14="","",'02_Parametros'!$B$5-D14)</f>
        <v/>
      </c>
      <c r="F14" s="19">
        <f>IF(E14="","",IF(E14&lt;=0,"Corriente / por vencer",IF(E14&lt;=30,"1 a 30 días",IF(E14&lt;=60,"31 a 60 días",IF(E14&lt;=90,"61 a 90 días",IF(E14&lt;=180,"91 a 180 días",IF(E14&lt;=360,"181 a 360 días","Más de 360 días")))))))</f>
        <v/>
      </c>
      <c r="G14" s="19">
        <f>C14&amp;"|"&amp;F14</f>
        <v/>
      </c>
      <c r="H14" s="21" t="n">
        <v>29394.77</v>
      </c>
      <c r="I14" s="19" t="n"/>
      <c r="J14" s="33">
        <f>IF(I14&lt;&gt;"",I14/100,IF(ISNA(MATCH(G14,'04_Matriz_provisiones'!$C$5:$C$11,0)),"",IF(INDEX('04_Matriz_provisiones'!$H$5:$H$11,MATCH(G14,'04_Matriz_provisiones'!$C$5:$C$11,0))="","",INDEX('04_Matriz_provisiones'!$H$5:$H$11,MATCH(G14,'04_Matriz_provisiones'!$C$5:$C$11,0)))))</f>
        <v/>
      </c>
      <c r="K14" s="21">
        <f>IF(J14="","",MAX(H14*J14/(1+'02_Parametros'!$B$7/100)^('02_Parametros'!$B$8/12),0))</f>
        <v/>
      </c>
      <c r="L14" s="19">
        <f>IF(E14="","",IF(E14&gt;90,"Sí","No"))</f>
        <v/>
      </c>
    </row>
    <row r="15">
      <c r="A15" s="18" t="inlineStr">
        <is>
          <t>001-001-000001031</t>
        </is>
      </c>
      <c r="B15" s="18" t="inlineStr">
        <is>
          <t>Obras Civiles Pacífico S.A.</t>
        </is>
      </c>
      <c r="C15" s="18" t="inlineStr">
        <is>
          <t>General</t>
        </is>
      </c>
      <c r="D15" s="37" t="n">
        <v>46026</v>
      </c>
      <c r="E15" s="30">
        <f>IF(D15="","",'02_Parametros'!$B$5-D15)</f>
        <v/>
      </c>
      <c r="F15" s="18">
        <f>IF(E15="","",IF(E15&lt;=0,"Corriente / por vencer",IF(E15&lt;=30,"1 a 30 días",IF(E15&lt;=60,"31 a 60 días",IF(E15&lt;=90,"61 a 90 días",IF(E15&lt;=180,"91 a 180 días",IF(E15&lt;=360,"181 a 360 días","Más de 360 días")))))))</f>
        <v/>
      </c>
      <c r="G15" s="18">
        <f>C15&amp;"|"&amp;F15</f>
        <v/>
      </c>
      <c r="H15" s="20" t="n">
        <v>7119.93</v>
      </c>
      <c r="I15" s="18" t="n"/>
      <c r="J15" s="31">
        <f>IF(I15&lt;&gt;"",I15/100,IF(ISNA(MATCH(G15,'04_Matriz_provisiones'!$C$5:$C$11,0)),"",IF(INDEX('04_Matriz_provisiones'!$H$5:$H$11,MATCH(G15,'04_Matriz_provisiones'!$C$5:$C$11,0))="","",INDEX('04_Matriz_provisiones'!$H$5:$H$11,MATCH(G15,'04_Matriz_provisiones'!$C$5:$C$11,0)))))</f>
        <v/>
      </c>
      <c r="K15" s="20">
        <f>IF(J15="","",MAX(H15*J15/(1+'02_Parametros'!$B$7/100)^('02_Parametros'!$B$8/12),0))</f>
        <v/>
      </c>
      <c r="L15" s="18">
        <f>IF(E15="","",IF(E15&gt;90,"Sí","No"))</f>
        <v/>
      </c>
    </row>
    <row r="16">
      <c r="A16" s="19" t="inlineStr">
        <is>
          <t>001-001-000001032</t>
        </is>
      </c>
      <c r="B16" s="19" t="inlineStr">
        <is>
          <t>Constructora Andina S.A.</t>
        </is>
      </c>
      <c r="C16" s="19" t="inlineStr">
        <is>
          <t>General</t>
        </is>
      </c>
      <c r="D16" s="38" t="n">
        <v>46049</v>
      </c>
      <c r="E16" s="32">
        <f>IF(D16="","",'02_Parametros'!$B$5-D16)</f>
        <v/>
      </c>
      <c r="F16" s="19">
        <f>IF(E16="","",IF(E16&lt;=0,"Corriente / por vencer",IF(E16&lt;=30,"1 a 30 días",IF(E16&lt;=60,"31 a 60 días",IF(E16&lt;=90,"61 a 90 días",IF(E16&lt;=180,"91 a 180 días",IF(E16&lt;=360,"181 a 360 días","Más de 360 días")))))))</f>
        <v/>
      </c>
      <c r="G16" s="19">
        <f>C16&amp;"|"&amp;F16</f>
        <v/>
      </c>
      <c r="H16" s="21" t="n">
        <v>28854.13</v>
      </c>
      <c r="I16" s="19" t="n"/>
      <c r="J16" s="33">
        <f>IF(I16&lt;&gt;"",I16/100,IF(ISNA(MATCH(G16,'04_Matriz_provisiones'!$C$5:$C$11,0)),"",IF(INDEX('04_Matriz_provisiones'!$H$5:$H$11,MATCH(G16,'04_Matriz_provisiones'!$C$5:$C$11,0))="","",INDEX('04_Matriz_provisiones'!$H$5:$H$11,MATCH(G16,'04_Matriz_provisiones'!$C$5:$C$11,0)))))</f>
        <v/>
      </c>
      <c r="K16" s="21">
        <f>IF(J16="","",MAX(H16*J16/(1+'02_Parametros'!$B$7/100)^('02_Parametros'!$B$8/12),0))</f>
        <v/>
      </c>
      <c r="L16" s="19">
        <f>IF(E16="","",IF(E16&gt;90,"Sí","No"))</f>
        <v/>
      </c>
    </row>
    <row r="17">
      <c r="A17" s="18" t="inlineStr">
        <is>
          <t>001-001-000001033</t>
        </is>
      </c>
      <c r="B17" s="18" t="inlineStr">
        <is>
          <t>Agroexport del Litoral Cía. Ltda.</t>
        </is>
      </c>
      <c r="C17" s="18" t="inlineStr">
        <is>
          <t>General</t>
        </is>
      </c>
      <c r="D17" s="37" t="n">
        <v>45998</v>
      </c>
      <c r="E17" s="30">
        <f>IF(D17="","",'02_Parametros'!$B$5-D17)</f>
        <v/>
      </c>
      <c r="F17" s="18">
        <f>IF(E17="","",IF(E17&lt;=0,"Corriente / por vencer",IF(E17&lt;=30,"1 a 30 días",IF(E17&lt;=60,"31 a 60 días",IF(E17&lt;=90,"61 a 90 días",IF(E17&lt;=180,"91 a 180 días",IF(E17&lt;=360,"181 a 360 días","Más de 360 días")))))))</f>
        <v/>
      </c>
      <c r="G17" s="18">
        <f>C17&amp;"|"&amp;F17</f>
        <v/>
      </c>
      <c r="H17" s="20" t="n">
        <v>27938.78</v>
      </c>
      <c r="I17" s="18" t="n"/>
      <c r="J17" s="31">
        <f>IF(I17&lt;&gt;"",I17/100,IF(ISNA(MATCH(G17,'04_Matriz_provisiones'!$C$5:$C$11,0)),"",IF(INDEX('04_Matriz_provisiones'!$H$5:$H$11,MATCH(G17,'04_Matriz_provisiones'!$C$5:$C$11,0))="","",INDEX('04_Matriz_provisiones'!$H$5:$H$11,MATCH(G17,'04_Matriz_provisiones'!$C$5:$C$11,0)))))</f>
        <v/>
      </c>
      <c r="K17" s="20">
        <f>IF(J17="","",MAX(H17*J17/(1+'02_Parametros'!$B$7/100)^('02_Parametros'!$B$8/12),0))</f>
        <v/>
      </c>
      <c r="L17" s="18">
        <f>IF(E17="","",IF(E17&gt;90,"Sí","No"))</f>
        <v/>
      </c>
    </row>
    <row r="18">
      <c r="A18" s="19" t="inlineStr">
        <is>
          <t>001-001-000001034</t>
        </is>
      </c>
      <c r="B18" s="19" t="inlineStr">
        <is>
          <t>Minera Austral S.A.</t>
        </is>
      </c>
      <c r="C18" s="19" t="inlineStr">
        <is>
          <t>General</t>
        </is>
      </c>
      <c r="D18" s="38" t="n">
        <v>46056</v>
      </c>
      <c r="E18" s="32">
        <f>IF(D18="","",'02_Parametros'!$B$5-D18)</f>
        <v/>
      </c>
      <c r="F18" s="19">
        <f>IF(E18="","",IF(E18&lt;=0,"Corriente / por vencer",IF(E18&lt;=30,"1 a 30 días",IF(E18&lt;=60,"31 a 60 días",IF(E18&lt;=90,"61 a 90 días",IF(E18&lt;=180,"91 a 180 días",IF(E18&lt;=360,"181 a 360 días","Más de 360 días")))))))</f>
        <v/>
      </c>
      <c r="G18" s="19">
        <f>C18&amp;"|"&amp;F18</f>
        <v/>
      </c>
      <c r="H18" s="21" t="n">
        <v>17253.71</v>
      </c>
      <c r="I18" s="19" t="n"/>
      <c r="J18" s="33">
        <f>IF(I18&lt;&gt;"",I18/100,IF(ISNA(MATCH(G18,'04_Matriz_provisiones'!$C$5:$C$11,0)),"",IF(INDEX('04_Matriz_provisiones'!$H$5:$H$11,MATCH(G18,'04_Matriz_provisiones'!$C$5:$C$11,0))="","",INDEX('04_Matriz_provisiones'!$H$5:$H$11,MATCH(G18,'04_Matriz_provisiones'!$C$5:$C$11,0)))))</f>
        <v/>
      </c>
      <c r="K18" s="21">
        <f>IF(J18="","",MAX(H18*J18/(1+'02_Parametros'!$B$7/100)^('02_Parametros'!$B$8/12),0))</f>
        <v/>
      </c>
      <c r="L18" s="19">
        <f>IF(E18="","",IF(E18&gt;90,"Sí","No"))</f>
        <v/>
      </c>
    </row>
    <row r="19">
      <c r="A19" s="18" t="inlineStr">
        <is>
          <t>001-001-000001035</t>
        </is>
      </c>
      <c r="B19" s="18" t="inlineStr">
        <is>
          <t>Vialidad Norte S.A.</t>
        </is>
      </c>
      <c r="C19" s="18" t="inlineStr">
        <is>
          <t>General</t>
        </is>
      </c>
      <c r="D19" s="37" t="n">
        <v>45935</v>
      </c>
      <c r="E19" s="30">
        <f>IF(D19="","",'02_Parametros'!$B$5-D19)</f>
        <v/>
      </c>
      <c r="F19" s="18">
        <f>IF(E19="","",IF(E19&lt;=0,"Corriente / por vencer",IF(E19&lt;=30,"1 a 30 días",IF(E19&lt;=60,"31 a 60 días",IF(E19&lt;=90,"61 a 90 días",IF(E19&lt;=180,"91 a 180 días",IF(E19&lt;=360,"181 a 360 días","Más de 360 días")))))))</f>
        <v/>
      </c>
      <c r="G19" s="18">
        <f>C19&amp;"|"&amp;F19</f>
        <v/>
      </c>
      <c r="H19" s="20" t="n">
        <v>2101.88</v>
      </c>
      <c r="I19" s="18" t="n"/>
      <c r="J19" s="31">
        <f>IF(I19&lt;&gt;"",I19/100,IF(ISNA(MATCH(G19,'04_Matriz_provisiones'!$C$5:$C$11,0)),"",IF(INDEX('04_Matriz_provisiones'!$H$5:$H$11,MATCH(G19,'04_Matriz_provisiones'!$C$5:$C$11,0))="","",INDEX('04_Matriz_provisiones'!$H$5:$H$11,MATCH(G19,'04_Matriz_provisiones'!$C$5:$C$11,0)))))</f>
        <v/>
      </c>
      <c r="K19" s="20">
        <f>IF(J19="","",MAX(H19*J19/(1+'02_Parametros'!$B$7/100)^('02_Parametros'!$B$8/12),0))</f>
        <v/>
      </c>
      <c r="L19" s="18">
        <f>IF(E19="","",IF(E19&gt;90,"Sí","No"))</f>
        <v/>
      </c>
    </row>
    <row r="20">
      <c r="A20" s="19" t="inlineStr">
        <is>
          <t>001-001-000001036</t>
        </is>
      </c>
      <c r="B20" s="19" t="inlineStr">
        <is>
          <t>Hidrosur Cía. Ltda.</t>
        </is>
      </c>
      <c r="C20" s="19" t="inlineStr">
        <is>
          <t>General</t>
        </is>
      </c>
      <c r="D20" s="38" t="n">
        <v>45941</v>
      </c>
      <c r="E20" s="32">
        <f>IF(D20="","",'02_Parametros'!$B$5-D20)</f>
        <v/>
      </c>
      <c r="F20" s="19">
        <f>IF(E20="","",IF(E20&lt;=0,"Corriente / por vencer",IF(E20&lt;=30,"1 a 30 días",IF(E20&lt;=60,"31 a 60 días",IF(E20&lt;=90,"61 a 90 días",IF(E20&lt;=180,"91 a 180 días",IF(E20&lt;=360,"181 a 360 días","Más de 360 días")))))))</f>
        <v/>
      </c>
      <c r="G20" s="19">
        <f>C20&amp;"|"&amp;F20</f>
        <v/>
      </c>
      <c r="H20" s="21" t="n">
        <v>5870.86</v>
      </c>
      <c r="I20" s="19" t="n"/>
      <c r="J20" s="33">
        <f>IF(I20&lt;&gt;"",I20/100,IF(ISNA(MATCH(G20,'04_Matriz_provisiones'!$C$5:$C$11,0)),"",IF(INDEX('04_Matriz_provisiones'!$H$5:$H$11,MATCH(G20,'04_Matriz_provisiones'!$C$5:$C$11,0))="","",INDEX('04_Matriz_provisiones'!$H$5:$H$11,MATCH(G20,'04_Matriz_provisiones'!$C$5:$C$11,0)))))</f>
        <v/>
      </c>
      <c r="K20" s="21">
        <f>IF(J20="","",MAX(H20*J20/(1+'02_Parametros'!$B$7/100)^('02_Parametros'!$B$8/12),0))</f>
        <v/>
      </c>
      <c r="L20" s="19">
        <f>IF(E20="","",IF(E20&gt;90,"Sí","No"))</f>
        <v/>
      </c>
    </row>
    <row r="21">
      <c r="A21" s="18" t="inlineStr">
        <is>
          <t>001-001-000001037</t>
        </is>
      </c>
      <c r="B21" s="18" t="inlineStr">
        <is>
          <t>Obras Civiles Pacífico S.A.</t>
        </is>
      </c>
      <c r="C21" s="18" t="inlineStr">
        <is>
          <t>General</t>
        </is>
      </c>
      <c r="D21" s="37" t="n">
        <v>45946</v>
      </c>
      <c r="E21" s="30">
        <f>IF(D21="","",'02_Parametros'!$B$5-D21)</f>
        <v/>
      </c>
      <c r="F21" s="18">
        <f>IF(E21="","",IF(E21&lt;=0,"Corriente / por vencer",IF(E21&lt;=30,"1 a 30 días",IF(E21&lt;=60,"31 a 60 días",IF(E21&lt;=90,"61 a 90 días",IF(E21&lt;=180,"91 a 180 días",IF(E21&lt;=360,"181 a 360 días","Más de 360 días")))))))</f>
        <v/>
      </c>
      <c r="G21" s="18">
        <f>C21&amp;"|"&amp;F21</f>
        <v/>
      </c>
      <c r="H21" s="20" t="n">
        <v>1277.27</v>
      </c>
      <c r="I21" s="18" t="n"/>
      <c r="J21" s="31">
        <f>IF(I21&lt;&gt;"",I21/100,IF(ISNA(MATCH(G21,'04_Matriz_provisiones'!$C$5:$C$11,0)),"",IF(INDEX('04_Matriz_provisiones'!$H$5:$H$11,MATCH(G21,'04_Matriz_provisiones'!$C$5:$C$11,0))="","",INDEX('04_Matriz_provisiones'!$H$5:$H$11,MATCH(G21,'04_Matriz_provisiones'!$C$5:$C$11,0)))))</f>
        <v/>
      </c>
      <c r="K21" s="20">
        <f>IF(J21="","",MAX(H21*J21/(1+'02_Parametros'!$B$7/100)^('02_Parametros'!$B$8/12),0))</f>
        <v/>
      </c>
      <c r="L21" s="18">
        <f>IF(E21="","",IF(E21&gt;90,"Sí","No"))</f>
        <v/>
      </c>
    </row>
    <row r="22">
      <c r="A22" s="19" t="inlineStr">
        <is>
          <t>001-001-000001040</t>
        </is>
      </c>
      <c r="B22" s="19" t="inlineStr">
        <is>
          <t>Minera Austral S.A.</t>
        </is>
      </c>
      <c r="C22" s="19" t="inlineStr">
        <is>
          <t>General</t>
        </is>
      </c>
      <c r="D22" s="38" t="n">
        <v>45952</v>
      </c>
      <c r="E22" s="32">
        <f>IF(D22="","",'02_Parametros'!$B$5-D22)</f>
        <v/>
      </c>
      <c r="F22" s="19">
        <f>IF(E22="","",IF(E22&lt;=0,"Corriente / por vencer",IF(E22&lt;=30,"1 a 30 días",IF(E22&lt;=60,"31 a 60 días",IF(E22&lt;=90,"61 a 90 días",IF(E22&lt;=180,"91 a 180 días",IF(E22&lt;=360,"181 a 360 días","Más de 360 días")))))))</f>
        <v/>
      </c>
      <c r="G22" s="19">
        <f>C22&amp;"|"&amp;F22</f>
        <v/>
      </c>
      <c r="H22" s="21" t="n">
        <v>4403.3</v>
      </c>
      <c r="I22" s="19" t="n"/>
      <c r="J22" s="33">
        <f>IF(I22&lt;&gt;"",I22/100,IF(ISNA(MATCH(G22,'04_Matriz_provisiones'!$C$5:$C$11,0)),"",IF(INDEX('04_Matriz_provisiones'!$H$5:$H$11,MATCH(G22,'04_Matriz_provisiones'!$C$5:$C$11,0))="","",INDEX('04_Matriz_provisiones'!$H$5:$H$11,MATCH(G22,'04_Matriz_provisiones'!$C$5:$C$11,0)))))</f>
        <v/>
      </c>
      <c r="K22" s="21">
        <f>IF(J22="","",MAX(H22*J22/(1+'02_Parametros'!$B$7/100)^('02_Parametros'!$B$8/12),0))</f>
        <v/>
      </c>
      <c r="L22" s="19">
        <f>IF(E22="","",IF(E22&gt;90,"Sí","No"))</f>
        <v/>
      </c>
    </row>
    <row r="23">
      <c r="A23" s="18" t="inlineStr">
        <is>
          <t>001-001-000001041</t>
        </is>
      </c>
      <c r="B23" s="18" t="inlineStr">
        <is>
          <t>Vialidad Norte S.A.</t>
        </is>
      </c>
      <c r="C23" s="18" t="inlineStr">
        <is>
          <t>General</t>
        </is>
      </c>
      <c r="D23" s="37" t="n">
        <v>45781</v>
      </c>
      <c r="E23" s="30">
        <f>IF(D23="","",'02_Parametros'!$B$5-D23)</f>
        <v/>
      </c>
      <c r="F23" s="18">
        <f>IF(E23="","",IF(E23&lt;=0,"Corriente / por vencer",IF(E23&lt;=30,"1 a 30 días",IF(E23&lt;=60,"31 a 60 días",IF(E23&lt;=90,"61 a 90 días",IF(E23&lt;=180,"91 a 180 días",IF(E23&lt;=360,"181 a 360 días","Más de 360 días")))))))</f>
        <v/>
      </c>
      <c r="G23" s="18">
        <f>C23&amp;"|"&amp;F23</f>
        <v/>
      </c>
      <c r="H23" s="20" t="n">
        <v>2839.34</v>
      </c>
      <c r="I23" s="18" t="n"/>
      <c r="J23" s="31">
        <f>IF(I23&lt;&gt;"",I23/100,IF(ISNA(MATCH(G23,'04_Matriz_provisiones'!$C$5:$C$11,0)),"",IF(INDEX('04_Matriz_provisiones'!$H$5:$H$11,MATCH(G23,'04_Matriz_provisiones'!$C$5:$C$11,0))="","",INDEX('04_Matriz_provisiones'!$H$5:$H$11,MATCH(G23,'04_Matriz_provisiones'!$C$5:$C$11,0)))))</f>
        <v/>
      </c>
      <c r="K23" s="20">
        <f>IF(J23="","",MAX(H23*J23/(1+'02_Parametros'!$B$7/100)^('02_Parametros'!$B$8/12),0))</f>
        <v/>
      </c>
      <c r="L23" s="18">
        <f>IF(E23="","",IF(E23&gt;90,"Sí","No"))</f>
        <v/>
      </c>
    </row>
    <row r="24">
      <c r="A24" s="19" t="inlineStr">
        <is>
          <t>001-001-000001042</t>
        </is>
      </c>
      <c r="B24" s="19" t="inlineStr">
        <is>
          <t>Hidrosur Cía. Ltda.</t>
        </is>
      </c>
      <c r="C24" s="19" t="inlineStr">
        <is>
          <t>General</t>
        </is>
      </c>
      <c r="D24" s="38" t="n">
        <v>45987</v>
      </c>
      <c r="E24" s="32">
        <f>IF(D24="","",'02_Parametros'!$B$5-D24)</f>
        <v/>
      </c>
      <c r="F24" s="19">
        <f>IF(E24="","",IF(E24&lt;=0,"Corriente / por vencer",IF(E24&lt;=30,"1 a 30 días",IF(E24&lt;=60,"31 a 60 días",IF(E24&lt;=90,"61 a 90 días",IF(E24&lt;=180,"91 a 180 días",IF(E24&lt;=360,"181 a 360 días","Más de 360 días")))))))</f>
        <v/>
      </c>
      <c r="G24" s="19">
        <f>C24&amp;"|"&amp;F24</f>
        <v/>
      </c>
      <c r="H24" s="21" t="n">
        <v>691.42</v>
      </c>
      <c r="I24" s="19" t="n"/>
      <c r="J24" s="33">
        <f>IF(I24&lt;&gt;"",I24/100,IF(ISNA(MATCH(G24,'04_Matriz_provisiones'!$C$5:$C$11,0)),"",IF(INDEX('04_Matriz_provisiones'!$H$5:$H$11,MATCH(G24,'04_Matriz_provisiones'!$C$5:$C$11,0))="","",INDEX('04_Matriz_provisiones'!$H$5:$H$11,MATCH(G24,'04_Matriz_provisiones'!$C$5:$C$11,0)))))</f>
        <v/>
      </c>
      <c r="K24" s="21">
        <f>IF(J24="","",MAX(H24*J24/(1+'02_Parametros'!$B$7/100)^('02_Parametros'!$B$8/12),0))</f>
        <v/>
      </c>
      <c r="L24" s="19">
        <f>IF(E24="","",IF(E24&gt;90,"Sí","No"))</f>
        <v/>
      </c>
    </row>
    <row r="25">
      <c r="A25" s="34" t="inlineStr">
        <is>
          <t>TOTAL</t>
        </is>
      </c>
      <c r="B25" s="34" t="inlineStr"/>
      <c r="C25" s="34" t="inlineStr"/>
      <c r="D25" s="39" t="inlineStr"/>
      <c r="E25" s="40" t="n"/>
      <c r="F25" s="34" t="inlineStr"/>
      <c r="G25" s="34" t="inlineStr"/>
      <c r="H25" s="36">
        <f>SUM(H5:H24)</f>
        <v/>
      </c>
      <c r="I25" s="34" t="n"/>
      <c r="J25" s="35" t="n"/>
      <c r="K25" s="36">
        <f>SUM(K5:K24)</f>
        <v/>
      </c>
      <c r="L25" s="34" t="inlineStr"/>
    </row>
    <row r="27">
      <c r="A27" s="22" t="inlineStr">
        <is>
          <t>ⓘ  Cómo se calcula esta hoja</t>
        </is>
      </c>
    </row>
    <row r="28">
      <c r="A28" s="23" t="inlineStr">
        <is>
          <t>Columna</t>
        </is>
      </c>
      <c r="B28" s="23" t="inlineStr">
        <is>
          <t>Fórmula (Excel)</t>
        </is>
      </c>
      <c r="C28" s="23" t="inlineStr">
        <is>
          <t>Cómo se calcula (sencillo)</t>
        </is>
      </c>
      <c r="D28" s="23" t="inlineStr">
        <is>
          <t>Ejemplo con números reales</t>
        </is>
      </c>
      <c r="E28" s="23" t="inlineStr">
        <is>
          <t>De dónde viene</t>
        </is>
      </c>
      <c r="F28" s="23" t="inlineStr">
        <is>
          <t>Norma</t>
        </is>
      </c>
    </row>
    <row r="29">
      <c r="A29" s="24" t="inlineStr">
        <is>
          <t>Días de mora</t>
        </is>
      </c>
      <c r="B29" s="25" t="inlineStr">
        <is>
          <t>'=IF(D5="","",'02_Parametros'!$B$5-D5)</t>
        </is>
      </c>
      <c r="C29" s="24" t="inlineStr">
        <is>
          <t>Resta la fecha de vencimiento de la fecha de corte de la hoja 02 (Parámetros); si la factura no tiene vencimiento, queda en blanco. Cero o negativo significa que aún no vence.</t>
        </is>
      </c>
      <c r="D29" s="24" t="inlineStr">
        <is>
          <t>Fila 1: IF(«2023-10-04»=""; ""; «2025-12-31»-«2023-10-04») → 819</t>
        </is>
      </c>
      <c r="E29" s="24" t="inlineStr">
        <is>
          <t>«Vencimiento» (esta hoja), hoja «Parámetros»</t>
        </is>
      </c>
      <c r="F29" s="24" t="inlineStr">
        <is>
          <t>—</t>
        </is>
      </c>
    </row>
    <row r="30">
      <c r="A30" s="24" t="inlineStr">
        <is>
          <t>Tramo</t>
        </is>
      </c>
      <c r="B30" s="25" t="inlineStr">
        <is>
          <t>'=IF(E5="","",IF(E5&lt;=0,"Corriente / por vencer",IF(E5&lt;=30,"1 a 30 días",IF(E5&lt;=60,"31 a 60 días",IF(E5&lt;=90,"61 a 90 días",IF(E5&lt;=180,"91 a 180 días",IF(E5&lt;=360,"181 a 360 días","Más de 360 días")))))))</t>
        </is>
      </c>
      <c r="C30" s="24" t="inlineStr">
        <is>
          <t>Clasifica la factura por sus días de mora: corriente/por vencer si no tiene mora, luego 1 a 30, 31 a 60, 61 a 90, 91 a 180, 181 a 360 y más de 360 días. Sin días de mora queda en blanco.</t>
        </is>
      </c>
      <c r="D30" s="24" t="inlineStr">
        <is>
          <t>Fila 1: IF(819=""; ""; IF(819&lt;=0; "Corriente / por vencer"; IF(819&lt;=30; "1 a 30 días"; IF(819&lt;=60; "31 a 60 días"; IF(819&lt;=90; "61 a 90 días"; IF(819&lt;=180; "91 a 180 días"; IF(819&lt;=360; "181 a 360 días"; "Más de 360 días"))))))) → Más de 360 días</t>
        </is>
      </c>
      <c r="E30" s="24" t="inlineStr">
        <is>
          <t>«Días de mora» (esta hoja)</t>
        </is>
      </c>
      <c r="F30" s="24" t="inlineStr">
        <is>
          <t>—</t>
        </is>
      </c>
    </row>
    <row r="31">
      <c r="A31" s="24" t="inlineStr">
        <is>
          <t>Clave</t>
        </is>
      </c>
      <c r="B31" s="25" t="inlineStr">
        <is>
          <t>'=C5&amp;"|"&amp;F5</t>
        </is>
      </c>
      <c r="C31" s="24" t="inlineStr">
        <is>
          <t>Une el segmento y el tramo de la factura (segmento|tramo) para buscar su tasa en la hoja 04 (Matriz de provisiones).</t>
        </is>
      </c>
      <c r="D31" s="24" t="inlineStr">
        <is>
          <t>Fila 1: «General»&amp;"|"&amp;«Más de 360 días» → General|Más de 360 días</t>
        </is>
      </c>
      <c r="E31" s="24" t="inlineStr">
        <is>
          <t>«Segmento» (esta hoja), «Tramo» (esta hoja)</t>
        </is>
      </c>
      <c r="F31" s="24" t="inlineStr">
        <is>
          <t>—</t>
        </is>
      </c>
    </row>
    <row r="32">
      <c r="A32" s="24" t="inlineStr">
        <is>
          <t>Tasa aplicada</t>
        </is>
      </c>
      <c r="B32" s="25" t="inlineStr">
        <is>
          <t>'=IF(I5&lt;&gt;"",I5/100,IF(ISNA(MATCH(G5,'04_Matriz_provisiones'!$C$5:$C$11,0)),"",IF(INDEX('04_Matriz_provisiones'!$H$5:$H$11,MATCH(G5,'04_Matriz_provisiones'!$C$5:$C$11,0))="","",INDEX('04_Matriz_provisiones'!$H$5:$H$11,MATCH(G5,'04_Matriz_provisiones'!$C$5:$C$11,0)))))</t>
        </is>
      </c>
      <c r="C32" s="24" t="inlineStr">
        <is>
          <t>Si la factura tiene tasa individual, usa esa tasa dividida para 100; si no, busca la tasa aplicada de su segmento y tramo en la hoja 04 (Matriz de provisiones). Si no la encuentra o está vacía, queda en blanco.</t>
        </is>
      </c>
      <c r="D32" s="24" t="inlineStr">
        <is>
          <t>Fila 1: IF((vacío)&lt;&gt;""; (vacío)/100; IF(ISNA(MATCH(«General|Más de 360 días»; [«Clave» de «Matriz de provisiones», 7 filas]; 0)); ""; IF(INDEX([«Tasa aplicada» de «Matriz de provisiones», 7 filas]; MATCH(«General|Más de 360 días»; [«Clave» de «Matriz de provisiones», 7 filas]; 0))=""; ""; INDEX([«Tasa aplicada» de «Matriz de provisiones», 7 filas]; MATCH(«General|Más de 360 días»; [«Clave» de «Matriz de provisiones», 7 filas]; 0))))) → 63,29 %</t>
        </is>
      </c>
      <c r="E32" s="24" t="inlineStr">
        <is>
          <t>«Tasa individual (%)» (esta hoja), «Clave» (esta hoja), hoja «Matriz de provisiones»</t>
        </is>
      </c>
      <c r="F32" s="24" t="inlineStr">
        <is>
          <t>—</t>
        </is>
      </c>
    </row>
    <row r="33">
      <c r="A33" s="24" t="inlineStr">
        <is>
          <t>Pérdida esperada</t>
        </is>
      </c>
      <c r="B33" s="25" t="inlineStr">
        <is>
          <t>'=IF(J5="","",MAX(H5*J5/(1+'02_Parametros'!$B$7/100)^('02_Parametros'!$B$8/12),0))</t>
        </is>
      </c>
      <c r="C33" s="24" t="inlineStr">
        <is>
          <t>Multiplica el saldo por la tasa aplicada y lo descuenta con la tasa y el plazo de cobro de la hoja 02 (Parámetros); nunca es negativa. Sin tasa, queda en blanco.</t>
        </is>
      </c>
      <c r="D33" s="24" t="inlineStr">
        <is>
          <t>Fila 1: IF(63,29 %=""; ""; MAX(2.266,21*63,29 %/(1+0,00/100)^(12,00/12); 0)) → 1.434,30</t>
        </is>
      </c>
      <c r="E33" s="24" t="inlineStr">
        <is>
          <t>«Tasa aplicada» (esta hoja), «Saldo» (esta hoja), hoja «Parámetros»</t>
        </is>
      </c>
      <c r="F33" s="24" t="inlineStr">
        <is>
          <t>—</t>
        </is>
      </c>
    </row>
    <row r="34">
      <c r="A34" s="24" t="inlineStr">
        <is>
          <t>En impago</t>
        </is>
      </c>
      <c r="B34" s="25" t="inlineStr">
        <is>
          <t>'=IF(E5="","",IF(E5&gt;90,"Sí","No"))</t>
        </is>
      </c>
      <c r="C34" s="24" t="inlineStr">
        <is>
          <t>Marca «Sí» si la factura tiene más de 90 días de mora y «No» en caso contrario; sin días de mora queda en blanco.</t>
        </is>
      </c>
      <c r="D34" s="24" t="inlineStr">
        <is>
          <t>Fila 1: IF(819=""; ""; IF(819&gt;90; "Sí"; "No")) → Sí</t>
        </is>
      </c>
      <c r="E34" s="24" t="inlineStr">
        <is>
          <t>«Días de mora» (esta hoja)</t>
        </is>
      </c>
      <c r="F34" s="24" t="inlineStr">
        <is>
          <t>—</t>
        </is>
      </c>
    </row>
  </sheetData>
  <mergeCells count="3">
    <mergeCell ref="A2:F2"/>
    <mergeCell ref="A1:F1"/>
    <mergeCell ref="A27:F2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3" customWidth="1" min="4" max="4"/>
    <col width="14" customWidth="1" min="5" max="5"/>
    <col width="24" customWidth="1" min="6" max="6"/>
    <col width="32" customWidth="1" min="7" max="7"/>
    <col width="12" customWidth="1" min="8" max="8"/>
    <col width="23" customWidth="1" min="9" max="9"/>
    <col width="12" customWidth="1" min="10" max="10"/>
    <col width="19" customWidth="1" min="11" max="11"/>
  </cols>
  <sheetData>
    <row r="1">
      <c r="A1" s="3" t="inlineStr">
        <is>
          <t>Cartera del corte anterior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Segmento</t>
        </is>
      </c>
      <c r="D4" s="17" t="inlineStr">
        <is>
          <t>Vencimiento</t>
        </is>
      </c>
      <c r="E4" s="17" t="inlineStr">
        <is>
          <t>Días de mora</t>
        </is>
      </c>
      <c r="F4" s="17" t="inlineStr">
        <is>
          <t>Tramo</t>
        </is>
      </c>
      <c r="G4" s="17" t="inlineStr">
        <is>
          <t>Clave</t>
        </is>
      </c>
      <c r="H4" s="17" t="inlineStr">
        <is>
          <t>Saldo</t>
        </is>
      </c>
      <c r="I4" s="17" t="inlineStr">
        <is>
          <t>Sigue impago al corte</t>
        </is>
      </c>
      <c r="J4" s="17" t="inlineStr">
        <is>
          <t>Castigado</t>
        </is>
      </c>
      <c r="K4" s="17" t="inlineStr">
        <is>
          <t>Pérdida observada</t>
        </is>
      </c>
    </row>
    <row r="5">
      <c r="A5" s="18" t="inlineStr">
        <is>
          <t>001-001-000001008</t>
        </is>
      </c>
      <c r="B5" s="18" t="inlineStr">
        <is>
          <t>Minera Austral S.A.</t>
        </is>
      </c>
      <c r="C5" s="18" t="inlineStr">
        <is>
          <t>General</t>
        </is>
      </c>
      <c r="D5" s="37" t="n">
        <v>45112</v>
      </c>
      <c r="E5" s="30">
        <f>IF(D5="","",'02_Parametros'!$B$6-D5)</f>
        <v/>
      </c>
      <c r="F5" s="18">
        <f>IF(E5="","",IF(E5&lt;=0,"Corriente / por vencer",IF(E5&lt;=30,"1 a 30 días",IF(E5&lt;=60,"31 a 60 días",IF(E5&lt;=90,"61 a 90 días",IF(E5&lt;=180,"91 a 180 días",IF(E5&lt;=360,"181 a 360 días","Más de 360 días")))))))</f>
        <v/>
      </c>
      <c r="G5" s="18">
        <f>C5&amp;"|"&amp;F5</f>
        <v/>
      </c>
      <c r="H5" s="20" t="n">
        <v>2401.38</v>
      </c>
      <c r="I5" s="20">
        <f>MAX(0,MIN(SUMIF('09_Detalle'!$A$5:$A$24,A5,'09_Detalle'!$H$5:$H$24),H5))</f>
        <v/>
      </c>
      <c r="J5" s="20">
        <f>MAX(0,MIN(SUMIF('11_Castigos'!$A$5:$A$7,A5,'11_Castigos'!$C$5:$C$7),H5-I5))</f>
        <v/>
      </c>
      <c r="K5" s="20">
        <f>I5+J5</f>
        <v/>
      </c>
    </row>
    <row r="6">
      <c r="A6" s="19" t="inlineStr">
        <is>
          <t>001-001-000001009</t>
        </is>
      </c>
      <c r="B6" s="19" t="inlineStr">
        <is>
          <t>Vialidad Norte S.A.</t>
        </is>
      </c>
      <c r="C6" s="19" t="inlineStr">
        <is>
          <t>General</t>
        </is>
      </c>
      <c r="D6" s="38" t="n">
        <v>45203</v>
      </c>
      <c r="E6" s="32">
        <f>IF(D6="","",'02_Parametros'!$B$6-D6)</f>
        <v/>
      </c>
      <c r="F6" s="19">
        <f>IF(E6="","",IF(E6&lt;=0,"Corriente / por vencer",IF(E6&lt;=30,"1 a 30 días",IF(E6&lt;=60,"31 a 60 días",IF(E6&lt;=90,"61 a 90 días",IF(E6&lt;=180,"91 a 180 días",IF(E6&lt;=360,"181 a 360 días","Más de 360 días")))))))</f>
        <v/>
      </c>
      <c r="G6" s="19">
        <f>C6&amp;"|"&amp;F6</f>
        <v/>
      </c>
      <c r="H6" s="21" t="n">
        <v>4985.66</v>
      </c>
      <c r="I6" s="21">
        <f>MAX(0,MIN(SUMIF('09_Detalle'!$A$5:$A$24,A6,'09_Detalle'!$H$5:$H$24),H6))</f>
        <v/>
      </c>
      <c r="J6" s="21">
        <f>MAX(0,MIN(SUMIF('11_Castigos'!$A$5:$A$7,A6,'11_Castigos'!$C$5:$C$7),H6-I6))</f>
        <v/>
      </c>
      <c r="K6" s="21">
        <f>I6+J6</f>
        <v/>
      </c>
    </row>
    <row r="7">
      <c r="A7" s="18" t="inlineStr">
        <is>
          <t>001-001-000001010</t>
        </is>
      </c>
      <c r="B7" s="18" t="inlineStr">
        <is>
          <t>Hidrosur Cía. Ltda.</t>
        </is>
      </c>
      <c r="C7" s="18" t="inlineStr">
        <is>
          <t>General</t>
        </is>
      </c>
      <c r="D7" s="37" t="n">
        <v>45119</v>
      </c>
      <c r="E7" s="30">
        <f>IF(D7="","",'02_Parametros'!$B$6-D7)</f>
        <v/>
      </c>
      <c r="F7" s="18">
        <f>IF(E7="","",IF(E7&lt;=0,"Corriente / por vencer",IF(E7&lt;=30,"1 a 30 días",IF(E7&lt;=60,"31 a 60 días",IF(E7&lt;=90,"61 a 90 días",IF(E7&lt;=180,"91 a 180 días",IF(E7&lt;=360,"181 a 360 días","Más de 360 días")))))))</f>
        <v/>
      </c>
      <c r="G7" s="18">
        <f>C7&amp;"|"&amp;F7</f>
        <v/>
      </c>
      <c r="H7" s="20" t="n">
        <v>1243.47</v>
      </c>
      <c r="I7" s="20">
        <f>MAX(0,MIN(SUMIF('09_Detalle'!$A$5:$A$24,A7,'09_Detalle'!$H$5:$H$24),H7))</f>
        <v/>
      </c>
      <c r="J7" s="20">
        <f>MAX(0,MIN(SUMIF('11_Castigos'!$A$5:$A$7,A7,'11_Castigos'!$C$5:$C$7),H7-I7))</f>
        <v/>
      </c>
      <c r="K7" s="20">
        <f>I7+J7</f>
        <v/>
      </c>
    </row>
    <row r="8">
      <c r="A8" s="19" t="inlineStr">
        <is>
          <t>001-001-000001011</t>
        </is>
      </c>
      <c r="B8" s="19" t="inlineStr">
        <is>
          <t>Obras Civiles Pacífico S.A.</t>
        </is>
      </c>
      <c r="C8" s="19" t="inlineStr">
        <is>
          <t>General</t>
        </is>
      </c>
      <c r="D8" s="38" t="n">
        <v>45051</v>
      </c>
      <c r="E8" s="32">
        <f>IF(D8="","",'02_Parametros'!$B$6-D8)</f>
        <v/>
      </c>
      <c r="F8" s="19">
        <f>IF(E8="","",IF(E8&lt;=0,"Corriente / por vencer",IF(E8&lt;=30,"1 a 30 días",IF(E8&lt;=60,"31 a 60 días",IF(E8&lt;=90,"61 a 90 días",IF(E8&lt;=180,"91 a 180 días",IF(E8&lt;=360,"181 a 360 días","Más de 360 días")))))))</f>
        <v/>
      </c>
      <c r="G8" s="19">
        <f>C8&amp;"|"&amp;F8</f>
        <v/>
      </c>
      <c r="H8" s="21" t="n">
        <v>9554.440000000001</v>
      </c>
      <c r="I8" s="21">
        <f>MAX(0,MIN(SUMIF('09_Detalle'!$A$5:$A$24,A8,'09_Detalle'!$H$5:$H$24),H8))</f>
        <v/>
      </c>
      <c r="J8" s="21">
        <f>MAX(0,MIN(SUMIF('11_Castigos'!$A$5:$A$7,A8,'11_Castigos'!$C$5:$C$7),H8-I8))</f>
        <v/>
      </c>
      <c r="K8" s="21">
        <f>I8+J8</f>
        <v/>
      </c>
    </row>
    <row r="9">
      <c r="A9" s="18" t="inlineStr">
        <is>
          <t>001-001-000001014</t>
        </is>
      </c>
      <c r="B9" s="18" t="inlineStr">
        <is>
          <t>Minera Austral S.A.</t>
        </is>
      </c>
      <c r="C9" s="18" t="inlineStr">
        <is>
          <t>General</t>
        </is>
      </c>
      <c r="D9" s="37" t="n">
        <v>45086</v>
      </c>
      <c r="E9" s="30">
        <f>IF(D9="","",'02_Parametros'!$B$6-D9)</f>
        <v/>
      </c>
      <c r="F9" s="18">
        <f>IF(E9="","",IF(E9&lt;=0,"Corriente / por vencer",IF(E9&lt;=30,"1 a 30 días",IF(E9&lt;=60,"31 a 60 días",IF(E9&lt;=90,"61 a 90 días",IF(E9&lt;=180,"91 a 180 días",IF(E9&lt;=360,"181 a 360 días","Más de 360 días")))))))</f>
        <v/>
      </c>
      <c r="G9" s="18">
        <f>C9&amp;"|"&amp;F9</f>
        <v/>
      </c>
      <c r="H9" s="20" t="n">
        <v>2386.85</v>
      </c>
      <c r="I9" s="20">
        <f>MAX(0,MIN(SUMIF('09_Detalle'!$A$5:$A$24,A9,'09_Detalle'!$H$5:$H$24),H9))</f>
        <v/>
      </c>
      <c r="J9" s="20">
        <f>MAX(0,MIN(SUMIF('11_Castigos'!$A$5:$A$7,A9,'11_Castigos'!$C$5:$C$7),H9-I9))</f>
        <v/>
      </c>
      <c r="K9" s="20">
        <f>I9+J9</f>
        <v/>
      </c>
    </row>
    <row r="10">
      <c r="A10" s="19" t="inlineStr">
        <is>
          <t>001-001-000001015</t>
        </is>
      </c>
      <c r="B10" s="19" t="inlineStr">
        <is>
          <t>Minera Austral S.A.</t>
        </is>
      </c>
      <c r="C10" s="19" t="inlineStr">
        <is>
          <t>General</t>
        </is>
      </c>
      <c r="D10" s="38" t="n">
        <v>45679</v>
      </c>
      <c r="E10" s="32">
        <f>IF(D10="","",'02_Parametros'!$B$6-D10)</f>
        <v/>
      </c>
      <c r="F10" s="19">
        <f>IF(E10="","",IF(E10&lt;=0,"Corriente / por vencer",IF(E10&lt;=30,"1 a 30 días",IF(E10&lt;=60,"31 a 60 días",IF(E10&lt;=90,"61 a 90 días",IF(E10&lt;=180,"91 a 180 días",IF(E10&lt;=360,"181 a 360 días","Más de 360 días")))))))</f>
        <v/>
      </c>
      <c r="G10" s="19">
        <f>C10&amp;"|"&amp;F10</f>
        <v/>
      </c>
      <c r="H10" s="21" t="n">
        <v>15515.21</v>
      </c>
      <c r="I10" s="21">
        <f>MAX(0,MIN(SUMIF('09_Detalle'!$A$5:$A$24,A10,'09_Detalle'!$H$5:$H$24),H10))</f>
        <v/>
      </c>
      <c r="J10" s="21">
        <f>MAX(0,MIN(SUMIF('11_Castigos'!$A$5:$A$7,A10,'11_Castigos'!$C$5:$C$7),H10-I10))</f>
        <v/>
      </c>
      <c r="K10" s="21">
        <f>I10+J10</f>
        <v/>
      </c>
    </row>
    <row r="11">
      <c r="A11" s="18" t="inlineStr">
        <is>
          <t>001-001-000001016</t>
        </is>
      </c>
      <c r="B11" s="18" t="inlineStr">
        <is>
          <t>Vialidad Norte S.A.</t>
        </is>
      </c>
      <c r="C11" s="18" t="inlineStr">
        <is>
          <t>General</t>
        </is>
      </c>
      <c r="D11" s="37" t="n">
        <v>45689</v>
      </c>
      <c r="E11" s="30">
        <f>IF(D11="","",'02_Parametros'!$B$6-D11)</f>
        <v/>
      </c>
      <c r="F11" s="18">
        <f>IF(E11="","",IF(E11&lt;=0,"Corriente / por vencer",IF(E11&lt;=30,"1 a 30 días",IF(E11&lt;=60,"31 a 60 días",IF(E11&lt;=90,"61 a 90 días",IF(E11&lt;=180,"91 a 180 días",IF(E11&lt;=360,"181 a 360 días","Más de 360 días")))))))</f>
        <v/>
      </c>
      <c r="G11" s="18">
        <f>C11&amp;"|"&amp;F11</f>
        <v/>
      </c>
      <c r="H11" s="20" t="n">
        <v>10351.94</v>
      </c>
      <c r="I11" s="20">
        <f>MAX(0,MIN(SUMIF('09_Detalle'!$A$5:$A$24,A11,'09_Detalle'!$H$5:$H$24),H11))</f>
        <v/>
      </c>
      <c r="J11" s="20">
        <f>MAX(0,MIN(SUMIF('11_Castigos'!$A$5:$A$7,A11,'11_Castigos'!$C$5:$C$7),H11-I11))</f>
        <v/>
      </c>
      <c r="K11" s="20">
        <f>I11+J11</f>
        <v/>
      </c>
    </row>
    <row r="12">
      <c r="A12" s="19" t="inlineStr">
        <is>
          <t>001-001-000001017</t>
        </is>
      </c>
      <c r="B12" s="19" t="inlineStr">
        <is>
          <t>Hidrosur Cía. Ltda.</t>
        </is>
      </c>
      <c r="C12" s="19" t="inlineStr">
        <is>
          <t>General</t>
        </is>
      </c>
      <c r="D12" s="38" t="n">
        <v>45627</v>
      </c>
      <c r="E12" s="32">
        <f>IF(D12="","",'02_Parametros'!$B$6-D12)</f>
        <v/>
      </c>
      <c r="F12" s="19">
        <f>IF(E12="","",IF(E12&lt;=0,"Corriente / por vencer",IF(E12&lt;=30,"1 a 30 días",IF(E12&lt;=60,"31 a 60 días",IF(E12&lt;=90,"61 a 90 días",IF(E12&lt;=180,"91 a 180 días",IF(E12&lt;=360,"181 a 360 días","Más de 360 días")))))))</f>
        <v/>
      </c>
      <c r="G12" s="19">
        <f>C12&amp;"|"&amp;F12</f>
        <v/>
      </c>
      <c r="H12" s="21" t="n">
        <v>10702.09</v>
      </c>
      <c r="I12" s="21">
        <f>MAX(0,MIN(SUMIF('09_Detalle'!$A$5:$A$24,A12,'09_Detalle'!$H$5:$H$24),H12))</f>
        <v/>
      </c>
      <c r="J12" s="21">
        <f>MAX(0,MIN(SUMIF('11_Castigos'!$A$5:$A$7,A12,'11_Castigos'!$C$5:$C$7),H12-I12))</f>
        <v/>
      </c>
      <c r="K12" s="21">
        <f>I12+J12</f>
        <v/>
      </c>
    </row>
    <row r="13">
      <c r="A13" s="18" t="inlineStr">
        <is>
          <t>001-001-000001018</t>
        </is>
      </c>
      <c r="B13" s="18" t="inlineStr">
        <is>
          <t>Obras Civiles Pacífico S.A.</t>
        </is>
      </c>
      <c r="C13" s="18" t="inlineStr">
        <is>
          <t>General</t>
        </is>
      </c>
      <c r="D13" s="37" t="n">
        <v>45706</v>
      </c>
      <c r="E13" s="30">
        <f>IF(D13="","",'02_Parametros'!$B$6-D13)</f>
        <v/>
      </c>
      <c r="F13" s="18">
        <f>IF(E13="","",IF(E13&lt;=0,"Corriente / por vencer",IF(E13&lt;=30,"1 a 30 días",IF(E13&lt;=60,"31 a 60 días",IF(E13&lt;=90,"61 a 90 días",IF(E13&lt;=180,"91 a 180 días",IF(E13&lt;=360,"181 a 360 días","Más de 360 días")))))))</f>
        <v/>
      </c>
      <c r="G13" s="18">
        <f>C13&amp;"|"&amp;F13</f>
        <v/>
      </c>
      <c r="H13" s="20" t="n">
        <v>20308.18</v>
      </c>
      <c r="I13" s="20">
        <f>MAX(0,MIN(SUMIF('09_Detalle'!$A$5:$A$24,A13,'09_Detalle'!$H$5:$H$24),H13))</f>
        <v/>
      </c>
      <c r="J13" s="20">
        <f>MAX(0,MIN(SUMIF('11_Castigos'!$A$5:$A$7,A13,'11_Castigos'!$C$5:$C$7),H13-I13))</f>
        <v/>
      </c>
      <c r="K13" s="20">
        <f>I13+J13</f>
        <v/>
      </c>
    </row>
    <row r="14">
      <c r="A14" s="19" t="inlineStr">
        <is>
          <t>001-001-000001019</t>
        </is>
      </c>
      <c r="B14" s="19" t="inlineStr">
        <is>
          <t>Constructora Andina S.A.</t>
        </is>
      </c>
      <c r="C14" s="19" t="inlineStr">
        <is>
          <t>General</t>
        </is>
      </c>
      <c r="D14" s="38" t="n">
        <v>45612</v>
      </c>
      <c r="E14" s="32">
        <f>IF(D14="","",'02_Parametros'!$B$6-D14)</f>
        <v/>
      </c>
      <c r="F14" s="19">
        <f>IF(E14="","",IF(E14&lt;=0,"Corriente / por vencer",IF(E14&lt;=30,"1 a 30 días",IF(E14&lt;=60,"31 a 60 días",IF(E14&lt;=90,"61 a 90 días",IF(E14&lt;=180,"91 a 180 días",IF(E14&lt;=360,"181 a 360 días","Más de 360 días")))))))</f>
        <v/>
      </c>
      <c r="G14" s="19">
        <f>C14&amp;"|"&amp;F14</f>
        <v/>
      </c>
      <c r="H14" s="21" t="n">
        <v>11294.43</v>
      </c>
      <c r="I14" s="21">
        <f>MAX(0,MIN(SUMIF('09_Detalle'!$A$5:$A$24,A14,'09_Detalle'!$H$5:$H$24),H14))</f>
        <v/>
      </c>
      <c r="J14" s="21">
        <f>MAX(0,MIN(SUMIF('11_Castigos'!$A$5:$A$7,A14,'11_Castigos'!$C$5:$C$7),H14-I14))</f>
        <v/>
      </c>
      <c r="K14" s="21">
        <f>I14+J14</f>
        <v/>
      </c>
    </row>
    <row r="15">
      <c r="A15" s="18" t="inlineStr">
        <is>
          <t>001-001-000001020</t>
        </is>
      </c>
      <c r="B15" s="18" t="inlineStr">
        <is>
          <t>Agroexport del Litoral Cía. Ltda.</t>
        </is>
      </c>
      <c r="C15" s="18" t="inlineStr">
        <is>
          <t>General</t>
        </is>
      </c>
      <c r="D15" s="37" t="n">
        <v>45609</v>
      </c>
      <c r="E15" s="30">
        <f>IF(D15="","",'02_Parametros'!$B$6-D15)</f>
        <v/>
      </c>
      <c r="F15" s="18">
        <f>IF(E15="","",IF(E15&lt;=0,"Corriente / por vencer",IF(E15&lt;=30,"1 a 30 días",IF(E15&lt;=60,"31 a 60 días",IF(E15&lt;=90,"61 a 90 días",IF(E15&lt;=180,"91 a 180 días",IF(E15&lt;=360,"181 a 360 días","Más de 360 días")))))))</f>
        <v/>
      </c>
      <c r="G15" s="18">
        <f>C15&amp;"|"&amp;F15</f>
        <v/>
      </c>
      <c r="H15" s="20" t="n">
        <v>9267.41</v>
      </c>
      <c r="I15" s="20">
        <f>MAX(0,MIN(SUMIF('09_Detalle'!$A$5:$A$24,A15,'09_Detalle'!$H$5:$H$24),H15))</f>
        <v/>
      </c>
      <c r="J15" s="20">
        <f>MAX(0,MIN(SUMIF('11_Castigos'!$A$5:$A$7,A15,'11_Castigos'!$C$5:$C$7),H15-I15))</f>
        <v/>
      </c>
      <c r="K15" s="20">
        <f>I15+J15</f>
        <v/>
      </c>
    </row>
    <row r="16">
      <c r="A16" s="19" t="inlineStr">
        <is>
          <t>001-001-000001021</t>
        </is>
      </c>
      <c r="B16" s="19" t="inlineStr">
        <is>
          <t>Minera Austral S.A.</t>
        </is>
      </c>
      <c r="C16" s="19" t="inlineStr">
        <is>
          <t>General</t>
        </is>
      </c>
      <c r="D16" s="38" t="n">
        <v>45387</v>
      </c>
      <c r="E16" s="32">
        <f>IF(D16="","",'02_Parametros'!$B$6-D16)</f>
        <v/>
      </c>
      <c r="F16" s="19">
        <f>IF(E16="","",IF(E16&lt;=0,"Corriente / por vencer",IF(E16&lt;=30,"1 a 30 días",IF(E16&lt;=60,"31 a 60 días",IF(E16&lt;=90,"61 a 90 días",IF(E16&lt;=180,"91 a 180 días",IF(E16&lt;=360,"181 a 360 días","Más de 360 días")))))))</f>
        <v/>
      </c>
      <c r="G16" s="19">
        <f>C16&amp;"|"&amp;F16</f>
        <v/>
      </c>
      <c r="H16" s="21" t="n">
        <v>6875.45</v>
      </c>
      <c r="I16" s="21">
        <f>MAX(0,MIN(SUMIF('09_Detalle'!$A$5:$A$24,A16,'09_Detalle'!$H$5:$H$24),H16))</f>
        <v/>
      </c>
      <c r="J16" s="21">
        <f>MAX(0,MIN(SUMIF('11_Castigos'!$A$5:$A$7,A16,'11_Castigos'!$C$5:$C$7),H16-I16))</f>
        <v/>
      </c>
      <c r="K16" s="21">
        <f>I16+J16</f>
        <v/>
      </c>
    </row>
    <row r="17">
      <c r="A17" s="18" t="inlineStr">
        <is>
          <t>001-001-000001022</t>
        </is>
      </c>
      <c r="B17" s="18" t="inlineStr">
        <is>
          <t>Vialidad Norte S.A.</t>
        </is>
      </c>
      <c r="C17" s="18" t="inlineStr">
        <is>
          <t>General</t>
        </is>
      </c>
      <c r="D17" s="37" t="n">
        <v>45394</v>
      </c>
      <c r="E17" s="30">
        <f>IF(D17="","",'02_Parametros'!$B$6-D17)</f>
        <v/>
      </c>
      <c r="F17" s="18">
        <f>IF(E17="","",IF(E17&lt;=0,"Corriente / por vencer",IF(E17&lt;=30,"1 a 30 días",IF(E17&lt;=60,"31 a 60 días",IF(E17&lt;=90,"61 a 90 días",IF(E17&lt;=180,"91 a 180 días",IF(E17&lt;=360,"181 a 360 días","Más de 360 días")))))))</f>
        <v/>
      </c>
      <c r="G17" s="18">
        <f>C17&amp;"|"&amp;F17</f>
        <v/>
      </c>
      <c r="H17" s="20" t="n">
        <v>14670.71</v>
      </c>
      <c r="I17" s="20">
        <f>MAX(0,MIN(SUMIF('09_Detalle'!$A$5:$A$24,A17,'09_Detalle'!$H$5:$H$24),H17))</f>
        <v/>
      </c>
      <c r="J17" s="20">
        <f>MAX(0,MIN(SUMIF('11_Castigos'!$A$5:$A$7,A17,'11_Castigos'!$C$5:$C$7),H17-I17))</f>
        <v/>
      </c>
      <c r="K17" s="20">
        <f>I17+J17</f>
        <v/>
      </c>
    </row>
    <row r="18">
      <c r="A18" s="19" t="inlineStr">
        <is>
          <t>001-001-000001023</t>
        </is>
      </c>
      <c r="B18" s="19" t="inlineStr">
        <is>
          <t>Hidrosur Cía. Ltda.</t>
        </is>
      </c>
      <c r="C18" s="19" t="inlineStr">
        <is>
          <t>General</t>
        </is>
      </c>
      <c r="D18" s="38" t="n">
        <v>45571</v>
      </c>
      <c r="E18" s="32">
        <f>IF(D18="","",'02_Parametros'!$B$6-D18)</f>
        <v/>
      </c>
      <c r="F18" s="19">
        <f>IF(E18="","",IF(E18&lt;=0,"Corriente / por vencer",IF(E18&lt;=30,"1 a 30 días",IF(E18&lt;=60,"31 a 60 días",IF(E18&lt;=90,"61 a 90 días",IF(E18&lt;=180,"91 a 180 días",IF(E18&lt;=360,"181 a 360 días","Más de 360 días")))))))</f>
        <v/>
      </c>
      <c r="G18" s="19">
        <f>C18&amp;"|"&amp;F18</f>
        <v/>
      </c>
      <c r="H18" s="21" t="n">
        <v>8935.07</v>
      </c>
      <c r="I18" s="21">
        <f>MAX(0,MIN(SUMIF('09_Detalle'!$A$5:$A$24,A18,'09_Detalle'!$H$5:$H$24),H18))</f>
        <v/>
      </c>
      <c r="J18" s="21">
        <f>MAX(0,MIN(SUMIF('11_Castigos'!$A$5:$A$7,A18,'11_Castigos'!$C$5:$C$7),H18-I18))</f>
        <v/>
      </c>
      <c r="K18" s="21">
        <f>I18+J18</f>
        <v/>
      </c>
    </row>
    <row r="19">
      <c r="A19" s="18" t="inlineStr">
        <is>
          <t>001-001-000001024</t>
        </is>
      </c>
      <c r="B19" s="18" t="inlineStr">
        <is>
          <t>Obras Civiles Pacífico S.A.</t>
        </is>
      </c>
      <c r="C19" s="18" t="inlineStr">
        <is>
          <t>General</t>
        </is>
      </c>
      <c r="D19" s="37" t="n">
        <v>45621</v>
      </c>
      <c r="E19" s="30">
        <f>IF(D19="","",'02_Parametros'!$B$6-D19)</f>
        <v/>
      </c>
      <c r="F19" s="18">
        <f>IF(E19="","",IF(E19&lt;=0,"Corriente / por vencer",IF(E19&lt;=30,"1 a 30 días",IF(E19&lt;=60,"31 a 60 días",IF(E19&lt;=90,"61 a 90 días",IF(E19&lt;=180,"91 a 180 días",IF(E19&lt;=360,"181 a 360 días","Más de 360 días")))))))</f>
        <v/>
      </c>
      <c r="G19" s="18">
        <f>C19&amp;"|"&amp;F19</f>
        <v/>
      </c>
      <c r="H19" s="20" t="n">
        <v>11279.89</v>
      </c>
      <c r="I19" s="20">
        <f>MAX(0,MIN(SUMIF('09_Detalle'!$A$5:$A$24,A19,'09_Detalle'!$H$5:$H$24),H19))</f>
        <v/>
      </c>
      <c r="J19" s="20">
        <f>MAX(0,MIN(SUMIF('11_Castigos'!$A$5:$A$7,A19,'11_Castigos'!$C$5:$C$7),H19-I19))</f>
        <v/>
      </c>
      <c r="K19" s="20">
        <f>I19+J19</f>
        <v/>
      </c>
    </row>
    <row r="20">
      <c r="A20" s="19" t="inlineStr">
        <is>
          <t>001-001-000001027</t>
        </is>
      </c>
      <c r="B20" s="19" t="inlineStr">
        <is>
          <t>Minera Austral S.A.</t>
        </is>
      </c>
      <c r="C20" s="19" t="inlineStr">
        <is>
          <t>General</t>
        </is>
      </c>
      <c r="D20" s="38" t="n">
        <v>45611</v>
      </c>
      <c r="E20" s="32">
        <f>IF(D20="","",'02_Parametros'!$B$6-D20)</f>
        <v/>
      </c>
      <c r="F20" s="19">
        <f>IF(E20="","",IF(E20&lt;=0,"Corriente / por vencer",IF(E20&lt;=30,"1 a 30 días",IF(E20&lt;=60,"31 a 60 días",IF(E20&lt;=90,"61 a 90 días",IF(E20&lt;=180,"91 a 180 días",IF(E20&lt;=360,"181 a 360 días","Más de 360 días")))))))</f>
        <v/>
      </c>
      <c r="G20" s="19">
        <f>C20&amp;"|"&amp;F20</f>
        <v/>
      </c>
      <c r="H20" s="21" t="n">
        <v>2210.31</v>
      </c>
      <c r="I20" s="21">
        <f>MAX(0,MIN(SUMIF('09_Detalle'!$A$5:$A$24,A20,'09_Detalle'!$H$5:$H$24),H20))</f>
        <v/>
      </c>
      <c r="J20" s="21">
        <f>MAX(0,MIN(SUMIF('11_Castigos'!$A$5:$A$7,A20,'11_Castigos'!$C$5:$C$7),H20-I20))</f>
        <v/>
      </c>
      <c r="K20" s="21">
        <f>I20+J20</f>
        <v/>
      </c>
    </row>
    <row r="21">
      <c r="A21" s="18" t="inlineStr">
        <is>
          <t>001-001-000001028</t>
        </is>
      </c>
      <c r="B21" s="18" t="inlineStr">
        <is>
          <t>Vialidad Norte S.A.</t>
        </is>
      </c>
      <c r="C21" s="18" t="inlineStr">
        <is>
          <t>General</t>
        </is>
      </c>
      <c r="D21" s="37" t="n">
        <v>45435</v>
      </c>
      <c r="E21" s="30">
        <f>IF(D21="","",'02_Parametros'!$B$6-D21)</f>
        <v/>
      </c>
      <c r="F21" s="18">
        <f>IF(E21="","",IF(E21&lt;=0,"Corriente / por vencer",IF(E21&lt;=30,"1 a 30 días",IF(E21&lt;=60,"31 a 60 días",IF(E21&lt;=90,"61 a 90 días",IF(E21&lt;=180,"91 a 180 días",IF(E21&lt;=360,"181 a 360 días","Más de 360 días")))))))</f>
        <v/>
      </c>
      <c r="G21" s="18">
        <f>C21&amp;"|"&amp;F21</f>
        <v/>
      </c>
      <c r="H21" s="20" t="n">
        <v>17712.73</v>
      </c>
      <c r="I21" s="20">
        <f>MAX(0,MIN(SUMIF('09_Detalle'!$A$5:$A$24,A21,'09_Detalle'!$H$5:$H$24),H21))</f>
        <v/>
      </c>
      <c r="J21" s="20">
        <f>MAX(0,MIN(SUMIF('11_Castigos'!$A$5:$A$7,A21,'11_Castigos'!$C$5:$C$7),H21-I21))</f>
        <v/>
      </c>
      <c r="K21" s="20">
        <f>I21+J21</f>
        <v/>
      </c>
    </row>
    <row r="22">
      <c r="A22" s="34" t="inlineStr">
        <is>
          <t>TOTAL</t>
        </is>
      </c>
      <c r="B22" s="34" t="inlineStr"/>
      <c r="C22" s="34" t="inlineStr"/>
      <c r="D22" s="39" t="inlineStr"/>
      <c r="E22" s="40" t="n"/>
      <c r="F22" s="34" t="inlineStr"/>
      <c r="G22" s="34" t="inlineStr"/>
      <c r="H22" s="36">
        <f>SUM(H5:H21)</f>
        <v/>
      </c>
      <c r="I22" s="36">
        <f>SUM(I5:I21)</f>
        <v/>
      </c>
      <c r="J22" s="36">
        <f>SUM(J5:J21)</f>
        <v/>
      </c>
      <c r="K22" s="36">
        <f>SUM(K5:K21)</f>
        <v/>
      </c>
    </row>
    <row r="24">
      <c r="A24" s="22" t="inlineStr">
        <is>
          <t>ⓘ  Cómo se calcula esta hoja</t>
        </is>
      </c>
    </row>
    <row r="25">
      <c r="A25" s="23" t="inlineStr">
        <is>
          <t>Columna</t>
        </is>
      </c>
      <c r="B25" s="23" t="inlineStr">
        <is>
          <t>Fórmula (Excel)</t>
        </is>
      </c>
      <c r="C25" s="23" t="inlineStr">
        <is>
          <t>Cómo se calcula (sencillo)</t>
        </is>
      </c>
      <c r="D25" s="23" t="inlineStr">
        <is>
          <t>Ejemplo con números reales</t>
        </is>
      </c>
      <c r="E25" s="23" t="inlineStr">
        <is>
          <t>De dónde viene</t>
        </is>
      </c>
      <c r="F25" s="23" t="inlineStr">
        <is>
          <t>Norma</t>
        </is>
      </c>
    </row>
    <row r="26">
      <c r="A26" s="24" t="inlineStr">
        <is>
          <t>Días de mora</t>
        </is>
      </c>
      <c r="B26" s="25" t="inlineStr">
        <is>
          <t>'=IF(D5="","",'02_Parametros'!$B$6-D5)</t>
        </is>
      </c>
      <c r="C26" s="24" t="inlineStr">
        <is>
          <t>Resta la fecha de vencimiento de la fecha del corte anterior de la hoja 02 (Parámetros); sin vencimiento, queda en blanco.</t>
        </is>
      </c>
      <c r="D26" s="24" t="inlineStr">
        <is>
          <t>Fila 1: IF(«2023-07-05»=""; ""; «2024-12-31»-«2023-07-05») → 545</t>
        </is>
      </c>
      <c r="E26" s="24" t="inlineStr">
        <is>
          <t>«Vencimiento» (esta hoja), hoja «Parámetros»</t>
        </is>
      </c>
      <c r="F26" s="24" t="inlineStr">
        <is>
          <t>—</t>
        </is>
      </c>
    </row>
    <row r="27">
      <c r="A27" s="24" t="inlineStr">
        <is>
          <t>Tramo</t>
        </is>
      </c>
      <c r="B27" s="25" t="inlineStr">
        <is>
          <t>'=IF(E5="","",IF(E5&lt;=0,"Corriente / por vencer",IF(E5&lt;=30,"1 a 30 días",IF(E5&lt;=60,"31 a 60 días",IF(E5&lt;=90,"61 a 90 días",IF(E5&lt;=180,"91 a 180 días",IF(E5&lt;=360,"181 a 360 días","Más de 360 días")))))))</t>
        </is>
      </c>
      <c r="C27" s="24" t="inlineStr">
        <is>
          <t>Clasifica la factura en su tramo de mora al corte anterior (corriente, 1 a 30, 31 a 60, 61 a 90, 91 a 180, 181 a 360 o más de 360 días). Sin días de mora queda en blanco.</t>
        </is>
      </c>
      <c r="D27" s="24" t="inlineStr">
        <is>
          <t>Fila 1: IF(545=""; ""; IF(545&lt;=0; "Corriente / por vencer"; IF(545&lt;=30; "1 a 30 días"; IF(545&lt;=60; "31 a 60 días"; IF(545&lt;=90; "61 a 90 días"; IF(545&lt;=180; "91 a 180 días"; IF(545&lt;=360; "181 a 360 días"; "Más de 360 días"))))))) → Más de 360 días</t>
        </is>
      </c>
      <c r="E27" s="24" t="inlineStr">
        <is>
          <t>«Días de mora» (esta hoja)</t>
        </is>
      </c>
      <c r="F27" s="24" t="inlineStr">
        <is>
          <t>—</t>
        </is>
      </c>
    </row>
    <row r="28">
      <c r="A28" s="24" t="inlineStr">
        <is>
          <t>Clave</t>
        </is>
      </c>
      <c r="B28" s="25" t="inlineStr">
        <is>
          <t>'=C5&amp;"|"&amp;F5</t>
        </is>
      </c>
      <c r="C28" s="24" t="inlineStr">
        <is>
          <t>Une el segmento y el tramo al corte anterior (segmento|tramo) para agruparla en la hoja 03 (Tasas históricas).</t>
        </is>
      </c>
      <c r="D28" s="24" t="inlineStr">
        <is>
          <t>Fila 1: «General»&amp;"|"&amp;«Más de 360 días» → General|Más de 360 días</t>
        </is>
      </c>
      <c r="E28" s="24" t="inlineStr">
        <is>
          <t>«Segmento» (esta hoja), «Tramo» (esta hoja)</t>
        </is>
      </c>
      <c r="F28" s="24" t="inlineStr">
        <is>
          <t>—</t>
        </is>
      </c>
    </row>
    <row r="29">
      <c r="A29" s="24" t="inlineStr">
        <is>
          <t>Sigue impago al corte</t>
        </is>
      </c>
      <c r="B29" s="25" t="inlineStr">
        <is>
          <t>'=MAX(0,MIN(SUMIF('09_Detalle'!$A$5:$A$24,A5,'09_Detalle'!$H$5:$H$24),H5))</t>
        </is>
      </c>
      <c r="C29" s="24" t="inlineStr">
        <is>
          <t>Busca la misma factura en el detalle actual (hoja 09) y toma su saldo, sin pasar del saldo que tenía al corte anterior ni bajar de cero: es lo que sigue sin cobrarse.</t>
        </is>
      </c>
      <c r="D29" s="24" t="inlineStr">
        <is>
          <t>Fila 1: MAX(0; MIN(SUMIF([«Factura» de «Detalle por factura», 20 filas]; «001-001-000001008»; [«Saldo» de «Detalle por factura», 20 filas]); 2.401,38)) → 0,00</t>
        </is>
      </c>
      <c r="E29" s="24" t="inlineStr">
        <is>
          <t>«Factura» (esta hoja), «Saldo» (esta hoja), hoja «Detalle por factura»</t>
        </is>
      </c>
      <c r="F29" s="24" t="inlineStr">
        <is>
          <t>—</t>
        </is>
      </c>
    </row>
    <row r="30">
      <c r="A30" s="24" t="inlineStr">
        <is>
          <t>Castigado</t>
        </is>
      </c>
      <c r="B30" s="25" t="inlineStr">
        <is>
          <t>'=MAX(0,MIN(SUMIF('11_Castigos'!$A$5:$A$7,A5,'11_Castigos'!$C$5:$C$7),H5-I5))</t>
        </is>
      </c>
      <c r="C30" s="24" t="inlineStr">
        <is>
          <t>Suma lo castigado de la misma factura en la hoja 11 (Castigos del ejercicio), limitado al saldo anterior que no sigue impago y nunca negativo.</t>
        </is>
      </c>
      <c r="D30" s="24" t="inlineStr">
        <is>
          <t>Fila 1: MAX(0; MIN(SUMIF([«Factura» de «Castigos del ejercicio», 3 filas]; «001-001-000001008»; [«Importe castigado» de «Castigos del ejercicio», 3 filas]); 2.401,38-0,00)) → 2.401,38</t>
        </is>
      </c>
      <c r="E30" s="24" t="inlineStr">
        <is>
          <t>«Factura» (esta hoja), «Saldo» (esta hoja), «Sigue impago al corte» (esta hoja), hoja «Castigos del ejercicio»</t>
        </is>
      </c>
      <c r="F30" s="24" t="inlineStr">
        <is>
          <t>—</t>
        </is>
      </c>
    </row>
    <row r="31">
      <c r="A31" s="24" t="inlineStr">
        <is>
          <t>Pérdida observada</t>
        </is>
      </c>
      <c r="B31" s="25" t="inlineStr">
        <is>
          <t>'=I5+J5</t>
        </is>
      </c>
      <c r="C31" s="24" t="inlineStr">
        <is>
          <t>Suma lo que sigue impago al corte y lo castigado: es lo que no se recuperó de esa factura en el año.</t>
        </is>
      </c>
      <c r="D31" s="24" t="inlineStr">
        <is>
          <t>Fila 1: 0,00+2.401,38 → 2.401,38</t>
        </is>
      </c>
      <c r="E31" s="24" t="inlineStr">
        <is>
          <t>«Sigue impago al corte» (esta hoja), «Castigado» (esta hoja)</t>
        </is>
      </c>
      <c r="F31" s="24" t="inlineStr">
        <is>
          <t>—</t>
        </is>
      </c>
    </row>
  </sheetData>
  <mergeCells count="3">
    <mergeCell ref="A24:F24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</cols>
  <sheetData>
    <row r="1">
      <c r="A1" s="3" t="inlineStr">
        <is>
          <t>Castigos del ejercicio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Factura</t>
        </is>
      </c>
      <c r="B4" s="17" t="inlineStr">
        <is>
          <t>Cliente</t>
        </is>
      </c>
      <c r="C4" s="17" t="inlineStr">
        <is>
          <t>Importe castigado</t>
        </is>
      </c>
    </row>
    <row r="5">
      <c r="A5" s="18" t="inlineStr">
        <is>
          <t>001-001-000001008</t>
        </is>
      </c>
      <c r="B5" s="18" t="inlineStr">
        <is>
          <t>Minera Austral S.A.</t>
        </is>
      </c>
      <c r="C5" s="20" t="n">
        <v>2401.38</v>
      </c>
    </row>
    <row r="6">
      <c r="A6" s="19" t="inlineStr">
        <is>
          <t>001-001-000001010</t>
        </is>
      </c>
      <c r="B6" s="19" t="inlineStr">
        <is>
          <t>Hidrosur Cía. Ltda.</t>
        </is>
      </c>
      <c r="C6" s="21" t="n">
        <v>1243.47</v>
      </c>
    </row>
    <row r="7">
      <c r="A7" s="18" t="inlineStr">
        <is>
          <t>001-001-000001014</t>
        </is>
      </c>
      <c r="B7" s="18" t="inlineStr">
        <is>
          <t>Minera Austral S.A.</t>
        </is>
      </c>
      <c r="C7" s="20" t="n">
        <v>2386.85</v>
      </c>
    </row>
    <row r="8">
      <c r="A8" s="34" t="inlineStr">
        <is>
          <t>TOTAL</t>
        </is>
      </c>
      <c r="B8" s="34" t="inlineStr"/>
      <c r="C8" s="36">
        <f>SUM(C5:C7)</f>
        <v/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TASA_CERO</t>
        </is>
      </c>
      <c r="B5" s="18" t="inlineStr">
        <is>
          <t>General · Corriente / por vencer: tasa 0 % sobre 90.377,19. La pérdida esperada se estima aunque la posibilidad sea muy baja (5.5.18): documente por qué es cero o fije una tasa.</t>
        </is>
      </c>
      <c r="C5" s="20" t="n">
        <v>90377.19</v>
      </c>
    </row>
    <row r="6">
      <c r="A6" s="19" t="inlineStr">
        <is>
          <t>TASA_CERO</t>
        </is>
      </c>
      <c r="B6" s="19" t="inlineStr">
        <is>
          <t>General · 1 a 30 días: tasa 0 % sobre 27.938,78. La pérdida esperada se estima aunque la posibilidad sea muy baja (5.5.18): documente por qué es cero o fije una tasa.</t>
        </is>
      </c>
      <c r="C6" s="21" t="n">
        <v>27938.78</v>
      </c>
    </row>
    <row r="7">
      <c r="A7" s="18" t="inlineStr">
        <is>
          <t>AJUSTE</t>
        </is>
      </c>
      <c r="B7" s="18" t="inlineStr">
        <is>
          <t>La pérdida esperada (24.193,43) difiere de la provisión registrada (5.816,04).</t>
        </is>
      </c>
      <c r="C7" s="20" t="n">
        <v>18377.39</v>
      </c>
    </row>
    <row r="8">
      <c r="A8" s="19" t="inlineStr">
        <is>
          <t>EN_IMPAGO</t>
        </is>
      </c>
      <c r="B8" s="19" t="inlineStr">
        <is>
          <t>Cartera en impago (más de 90 días, B5.5.37): 34.399,16. Evalúe castigo (5.4.4) o tasa individual.</t>
        </is>
      </c>
      <c r="C8" s="21" t="n">
        <v>34399.16</v>
      </c>
    </row>
    <row r="9">
      <c r="A9" s="18" t="inlineStr">
        <is>
          <t>NO_DEDUCIBLE</t>
        </is>
      </c>
      <c r="B9" s="18" t="inlineStr">
        <is>
          <t>Gasto no deducible del ejercicio: 29.321,36 (límites LRTI).</t>
        </is>
      </c>
      <c r="C9" s="20" t="n">
        <v>29321.36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Pérdida crediticia esperada · enfoque simplificado (NIIF 9)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2026-09-24T04:19:13Z</dcterms:created>
  <dcterms:modified xmlns:dcterms="http://purl.org/dc/terms/" xmlns:xsi="http://www.w3.org/2001/XMLSchema-instance" xsi:type="dcterms:W3CDTF">2026-09-24T04:19:13Z</dcterms:modified>
</cp:coreProperties>
</file>