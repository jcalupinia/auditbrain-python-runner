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Empleados" sheetId="7" state="visible" r:id="rId7"/>
    <sheet xmlns:r="http://schemas.openxmlformats.org/officeDocument/2006/relationships" name="04_Actuarial" sheetId="8" state="visible" r:id="rId8"/>
    <sheet xmlns:r="http://schemas.openxmlformats.org/officeDocument/2006/relationships" name="05_Tiempo_servicio" sheetId="9" state="visible" r:id="rId9"/>
    <sheet xmlns:r="http://schemas.openxmlformats.org/officeDocument/2006/relationships" name="06_Recalculo_nomina" sheetId="10" state="visible" r:id="rId10"/>
    <sheet xmlns:r="http://schemas.openxmlformats.org/officeDocument/2006/relationships" name="07_IESS" sheetId="11" state="visible" r:id="rId11"/>
    <sheet xmlns:r="http://schemas.openxmlformats.org/officeDocument/2006/relationships" name="08_Decimo_tercero" sheetId="12" state="visible" r:id="rId12"/>
    <sheet xmlns:r="http://schemas.openxmlformats.org/officeDocument/2006/relationships" name="09_Decimo_cuarto" sheetId="13" state="visible" r:id="rId13"/>
    <sheet xmlns:r="http://schemas.openxmlformats.org/officeDocument/2006/relationships" name="10_Vacaciones" sheetId="14" state="visible" r:id="rId14"/>
    <sheet xmlns:r="http://schemas.openxmlformats.org/officeDocument/2006/relationships" name="11_Fondo_reserva" sheetId="15" state="visible" r:id="rId15"/>
    <sheet xmlns:r="http://schemas.openxmlformats.org/officeDocument/2006/relationships" name="12_DBO_actuarial" sheetId="16" state="visible" r:id="rId16"/>
    <sheet xmlns:r="http://schemas.openxmlformats.org/officeDocument/2006/relationships" name="13_Resultados_ORI" sheetId="17" state="visible" r:id="rId17"/>
    <sheet xmlns:r="http://schemas.openxmlformats.org/officeDocument/2006/relationships" name="14_Censo_actuarial" sheetId="18" state="visible" r:id="rId18"/>
    <sheet xmlns:r="http://schemas.openxmlformats.org/officeDocument/2006/relationships" name="15_Conciliacion_GL" sheetId="19" state="visible" r:id="rId19"/>
    <sheet xmlns:r="http://schemas.openxmlformats.org/officeDocument/2006/relationships" name="16_Ajustes" sheetId="20" state="visible" r:id="rId20"/>
    <sheet xmlns:r="http://schemas.openxmlformats.org/officeDocument/2006/relationships" name="17_Problemas" sheetId="21" state="visible" r:id="rId21"/>
    <sheet xmlns:r="http://schemas.openxmlformats.org/officeDocument/2006/relationships" name="13_Conclusion" sheetId="22" state="visible" r:id="rId22"/>
    <sheet xmlns:r="http://schemas.openxmlformats.org/officeDocument/2006/relationships" name="14_Control_Revision" sheetId="23" state="visible" r:id="rId23"/>
  </sheets>
  <definedNames>
    <definedName name="_xlnm.Print_Area" localSheetId="0">'00_Inicio'!$A$1:$L$74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165" fontId="4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165" fontId="12" fillId="0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165" fontId="13" fillId="5" borderId="4" applyAlignment="1" pivotButton="0" quotePrefix="0" xfId="0">
      <alignment horizontal="right" vertical="center"/>
    </xf>
    <xf numFmtId="4" fontId="13" fillId="5" borderId="4" applyAlignment="1" pivotButton="0" quotePrefix="0" xfId="0">
      <alignment horizontal="right" vertical="center"/>
    </xf>
    <xf numFmtId="3" fontId="12" fillId="0" borderId="3" applyAlignment="1" pivotButton="0" quotePrefix="0" xfId="0">
      <alignment horizontal="right" vertical="center"/>
    </xf>
    <xf numFmtId="3" fontId="12" fillId="6" borderId="3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  <xf numFmtId="10" fontId="1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'00_Inicio'!O24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'00_Inicio'!$N$25:$N$40</f>
            </numRef>
          </cat>
          <val>
            <numRef>
              <f>'00_Inicio'!$O$25:$O$40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'00_Inicio'!O42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'00_Inicio'!$N$43:$N$50</f>
            </numRef>
          </cat>
          <val>
            <numRef>
              <f>'00_Inicio'!$O$43:$O$50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7740000" cy="5227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54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Empleados'!A1" TargetMode="External" Id="rId6"/><Relationship Type="http://schemas.openxmlformats.org/officeDocument/2006/relationships/hyperlink" Target="#'04_Actuarial'!A1" TargetMode="External" Id="rId7"/><Relationship Type="http://schemas.openxmlformats.org/officeDocument/2006/relationships/hyperlink" Target="#'05_Tiempo_servicio'!A1" TargetMode="External" Id="rId8"/><Relationship Type="http://schemas.openxmlformats.org/officeDocument/2006/relationships/hyperlink" Target="#'06_Recalculo_nomina'!A1" TargetMode="External" Id="rId9"/><Relationship Type="http://schemas.openxmlformats.org/officeDocument/2006/relationships/hyperlink" Target="#'07_IESS'!A1" TargetMode="External" Id="rId10"/><Relationship Type="http://schemas.openxmlformats.org/officeDocument/2006/relationships/hyperlink" Target="#'08_Decimo_tercero'!A1" TargetMode="External" Id="rId11"/><Relationship Type="http://schemas.openxmlformats.org/officeDocument/2006/relationships/hyperlink" Target="#'09_Decimo_cuarto'!A1" TargetMode="External" Id="rId12"/><Relationship Type="http://schemas.openxmlformats.org/officeDocument/2006/relationships/hyperlink" Target="#'10_Vacaciones'!A1" TargetMode="External" Id="rId13"/><Relationship Type="http://schemas.openxmlformats.org/officeDocument/2006/relationships/hyperlink" Target="#'11_Fondo_reserva'!A1" TargetMode="External" Id="rId14"/><Relationship Type="http://schemas.openxmlformats.org/officeDocument/2006/relationships/hyperlink" Target="#'12_DBO_actuarial'!A1" TargetMode="External" Id="rId15"/><Relationship Type="http://schemas.openxmlformats.org/officeDocument/2006/relationships/hyperlink" Target="#'13_Resultados_ORI'!A1" TargetMode="External" Id="rId16"/><Relationship Type="http://schemas.openxmlformats.org/officeDocument/2006/relationships/hyperlink" Target="#'14_Censo_actuarial'!A1" TargetMode="External" Id="rId17"/><Relationship Type="http://schemas.openxmlformats.org/officeDocument/2006/relationships/hyperlink" Target="#'15_Conciliacion_GL'!A1" TargetMode="External" Id="rId18"/><Relationship Type="http://schemas.openxmlformats.org/officeDocument/2006/relationships/hyperlink" Target="#'16_Ajustes'!A1" TargetMode="External" Id="rId19"/><Relationship Type="http://schemas.openxmlformats.org/officeDocument/2006/relationships/hyperlink" Target="#'17_Problemas'!A1" TargetMode="External" Id="rId20"/><Relationship Type="http://schemas.openxmlformats.org/officeDocument/2006/relationships/hyperlink" Target="#'13_Conclusion'!A1" TargetMode="External" Id="rId21"/><Relationship Type="http://schemas.openxmlformats.org/officeDocument/2006/relationships/hyperlink" Target="#'14_Control_Revision'!A1" TargetMode="External" Id="rId22"/><Relationship Type="http://schemas.openxmlformats.org/officeDocument/2006/relationships/drawing" Target="/xl/drawings/drawing1.xml" Id="rId23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Empleado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Actuarial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Empleados'!A1" TargetMode="External" Id="rId2"/><Relationship Type="http://schemas.openxmlformats.org/officeDocument/2006/relationships/hyperlink" Target="#'05_Tiempo_servicio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Actuarial'!A1" TargetMode="External" Id="rId2"/><Relationship Type="http://schemas.openxmlformats.org/officeDocument/2006/relationships/hyperlink" Target="#'06_Recalculo_nomina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Tiempo_servicio'!A1" TargetMode="External" Id="rId2"/><Relationship Type="http://schemas.openxmlformats.org/officeDocument/2006/relationships/hyperlink" Target="#'07_IESS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Recalculo_nomina'!A1" TargetMode="External" Id="rId2"/><Relationship Type="http://schemas.openxmlformats.org/officeDocument/2006/relationships/hyperlink" Target="#'08_Decimo_tercero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IESS'!A1" TargetMode="External" Id="rId2"/><Relationship Type="http://schemas.openxmlformats.org/officeDocument/2006/relationships/hyperlink" Target="#'09_Decimo_cuarto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Decimo_tercero'!A1" TargetMode="External" Id="rId2"/><Relationship Type="http://schemas.openxmlformats.org/officeDocument/2006/relationships/hyperlink" Target="#'10_Vacaciones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Decimo_cuarto'!A1" TargetMode="External" Id="rId2"/><Relationship Type="http://schemas.openxmlformats.org/officeDocument/2006/relationships/hyperlink" Target="#'11_Fondo_reserva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Vacaciones'!A1" TargetMode="External" Id="rId2"/><Relationship Type="http://schemas.openxmlformats.org/officeDocument/2006/relationships/hyperlink" Target="#'12_DBO_actuarial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Fondo_reserva'!A1" TargetMode="External" Id="rId2"/><Relationship Type="http://schemas.openxmlformats.org/officeDocument/2006/relationships/hyperlink" Target="#'13_Resultados_ORI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DBO_actuarial'!A1" TargetMode="External" Id="rId2"/><Relationship Type="http://schemas.openxmlformats.org/officeDocument/2006/relationships/hyperlink" Target="#'14_Censo_actuarial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Resultados_ORI'!A1" TargetMode="External" Id="rId2"/><Relationship Type="http://schemas.openxmlformats.org/officeDocument/2006/relationships/hyperlink" Target="#'15_Conciliacion_GL'!A1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4_Censo_actuarial'!A1" TargetMode="External" Id="rId2"/><Relationship Type="http://schemas.openxmlformats.org/officeDocument/2006/relationships/hyperlink" Target="#'16_Ajustes'!A1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5_Conciliacion_GL'!A1" TargetMode="External" Id="rId2"/><Relationship Type="http://schemas.openxmlformats.org/officeDocument/2006/relationships/hyperlink" Target="#'17_Problemas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6_Ajustes'!A1" TargetMode="External" Id="rId2"/><Relationship Type="http://schemas.openxmlformats.org/officeDocument/2006/relationships/hyperlink" Target="#'13_Conclusion'!A1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7_Problemas'!A1" TargetMode="External" Id="rId2"/><Relationship Type="http://schemas.openxmlformats.org/officeDocument/2006/relationships/hyperlink" Target="#'14_Control_Revision'!A1" TargetMode="External" Id="rId3"/></Relationships>
</file>

<file path=xl/worksheets/_rels/sheet2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Beneficios sociales y nómina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propuesto a pasivos laborales (+ aumenta el pasivo)</t>
        </is>
      </c>
      <c r="C11" s="7" t="inlineStr">
        <is>
          <t>Problemas encontrados</t>
        </is>
      </c>
    </row>
    <row r="12">
      <c r="B12" s="8" t="n">
        <v>8536.469999999999</v>
      </c>
      <c r="C12" s="9" t="n">
        <v>21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Empleados (datos del cliente)</t>
        </is>
      </c>
      <c r="D17" s="10" t="inlineStr">
        <is>
          <t>Informe actuarial (datos del cliente)</t>
        </is>
      </c>
      <c r="E17" s="10" t="inlineStr">
        <is>
          <t>Tiempo de servicio</t>
        </is>
      </c>
    </row>
    <row r="18" ht="32" customHeight="1">
      <c r="B18" s="10" t="inlineStr">
        <is>
          <t>Recálculo de nómina: bruto y neto</t>
        </is>
      </c>
      <c r="C18" s="10" t="inlineStr">
        <is>
          <t>Aportes IESS y planillas</t>
        </is>
      </c>
      <c r="D18" s="10" t="inlineStr">
        <is>
          <t>Décimo tercero</t>
        </is>
      </c>
      <c r="E18" s="10" t="inlineStr">
        <is>
          <t>Décimo cuarto</t>
        </is>
      </c>
    </row>
    <row r="19" ht="32" customHeight="1">
      <c r="B19" s="10" t="inlineStr">
        <is>
          <t>Vacaciones</t>
        </is>
      </c>
      <c r="C19" s="10" t="inlineStr">
        <is>
          <t>Fondo de reserva</t>
        </is>
      </c>
      <c r="D19" s="10" t="inlineStr">
        <is>
          <t>Jubilación patronal y desahucio: DBO</t>
        </is>
      </c>
      <c r="E19" s="10" t="inlineStr">
        <is>
          <t>Costo post-empleo: resultados y ORI</t>
        </is>
      </c>
    </row>
    <row r="20" ht="32" customHeight="1">
      <c r="B20" s="10" t="inlineStr">
        <is>
          <t>Censo actuarial y desahucio legal</t>
        </is>
      </c>
      <c r="C20" s="10" t="inlineStr">
        <is>
          <t>Conciliación nómina–mayor</t>
        </is>
      </c>
      <c r="D20" s="10" t="inlineStr">
        <is>
          <t>Ajustes propuestos</t>
        </is>
      </c>
      <c r="E20" s="10" t="inlineStr">
        <is>
          <t>Problemas encontrados</t>
        </is>
      </c>
    </row>
    <row r="21" ht="32" customHeight="1">
      <c r="B21" s="10" t="inlineStr">
        <is>
          <t>Conclusión</t>
        </is>
      </c>
      <c r="C21" s="10" t="inlineStr">
        <is>
          <t>Control de revisión</t>
        </is>
      </c>
    </row>
    <row r="23">
      <c r="B23" s="6" t="inlineStr">
        <is>
          <t>PANORAMA</t>
        </is>
      </c>
      <c r="N23" s="11" t="inlineStr">
        <is>
          <t>Datos de los gráficos (fórmulas a las cédulas)</t>
        </is>
      </c>
    </row>
    <row r="24">
      <c r="N24" s="12" t="inlineStr">
        <is>
          <t>Cifras del resumen</t>
        </is>
      </c>
      <c r="O24" s="12" t="inlineStr">
        <is>
          <t>Importe (USD)</t>
        </is>
      </c>
    </row>
    <row r="25">
      <c r="N25" s="12">
        <f>'01_Resumen'!A5</f>
        <v/>
      </c>
      <c r="O25" s="13">
        <f>'01_Resumen'!B5</f>
        <v/>
      </c>
    </row>
    <row r="26">
      <c r="N26" s="12">
        <f>'01_Resumen'!A6</f>
        <v/>
      </c>
      <c r="O26" s="13">
        <f>'01_Resumen'!B6</f>
        <v/>
      </c>
    </row>
    <row r="27">
      <c r="N27" s="12">
        <f>'01_Resumen'!A7</f>
        <v/>
      </c>
      <c r="O27" s="13">
        <f>'01_Resumen'!B7</f>
        <v/>
      </c>
    </row>
    <row r="28">
      <c r="N28" s="12">
        <f>'01_Resumen'!A8</f>
        <v/>
      </c>
      <c r="O28" s="13">
        <f>'01_Resumen'!B8</f>
        <v/>
      </c>
    </row>
    <row r="29">
      <c r="N29" s="12">
        <f>'01_Resumen'!A9</f>
        <v/>
      </c>
      <c r="O29" s="13">
        <f>'01_Resumen'!B9</f>
        <v/>
      </c>
    </row>
    <row r="30">
      <c r="N30" s="12">
        <f>'01_Resumen'!A10</f>
        <v/>
      </c>
      <c r="O30" s="13">
        <f>'01_Resumen'!B10</f>
        <v/>
      </c>
    </row>
    <row r="31">
      <c r="N31" s="12">
        <f>'01_Resumen'!A11</f>
        <v/>
      </c>
      <c r="O31" s="13">
        <f>'01_Resumen'!B11</f>
        <v/>
      </c>
    </row>
    <row r="32">
      <c r="N32" s="12">
        <f>'01_Resumen'!A12</f>
        <v/>
      </c>
      <c r="O32" s="13">
        <f>'01_Resumen'!B12</f>
        <v/>
      </c>
    </row>
    <row r="33">
      <c r="N33" s="12">
        <f>'01_Resumen'!A13</f>
        <v/>
      </c>
      <c r="O33" s="13">
        <f>'01_Resumen'!B13</f>
        <v/>
      </c>
    </row>
    <row r="34">
      <c r="N34" s="12">
        <f>'01_Resumen'!A14</f>
        <v/>
      </c>
      <c r="O34" s="13">
        <f>'01_Resumen'!B14</f>
        <v/>
      </c>
    </row>
    <row r="35">
      <c r="N35" s="12">
        <f>'01_Resumen'!A15</f>
        <v/>
      </c>
      <c r="O35" s="13">
        <f>'01_Resumen'!B15</f>
        <v/>
      </c>
    </row>
    <row r="36">
      <c r="N36" s="12">
        <f>'01_Resumen'!A16</f>
        <v/>
      </c>
      <c r="O36" s="13">
        <f>'01_Resumen'!B16</f>
        <v/>
      </c>
    </row>
    <row r="37">
      <c r="N37" s="12">
        <f>'01_Resumen'!A17</f>
        <v/>
      </c>
      <c r="O37" s="13">
        <f>'01_Resumen'!B17</f>
        <v/>
      </c>
    </row>
    <row r="38">
      <c r="N38" s="12">
        <f>'01_Resumen'!A18</f>
        <v/>
      </c>
      <c r="O38" s="13">
        <f>'01_Resumen'!B18</f>
        <v/>
      </c>
    </row>
    <row r="39">
      <c r="N39" s="12">
        <f>'01_Resumen'!A19</f>
        <v/>
      </c>
      <c r="O39" s="13">
        <f>'01_Resumen'!B19</f>
        <v/>
      </c>
    </row>
    <row r="40">
      <c r="N40" s="12">
        <f>'01_Resumen'!A20</f>
        <v/>
      </c>
      <c r="O40" s="13">
        <f>'01_Resumen'!B20</f>
        <v/>
      </c>
    </row>
    <row r="42">
      <c r="N42" s="12" t="inlineStr">
        <is>
          <t>Hallazgos de mayor impacto</t>
        </is>
      </c>
      <c r="O42" s="12" t="inlineStr">
        <is>
          <t>Importe (USD)</t>
        </is>
      </c>
    </row>
    <row r="43">
      <c r="N43" s="12" t="inlineStr">
        <is>
          <t>Provision actuarial</t>
        </is>
      </c>
      <c r="O43" s="13">
        <f>SUMIFS('17_Problemas'!$C$5:$C$25,'17_Problemas'!$A$5:$A$25,"PROVISION_ACTUARIAL",'17_Problemas'!$C$5:$C$25,"&gt;0")-SUMIFS('17_Problemas'!$C$5:$C$25,'17_Problemas'!$A$5:$A$25,"PROVISION_ACTUARIAL",'17_Problemas'!$C$5:$C$25,"&lt;0")</f>
        <v/>
      </c>
    </row>
    <row r="44">
      <c r="N44" s="12" t="inlineStr">
        <is>
          <t>Nuevas mediciones en resultados</t>
        </is>
      </c>
      <c r="O44" s="13">
        <f>SUMIFS('17_Problemas'!$C$5:$C$25,'17_Problemas'!$A$5:$A$25,"NUEVAS_MEDICIONES_EN_RESULTADOS",'17_Problemas'!$C$5:$C$25,"&gt;0")-SUMIFS('17_Problemas'!$C$5:$C$25,'17_Problemas'!$A$5:$A$25,"NUEVAS_MEDICIONES_EN_RESULTADOS",'17_Problemas'!$C$5:$C$25,"&lt;0")</f>
        <v/>
      </c>
    </row>
    <row r="45">
      <c r="N45" s="12" t="inlineStr">
        <is>
          <t>Vacaciones diferencia</t>
        </is>
      </c>
      <c r="O45" s="13">
        <f>SUMIFS('17_Problemas'!$C$5:$C$25,'17_Problemas'!$A$5:$A$25,"VACACIONES_DIFERENCIA",'17_Problemas'!$C$5:$C$25,"&gt;0")-SUMIFS('17_Problemas'!$C$5:$C$25,'17_Problemas'!$A$5:$A$25,"VACACIONES_DIFERENCIA",'17_Problemas'!$C$5:$C$25,"&lt;0")</f>
        <v/>
      </c>
    </row>
    <row r="46">
      <c r="N46" s="12" t="inlineStr">
        <is>
          <t>Fondo reserva no pagado (×2)</t>
        </is>
      </c>
      <c r="O46" s="13">
        <f>SUMIFS('17_Problemas'!$C$5:$C$25,'17_Problemas'!$A$5:$A$25,"FONDO_RESERVA_NO_PAGADO",'17_Problemas'!$C$5:$C$25,"&gt;0")-SUMIFS('17_Problemas'!$C$5:$C$25,'17_Problemas'!$A$5:$A$25,"FONDO_RESERVA_NO_PAGADO",'17_Problemas'!$C$5:$C$25,"&lt;0")</f>
        <v/>
      </c>
    </row>
    <row r="47">
      <c r="N47" s="12" t="inlineStr">
        <is>
          <t>Vacaciones no provisionadas (×2)</t>
        </is>
      </c>
      <c r="O47" s="13">
        <f>SUMIFS('17_Problemas'!$C$5:$C$25,'17_Problemas'!$A$5:$A$25,"VACACIONES_NO_PROVISIONADAS",'17_Problemas'!$C$5:$C$25,"&gt;0")-SUMIFS('17_Problemas'!$C$5:$C$25,'17_Problemas'!$A$5:$A$25,"VACACIONES_NO_PROVISIONADAS",'17_Problemas'!$C$5:$C$25,"&lt;0")</f>
        <v/>
      </c>
    </row>
    <row r="48">
      <c r="N48" s="12" t="inlineStr">
        <is>
          <t>Dbo rollforward</t>
        </is>
      </c>
      <c r="O48" s="13">
        <f>SUMIFS('17_Problemas'!$C$5:$C$25,'17_Problemas'!$A$5:$A$25,"DBO_ROLLFORWARD",'17_Problemas'!$C$5:$C$25,"&gt;0")-SUMIFS('17_Problemas'!$C$5:$C$25,'17_Problemas'!$A$5:$A$25,"DBO_ROLLFORWARD",'17_Problemas'!$C$5:$C$25,"&lt;0")</f>
        <v/>
      </c>
    </row>
    <row r="49">
      <c r="N49" s="12" t="inlineStr">
        <is>
          <t>Recalculo nomina</t>
        </is>
      </c>
      <c r="O49" s="13">
        <f>SUMIFS('17_Problemas'!$C$5:$C$25,'17_Problemas'!$A$5:$A$25,"RECALCULO_NOMINA",'17_Problemas'!$C$5:$C$25,"&gt;0")-SUMIFS('17_Problemas'!$C$5:$C$25,'17_Problemas'!$A$5:$A$25,"RECALCULO_NOMINA",'17_Problemas'!$C$5:$C$25,"&lt;0")</f>
        <v/>
      </c>
    </row>
    <row r="50">
      <c r="N50" s="12" t="inlineStr">
        <is>
          <t>Otros (7 tipos)</t>
        </is>
      </c>
      <c r="O50" s="13">
        <f>SUMIF('17_Problemas'!$C$5:$C$25,"&gt;0")-SUMIF('17_Problemas'!$C$5:$C$25,"&lt;0")-((SUMIFS('17_Problemas'!$C$5:$C$25,'17_Problemas'!$A$5:$A$25,"PROVISION_ACTUARIAL",'17_Problemas'!$C$5:$C$25,"&gt;0")-SUMIFS('17_Problemas'!$C$5:$C$25,'17_Problemas'!$A$5:$A$25,"PROVISION_ACTUARIAL",'17_Problemas'!$C$5:$C$25,"&lt;0"))+(SUMIFS('17_Problemas'!$C$5:$C$25,'17_Problemas'!$A$5:$A$25,"NUEVAS_MEDICIONES_EN_RESULTADOS",'17_Problemas'!$C$5:$C$25,"&gt;0")-SUMIFS('17_Problemas'!$C$5:$C$25,'17_Problemas'!$A$5:$A$25,"NUEVAS_MEDICIONES_EN_RESULTADOS",'17_Problemas'!$C$5:$C$25,"&lt;0"))+(SUMIFS('17_Problemas'!$C$5:$C$25,'17_Problemas'!$A$5:$A$25,"VACACIONES_DIFERENCIA",'17_Problemas'!$C$5:$C$25,"&gt;0")-SUMIFS('17_Problemas'!$C$5:$C$25,'17_Problemas'!$A$5:$A$25,"VACACIONES_DIFERENCIA",'17_Problemas'!$C$5:$C$25,"&lt;0"))+(SUMIFS('17_Problemas'!$C$5:$C$25,'17_Problemas'!$A$5:$A$25,"FONDO_RESERVA_NO_PAGADO",'17_Problemas'!$C$5:$C$25,"&gt;0")-SUMIFS('17_Problemas'!$C$5:$C$25,'17_Problemas'!$A$5:$A$25,"FONDO_RESERVA_NO_PAGADO",'17_Problemas'!$C$5:$C$25,"&lt;0"))+(SUMIFS('17_Problemas'!$C$5:$C$25,'17_Problemas'!$A$5:$A$25,"VACACIONES_NO_PROVISIONADAS",'17_Problemas'!$C$5:$C$25,"&gt;0")-SUMIFS('17_Problemas'!$C$5:$C$25,'17_Problemas'!$A$5:$A$25,"VACACIONES_NO_PROVISIONADAS",'17_Problemas'!$C$5:$C$25,"&lt;0"))+(SUMIFS('17_Problemas'!$C$5:$C$25,'17_Problemas'!$A$5:$A$25,"DBO_ROLLFORWARD",'17_Problemas'!$C$5:$C$25,"&gt;0")-SUMIFS('17_Problemas'!$C$5:$C$25,'17_Problemas'!$A$5:$A$25,"DBO_ROLLFORWARD",'17_Problemas'!$C$5:$C$25,"&lt;0"))+(SUMIFS('17_Problemas'!$C$5:$C$25,'17_Problemas'!$A$5:$A$25,"RECALCULO_NOMINA",'17_Problemas'!$C$5:$C$25,"&gt;0")-SUMIFS('17_Problemas'!$C$5:$C$25,'17_Problemas'!$A$5:$A$25,"RECALCULO_NOMINA",'17_Problemas'!$C$5:$C$25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  <hyperlink xmlns:r="http://schemas.openxmlformats.org/officeDocument/2006/relationships" ref="C20" r:id="rId18"/>
    <hyperlink xmlns:r="http://schemas.openxmlformats.org/officeDocument/2006/relationships" ref="D20" r:id="rId19"/>
    <hyperlink xmlns:r="http://schemas.openxmlformats.org/officeDocument/2006/relationships" ref="E20" r:id="rId20"/>
    <hyperlink xmlns:r="http://schemas.openxmlformats.org/officeDocument/2006/relationships" ref="B21" r:id="rId21"/>
    <hyperlink xmlns:r="http://schemas.openxmlformats.org/officeDocument/2006/relationships" ref="C21" r:id="rId22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2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Beneficios sociales y nómina</t>
        </is>
      </c>
    </row>
    <row r="12">
      <c r="A12" s="19" t="inlineStr">
        <is>
          <t>Rubro</t>
        </is>
      </c>
      <c r="B12" s="19" t="inlineStr">
        <is>
          <t>Nómina</t>
        </is>
      </c>
    </row>
    <row r="13">
      <c r="A13" s="18" t="inlineStr">
        <is>
          <t>Motor</t>
        </is>
      </c>
      <c r="B13" s="18" t="inlineStr">
        <is>
          <t>nomina_beneficios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5" customWidth="1" min="3" max="3"/>
    <col width="60" customWidth="1" min="4" max="4"/>
    <col width="40" customWidth="1" min="5" max="5"/>
    <col width="50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PAY-01</t>
        </is>
      </c>
      <c r="B5" s="18" t="inlineStr">
        <is>
          <t>Sumaria nómina–mayor–EEFF</t>
        </is>
      </c>
      <c r="C5" s="18" t="inlineStr">
        <is>
          <t>Integridad / Exactitud</t>
        </is>
      </c>
      <c r="D5" s="18" t="inlineStr">
        <is>
          <t>Conciliar remuneraciones, aportes, décimos, vacaciones, fondo de reserva y provisión actuarial con el mayor</t>
        </is>
      </c>
      <c r="E5" s="18" t="inlineStr">
        <is>
          <t>Nómina anual, mayor</t>
        </is>
      </c>
      <c r="F5" s="18" t="inlineStr">
        <is>
          <t>Diferencia dentro de tolerancia</t>
        </is>
      </c>
      <c r="G5" s="18" t="inlineStr">
        <is>
          <t>NIA 500 · NIA 330</t>
        </is>
      </c>
    </row>
    <row r="6">
      <c r="A6" s="19" t="inlineStr">
        <is>
          <t>PAY-02</t>
        </is>
      </c>
      <c r="B6" s="19" t="inlineStr">
        <is>
          <t>Recálculo de sueldos y neto</t>
        </is>
      </c>
      <c r="C6" s="19" t="inlineStr">
        <is>
          <t>Exactitud / Ocurrencia</t>
        </is>
      </c>
      <c r="D6" s="19" t="inlineStr">
        <is>
          <t>Recalcular bruto y neto por empleado con sueldo, días, horas extras y comisiones</t>
        </is>
      </c>
      <c r="E6" s="19" t="inlineStr">
        <is>
          <t>Roles de pago, contratos</t>
        </is>
      </c>
      <c r="F6" s="19" t="inlineStr">
        <is>
          <t>Registrada = recalculada</t>
        </is>
      </c>
      <c r="G6" s="19" t="inlineStr">
        <is>
          <t>NIC 19.11 · PYMES 28.3</t>
        </is>
      </c>
    </row>
    <row r="7">
      <c r="A7" s="18" t="inlineStr">
        <is>
          <t>PAY-03</t>
        </is>
      </c>
      <c r="B7" s="18" t="inlineStr">
        <is>
          <t>Horas extras</t>
        </is>
      </c>
      <c r="C7" s="18" t="inlineStr">
        <is>
          <t>Exactitud</t>
        </is>
      </c>
      <c r="D7" s="18" t="inlineStr">
        <is>
          <t>Recalcular con valor hora y recargos 50 %/100 %</t>
        </is>
      </c>
      <c r="E7" s="18" t="inlineStr">
        <is>
          <t>Marcaciones, autorizaciones</t>
        </is>
      </c>
      <c r="F7" s="18" t="inlineStr">
        <is>
          <t>Valor recalculado</t>
        </is>
      </c>
      <c r="G7" s="18" t="inlineStr">
        <is>
          <t>CT art. 55</t>
        </is>
      </c>
    </row>
    <row r="8">
      <c r="A8" s="19" t="inlineStr">
        <is>
          <t>PAY-05</t>
        </is>
      </c>
      <c r="B8" s="19" t="inlineStr">
        <is>
          <t>Aportes IESS</t>
        </is>
      </c>
      <c r="C8" s="19" t="inlineStr">
        <is>
          <t>Exactitud / Integridad</t>
        </is>
      </c>
      <c r="D8" s="19" t="inlineStr">
        <is>
          <t>Recalcular aportes personal y patronal (con IECE y SECAP) y cruzar la base con las planillas IESS</t>
        </is>
      </c>
      <c r="E8" s="19" t="inlineStr">
        <is>
          <t>Planillas y comprobantes IESS</t>
        </is>
      </c>
      <c r="F8" s="19" t="inlineStr">
        <is>
          <t>Registrado = recalculado; base planilla = nómina</t>
        </is>
      </c>
      <c r="G8" s="19" t="inlineStr">
        <is>
          <t>Ley de Seguridad Social · tabla oficial de tasas de aportación del IESS (9,45 % / 11,15 %)</t>
        </is>
      </c>
    </row>
    <row r="9">
      <c r="A9" s="18" t="inlineStr">
        <is>
          <t>PAY-07</t>
        </is>
      </c>
      <c r="B9" s="18" t="inlineStr">
        <is>
          <t>Décimo tercero y décimo cuarto</t>
        </is>
      </c>
      <c r="C9" s="18" t="inlineStr">
        <is>
          <t>Valoración / Integridad</t>
        </is>
      </c>
      <c r="D9" s="18" t="inlineStr">
        <is>
          <t>Recalcular la parte devengada al corte por empleado, período y región</t>
        </is>
      </c>
      <c r="E9" s="18" t="inlineStr">
        <is>
          <t>Nómina, formularios de pago de décimos</t>
        </is>
      </c>
      <c r="F9" s="18" t="inlineStr">
        <is>
          <t>Provisión = recalculada</t>
        </is>
      </c>
      <c r="G9" s="18" t="inlineStr">
        <is>
          <t>CT arts. 111 y 113 · NIC 19.9, 11 · PYMES 28.3–28.6</t>
        </is>
      </c>
    </row>
    <row r="10">
      <c r="A10" s="19" t="inlineStr">
        <is>
          <t>PAY-09</t>
        </is>
      </c>
      <c r="B10" s="19" t="inlineStr">
        <is>
          <t>Vacaciones</t>
        </is>
      </c>
      <c r="C10" s="19" t="inlineStr">
        <is>
          <t>Integridad / Valoración</t>
        </is>
      </c>
      <c r="D10" s="19" t="inlineStr">
        <is>
          <t>Recalcular el saldo de días y valorarlo con la remuneración diaria</t>
        </is>
      </c>
      <c r="E10" s="19" t="inlineStr">
        <is>
          <t>Registro de vacaciones</t>
        </is>
      </c>
      <c r="F10" s="19" t="inlineStr">
        <is>
          <t>Provisión = saldo × valor día</t>
        </is>
      </c>
      <c r="G10" s="19" t="inlineStr">
        <is>
          <t>CT art. 69 · NIC 19.13–16 · PYMES 28.6</t>
        </is>
      </c>
    </row>
    <row r="11">
      <c r="A11" s="18" t="inlineStr">
        <is>
          <t>PAY-10</t>
        </is>
      </c>
      <c r="B11" s="18" t="inlineStr">
        <is>
          <t>Fondo de reserva</t>
        </is>
      </c>
      <c r="C11" s="18" t="inlineStr">
        <is>
          <t>Integridad</t>
        </is>
      </c>
      <c r="D11" s="18" t="inlineStr">
        <is>
          <t>Recalcular el fondo debido desde el 13.º mes y compararlo con lo pagado o depositado</t>
        </is>
      </c>
      <c r="E11" s="18" t="inlineStr">
        <is>
          <t>Planillas IESS de fondos de reserva</t>
        </is>
      </c>
      <c r="F11" s="18" t="inlineStr">
        <is>
          <t>Pagado = debido</t>
        </is>
      </c>
      <c r="G11" s="18" t="inlineStr">
        <is>
          <t>CT art. 196</t>
        </is>
      </c>
    </row>
    <row r="12">
      <c r="A12" s="19" t="inlineStr">
        <is>
          <t>PAY-13</t>
        </is>
      </c>
      <c r="B12" s="19" t="inlineStr">
        <is>
          <t>Jubilación patronal y desahucio</t>
        </is>
      </c>
      <c r="C12" s="19" t="inlineStr">
        <is>
          <t>Valoración</t>
        </is>
      </c>
      <c r="D12" s="19" t="inlineStr">
        <is>
          <t>Comparar la provisión registrada con el DBO del informe por plan</t>
        </is>
      </c>
      <c r="E12" s="19" t="inlineStr">
        <is>
          <t>Informe actuarial</t>
        </is>
      </c>
      <c r="F12" s="19" t="inlineStr">
        <is>
          <t>Registrada = DBO</t>
        </is>
      </c>
      <c r="G12" s="19" t="inlineStr">
        <is>
          <t>NIC 19.57, 67 · PYMES 28.18 · CT arts. 185, 216</t>
        </is>
      </c>
    </row>
    <row r="13">
      <c r="A13" s="18" t="inlineStr">
        <is>
          <t>PAY-15</t>
        </is>
      </c>
      <c r="B13" s="18" t="inlineStr">
        <is>
          <t>Censo actuarial</t>
        </is>
      </c>
      <c r="C13" s="18" t="inlineStr">
        <is>
          <t>Integridad</t>
        </is>
      </c>
      <c r="D13" s="18" t="inlineStr">
        <is>
          <t>Cruzar los activos de la nómina con el censo del actuario</t>
        </is>
      </c>
      <c r="E13" s="18" t="inlineStr">
        <is>
          <t>Censo enviado al actuario</t>
        </is>
      </c>
      <c r="F13" s="18" t="inlineStr">
        <is>
          <t>Mismo número y empleados</t>
        </is>
      </c>
      <c r="G13" s="18" t="inlineStr">
        <is>
          <t>NIA 500 (experto de la dirección) · NIA 540</t>
        </is>
      </c>
    </row>
    <row r="14">
      <c r="A14" s="19" t="inlineStr">
        <is>
          <t>PAY-16</t>
        </is>
      </c>
      <c r="B14" s="19" t="inlineStr">
        <is>
          <t>DBO y movimiento del año</t>
        </is>
      </c>
      <c r="C14" s="19" t="inlineStr">
        <is>
          <t>Valoración</t>
        </is>
      </c>
      <c r="D14" s="19" t="inlineStr">
        <is>
          <t>Recalcular DBO final = inicial + servicio + intereses + pasados + nuevas mediciones − pagos</t>
        </is>
      </c>
      <c r="E14" s="19" t="inlineStr">
        <is>
          <t>Informe actuarial</t>
        </is>
      </c>
      <c r="F14" s="19" t="inlineStr">
        <is>
          <t>Recalculado = informe</t>
        </is>
      </c>
      <c r="G14" s="19" t="inlineStr">
        <is>
          <t>NIC 19.120, 140–141 · PYMES 28.41</t>
        </is>
      </c>
    </row>
    <row r="15">
      <c r="A15" s="18" t="inlineStr">
        <is>
          <t>PAY-17</t>
        </is>
      </c>
      <c r="B15" s="18" t="inlineStr">
        <is>
          <t>Supuestos actuariales</t>
        </is>
      </c>
      <c r="C15" s="18" t="inlineStr">
        <is>
          <t>Valoración</t>
        </is>
      </c>
      <c r="D15" s="18" t="inlineStr">
        <is>
          <t>Revisar tasa de descuento, incremento salarial, rotación y mortalidad</t>
        </is>
      </c>
      <c r="E15" s="18" t="inlineStr">
        <is>
          <t>Informe actuarial</t>
        </is>
      </c>
      <c r="F15" s="18" t="inlineStr">
        <is>
          <t>Supuestos sustentados</t>
        </is>
      </c>
      <c r="G15" s="18" t="inlineStr">
        <is>
          <t>NIC 19.75–98 · PYMES 28.17 (tasa) y 28.18 (supuestos actuariales) · NIA 540</t>
        </is>
      </c>
    </row>
    <row r="16">
      <c r="A16" s="19" t="inlineStr">
        <is>
          <t>PAY-18</t>
        </is>
      </c>
      <c r="B16" s="19" t="inlineStr">
        <is>
          <t>Resultados y ORI por marco</t>
        </is>
      </c>
      <c r="C16" s="19" t="inlineStr">
        <is>
          <t>Presentación</t>
        </is>
      </c>
      <c r="D16" s="19" t="inlineStr">
        <is>
          <t>Verificar el destino de las nuevas mediciones según el marco y la política</t>
        </is>
      </c>
      <c r="E16" s="19" t="inlineStr">
        <is>
          <t>Asientos del cierre</t>
        </is>
      </c>
      <c r="F16" s="19" t="inlineStr">
        <is>
          <t>Completas: ORI; PYMES: política 28.24</t>
        </is>
      </c>
      <c r="G16" s="19" t="inlineStr">
        <is>
          <t>NIC 19.120 c, 127–130 · PYMES 28.24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  <col width="60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500</t>
        </is>
      </c>
      <c r="B5" s="18" t="inlineStr">
        <is>
          <t>Exactitud e integridad del anexo de empleados contra roles, planillas IESS y mayor.</t>
        </is>
      </c>
      <c r="C5" s="18" t="inlineStr">
        <is>
          <t>párr. 9</t>
        </is>
      </c>
      <c r="D5" s="18" t="inlineStr"/>
      <c r="E5" s="18" t="inlineStr"/>
    </row>
    <row r="6">
      <c r="A6" s="19" t="inlineStr">
        <is>
          <t>NIA · NIA 500 A23 (recálculo) · NIA 330</t>
        </is>
      </c>
      <c r="B6" s="19" t="inlineStr">
        <is>
          <t>Recálculo sustantivo de la nómina y de las provisiones laborales.</t>
        </is>
      </c>
      <c r="C6" s="19" t="inlineStr">
        <is>
          <t>párr. 18</t>
        </is>
      </c>
      <c r="D6" s="19" t="inlineStr"/>
      <c r="E6" s="19" t="inlineStr"/>
    </row>
    <row r="7">
      <c r="A7" s="18" t="inlineStr">
        <is>
          <t>NIA · NIA 540 (Revisada)</t>
        </is>
      </c>
      <c r="B7" s="18" t="inlineStr">
        <is>
          <t>Estimación actuarial: método, datos (censo) y supuestos.</t>
        </is>
      </c>
      <c r="C7" s="18" t="inlineStr">
        <is>
          <t>párr. 13, 18</t>
        </is>
      </c>
      <c r="D7" s="18" t="inlineStr"/>
      <c r="E7" s="18" t="inlineStr"/>
    </row>
    <row r="8">
      <c r="A8" s="19" t="inlineStr">
        <is>
          <t>NIA · NIA 500</t>
        </is>
      </c>
      <c r="B8" s="19" t="inlineStr">
        <is>
          <t>Uso del trabajo del actuario (experto de la dirección): competencia, objetividad, datos fuente.</t>
        </is>
      </c>
      <c r="C8" s="19" t="inlineStr">
        <is>
          <t>párr. 8 (experto de la dirección; NIA 620 solo si lo contrata el auditor)</t>
        </is>
      </c>
      <c r="D8" s="19" t="inlineStr"/>
      <c r="E8" s="19" t="inlineStr"/>
    </row>
    <row r="9">
      <c r="A9" s="18" t="inlineStr">
        <is>
          <t>NIA · NIA 330</t>
        </is>
      </c>
      <c r="B9" s="18" t="inlineStr">
        <is>
          <t>Procedimientos sustantivos sobre gasto y pasivos laborales materiales.</t>
        </is>
      </c>
      <c r="C9" s="18" t="inlineStr">
        <is>
          <t>párr. 18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Remuneraciones registradas en la nómina</t>
        </is>
      </c>
      <c r="B5" s="20">
        <f>'15_Conciliacion_GL'!B5</f>
        <v/>
      </c>
    </row>
    <row r="6">
      <c r="A6" s="19" t="inlineStr">
        <is>
          <t>Remuneraciones recalculadas</t>
        </is>
      </c>
      <c r="B6" s="21">
        <f>'15_Conciliacion_GL'!C5</f>
        <v/>
      </c>
    </row>
    <row r="7">
      <c r="A7" s="18" t="inlineStr">
        <is>
          <t>Diferencia registrada − recalculada</t>
        </is>
      </c>
      <c r="B7" s="20">
        <f>'15_Conciliacion_GL'!F5</f>
        <v/>
      </c>
    </row>
    <row r="8">
      <c r="A8" s="19" t="inlineStr">
        <is>
          <t>Diferencia nómina − mayor (remuneraciones)</t>
        </is>
      </c>
      <c r="B8" s="21">
        <f>'15_Conciliacion_GL'!E5</f>
        <v/>
      </c>
    </row>
    <row r="9">
      <c r="A9" s="18" t="inlineStr">
        <is>
          <t>Diferencia aporte personal IESS (registrado − recalculado)</t>
        </is>
      </c>
      <c r="B9" s="20">
        <f>SUM('07_IESS'!$G$5:$G$12)</f>
        <v/>
      </c>
    </row>
    <row r="10">
      <c r="A10" s="19" t="inlineStr">
        <is>
          <t>Aporte patronal IESS recalculado</t>
        </is>
      </c>
      <c r="B10" s="21">
        <f>'15_Conciliacion_GL'!C6</f>
        <v/>
      </c>
    </row>
    <row r="11">
      <c r="A11" s="18" t="inlineStr">
        <is>
          <t>Décimo tercero por pagar recalculado</t>
        </is>
      </c>
      <c r="B11" s="20">
        <f>'15_Conciliacion_GL'!C7</f>
        <v/>
      </c>
    </row>
    <row r="12">
      <c r="A12" s="19" t="inlineStr">
        <is>
          <t>Décimo cuarto por pagar recalculado</t>
        </is>
      </c>
      <c r="B12" s="21">
        <f>'15_Conciliacion_GL'!C8</f>
        <v/>
      </c>
    </row>
    <row r="13">
      <c r="A13" s="18" t="inlineStr">
        <is>
          <t>Provisión de vacaciones recalculada</t>
        </is>
      </c>
      <c r="B13" s="20">
        <f>'15_Conciliacion_GL'!C9</f>
        <v/>
      </c>
    </row>
    <row r="14">
      <c r="A14" s="19" t="inlineStr">
        <is>
          <t>Fondo de reserva debido en el ejercicio</t>
        </is>
      </c>
      <c r="B14" s="21">
        <f>'15_Conciliacion_GL'!C10</f>
        <v/>
      </c>
    </row>
    <row r="15">
      <c r="A15" s="18" t="inlineStr">
        <is>
          <t>Obligación post-empleo según informe actuarial</t>
        </is>
      </c>
      <c r="B15" s="20">
        <f>'15_Conciliacion_GL'!C11</f>
        <v/>
      </c>
    </row>
    <row r="16">
      <c r="A16" s="19" t="inlineStr">
        <is>
          <t>Provisión post-empleo registrada</t>
        </is>
      </c>
      <c r="B16" s="21">
        <f>'15_Conciliacion_GL'!B11</f>
        <v/>
      </c>
    </row>
    <row r="17">
      <c r="A17" s="18" t="inlineStr">
        <is>
          <t>Gasto post-empleo en resultados</t>
        </is>
      </c>
      <c r="B17" s="20">
        <f>SUM('13_Resultados_ORI'!$B$5:$B$6)</f>
        <v/>
      </c>
    </row>
    <row r="18">
      <c r="A18" s="19" t="inlineStr">
        <is>
          <t>Nuevas mediciones en ORI</t>
        </is>
      </c>
      <c r="B18" s="21">
        <f>SUM('13_Resultados_ORI'!$C$5:$C$6)</f>
        <v/>
      </c>
    </row>
    <row r="19">
      <c r="A19" s="18" t="inlineStr">
        <is>
          <t>Desahucio legal referencial de los activos (no es el DBO; base: última remuneración mensual = sueldo + promedio mensual de horas extras y comisiones, CT arts. 185 y 95)</t>
        </is>
      </c>
      <c r="B19" s="20">
        <f>SUM('14_Censo_actuarial'!$H$5:$H$11)</f>
        <v/>
      </c>
    </row>
    <row r="20">
      <c r="A20" s="19" t="inlineStr">
        <is>
          <t>Ajuste propuesto a pasivos laborales (+ aumenta el pasivo)</t>
        </is>
      </c>
      <c r="B20" s="21">
        <f>'16_Ajustes'!B11</f>
        <v/>
      </c>
    </row>
    <row r="22">
      <c r="A22" s="22" t="inlineStr">
        <is>
          <t>ⓘ  Cómo se calcula esta hoja</t>
        </is>
      </c>
    </row>
    <row r="23">
      <c r="A23" s="23" t="inlineStr">
        <is>
          <t>Columna</t>
        </is>
      </c>
      <c r="B23" s="23" t="inlineStr">
        <is>
          <t>Fórmula (Excel)</t>
        </is>
      </c>
      <c r="C23" s="23" t="inlineStr">
        <is>
          <t>Cómo se calcula (sencillo)</t>
        </is>
      </c>
      <c r="D23" s="23" t="inlineStr">
        <is>
          <t>Ejemplo con números reales</t>
        </is>
      </c>
      <c r="E23" s="23" t="inlineStr">
        <is>
          <t>De dónde viene</t>
        </is>
      </c>
      <c r="F23" s="23" t="inlineStr">
        <is>
          <t>Norma</t>
        </is>
      </c>
    </row>
    <row r="24">
      <c r="A24" s="24" t="inlineStr">
        <is>
          <t>Importe</t>
        </is>
      </c>
      <c r="B24" s="25" t="inlineStr">
        <is>
          <t>'='15_Conciliacion_GL'!B5</t>
        </is>
      </c>
      <c r="C24" s="24" t="inlineStr">
        <is>
          <t>Trae cada total de la hoja donde se calcula, concepto por concepto: remuneraciones, aportes, décimos, vacaciones, fondo de reserva y obligación actuarial salen de la hoja 15 (Conciliación nómina–mayor); la diferencia de aporte personal suma la hoja 07 (Aportes IESS), el gasto y el ORI suman la hoja 13, el desahucio referencial suma la hoja 14 y el ajuste es el total de la hoja 16 (Ajustes propuestos).</t>
        </is>
      </c>
      <c r="D24" s="24" t="inlineStr">
        <is>
          <t>Fila 1: 95.300,00 → 95.300,00</t>
        </is>
      </c>
      <c r="E24" s="24" t="inlineStr">
        <is>
          <t>hoja «Conciliación nómina–mayor»</t>
        </is>
      </c>
      <c r="F24" s="24" t="inlineStr">
        <is>
          <t>—</t>
        </is>
      </c>
    </row>
  </sheetData>
  <mergeCells count="3">
    <mergeCell ref="A2:F2"/>
    <mergeCell ref="A22:F2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Inicio del ejercicio</t>
        </is>
      </c>
      <c r="B6" s="27" t="n">
        <v>45658</v>
      </c>
      <c r="C6" s="19" t="inlineStr">
        <is>
          <t>1 de enero del año del corte</t>
        </is>
      </c>
    </row>
    <row r="7">
      <c r="A7" s="18" t="inlineStr">
        <is>
          <t>Marco contable</t>
        </is>
      </c>
      <c r="B7" s="18" t="inlineStr">
        <is>
          <t>NIIF completas</t>
        </is>
      </c>
      <c r="C7" s="18" t="inlineStr">
        <is>
          <t>Enruta el destino de las nuevas mediciones actuariales</t>
        </is>
      </c>
    </row>
    <row r="8">
      <c r="A8" s="19" t="inlineStr">
        <is>
          <t>Edición PYMES</t>
        </is>
      </c>
      <c r="B8" s="19" t="inlineStr"/>
      <c r="C8" s="19" t="inlineStr">
        <is>
          <t>Sección 28: igual en 28.3–28.18 y 28.24; cambian 28.19 (2025 añade supuesto de terminación a la fecha y sin descuento) y 28.41 e) (conciliación por componentes)</t>
        </is>
      </c>
    </row>
    <row r="9">
      <c r="A9" s="18" t="inlineStr">
        <is>
          <t>Nuevas mediciones van a</t>
        </is>
      </c>
      <c r="B9" s="18" t="inlineStr">
        <is>
          <t>ORI</t>
        </is>
      </c>
      <c r="C9" s="18" t="inlineStr">
        <is>
          <t>NIC 19.120 c y 127–130: ORI</t>
        </is>
      </c>
    </row>
    <row r="10">
      <c r="A10" s="19" t="inlineStr">
        <is>
          <t>SBU (USD)</t>
        </is>
      </c>
      <c r="B10" s="28" t="n">
        <v>470</v>
      </c>
      <c r="C10" s="19" t="inlineStr">
        <is>
          <t>SBU 2025 = 470,00 (Acuerdo Ministerial MDT-2024-300, desde el 1-1-2025) y 2026 = 482,00 (MDT-2025-195, desde el 1-1-2026). Décimo cuarto, CT art. 113: 1/12 de la RBU por mes; pago acumulado hasta el 15-mar (Costa e Insular) o 15-ago (Sierra y Amazónica). La regla «se paga con el SBU vigente a la fecha de pago» es práctica ministerial, no consta en el art. 113 — confirmar que sigue vigente al corte</t>
        </is>
      </c>
    </row>
    <row r="11">
      <c r="A11" s="18" t="inlineStr">
        <is>
          <t>SBU vigente a la fecha de pago del décimo cuarto (USD)</t>
        </is>
      </c>
      <c r="B11" s="18" t="n"/>
      <c r="C11" s="18" t="inlineStr">
        <is>
          <t>Opcional. Si se informa, la provisión del décimo cuarto se mide con este SBU (NIC 19.11 · PYMES 28.5: importe sin descontar que se espera pagar); si se deja vacío se usa el SBU del corte y se emite un problema — confirmar que sigue vigente al corte</t>
        </is>
      </c>
    </row>
    <row r="12">
      <c r="A12" s="19" t="inlineStr">
        <is>
          <t>SBU aplicado al décimo cuarto</t>
        </is>
      </c>
      <c r="B12" s="28">
        <f>IF('02_Parametros'!$B$11="",'02_Parametros'!$B$10,'02_Parametros'!$B$11)</f>
        <v/>
      </c>
      <c r="C12" s="19" t="inlineStr">
        <is>
          <t>El de la fecha de pago si se informó; si no, el del corte</t>
        </is>
      </c>
    </row>
    <row r="13">
      <c r="A13" s="18" t="inlineStr">
        <is>
          <t>Aporte personal IESS (%)</t>
        </is>
      </c>
      <c r="B13" s="29" t="n">
        <v>9.449999999999999</v>
      </c>
      <c r="C13" s="18" t="inlineStr">
        <is>
          <t>Tabla oficial de tasas de aportación del IESS: 9,45 % del sector privado — confirmar que sigue vigente al corte</t>
        </is>
      </c>
    </row>
    <row r="14">
      <c r="A14" s="19" t="inlineStr">
        <is>
          <t>Aporte patronal IESS (%)</t>
        </is>
      </c>
      <c r="B14" s="28" t="n">
        <v>11.15</v>
      </c>
      <c r="C14" s="19" t="inlineStr">
        <is>
          <t>Tabla oficial de tasas de aportación del IESS: 11,15 % del sector privado — confirmar que sigue vigente al corte</t>
        </is>
      </c>
    </row>
    <row r="15">
      <c r="A15" s="18" t="inlineStr">
        <is>
          <t>0,5 % ex IECE (%)</t>
        </is>
      </c>
      <c r="B15" s="29" t="n">
        <v>0.5</v>
      </c>
      <c r="C15" s="18" t="inlineStr">
        <is>
          <t>COMF, disposición general décima primera: 1 % de las planillas del IESS (0,5 % IECE + 0,5 % SECAP) — confirmar que sigue vigente al corte</t>
        </is>
      </c>
    </row>
    <row r="16">
      <c r="A16" s="19" t="inlineStr">
        <is>
          <t>SECAP (%)</t>
        </is>
      </c>
      <c r="B16" s="28" t="n">
        <v>0.5</v>
      </c>
      <c r="C16" s="19" t="inlineStr">
        <is>
          <t>COMF, disposición general décima primera: el 0,5 % del SECAP va a la Cuenta Única del Tesoro desde el 1-1-2015 — confirmar que sigue vigente al corte</t>
        </is>
      </c>
    </row>
    <row r="17">
      <c r="A17" s="18" t="inlineStr">
        <is>
          <t>Fondo de reserva (%)</t>
        </is>
      </c>
      <c r="B17" s="29" t="n">
        <v>8.33</v>
      </c>
      <c r="C17" s="18" t="inlineStr">
        <is>
          <t>CT arts. 196 y 201; R.O. Suplemento 644 de 29-07-2009 — confirmar que sigue vigente al corte</t>
        </is>
      </c>
    </row>
    <row r="18">
      <c r="A18" s="19" t="inlineStr">
        <is>
          <t>Días de vacaciones por año</t>
        </is>
      </c>
      <c r="B18" s="28" t="n">
        <v>15</v>
      </c>
      <c r="C18" s="19" t="inlineStr">
        <is>
          <t>CT art. 69 — confirmar que sigue vigente al corte</t>
        </is>
      </c>
    </row>
    <row r="19">
      <c r="A19" s="18" t="inlineStr">
        <is>
          <t>Años para día adicional</t>
        </is>
      </c>
      <c r="B19" s="29" t="n">
        <v>5</v>
      </c>
      <c r="C19" s="18" t="inlineStr">
        <is>
          <t>CT art. 69 — confirmar que sigue vigente al corte</t>
        </is>
      </c>
    </row>
    <row r="20">
      <c r="A20" s="19" t="inlineStr">
        <is>
          <t>Máximo días adicionales</t>
        </is>
      </c>
      <c r="B20" s="28" t="n">
        <v>15</v>
      </c>
      <c r="C20" s="19" t="inlineStr">
        <is>
          <t>CT art. 69 — confirmar que sigue vigente al corte</t>
        </is>
      </c>
    </row>
    <row r="21">
      <c r="A21" s="18" t="inlineStr">
        <is>
          <t>Horas del mes (valor hora)</t>
        </is>
      </c>
      <c r="B21" s="29" t="n">
        <v>240</v>
      </c>
      <c r="C21" s="18" t="inlineStr">
        <is>
          <t>240 = 8 h × 30 días (jornada CT art. 47; cifra expresa en CT art. 224 num. 5) — confirmar que sigue vigente al corte</t>
        </is>
      </c>
    </row>
    <row r="22">
      <c r="A22" s="19" t="inlineStr">
        <is>
          <t>Recargo suplementarias (%)</t>
        </is>
      </c>
      <c r="B22" s="28" t="n">
        <v>50</v>
      </c>
      <c r="C22" s="19" t="inlineStr">
        <is>
          <t>CT art. 55 — confirmar que sigue vigente al corte</t>
        </is>
      </c>
    </row>
    <row r="23">
      <c r="A23" s="18" t="inlineStr">
        <is>
          <t>Recargo extraordinarias (%)</t>
        </is>
      </c>
      <c r="B23" s="29" t="n">
        <v>100</v>
      </c>
      <c r="C23" s="18" t="inlineStr">
        <is>
          <t>CT art. 55 — confirmar que sigue vigente al corte</t>
        </is>
      </c>
    </row>
    <row r="24">
      <c r="A24" s="19" t="inlineStr">
        <is>
          <t>Desahucio (% por año)</t>
        </is>
      </c>
      <c r="B24" s="28" t="n">
        <v>25</v>
      </c>
      <c r="C24" s="19" t="inlineStr">
        <is>
          <t>25 % × última remuneración mensual × años (CT art. 185; remuneración según art. 95) — confirmar que sigue vigente al corte</t>
        </is>
      </c>
    </row>
    <row r="25">
      <c r="A25" s="18" t="inlineStr">
        <is>
          <t>Región por defecto</t>
        </is>
      </c>
      <c r="B25" s="18" t="inlineStr">
        <is>
          <t>Sierra/Oriente</t>
        </is>
      </c>
      <c r="C25" s="18" t="inlineStr">
        <is>
          <t>Para empleados sin región</t>
        </is>
      </c>
    </row>
    <row r="26">
      <c r="A26" s="19" t="inlineStr">
        <is>
          <t>Mes de inicio décimo tercero</t>
        </is>
      </c>
      <c r="B26" s="28" t="n">
        <v>12</v>
      </c>
      <c r="C26" s="19" t="inlineStr">
        <is>
          <t>CT art. 111: doceava parte de lo percibido en el año calendario; pago acumulado hasta el 24 de diciembre. El período dic–nov es práctica ministerial — confirmar que sigue vigente al corte</t>
        </is>
      </c>
    </row>
    <row r="27">
      <c r="A27" s="18" t="inlineStr">
        <is>
          <t>Inicio del período décimo tercero</t>
        </is>
      </c>
      <c r="B27" s="26" t="n">
        <v>45992</v>
      </c>
      <c r="C27" s="18" t="inlineStr">
        <is>
          <t>Derivado del corte y del mes de inicio</t>
        </is>
      </c>
    </row>
    <row r="28">
      <c r="A28" s="19" t="inlineStr">
        <is>
          <t>Mes de inicio décimo cuarto Sierra/Oriente</t>
        </is>
      </c>
      <c r="B28" s="28" t="n">
        <v>8</v>
      </c>
      <c r="C28" s="19" t="inlineStr">
        <is>
          <t>CT art. 113: pago acumulado hasta el 15 de agosto (Sierra y Amazónica); el período ago–jul es práctica ministerial — confirmar que sigue vigente al corte</t>
        </is>
      </c>
    </row>
    <row r="29">
      <c r="A29" s="18" t="inlineStr">
        <is>
          <t>Inicio del período décimo cuarto Sierra/Oriente</t>
        </is>
      </c>
      <c r="B29" s="26" t="n">
        <v>45870</v>
      </c>
      <c r="C29" s="18" t="inlineStr">
        <is>
          <t>Derivado del corte y del mes de inicio</t>
        </is>
      </c>
    </row>
    <row r="30">
      <c r="A30" s="19" t="inlineStr">
        <is>
          <t>Mes de inicio décimo cuarto Costa/Galápagos</t>
        </is>
      </c>
      <c r="B30" s="28" t="n">
        <v>3</v>
      </c>
      <c r="C30" s="19" t="inlineStr">
        <is>
          <t>CT art. 113: pago acumulado hasta el 15 de marzo (Costa e Insular); el período mar–feb es práctica ministerial — confirmar que sigue vigente al corte</t>
        </is>
      </c>
    </row>
    <row r="31">
      <c r="A31" s="18" t="inlineStr">
        <is>
          <t>Inicio del período décimo cuarto Costa/Galápagos</t>
        </is>
      </c>
      <c r="B31" s="26" t="n">
        <v>45717</v>
      </c>
      <c r="C31" s="18" t="inlineStr">
        <is>
          <t>Derivado del corte y del mes de inicio</t>
        </is>
      </c>
    </row>
    <row r="32">
      <c r="A32" s="19" t="inlineStr">
        <is>
          <t>PYMES: actuariales en</t>
        </is>
      </c>
      <c r="B32" s="19" t="inlineStr">
        <is>
          <t>ORI</t>
        </is>
      </c>
      <c r="C32" s="19" t="inlineStr">
        <is>
          <t>Política contable (Sección 28.24); en NIIF completas no aplica</t>
        </is>
      </c>
    </row>
    <row r="33">
      <c r="A33" s="18" t="inlineStr">
        <is>
          <t>Tolerancia (importe)</t>
        </is>
      </c>
      <c r="B33" s="29" t="n">
        <v>1</v>
      </c>
      <c r="C33" s="18" t="inlineStr">
        <is>
          <t>Materialidad de ejecución</t>
        </is>
      </c>
    </row>
    <row r="34">
      <c r="A34" s="19" t="inlineStr">
        <is>
          <t>Mayor: gasto de remuneraciones (sueldos, horas extras, comisiones)</t>
        </is>
      </c>
      <c r="B34" s="28" t="n">
        <v>95300</v>
      </c>
      <c r="C34" s="19" t="inlineStr">
        <is>
          <t>Mayor contable</t>
        </is>
      </c>
    </row>
    <row r="35">
      <c r="A35" s="18" t="inlineStr">
        <is>
          <t>Mayor: gasto aporte patronal IESS</t>
        </is>
      </c>
      <c r="B35" s="29" t="n">
        <v>11578.96</v>
      </c>
      <c r="C35" s="18" t="inlineStr">
        <is>
          <t>Mayor contable</t>
        </is>
      </c>
    </row>
    <row r="36">
      <c r="A36" s="19" t="inlineStr">
        <is>
          <t>Mayor: décimo tercero por pagar</t>
        </is>
      </c>
      <c r="B36" s="28" t="n">
        <v>600</v>
      </c>
      <c r="C36" s="19" t="inlineStr">
        <is>
          <t>Mayor contable</t>
        </is>
      </c>
    </row>
    <row r="37">
      <c r="A37" s="18" t="inlineStr">
        <is>
          <t>Mayor: décimo cuarto por pagar</t>
        </is>
      </c>
      <c r="B37" s="29" t="n">
        <v>1566.66</v>
      </c>
      <c r="C37" s="18" t="inlineStr">
        <is>
          <t>Mayor contable</t>
        </is>
      </c>
    </row>
    <row r="38">
      <c r="A38" s="19" t="inlineStr">
        <is>
          <t>Mayor: provisión de vacaciones</t>
        </is>
      </c>
      <c r="B38" s="28" t="n">
        <v>5286.34</v>
      </c>
      <c r="C38" s="19" t="inlineStr">
        <is>
          <t>Mayor contable</t>
        </is>
      </c>
    </row>
    <row r="39">
      <c r="A39" s="18" t="inlineStr">
        <is>
          <t>Mayor: gasto fondo de reserva</t>
        </is>
      </c>
      <c r="B39" s="18" t="n"/>
      <c r="C39" s="18" t="inlineStr">
        <is>
          <t>Mayor contable</t>
        </is>
      </c>
    </row>
    <row r="40">
      <c r="A40" s="19" t="inlineStr">
        <is>
          <t>Mayor: provisión jubilación patronal y desahucio</t>
        </is>
      </c>
      <c r="B40" s="19" t="n"/>
      <c r="C40" s="19" t="inlineStr">
        <is>
          <t>Mayor contable</t>
        </is>
      </c>
    </row>
    <row r="42">
      <c r="A42" s="22" t="inlineStr">
        <is>
          <t>ⓘ  Cómo se calcula esta hoja</t>
        </is>
      </c>
    </row>
    <row r="43">
      <c r="A43" s="23" t="inlineStr">
        <is>
          <t>Columna</t>
        </is>
      </c>
      <c r="B43" s="23" t="inlineStr">
        <is>
          <t>Fórmula (Excel)</t>
        </is>
      </c>
      <c r="C43" s="23" t="inlineStr">
        <is>
          <t>Cómo se calcula (sencillo)</t>
        </is>
      </c>
      <c r="D43" s="23" t="inlineStr">
        <is>
          <t>Ejemplo con números reales</t>
        </is>
      </c>
      <c r="E43" s="23" t="inlineStr">
        <is>
          <t>De dónde viene</t>
        </is>
      </c>
      <c r="F43" s="23" t="inlineStr">
        <is>
          <t>Norma</t>
        </is>
      </c>
    </row>
    <row r="44">
      <c r="A44" s="24" t="inlineStr">
        <is>
          <t>Valor</t>
        </is>
      </c>
      <c r="B44" s="25" t="inlineStr">
        <is>
          <t>'=IF('02_Parametros'!$B$11="",'02_Parametros'!$B$10,'02_Parametros'!$B$11)</t>
        </is>
      </c>
      <c r="C44" s="24" t="inlineStr">
        <is>
          <t>Casi todos son datos del encargo; la fila del SBU aplicado al décimo cuarto es una fórmula: usa el «SBU vigente a la fecha de pago del décimo cuarto» (fila anterior) y, si está vacío, el «SBU (USD)» del ejercicio.</t>
        </is>
      </c>
      <c r="D44" s="24" t="inlineStr">
        <is>
          <t>Fila 8: IF((vacío)=""; 470,00; (vacío)) → 470,00</t>
        </is>
      </c>
      <c r="E44" s="24" t="inlineStr">
        <is>
          <t>hoja «Parámetros»</t>
        </is>
      </c>
      <c r="F44" s="24" t="inlineStr">
        <is>
          <t>—</t>
        </is>
      </c>
    </row>
  </sheetData>
  <mergeCells count="3">
    <mergeCell ref="A2:F2"/>
    <mergeCell ref="A1:F1"/>
    <mergeCell ref="A42:F42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7" customWidth="1" min="5" max="5"/>
    <col width="16" customWidth="1" min="6" max="6"/>
    <col width="12" customWidth="1" min="7" max="7"/>
    <col width="13" customWidth="1" min="8" max="8"/>
    <col width="26" customWidth="1" min="9" max="9"/>
    <col width="20" customWidth="1" min="10" max="10"/>
    <col width="31" customWidth="1" min="11" max="11"/>
    <col width="19" customWidth="1" min="12" max="12"/>
    <col width="13" customWidth="1" min="13" max="13"/>
    <col width="21" customWidth="1" min="14" max="14"/>
    <col width="28" customWidth="1" min="15" max="15"/>
    <col width="28" customWidth="1" min="16" max="16"/>
    <col width="18" customWidth="1" min="17" max="17"/>
    <col width="18" customWidth="1" min="18" max="18"/>
    <col width="18" customWidth="1" min="19" max="19"/>
    <col width="18" customWidth="1" min="20" max="20"/>
    <col width="31" customWidth="1" min="21" max="21"/>
    <col width="14" customWidth="1" min="22" max="22"/>
    <col width="26" customWidth="1" min="23" max="23"/>
    <col width="25" customWidth="1" min="24" max="24"/>
    <col width="22" customWidth="1" min="25" max="25"/>
  </cols>
  <sheetData>
    <row r="1">
      <c r="A1" s="3" t="inlineStr">
        <is>
          <t>Empleados (datos del cliente)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</row>
    <row r="4" ht="30" customHeight="1">
      <c r="A4" s="17" t="inlineStr">
        <is>
          <t>Cédula/código</t>
        </is>
      </c>
      <c r="B4" s="17" t="inlineStr">
        <is>
          <t>Nombre</t>
        </is>
      </c>
      <c r="C4" s="17" t="inlineStr">
        <is>
          <t>Ingreso</t>
        </is>
      </c>
      <c r="D4" s="17" t="inlineStr">
        <is>
          <t>Salida</t>
        </is>
      </c>
      <c r="E4" s="17" t="inlineStr">
        <is>
          <t>Región</t>
        </is>
      </c>
      <c r="F4" s="17" t="inlineStr">
        <is>
          <t>Sueldo mensual</t>
        </is>
      </c>
      <c r="G4" s="17" t="inlineStr">
        <is>
          <t>Horas 50 %</t>
        </is>
      </c>
      <c r="H4" s="17" t="inlineStr">
        <is>
          <t>Horas 100 %</t>
        </is>
      </c>
      <c r="I4" s="17" t="inlineStr">
        <is>
          <t>Horas extras registradas</t>
        </is>
      </c>
      <c r="J4" s="17" t="inlineStr">
        <is>
          <t>Comisiones y bonos</t>
        </is>
      </c>
      <c r="K4" s="17" t="inlineStr">
        <is>
          <t>Remuneración anual registrada</t>
        </is>
      </c>
      <c r="L4" s="17" t="inlineStr">
        <is>
          <t>Otras deducciones</t>
        </is>
      </c>
      <c r="M4" s="17" t="inlineStr">
        <is>
          <t>Neto pagado</t>
        </is>
      </c>
      <c r="N4" s="17" t="inlineStr">
        <is>
          <t>Base planillas IESS</t>
        </is>
      </c>
      <c r="O4" s="17" t="inlineStr">
        <is>
          <t>Aporte personal registrado</t>
        </is>
      </c>
      <c r="P4" s="17" t="inlineStr">
        <is>
          <t>Aporte patronal registrado</t>
        </is>
      </c>
      <c r="Q4" s="17" t="inlineStr">
        <is>
          <t>D13 mensualizado</t>
        </is>
      </c>
      <c r="R4" s="17" t="inlineStr">
        <is>
          <t>D14 mensualizado</t>
        </is>
      </c>
      <c r="S4" s="17" t="inlineStr">
        <is>
          <t>D13 provisionado</t>
        </is>
      </c>
      <c r="T4" s="17" t="inlineStr">
        <is>
          <t>D14 provisionado</t>
        </is>
      </c>
      <c r="U4" s="17" t="inlineStr">
        <is>
          <t>Saldo inicial días vacaciones</t>
        </is>
      </c>
      <c r="V4" s="17" t="inlineStr">
        <is>
          <t>Días gozados</t>
        </is>
      </c>
      <c r="W4" s="17" t="inlineStr">
        <is>
          <t>Vacaciones provisionadas</t>
        </is>
      </c>
      <c r="X4" s="17" t="inlineStr">
        <is>
          <t>Fondo de reserva pagado</t>
        </is>
      </c>
      <c r="Y4" s="17" t="inlineStr">
        <is>
          <t>En estudio actuarial</t>
        </is>
      </c>
    </row>
    <row r="5">
      <c r="A5" s="18" t="inlineStr">
        <is>
          <t>E01</t>
        </is>
      </c>
      <c r="B5" s="18" t="inlineStr">
        <is>
          <t>Ana Pérez</t>
        </is>
      </c>
      <c r="C5" s="30" t="n">
        <v>42064</v>
      </c>
      <c r="D5" s="31" t="n"/>
      <c r="E5" s="18" t="inlineStr">
        <is>
          <t>Sierra/Oriente</t>
        </is>
      </c>
      <c r="F5" s="20" t="n">
        <v>1200</v>
      </c>
      <c r="G5" s="20" t="n">
        <v>20</v>
      </c>
      <c r="H5" s="20" t="n">
        <v>10</v>
      </c>
      <c r="I5" s="20" t="n">
        <v>250</v>
      </c>
      <c r="J5" s="20" t="n"/>
      <c r="K5" s="20" t="n">
        <v>14650</v>
      </c>
      <c r="L5" s="20" t="n">
        <v>300</v>
      </c>
      <c r="M5" s="20" t="n">
        <v>12965.58</v>
      </c>
      <c r="N5" s="20" t="n">
        <v>14650</v>
      </c>
      <c r="O5" s="20" t="n">
        <v>1384.43</v>
      </c>
      <c r="P5" s="20" t="n">
        <v>1779.98</v>
      </c>
      <c r="Q5" s="18" t="inlineStr">
        <is>
          <t>No</t>
        </is>
      </c>
      <c r="R5" s="18" t="inlineStr">
        <is>
          <t>No</t>
        </is>
      </c>
      <c r="S5" s="20" t="n">
        <v>101.74</v>
      </c>
      <c r="T5" s="20" t="n">
        <v>195.83</v>
      </c>
      <c r="U5" s="20" t="n">
        <v>10</v>
      </c>
      <c r="V5" s="20" t="n">
        <v>15</v>
      </c>
      <c r="W5" s="20" t="n">
        <v>610.42</v>
      </c>
      <c r="X5" s="20" t="n">
        <v>1220.35</v>
      </c>
      <c r="Y5" s="18" t="inlineStr">
        <is>
          <t>Sí</t>
        </is>
      </c>
    </row>
    <row r="6">
      <c r="A6" s="19" t="inlineStr">
        <is>
          <t>E02</t>
        </is>
      </c>
      <c r="B6" s="19" t="inlineStr">
        <is>
          <t>Bruno Salazar</t>
        </is>
      </c>
      <c r="C6" s="32" t="n">
        <v>43997</v>
      </c>
      <c r="D6" s="33" t="n"/>
      <c r="E6" s="19" t="inlineStr">
        <is>
          <t>Costa/Galápagos</t>
        </is>
      </c>
      <c r="F6" s="21" t="n">
        <v>800</v>
      </c>
      <c r="G6" s="21" t="n"/>
      <c r="H6" s="21" t="n"/>
      <c r="I6" s="21" t="n">
        <v>120</v>
      </c>
      <c r="J6" s="21" t="n">
        <v>600</v>
      </c>
      <c r="K6" s="21" t="n">
        <v>10320</v>
      </c>
      <c r="L6" s="21" t="n"/>
      <c r="M6" s="21" t="n"/>
      <c r="N6" s="21" t="n"/>
      <c r="O6" s="21" t="n">
        <v>900</v>
      </c>
      <c r="P6" s="21" t="n">
        <v>1253.88</v>
      </c>
      <c r="Q6" s="19" t="inlineStr">
        <is>
          <t>No</t>
        </is>
      </c>
      <c r="R6" s="19" t="inlineStr">
        <is>
          <t>No</t>
        </is>
      </c>
      <c r="S6" s="21" t="n">
        <v>71.67</v>
      </c>
      <c r="T6" s="21" t="n">
        <v>195.83</v>
      </c>
      <c r="U6" s="21" t="n">
        <v>5</v>
      </c>
      <c r="V6" s="21" t="n">
        <v>15</v>
      </c>
      <c r="W6" s="21" t="n">
        <v>0</v>
      </c>
      <c r="X6" s="21" t="n">
        <v>859.66</v>
      </c>
      <c r="Y6" s="19" t="inlineStr">
        <is>
          <t>Sí</t>
        </is>
      </c>
    </row>
    <row r="7">
      <c r="A7" s="18" t="inlineStr">
        <is>
          <t>E03</t>
        </is>
      </c>
      <c r="B7" s="18" t="inlineStr">
        <is>
          <t>Carla Mora</t>
        </is>
      </c>
      <c r="C7" s="30" t="n">
        <v>45748</v>
      </c>
      <c r="D7" s="31" t="n"/>
      <c r="E7" s="18" t="inlineStr">
        <is>
          <t>Sierra/Oriente</t>
        </is>
      </c>
      <c r="F7" s="20" t="n">
        <v>600</v>
      </c>
      <c r="G7" s="20" t="n"/>
      <c r="H7" s="20" t="n"/>
      <c r="I7" s="20" t="n"/>
      <c r="J7" s="20" t="n"/>
      <c r="K7" s="20" t="n">
        <v>5400</v>
      </c>
      <c r="L7" s="20" t="n"/>
      <c r="M7" s="20" t="n"/>
      <c r="N7" s="20" t="n"/>
      <c r="O7" s="20" t="n">
        <v>510.3</v>
      </c>
      <c r="P7" s="20" t="n">
        <v>656.1</v>
      </c>
      <c r="Q7" s="18" t="inlineStr">
        <is>
          <t>No</t>
        </is>
      </c>
      <c r="R7" s="18" t="inlineStr">
        <is>
          <t>No</t>
        </is>
      </c>
      <c r="S7" s="20" t="n">
        <v>50</v>
      </c>
      <c r="T7" s="20" t="n">
        <v>195.83</v>
      </c>
      <c r="U7" s="20" t="n">
        <v>0</v>
      </c>
      <c r="V7" s="20" t="n">
        <v>0</v>
      </c>
      <c r="W7" s="20" t="n">
        <v>225</v>
      </c>
      <c r="X7" s="20" t="n">
        <v>0</v>
      </c>
      <c r="Y7" s="18" t="inlineStr">
        <is>
          <t>No</t>
        </is>
      </c>
    </row>
    <row r="8">
      <c r="A8" s="19" t="inlineStr">
        <is>
          <t>E04</t>
        </is>
      </c>
      <c r="B8" s="19" t="inlineStr">
        <is>
          <t>Diego Ruiz</t>
        </is>
      </c>
      <c r="C8" s="32" t="n">
        <v>43110</v>
      </c>
      <c r="D8" s="32" t="n">
        <v>45838</v>
      </c>
      <c r="E8" s="19" t="inlineStr">
        <is>
          <t>Sierra/Oriente</t>
        </is>
      </c>
      <c r="F8" s="21" t="n">
        <v>1000</v>
      </c>
      <c r="G8" s="21" t="n"/>
      <c r="H8" s="21" t="n"/>
      <c r="I8" s="21" t="n"/>
      <c r="J8" s="21" t="n"/>
      <c r="K8" s="21" t="n">
        <v>6000</v>
      </c>
      <c r="L8" s="21" t="n"/>
      <c r="M8" s="21" t="n"/>
      <c r="N8" s="21" t="n"/>
      <c r="O8" s="21" t="n">
        <v>567</v>
      </c>
      <c r="P8" s="21" t="n">
        <v>729</v>
      </c>
      <c r="Q8" s="19" t="inlineStr">
        <is>
          <t>No</t>
        </is>
      </c>
      <c r="R8" s="19" t="inlineStr">
        <is>
          <t>No</t>
        </is>
      </c>
      <c r="S8" s="21" t="n">
        <v>0</v>
      </c>
      <c r="T8" s="21" t="n">
        <v>0</v>
      </c>
      <c r="U8" s="21" t="n"/>
      <c r="V8" s="21" t="n"/>
      <c r="W8" s="21" t="n">
        <v>0</v>
      </c>
      <c r="X8" s="21" t="n">
        <v>0</v>
      </c>
      <c r="Y8" s="19" t="inlineStr"/>
    </row>
    <row r="9">
      <c r="A9" s="18" t="inlineStr">
        <is>
          <t>E05</t>
        </is>
      </c>
      <c r="B9" s="18" t="inlineStr">
        <is>
          <t>Elena Vásquez</t>
        </is>
      </c>
      <c r="C9" s="30" t="n">
        <v>40210</v>
      </c>
      <c r="D9" s="31" t="n"/>
      <c r="E9" s="18" t="inlineStr">
        <is>
          <t>Sierra/Oriente</t>
        </is>
      </c>
      <c r="F9" s="20" t="n">
        <v>2000</v>
      </c>
      <c r="G9" s="20" t="n"/>
      <c r="H9" s="20" t="n"/>
      <c r="I9" s="20" t="n"/>
      <c r="J9" s="20" t="n">
        <v>3000</v>
      </c>
      <c r="K9" s="20" t="n">
        <v>27000</v>
      </c>
      <c r="L9" s="20" t="n"/>
      <c r="M9" s="20" t="n"/>
      <c r="N9" s="20" t="n"/>
      <c r="O9" s="20" t="n">
        <v>2551.5</v>
      </c>
      <c r="P9" s="20" t="n">
        <v>3280.5</v>
      </c>
      <c r="Q9" s="18" t="inlineStr">
        <is>
          <t>No</t>
        </is>
      </c>
      <c r="R9" s="18" t="inlineStr">
        <is>
          <t>Sí</t>
        </is>
      </c>
      <c r="S9" s="20" t="n">
        <v>150</v>
      </c>
      <c r="T9" s="20" t="n">
        <v>0</v>
      </c>
      <c r="U9" s="20" t="n">
        <v>30</v>
      </c>
      <c r="V9" s="20" t="n">
        <v>25</v>
      </c>
      <c r="W9" s="20" t="n">
        <v>2250</v>
      </c>
      <c r="X9" s="20" t="n">
        <v>2249.1</v>
      </c>
      <c r="Y9" s="18" t="inlineStr">
        <is>
          <t>Sí</t>
        </is>
      </c>
    </row>
    <row r="10">
      <c r="A10" s="19" t="inlineStr">
        <is>
          <t>E06</t>
        </is>
      </c>
      <c r="B10" s="19" t="inlineStr">
        <is>
          <t>Fabián Torres</t>
        </is>
      </c>
      <c r="C10" s="32" t="n">
        <v>44805</v>
      </c>
      <c r="D10" s="33" t="n"/>
      <c r="E10" s="19" t="inlineStr">
        <is>
          <t>Costa/Galápagos</t>
        </is>
      </c>
      <c r="F10" s="21" t="n">
        <v>700</v>
      </c>
      <c r="G10" s="21" t="n">
        <v>16</v>
      </c>
      <c r="H10" s="21" t="n"/>
      <c r="I10" s="21" t="n">
        <v>90</v>
      </c>
      <c r="J10" s="21" t="n"/>
      <c r="K10" s="21" t="n">
        <v>8290</v>
      </c>
      <c r="L10" s="21" t="n">
        <v>100</v>
      </c>
      <c r="M10" s="21" t="n">
        <v>7400</v>
      </c>
      <c r="N10" s="21" t="n">
        <v>8490</v>
      </c>
      <c r="O10" s="21" t="n">
        <v>783.41</v>
      </c>
      <c r="P10" s="21" t="n">
        <v>1007.24</v>
      </c>
      <c r="Q10" s="19" t="inlineStr">
        <is>
          <t>Sí</t>
        </is>
      </c>
      <c r="R10" s="19" t="inlineStr">
        <is>
          <t>No</t>
        </is>
      </c>
      <c r="S10" s="21" t="n">
        <v>0</v>
      </c>
      <c r="T10" s="21" t="n">
        <v>391.67</v>
      </c>
      <c r="U10" s="21" t="n">
        <v>12</v>
      </c>
      <c r="V10" s="21" t="n">
        <v>10</v>
      </c>
      <c r="W10" s="21" t="n">
        <v>400.92</v>
      </c>
      <c r="X10" s="21" t="n">
        <v>707.22</v>
      </c>
      <c r="Y10" s="19" t="inlineStr">
        <is>
          <t>Sí</t>
        </is>
      </c>
    </row>
    <row r="11">
      <c r="A11" s="18" t="inlineStr">
        <is>
          <t>E07</t>
        </is>
      </c>
      <c r="B11" s="18" t="inlineStr">
        <is>
          <t>Gabriela León</t>
        </is>
      </c>
      <c r="C11" s="30" t="n">
        <v>45611</v>
      </c>
      <c r="D11" s="31" t="n"/>
      <c r="E11" s="18" t="inlineStr">
        <is>
          <t>Sierra/Oriente</t>
        </is>
      </c>
      <c r="F11" s="20" t="n">
        <v>470</v>
      </c>
      <c r="G11" s="20" t="n"/>
      <c r="H11" s="20" t="n"/>
      <c r="I11" s="20" t="n"/>
      <c r="J11" s="20" t="n"/>
      <c r="K11" s="20" t="n">
        <v>5640</v>
      </c>
      <c r="L11" s="20" t="n"/>
      <c r="M11" s="20" t="n"/>
      <c r="N11" s="20" t="n"/>
      <c r="O11" s="20" t="n">
        <v>532.98</v>
      </c>
      <c r="P11" s="20" t="n">
        <v>685.26</v>
      </c>
      <c r="Q11" s="18" t="inlineStr">
        <is>
          <t>No</t>
        </is>
      </c>
      <c r="R11" s="18" t="inlineStr">
        <is>
          <t>No</t>
        </is>
      </c>
      <c r="S11" s="20" t="n">
        <v>39.17</v>
      </c>
      <c r="T11" s="20" t="n">
        <v>195.83</v>
      </c>
      <c r="U11" s="20" t="n">
        <v>2</v>
      </c>
      <c r="V11" s="20" t="n">
        <v>0</v>
      </c>
      <c r="W11" s="20" t="n"/>
      <c r="X11" s="20" t="n">
        <v>0</v>
      </c>
      <c r="Y11" s="18" t="inlineStr">
        <is>
          <t>Sí</t>
        </is>
      </c>
    </row>
    <row r="12">
      <c r="A12" s="19" t="inlineStr">
        <is>
          <t>E08</t>
        </is>
      </c>
      <c r="B12" s="19" t="inlineStr">
        <is>
          <t>Hugo Cedeño</t>
        </is>
      </c>
      <c r="C12" s="32" t="n">
        <v>41091</v>
      </c>
      <c r="D12" s="33" t="n"/>
      <c r="E12" s="19" t="inlineStr">
        <is>
          <t>Costa/Galápagos</t>
        </is>
      </c>
      <c r="F12" s="21" t="n">
        <v>1500</v>
      </c>
      <c r="G12" s="21" t="n"/>
      <c r="H12" s="21" t="n"/>
      <c r="I12" s="21" t="n"/>
      <c r="J12" s="21" t="n"/>
      <c r="K12" s="21" t="n">
        <v>18000</v>
      </c>
      <c r="L12" s="21" t="n"/>
      <c r="M12" s="21" t="n"/>
      <c r="N12" s="21" t="n"/>
      <c r="O12" s="21" t="n">
        <v>1701</v>
      </c>
      <c r="P12" s="21" t="n">
        <v>2187</v>
      </c>
      <c r="Q12" s="19" t="inlineStr">
        <is>
          <t>No</t>
        </is>
      </c>
      <c r="R12" s="19" t="inlineStr">
        <is>
          <t>No</t>
        </is>
      </c>
      <c r="S12" s="21" t="n">
        <v>125</v>
      </c>
      <c r="T12" s="21" t="n">
        <v>391.67</v>
      </c>
      <c r="U12" s="21" t="n">
        <v>40</v>
      </c>
      <c r="V12" s="21" t="n">
        <v>15</v>
      </c>
      <c r="W12" s="21" t="n">
        <v>1800</v>
      </c>
      <c r="X12" s="21" t="n">
        <v>1499.4</v>
      </c>
      <c r="Y12" s="19" t="inlineStr">
        <is>
          <t>Sí</t>
        </is>
      </c>
    </row>
    <row r="13">
      <c r="A13" s="34" t="inlineStr">
        <is>
          <t>TOTAL</t>
        </is>
      </c>
      <c r="B13" s="34" t="inlineStr"/>
      <c r="C13" s="35" t="inlineStr"/>
      <c r="D13" s="35" t="inlineStr"/>
      <c r="E13" s="34" t="inlineStr"/>
      <c r="F13" s="36" t="n"/>
      <c r="G13" s="36" t="n"/>
      <c r="H13" s="36" t="n"/>
      <c r="I13" s="36" t="n"/>
      <c r="J13" s="36" t="n"/>
      <c r="K13" s="36">
        <f>SUM(K5:K12)</f>
        <v/>
      </c>
      <c r="L13" s="36" t="n"/>
      <c r="M13" s="36" t="n"/>
      <c r="N13" s="36" t="n"/>
      <c r="O13" s="36" t="n"/>
      <c r="P13" s="36" t="n"/>
      <c r="Q13" s="34" t="n"/>
      <c r="R13" s="34" t="n"/>
      <c r="S13" s="36" t="n"/>
      <c r="T13" s="36" t="n"/>
      <c r="U13" s="36" t="n"/>
      <c r="V13" s="36" t="n"/>
      <c r="W13" s="36" t="n"/>
      <c r="X13" s="36" t="n"/>
      <c r="Y13" s="34" t="n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0" customWidth="1" min="4" max="4"/>
    <col width="21" customWidth="1" min="5" max="5"/>
    <col width="19" customWidth="1" min="6" max="6"/>
    <col width="19" customWidth="1" min="7" max="7"/>
    <col width="20" customWidth="1" min="8" max="8"/>
    <col width="21" customWidth="1" min="9" max="9"/>
    <col width="22" customWidth="1" min="10" max="10"/>
    <col width="34" customWidth="1" min="11" max="11"/>
    <col width="25" customWidth="1" min="12" max="12"/>
    <col width="21" customWidth="1" min="13" max="13"/>
    <col width="23" customWidth="1" min="14" max="14"/>
    <col width="19" customWidth="1" min="15" max="15"/>
  </cols>
  <sheetData>
    <row r="1">
      <c r="A1" s="3" t="inlineStr">
        <is>
          <t>Informe actuarial (datos del cliente)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</row>
    <row r="4" ht="30" customHeight="1">
      <c r="A4" s="17" t="inlineStr">
        <is>
          <t>Plan</t>
        </is>
      </c>
      <c r="B4" s="17" t="inlineStr">
        <is>
          <t>Tipo</t>
        </is>
      </c>
      <c r="C4" s="17" t="inlineStr">
        <is>
          <t>DBO inicial</t>
        </is>
      </c>
      <c r="D4" s="17" t="inlineStr">
        <is>
          <t>Costo del servicio</t>
        </is>
      </c>
      <c r="E4" s="17" t="inlineStr">
        <is>
          <t>Costo por intereses</t>
        </is>
      </c>
      <c r="F4" s="17" t="inlineStr">
        <is>
          <t>Servicios pasados</t>
        </is>
      </c>
      <c r="G4" s="17" t="inlineStr">
        <is>
          <t>Nuevas mediciones</t>
        </is>
      </c>
      <c r="H4" s="17" t="inlineStr">
        <is>
          <t>Beneficios pagados</t>
        </is>
      </c>
      <c r="I4" s="17" t="inlineStr">
        <is>
          <t>DBO final (informe)</t>
        </is>
      </c>
      <c r="J4" s="17" t="inlineStr">
        <is>
          <t>Provisión registrada</t>
        </is>
      </c>
      <c r="K4" s="17" t="inlineStr">
        <is>
          <t>Nuevas mediciones registradas en</t>
        </is>
      </c>
      <c r="L4" s="17" t="inlineStr">
        <is>
          <t>Empleados en el estudio</t>
        </is>
      </c>
      <c r="M4" s="17" t="inlineStr">
        <is>
          <t>Tasa de descuento %</t>
        </is>
      </c>
      <c r="N4" s="17" t="inlineStr">
        <is>
          <t>Incremento salarial %</t>
        </is>
      </c>
      <c r="O4" s="17" t="inlineStr">
        <is>
          <t>Fecha del informe</t>
        </is>
      </c>
    </row>
    <row r="5">
      <c r="A5" s="18" t="inlineStr">
        <is>
          <t>JUB</t>
        </is>
      </c>
      <c r="B5" s="18" t="inlineStr">
        <is>
          <t>Jubilación patronal</t>
        </is>
      </c>
      <c r="C5" s="20" t="n">
        <v>85000</v>
      </c>
      <c r="D5" s="20" t="n">
        <v>9500</v>
      </c>
      <c r="E5" s="20" t="n">
        <v>6800</v>
      </c>
      <c r="F5" s="20" t="n"/>
      <c r="G5" s="20" t="n">
        <v>3200</v>
      </c>
      <c r="H5" s="20" t="n">
        <v>2500</v>
      </c>
      <c r="I5" s="20" t="n">
        <v>102000</v>
      </c>
      <c r="J5" s="20" t="n">
        <v>95000</v>
      </c>
      <c r="K5" s="18" t="inlineStr">
        <is>
          <t>Resultados</t>
        </is>
      </c>
      <c r="L5" s="37" t="n">
        <v>6</v>
      </c>
      <c r="M5" s="20" t="n">
        <v>7.5</v>
      </c>
      <c r="N5" s="20" t="n">
        <v>2.5</v>
      </c>
      <c r="O5" s="30" t="n">
        <v>46042</v>
      </c>
    </row>
    <row r="6">
      <c r="A6" s="19" t="inlineStr">
        <is>
          <t>DES</t>
        </is>
      </c>
      <c r="B6" s="19" t="inlineStr">
        <is>
          <t>Desahucio</t>
        </is>
      </c>
      <c r="C6" s="21" t="n">
        <v>30000</v>
      </c>
      <c r="D6" s="21" t="n">
        <v>4200</v>
      </c>
      <c r="E6" s="21" t="n">
        <v>2400</v>
      </c>
      <c r="F6" s="21" t="n"/>
      <c r="G6" s="21" t="n">
        <v>-1500</v>
      </c>
      <c r="H6" s="21" t="n">
        <v>3000</v>
      </c>
      <c r="I6" s="21" t="n">
        <v>32500</v>
      </c>
      <c r="J6" s="21" t="n">
        <v>32500</v>
      </c>
      <c r="K6" s="19" t="inlineStr">
        <is>
          <t>ORI</t>
        </is>
      </c>
      <c r="L6" s="38" t="n">
        <v>6</v>
      </c>
      <c r="M6" s="21" t="n"/>
      <c r="N6" s="21" t="n">
        <v>2.5</v>
      </c>
      <c r="O6" s="32" t="n">
        <v>46042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6" customWidth="1" min="4" max="4"/>
    <col width="17" customWidth="1" min="5" max="5"/>
    <col width="18" customWidth="1" min="6" max="6"/>
    <col width="45" customWidth="1" min="7" max="7"/>
    <col width="37" customWidth="1" min="8" max="8"/>
  </cols>
  <sheetData>
    <row r="1">
      <c r="A1" s="3" t="inlineStr">
        <is>
          <t>Tiempo de servicio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Cédula/código</t>
        </is>
      </c>
      <c r="B4" s="17" t="inlineStr">
        <is>
          <t>Desde (en el ejercicio)</t>
        </is>
      </c>
      <c r="C4" s="17" t="inlineStr">
        <is>
          <t>Hasta</t>
        </is>
      </c>
      <c r="D4" s="17" t="inlineStr">
        <is>
          <t>Días trabajados (30/360)</t>
        </is>
      </c>
      <c r="E4" s="17" t="inlineStr">
        <is>
          <t>Activo al corte</t>
        </is>
      </c>
      <c r="F4" s="17" t="inlineStr">
        <is>
          <t>Años de servicio</t>
        </is>
      </c>
      <c r="G4" s="17" t="inlineStr">
        <is>
          <t>Derecho a fondo de reserva desde (13.º mes)</t>
        </is>
      </c>
      <c r="H4" s="17" t="inlineStr">
        <is>
          <t>Días con derecho a fondo de reserva</t>
        </is>
      </c>
    </row>
    <row r="5">
      <c r="A5" s="18" t="inlineStr">
        <is>
          <t>E01</t>
        </is>
      </c>
      <c r="B5" s="30" t="n">
        <v>45658</v>
      </c>
      <c r="C5" s="30" t="n">
        <v>46022</v>
      </c>
      <c r="D5" s="37">
        <f>IF(MIN(IF('03_Empleados'!D5="",'02_Parametros'!$B$5,'03_Empleados'!D5),'02_Parametros'!$B$5)&lt;MAX('03_Empleados'!C5,'02_Parametros'!$B$6),0,DAYS360(MAX('03_Empleados'!C5,'02_Parametros'!$B$6),MIN(IF('03_Empleados'!D5="",'02_Parametros'!$B$5,'03_Empleados'!D5),'02_Parametros'!$B$5)+1,TRUE))</f>
        <v/>
      </c>
      <c r="E5" s="18">
        <f>IF(AND('03_Empleados'!C5&lt;='02_Parametros'!$B$5,OR('03_Empleados'!D5="",'03_Empleados'!D5&gt;'02_Parametros'!$B$5)),"Sí","No")</f>
        <v/>
      </c>
      <c r="F5" s="37">
        <f>IF(MIN(IF('03_Empleados'!D5="",'02_Parametros'!$B$5,'03_Empleados'!D5),'02_Parametros'!$B$5)&lt;'03_Empleados'!C5,0,INT(DAYS360('03_Empleados'!C5,MIN(IF('03_Empleados'!D5="",'02_Parametros'!$B$5,'03_Empleados'!D5),'02_Parametros'!$B$5)+1,TRUE)/360))</f>
        <v/>
      </c>
      <c r="G5" s="30" t="n">
        <v>42430</v>
      </c>
      <c r="H5" s="37">
        <f>IF(MIN(IF('03_Empleados'!D5="",'02_Parametros'!$B$5,'03_Empleados'!D5),'02_Parametros'!$B$5)&lt;MAX(EDATE('03_Empleados'!C5,12),'02_Parametros'!$B$6),0,DAYS360(MAX(EDATE('03_Empleados'!C5,12),'02_Parametros'!$B$6),MIN(IF('03_Empleados'!D5="",'02_Parametros'!$B$5,'03_Empleados'!D5),'02_Parametros'!$B$5)+1,TRUE))</f>
        <v/>
      </c>
    </row>
    <row r="6">
      <c r="A6" s="19" t="inlineStr">
        <is>
          <t>E02</t>
        </is>
      </c>
      <c r="B6" s="32" t="n">
        <v>45658</v>
      </c>
      <c r="C6" s="32" t="n">
        <v>46022</v>
      </c>
      <c r="D6" s="38">
        <f>IF(MIN(IF('03_Empleados'!D6="",'02_Parametros'!$B$5,'03_Empleados'!D6),'02_Parametros'!$B$5)&lt;MAX('03_Empleados'!C6,'02_Parametros'!$B$6),0,DAYS360(MAX('03_Empleados'!C6,'02_Parametros'!$B$6),MIN(IF('03_Empleados'!D6="",'02_Parametros'!$B$5,'03_Empleados'!D6),'02_Parametros'!$B$5)+1,TRUE))</f>
        <v/>
      </c>
      <c r="E6" s="19">
        <f>IF(AND('03_Empleados'!C6&lt;='02_Parametros'!$B$5,OR('03_Empleados'!D6="",'03_Empleados'!D6&gt;'02_Parametros'!$B$5)),"Sí","No")</f>
        <v/>
      </c>
      <c r="F6" s="38">
        <f>IF(MIN(IF('03_Empleados'!D6="",'02_Parametros'!$B$5,'03_Empleados'!D6),'02_Parametros'!$B$5)&lt;'03_Empleados'!C6,0,INT(DAYS360('03_Empleados'!C6,MIN(IF('03_Empleados'!D6="",'02_Parametros'!$B$5,'03_Empleados'!D6),'02_Parametros'!$B$5)+1,TRUE)/360))</f>
        <v/>
      </c>
      <c r="G6" s="32" t="n">
        <v>44362</v>
      </c>
      <c r="H6" s="38">
        <f>IF(MIN(IF('03_Empleados'!D6="",'02_Parametros'!$B$5,'03_Empleados'!D6),'02_Parametros'!$B$5)&lt;MAX(EDATE('03_Empleados'!C6,12),'02_Parametros'!$B$6),0,DAYS360(MAX(EDATE('03_Empleados'!C6,12),'02_Parametros'!$B$6),MIN(IF('03_Empleados'!D6="",'02_Parametros'!$B$5,'03_Empleados'!D6),'02_Parametros'!$B$5)+1,TRUE))</f>
        <v/>
      </c>
    </row>
    <row r="7">
      <c r="A7" s="18" t="inlineStr">
        <is>
          <t>E03</t>
        </is>
      </c>
      <c r="B7" s="30" t="n">
        <v>45748</v>
      </c>
      <c r="C7" s="30" t="n">
        <v>46022</v>
      </c>
      <c r="D7" s="37">
        <f>IF(MIN(IF('03_Empleados'!D7="",'02_Parametros'!$B$5,'03_Empleados'!D7),'02_Parametros'!$B$5)&lt;MAX('03_Empleados'!C7,'02_Parametros'!$B$6),0,DAYS360(MAX('03_Empleados'!C7,'02_Parametros'!$B$6),MIN(IF('03_Empleados'!D7="",'02_Parametros'!$B$5,'03_Empleados'!D7),'02_Parametros'!$B$5)+1,TRUE))</f>
        <v/>
      </c>
      <c r="E7" s="18">
        <f>IF(AND('03_Empleados'!C7&lt;='02_Parametros'!$B$5,OR('03_Empleados'!D7="",'03_Empleados'!D7&gt;'02_Parametros'!$B$5)),"Sí","No")</f>
        <v/>
      </c>
      <c r="F7" s="37">
        <f>IF(MIN(IF('03_Empleados'!D7="",'02_Parametros'!$B$5,'03_Empleados'!D7),'02_Parametros'!$B$5)&lt;'03_Empleados'!C7,0,INT(DAYS360('03_Empleados'!C7,MIN(IF('03_Empleados'!D7="",'02_Parametros'!$B$5,'03_Empleados'!D7),'02_Parametros'!$B$5)+1,TRUE)/360))</f>
        <v/>
      </c>
      <c r="G7" s="30" t="n">
        <v>46113</v>
      </c>
      <c r="H7" s="37">
        <f>IF(MIN(IF('03_Empleados'!D7="",'02_Parametros'!$B$5,'03_Empleados'!D7),'02_Parametros'!$B$5)&lt;MAX(EDATE('03_Empleados'!C7,12),'02_Parametros'!$B$6),0,DAYS360(MAX(EDATE('03_Empleados'!C7,12),'02_Parametros'!$B$6),MIN(IF('03_Empleados'!D7="",'02_Parametros'!$B$5,'03_Empleados'!D7),'02_Parametros'!$B$5)+1,TRUE))</f>
        <v/>
      </c>
    </row>
    <row r="8">
      <c r="A8" s="19" t="inlineStr">
        <is>
          <t>E04</t>
        </is>
      </c>
      <c r="B8" s="32" t="n">
        <v>45658</v>
      </c>
      <c r="C8" s="32" t="n">
        <v>45838</v>
      </c>
      <c r="D8" s="38">
        <f>IF(MIN(IF('03_Empleados'!D8="",'02_Parametros'!$B$5,'03_Empleados'!D8),'02_Parametros'!$B$5)&lt;MAX('03_Empleados'!C8,'02_Parametros'!$B$6),0,DAYS360(MAX('03_Empleados'!C8,'02_Parametros'!$B$6),MIN(IF('03_Empleados'!D8="",'02_Parametros'!$B$5,'03_Empleados'!D8),'02_Parametros'!$B$5)+1,TRUE))</f>
        <v/>
      </c>
      <c r="E8" s="19">
        <f>IF(AND('03_Empleados'!C8&lt;='02_Parametros'!$B$5,OR('03_Empleados'!D8="",'03_Empleados'!D8&gt;'02_Parametros'!$B$5)),"Sí","No")</f>
        <v/>
      </c>
      <c r="F8" s="38">
        <f>IF(MIN(IF('03_Empleados'!D8="",'02_Parametros'!$B$5,'03_Empleados'!D8),'02_Parametros'!$B$5)&lt;'03_Empleados'!C8,0,INT(DAYS360('03_Empleados'!C8,MIN(IF('03_Empleados'!D8="",'02_Parametros'!$B$5,'03_Empleados'!D8),'02_Parametros'!$B$5)+1,TRUE)/360))</f>
        <v/>
      </c>
      <c r="G8" s="32" t="n">
        <v>43475</v>
      </c>
      <c r="H8" s="38">
        <f>IF(MIN(IF('03_Empleados'!D8="",'02_Parametros'!$B$5,'03_Empleados'!D8),'02_Parametros'!$B$5)&lt;MAX(EDATE('03_Empleados'!C8,12),'02_Parametros'!$B$6),0,DAYS360(MAX(EDATE('03_Empleados'!C8,12),'02_Parametros'!$B$6),MIN(IF('03_Empleados'!D8="",'02_Parametros'!$B$5,'03_Empleados'!D8),'02_Parametros'!$B$5)+1,TRUE))</f>
        <v/>
      </c>
    </row>
    <row r="9">
      <c r="A9" s="18" t="inlineStr">
        <is>
          <t>E05</t>
        </is>
      </c>
      <c r="B9" s="30" t="n">
        <v>45658</v>
      </c>
      <c r="C9" s="30" t="n">
        <v>46022</v>
      </c>
      <c r="D9" s="37">
        <f>IF(MIN(IF('03_Empleados'!D9="",'02_Parametros'!$B$5,'03_Empleados'!D9),'02_Parametros'!$B$5)&lt;MAX('03_Empleados'!C9,'02_Parametros'!$B$6),0,DAYS360(MAX('03_Empleados'!C9,'02_Parametros'!$B$6),MIN(IF('03_Empleados'!D9="",'02_Parametros'!$B$5,'03_Empleados'!D9),'02_Parametros'!$B$5)+1,TRUE))</f>
        <v/>
      </c>
      <c r="E9" s="18">
        <f>IF(AND('03_Empleados'!C9&lt;='02_Parametros'!$B$5,OR('03_Empleados'!D9="",'03_Empleados'!D9&gt;'02_Parametros'!$B$5)),"Sí","No")</f>
        <v/>
      </c>
      <c r="F9" s="37">
        <f>IF(MIN(IF('03_Empleados'!D9="",'02_Parametros'!$B$5,'03_Empleados'!D9),'02_Parametros'!$B$5)&lt;'03_Empleados'!C9,0,INT(DAYS360('03_Empleados'!C9,MIN(IF('03_Empleados'!D9="",'02_Parametros'!$B$5,'03_Empleados'!D9),'02_Parametros'!$B$5)+1,TRUE)/360))</f>
        <v/>
      </c>
      <c r="G9" s="30" t="n">
        <v>40575</v>
      </c>
      <c r="H9" s="37">
        <f>IF(MIN(IF('03_Empleados'!D9="",'02_Parametros'!$B$5,'03_Empleados'!D9),'02_Parametros'!$B$5)&lt;MAX(EDATE('03_Empleados'!C9,12),'02_Parametros'!$B$6),0,DAYS360(MAX(EDATE('03_Empleados'!C9,12),'02_Parametros'!$B$6),MIN(IF('03_Empleados'!D9="",'02_Parametros'!$B$5,'03_Empleados'!D9),'02_Parametros'!$B$5)+1,TRUE))</f>
        <v/>
      </c>
    </row>
    <row r="10">
      <c r="A10" s="19" t="inlineStr">
        <is>
          <t>E06</t>
        </is>
      </c>
      <c r="B10" s="32" t="n">
        <v>45658</v>
      </c>
      <c r="C10" s="32" t="n">
        <v>46022</v>
      </c>
      <c r="D10" s="38">
        <f>IF(MIN(IF('03_Empleados'!D10="",'02_Parametros'!$B$5,'03_Empleados'!D10),'02_Parametros'!$B$5)&lt;MAX('03_Empleados'!C10,'02_Parametros'!$B$6),0,DAYS360(MAX('03_Empleados'!C10,'02_Parametros'!$B$6),MIN(IF('03_Empleados'!D10="",'02_Parametros'!$B$5,'03_Empleados'!D10),'02_Parametros'!$B$5)+1,TRUE))</f>
        <v/>
      </c>
      <c r="E10" s="19">
        <f>IF(AND('03_Empleados'!C10&lt;='02_Parametros'!$B$5,OR('03_Empleados'!D10="",'03_Empleados'!D10&gt;'02_Parametros'!$B$5)),"Sí","No")</f>
        <v/>
      </c>
      <c r="F10" s="38">
        <f>IF(MIN(IF('03_Empleados'!D10="",'02_Parametros'!$B$5,'03_Empleados'!D10),'02_Parametros'!$B$5)&lt;'03_Empleados'!C10,0,INT(DAYS360('03_Empleados'!C10,MIN(IF('03_Empleados'!D10="",'02_Parametros'!$B$5,'03_Empleados'!D10),'02_Parametros'!$B$5)+1,TRUE)/360))</f>
        <v/>
      </c>
      <c r="G10" s="32" t="n">
        <v>45170</v>
      </c>
      <c r="H10" s="38">
        <f>IF(MIN(IF('03_Empleados'!D10="",'02_Parametros'!$B$5,'03_Empleados'!D10),'02_Parametros'!$B$5)&lt;MAX(EDATE('03_Empleados'!C10,12),'02_Parametros'!$B$6),0,DAYS360(MAX(EDATE('03_Empleados'!C10,12),'02_Parametros'!$B$6),MIN(IF('03_Empleados'!D10="",'02_Parametros'!$B$5,'03_Empleados'!D10),'02_Parametros'!$B$5)+1,TRUE))</f>
        <v/>
      </c>
    </row>
    <row r="11">
      <c r="A11" s="18" t="inlineStr">
        <is>
          <t>E07</t>
        </is>
      </c>
      <c r="B11" s="30" t="n">
        <v>45658</v>
      </c>
      <c r="C11" s="30" t="n">
        <v>46022</v>
      </c>
      <c r="D11" s="37">
        <f>IF(MIN(IF('03_Empleados'!D11="",'02_Parametros'!$B$5,'03_Empleados'!D11),'02_Parametros'!$B$5)&lt;MAX('03_Empleados'!C11,'02_Parametros'!$B$6),0,DAYS360(MAX('03_Empleados'!C11,'02_Parametros'!$B$6),MIN(IF('03_Empleados'!D11="",'02_Parametros'!$B$5,'03_Empleados'!D11),'02_Parametros'!$B$5)+1,TRUE))</f>
        <v/>
      </c>
      <c r="E11" s="18">
        <f>IF(AND('03_Empleados'!C11&lt;='02_Parametros'!$B$5,OR('03_Empleados'!D11="",'03_Empleados'!D11&gt;'02_Parametros'!$B$5)),"Sí","No")</f>
        <v/>
      </c>
      <c r="F11" s="37">
        <f>IF(MIN(IF('03_Empleados'!D11="",'02_Parametros'!$B$5,'03_Empleados'!D11),'02_Parametros'!$B$5)&lt;'03_Empleados'!C11,0,INT(DAYS360('03_Empleados'!C11,MIN(IF('03_Empleados'!D11="",'02_Parametros'!$B$5,'03_Empleados'!D11),'02_Parametros'!$B$5)+1,TRUE)/360))</f>
        <v/>
      </c>
      <c r="G11" s="30" t="n">
        <v>45976</v>
      </c>
      <c r="H11" s="37">
        <f>IF(MIN(IF('03_Empleados'!D11="",'02_Parametros'!$B$5,'03_Empleados'!D11),'02_Parametros'!$B$5)&lt;MAX(EDATE('03_Empleados'!C11,12),'02_Parametros'!$B$6),0,DAYS360(MAX(EDATE('03_Empleados'!C11,12),'02_Parametros'!$B$6),MIN(IF('03_Empleados'!D11="",'02_Parametros'!$B$5,'03_Empleados'!D11),'02_Parametros'!$B$5)+1,TRUE))</f>
        <v/>
      </c>
    </row>
    <row r="12">
      <c r="A12" s="19" t="inlineStr">
        <is>
          <t>E08</t>
        </is>
      </c>
      <c r="B12" s="32" t="n">
        <v>45658</v>
      </c>
      <c r="C12" s="32" t="n">
        <v>46022</v>
      </c>
      <c r="D12" s="38">
        <f>IF(MIN(IF('03_Empleados'!D12="",'02_Parametros'!$B$5,'03_Empleados'!D12),'02_Parametros'!$B$5)&lt;MAX('03_Empleados'!C12,'02_Parametros'!$B$6),0,DAYS360(MAX('03_Empleados'!C12,'02_Parametros'!$B$6),MIN(IF('03_Empleados'!D12="",'02_Parametros'!$B$5,'03_Empleados'!D12),'02_Parametros'!$B$5)+1,TRUE))</f>
        <v/>
      </c>
      <c r="E12" s="19">
        <f>IF(AND('03_Empleados'!C12&lt;='02_Parametros'!$B$5,OR('03_Empleados'!D12="",'03_Empleados'!D12&gt;'02_Parametros'!$B$5)),"Sí","No")</f>
        <v/>
      </c>
      <c r="F12" s="38">
        <f>IF(MIN(IF('03_Empleados'!D12="",'02_Parametros'!$B$5,'03_Empleados'!D12),'02_Parametros'!$B$5)&lt;'03_Empleados'!C12,0,INT(DAYS360('03_Empleados'!C12,MIN(IF('03_Empleados'!D12="",'02_Parametros'!$B$5,'03_Empleados'!D12),'02_Parametros'!$B$5)+1,TRUE)/360))</f>
        <v/>
      </c>
      <c r="G12" s="32" t="n">
        <v>41456</v>
      </c>
      <c r="H12" s="38">
        <f>IF(MIN(IF('03_Empleados'!D12="",'02_Parametros'!$B$5,'03_Empleados'!D12),'02_Parametros'!$B$5)&lt;MAX(EDATE('03_Empleados'!C12,12),'02_Parametros'!$B$6),0,DAYS360(MAX(EDATE('03_Empleados'!C12,12),'02_Parametros'!$B$6),MIN(IF('03_Empleados'!D12="",'02_Parametros'!$B$5,'03_Empleados'!D12),'02_Parametros'!$B$5)+1,TRUE))</f>
        <v/>
      </c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Días trabajados (30/360)</t>
        </is>
      </c>
      <c r="B16" s="25" t="inlineStr">
        <is>
          <t>'=IF(MIN(IF('03_Empleados'!D5="",'02_Parametros'!$B$5,'03_Empleados'!D5),'02_Parametros'!$B$5)&lt;MAX('03_Empleados'!C5,'02_Parametros'!$B$6),0,DAYS360(MAX('03_Empleados'!C5,'02_Parametros'!$B$6),MIN(IF('03_Empleados'!D5="",'02_Parametros'!$B$5,'03_Empleados'!D5),'02_Parametros'!$B$5)+1,TRUE))</t>
        </is>
      </c>
      <c r="C16" s="24" t="inlineStr">
        <is>
          <t>Cuenta los días trabajados en el ejercicio en base comercial 30/360: desde la fecha de ingreso (hoja 03, Empleados) o el 1 de enero si ingresó antes, hasta la fecha de salida o el corte (hoja 02, Parámetros), lo que ocurra primero. Si no trabajó en el año, da cero.</t>
        </is>
      </c>
      <c r="D16" s="24" t="inlineStr">
        <is>
          <t>Fila 1: IF(MIN(IF((vacío)=""; «2025-12-31»; (vacío)); «2025-12-31»)&lt;MAX(«2015-03-01»; «2025-01-01»); 0; D(vacío)(MAX(«2015-03-01»; «2025-01-01»); MIN(IF((vacío)=""; «2025-12-31»; (vacío)); «2025-12-31»)+1; TRUE)) → 360</t>
        </is>
      </c>
      <c r="E16" s="24" t="inlineStr">
        <is>
          <t>hoja «Empleados (datos del cliente)», hoja «Parámetros»</t>
        </is>
      </c>
      <c r="F16" s="24" t="inlineStr">
        <is>
          <t>—</t>
        </is>
      </c>
    </row>
    <row r="17">
      <c r="A17" s="24" t="inlineStr">
        <is>
          <t>Activo al corte</t>
        </is>
      </c>
      <c r="B17" s="25" t="inlineStr">
        <is>
          <t>'=IF(AND('03_Empleados'!C5&lt;='02_Parametros'!$B$5,OR('03_Empleados'!D5="",'03_Empleados'!D5&gt;'02_Parametros'!$B$5)),"Sí","No")</t>
        </is>
      </c>
      <c r="C17" s="24" t="inlineStr">
        <is>
          <t>Marca «Sí» cuando el empleado ya había ingresado al corte y no tiene fecha de salida o salió después del corte (fechas de la hoja 03, Empleados); en otro caso marca «No».</t>
        </is>
      </c>
      <c r="D17" s="24" t="inlineStr">
        <is>
          <t>Fila 1: IF(AND(«2015-03-01»&lt;=«2025-12-31»; OR((vacío)=""; (vacío)&gt;«2025-12-31»)); "Sí"; "No") → Sí</t>
        </is>
      </c>
      <c r="E17" s="24" t="inlineStr">
        <is>
          <t>hoja «Empleados (datos del cliente)», hoja «Parámetros»</t>
        </is>
      </c>
      <c r="F17" s="24" t="inlineStr">
        <is>
          <t>—</t>
        </is>
      </c>
    </row>
    <row r="18">
      <c r="A18" s="24" t="inlineStr">
        <is>
          <t>Años de servicio</t>
        </is>
      </c>
      <c r="B18" s="25" t="inlineStr">
        <is>
          <t>'=IF(MIN(IF('03_Empleados'!D5="",'02_Parametros'!$B$5,'03_Empleados'!D5),'02_Parametros'!$B$5)&lt;'03_Empleados'!C5,0,INT(DAYS360('03_Empleados'!C5,MIN(IF('03_Empleados'!D5="",'02_Parametros'!$B$5,'03_Empleados'!D5),'02_Parametros'!$B$5)+1,TRUE)/360))</t>
        </is>
      </c>
      <c r="C18" s="24" t="inlineStr">
        <is>
          <t>Cuenta los años completos de servicio en base 30/360, desde la fecha de ingreso (hoja 03) hasta la fecha de salida o el corte (hoja 02), lo que ocurra primero; las fracciones de año no se cuentan.</t>
        </is>
      </c>
      <c r="D18" s="24" t="inlineStr">
        <is>
          <t>Fila 1: IF(MIN(IF((vacío)=""; «2025-12-31»; (vacío)); «2025-12-31»)&lt;«2015-03-01»; 0; INT(D(vacío)(«2015-03-01»; MIN(IF((vacío)=""; «2025-12-31»; (vacío)); «2025-12-31»)+1; TRUE)/360)) → 10</t>
        </is>
      </c>
      <c r="E18" s="24" t="inlineStr">
        <is>
          <t>hoja «Empleados (datos del cliente)», hoja «Parámetros»</t>
        </is>
      </c>
      <c r="F18" s="24" t="inlineStr">
        <is>
          <t>—</t>
        </is>
      </c>
    </row>
    <row r="19">
      <c r="A19" s="24" t="inlineStr">
        <is>
          <t>Días con derecho a fondo de reserva</t>
        </is>
      </c>
      <c r="B19" s="25" t="inlineStr">
        <is>
          <t>'=IF(MIN(IF('03_Empleados'!D5="",'02_Parametros'!$B$5,'03_Empleados'!D5),'02_Parametros'!$B$5)&lt;MAX(EDATE('03_Empleados'!C5,12),'02_Parametros'!$B$6),0,DAYS360(MAX(EDATE('03_Empleados'!C5,12),'02_Parametros'!$B$6),MIN(IF('03_Empleados'!D5="",'02_Parametros'!$B$5,'03_Empleados'!D5),'02_Parametros'!$B$5)+1,TRUE))</t>
        </is>
      </c>
      <c r="C19" s="24" t="inlineStr">
        <is>
          <t>Cuenta los días del ejercicio, en base 30/360, desde que el empleado cumplió su 13.º mes (ingreso de la hoja 03 más 12 meses) o desde el 1 de enero si ya lo había cumplido, hasta la salida o el corte; cero si todavía no llega al 13.º mes.</t>
        </is>
      </c>
      <c r="D19" s="24" t="inlineStr">
        <is>
          <t>Fila 1: IF(MIN(IF((vacío)=""; «2025-12-31»; (vacío)); «2025-12-31»)&lt;MAX(EDATE(«2015-03-01»; 12); «2025-01-01»); 0; D(vacío)(MAX(EDATE(«2015-03-01»; 12); «2025-01-01»); MIN(IF((vacío)=""; «2025-12-31»; (vacío)); «2025-12-31»)+1; TRUE)) → 360</t>
        </is>
      </c>
      <c r="E19" s="24" t="inlineStr">
        <is>
          <t>hoja «Empleados (datos del cliente)», hoja «Parámetros»</t>
        </is>
      </c>
      <c r="F19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20" customWidth="1" min="4" max="4"/>
    <col width="20" customWidth="1" min="5" max="5"/>
    <col width="12" customWidth="1" min="6" max="6"/>
    <col width="13" customWidth="1" min="7" max="7"/>
    <col width="27" customWidth="1" min="8" max="8"/>
    <col width="26" customWidth="1" min="9" max="9"/>
    <col width="19" customWidth="1" min="10" max="10"/>
    <col width="20" customWidth="1" min="11" max="11"/>
    <col width="19" customWidth="1" min="12" max="12"/>
    <col width="25" customWidth="1" min="13" max="13"/>
    <col width="26" customWidth="1" min="14" max="14"/>
    <col width="26" customWidth="1" min="15" max="15"/>
    <col width="19" customWidth="1" min="16" max="16"/>
    <col width="18" customWidth="1" min="17" max="17"/>
    <col width="13" customWidth="1" min="18" max="18"/>
    <col width="22" customWidth="1" min="19" max="19"/>
  </cols>
  <sheetData>
    <row r="1">
      <c r="A1" s="3" t="inlineStr">
        <is>
          <t>Recálculo de nómina: bruto y neto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</row>
    <row r="4" ht="30" customHeight="1">
      <c r="A4" s="17" t="inlineStr">
        <is>
          <t>Cédula/código</t>
        </is>
      </c>
      <c r="B4" s="17" t="inlineStr">
        <is>
          <t>Sueldo mensual</t>
        </is>
      </c>
      <c r="C4" s="17" t="inlineStr">
        <is>
          <t>Días</t>
        </is>
      </c>
      <c r="D4" s="17" t="inlineStr">
        <is>
          <t>Sueldo del período</t>
        </is>
      </c>
      <c r="E4" s="17" t="inlineStr">
        <is>
          <t>Valor hora</t>
        </is>
      </c>
      <c r="F4" s="17" t="inlineStr">
        <is>
          <t>Horas 50 %</t>
        </is>
      </c>
      <c r="G4" s="17" t="inlineStr">
        <is>
          <t>Horas 100 %</t>
        </is>
      </c>
      <c r="H4" s="17" t="inlineStr">
        <is>
          <t>Horas extras recalculadas</t>
        </is>
      </c>
      <c r="I4" s="17" t="inlineStr">
        <is>
          <t>Horas extras registradas</t>
        </is>
      </c>
      <c r="J4" s="17" t="inlineStr">
        <is>
          <t>Dif. horas extras</t>
        </is>
      </c>
      <c r="K4" s="17" t="inlineStr">
        <is>
          <t>Comisiones y bonos</t>
        </is>
      </c>
      <c r="L4" s="17" t="inlineStr">
        <is>
          <t>Bruto recalculado</t>
        </is>
      </c>
      <c r="M4" s="17" t="inlineStr">
        <is>
          <t>Remuneración registrada</t>
        </is>
      </c>
      <c r="N4" s="17" t="inlineStr">
        <is>
          <t>Registrada − recalculada</t>
        </is>
      </c>
      <c r="O4" s="17" t="inlineStr">
        <is>
          <t>Aporte personal s/ bruto</t>
        </is>
      </c>
      <c r="P4" s="17" t="inlineStr">
        <is>
          <t>Otras deducciones</t>
        </is>
      </c>
      <c r="Q4" s="17" t="inlineStr">
        <is>
          <t>Neto recalculado</t>
        </is>
      </c>
      <c r="R4" s="17" t="inlineStr">
        <is>
          <t>Neto pagado</t>
        </is>
      </c>
      <c r="S4" s="17" t="inlineStr">
        <is>
          <t>Dif. neto</t>
        </is>
      </c>
    </row>
    <row r="5">
      <c r="A5" s="18" t="inlineStr">
        <is>
          <t>E01</t>
        </is>
      </c>
      <c r="B5" s="20">
        <f>'03_Empleados'!F5</f>
        <v/>
      </c>
      <c r="C5" s="37">
        <f>'05_Tiempo_servicio'!D5</f>
        <v/>
      </c>
      <c r="D5" s="20">
        <f>B5*C5/30</f>
        <v/>
      </c>
      <c r="E5" s="20">
        <f>B5/'02_Parametros'!$B$21</f>
        <v/>
      </c>
      <c r="F5" s="20">
        <f>IF('03_Empleados'!G5="","",'03_Empleados'!G5)</f>
        <v/>
      </c>
      <c r="G5" s="20">
        <f>IF('03_Empleados'!H5="","",'03_Empleados'!H5)</f>
        <v/>
      </c>
      <c r="H5" s="20">
        <f>IF(AND(F5="",G5=""),"",E5*(IF(F5="",0,F5)*(1+'02_Parametros'!$B$22/100)+IF(G5="",0,G5)*(1+'02_Parametros'!$B$23/100)))</f>
        <v/>
      </c>
      <c r="I5" s="20">
        <f>IF('03_Empleados'!I5="",0,'03_Empleados'!I5)</f>
        <v/>
      </c>
      <c r="J5" s="20">
        <f>IF(H5="","",I5-H5)</f>
        <v/>
      </c>
      <c r="K5" s="20">
        <f>IF('03_Empleados'!J5="",0,'03_Empleados'!J5)</f>
        <v/>
      </c>
      <c r="L5" s="20">
        <f>D5+I5+K5</f>
        <v/>
      </c>
      <c r="M5" s="20">
        <f>'03_Empleados'!K5</f>
        <v/>
      </c>
      <c r="N5" s="20">
        <f>M5-L5</f>
        <v/>
      </c>
      <c r="O5" s="20">
        <f>L5*'02_Parametros'!$B$13/100</f>
        <v/>
      </c>
      <c r="P5" s="20">
        <f>IF('03_Empleados'!L5="",0,'03_Empleados'!L5)</f>
        <v/>
      </c>
      <c r="Q5" s="20">
        <f>L5-O5-P5</f>
        <v/>
      </c>
      <c r="R5" s="20">
        <f>IF('03_Empleados'!M5="","",'03_Empleados'!M5)</f>
        <v/>
      </c>
      <c r="S5" s="20">
        <f>IF(R5="","",R5-Q5)</f>
        <v/>
      </c>
    </row>
    <row r="6">
      <c r="A6" s="19" t="inlineStr">
        <is>
          <t>E02</t>
        </is>
      </c>
      <c r="B6" s="21">
        <f>'03_Empleados'!F6</f>
        <v/>
      </c>
      <c r="C6" s="38">
        <f>'05_Tiempo_servicio'!D6</f>
        <v/>
      </c>
      <c r="D6" s="21">
        <f>B6*C6/30</f>
        <v/>
      </c>
      <c r="E6" s="21">
        <f>B6/'02_Parametros'!$B$21</f>
        <v/>
      </c>
      <c r="F6" s="21">
        <f>IF('03_Empleados'!G6="","",'03_Empleados'!G6)</f>
        <v/>
      </c>
      <c r="G6" s="21">
        <f>IF('03_Empleados'!H6="","",'03_Empleados'!H6)</f>
        <v/>
      </c>
      <c r="H6" s="21">
        <f>IF(AND(F6="",G6=""),"",E6*(IF(F6="",0,F6)*(1+'02_Parametros'!$B$22/100)+IF(G6="",0,G6)*(1+'02_Parametros'!$B$23/100)))</f>
        <v/>
      </c>
      <c r="I6" s="21">
        <f>IF('03_Empleados'!I6="",0,'03_Empleados'!I6)</f>
        <v/>
      </c>
      <c r="J6" s="21">
        <f>IF(H6="","",I6-H6)</f>
        <v/>
      </c>
      <c r="K6" s="21">
        <f>IF('03_Empleados'!J6="",0,'03_Empleados'!J6)</f>
        <v/>
      </c>
      <c r="L6" s="21">
        <f>D6+I6+K6</f>
        <v/>
      </c>
      <c r="M6" s="21">
        <f>'03_Empleados'!K6</f>
        <v/>
      </c>
      <c r="N6" s="21">
        <f>M6-L6</f>
        <v/>
      </c>
      <c r="O6" s="21">
        <f>L6*'02_Parametros'!$B$13/100</f>
        <v/>
      </c>
      <c r="P6" s="21">
        <f>IF('03_Empleados'!L6="",0,'03_Empleados'!L6)</f>
        <v/>
      </c>
      <c r="Q6" s="21">
        <f>L6-O6-P6</f>
        <v/>
      </c>
      <c r="R6" s="21">
        <f>IF('03_Empleados'!M6="","",'03_Empleados'!M6)</f>
        <v/>
      </c>
      <c r="S6" s="21">
        <f>IF(R6="","",R6-Q6)</f>
        <v/>
      </c>
    </row>
    <row r="7">
      <c r="A7" s="18" t="inlineStr">
        <is>
          <t>E03</t>
        </is>
      </c>
      <c r="B7" s="20">
        <f>'03_Empleados'!F7</f>
        <v/>
      </c>
      <c r="C7" s="37">
        <f>'05_Tiempo_servicio'!D7</f>
        <v/>
      </c>
      <c r="D7" s="20">
        <f>B7*C7/30</f>
        <v/>
      </c>
      <c r="E7" s="20">
        <f>B7/'02_Parametros'!$B$21</f>
        <v/>
      </c>
      <c r="F7" s="20">
        <f>IF('03_Empleados'!G7="","",'03_Empleados'!G7)</f>
        <v/>
      </c>
      <c r="G7" s="20">
        <f>IF('03_Empleados'!H7="","",'03_Empleados'!H7)</f>
        <v/>
      </c>
      <c r="H7" s="20">
        <f>IF(AND(F7="",G7=""),"",E7*(IF(F7="",0,F7)*(1+'02_Parametros'!$B$22/100)+IF(G7="",0,G7)*(1+'02_Parametros'!$B$23/100)))</f>
        <v/>
      </c>
      <c r="I7" s="20">
        <f>IF('03_Empleados'!I7="",0,'03_Empleados'!I7)</f>
        <v/>
      </c>
      <c r="J7" s="20">
        <f>IF(H7="","",I7-H7)</f>
        <v/>
      </c>
      <c r="K7" s="20">
        <f>IF('03_Empleados'!J7="",0,'03_Empleados'!J7)</f>
        <v/>
      </c>
      <c r="L7" s="20">
        <f>D7+I7+K7</f>
        <v/>
      </c>
      <c r="M7" s="20">
        <f>'03_Empleados'!K7</f>
        <v/>
      </c>
      <c r="N7" s="20">
        <f>M7-L7</f>
        <v/>
      </c>
      <c r="O7" s="20">
        <f>L7*'02_Parametros'!$B$13/100</f>
        <v/>
      </c>
      <c r="P7" s="20">
        <f>IF('03_Empleados'!L7="",0,'03_Empleados'!L7)</f>
        <v/>
      </c>
      <c r="Q7" s="20">
        <f>L7-O7-P7</f>
        <v/>
      </c>
      <c r="R7" s="20">
        <f>IF('03_Empleados'!M7="","",'03_Empleados'!M7)</f>
        <v/>
      </c>
      <c r="S7" s="20">
        <f>IF(R7="","",R7-Q7)</f>
        <v/>
      </c>
    </row>
    <row r="8">
      <c r="A8" s="19" t="inlineStr">
        <is>
          <t>E04</t>
        </is>
      </c>
      <c r="B8" s="21">
        <f>'03_Empleados'!F8</f>
        <v/>
      </c>
      <c r="C8" s="38">
        <f>'05_Tiempo_servicio'!D8</f>
        <v/>
      </c>
      <c r="D8" s="21">
        <f>B8*C8/30</f>
        <v/>
      </c>
      <c r="E8" s="21">
        <f>B8/'02_Parametros'!$B$21</f>
        <v/>
      </c>
      <c r="F8" s="21">
        <f>IF('03_Empleados'!G8="","",'03_Empleados'!G8)</f>
        <v/>
      </c>
      <c r="G8" s="21">
        <f>IF('03_Empleados'!H8="","",'03_Empleados'!H8)</f>
        <v/>
      </c>
      <c r="H8" s="21">
        <f>IF(AND(F8="",G8=""),"",E8*(IF(F8="",0,F8)*(1+'02_Parametros'!$B$22/100)+IF(G8="",0,G8)*(1+'02_Parametros'!$B$23/100)))</f>
        <v/>
      </c>
      <c r="I8" s="21">
        <f>IF('03_Empleados'!I8="",0,'03_Empleados'!I8)</f>
        <v/>
      </c>
      <c r="J8" s="21">
        <f>IF(H8="","",I8-H8)</f>
        <v/>
      </c>
      <c r="K8" s="21">
        <f>IF('03_Empleados'!J8="",0,'03_Empleados'!J8)</f>
        <v/>
      </c>
      <c r="L8" s="21">
        <f>D8+I8+K8</f>
        <v/>
      </c>
      <c r="M8" s="21">
        <f>'03_Empleados'!K8</f>
        <v/>
      </c>
      <c r="N8" s="21">
        <f>M8-L8</f>
        <v/>
      </c>
      <c r="O8" s="21">
        <f>L8*'02_Parametros'!$B$13/100</f>
        <v/>
      </c>
      <c r="P8" s="21">
        <f>IF('03_Empleados'!L8="",0,'03_Empleados'!L8)</f>
        <v/>
      </c>
      <c r="Q8" s="21">
        <f>L8-O8-P8</f>
        <v/>
      </c>
      <c r="R8" s="21">
        <f>IF('03_Empleados'!M8="","",'03_Empleados'!M8)</f>
        <v/>
      </c>
      <c r="S8" s="21">
        <f>IF(R8="","",R8-Q8)</f>
        <v/>
      </c>
    </row>
    <row r="9">
      <c r="A9" s="18" t="inlineStr">
        <is>
          <t>E05</t>
        </is>
      </c>
      <c r="B9" s="20">
        <f>'03_Empleados'!F9</f>
        <v/>
      </c>
      <c r="C9" s="37">
        <f>'05_Tiempo_servicio'!D9</f>
        <v/>
      </c>
      <c r="D9" s="20">
        <f>B9*C9/30</f>
        <v/>
      </c>
      <c r="E9" s="20">
        <f>B9/'02_Parametros'!$B$21</f>
        <v/>
      </c>
      <c r="F9" s="20">
        <f>IF('03_Empleados'!G9="","",'03_Empleados'!G9)</f>
        <v/>
      </c>
      <c r="G9" s="20">
        <f>IF('03_Empleados'!H9="","",'03_Empleados'!H9)</f>
        <v/>
      </c>
      <c r="H9" s="20">
        <f>IF(AND(F9="",G9=""),"",E9*(IF(F9="",0,F9)*(1+'02_Parametros'!$B$22/100)+IF(G9="",0,G9)*(1+'02_Parametros'!$B$23/100)))</f>
        <v/>
      </c>
      <c r="I9" s="20">
        <f>IF('03_Empleados'!I9="",0,'03_Empleados'!I9)</f>
        <v/>
      </c>
      <c r="J9" s="20">
        <f>IF(H9="","",I9-H9)</f>
        <v/>
      </c>
      <c r="K9" s="20">
        <f>IF('03_Empleados'!J9="",0,'03_Empleados'!J9)</f>
        <v/>
      </c>
      <c r="L9" s="20">
        <f>D9+I9+K9</f>
        <v/>
      </c>
      <c r="M9" s="20">
        <f>'03_Empleados'!K9</f>
        <v/>
      </c>
      <c r="N9" s="20">
        <f>M9-L9</f>
        <v/>
      </c>
      <c r="O9" s="20">
        <f>L9*'02_Parametros'!$B$13/100</f>
        <v/>
      </c>
      <c r="P9" s="20">
        <f>IF('03_Empleados'!L9="",0,'03_Empleados'!L9)</f>
        <v/>
      </c>
      <c r="Q9" s="20">
        <f>L9-O9-P9</f>
        <v/>
      </c>
      <c r="R9" s="20">
        <f>IF('03_Empleados'!M9="","",'03_Empleados'!M9)</f>
        <v/>
      </c>
      <c r="S9" s="20">
        <f>IF(R9="","",R9-Q9)</f>
        <v/>
      </c>
    </row>
    <row r="10">
      <c r="A10" s="19" t="inlineStr">
        <is>
          <t>E06</t>
        </is>
      </c>
      <c r="B10" s="21">
        <f>'03_Empleados'!F10</f>
        <v/>
      </c>
      <c r="C10" s="38">
        <f>'05_Tiempo_servicio'!D10</f>
        <v/>
      </c>
      <c r="D10" s="21">
        <f>B10*C10/30</f>
        <v/>
      </c>
      <c r="E10" s="21">
        <f>B10/'02_Parametros'!$B$21</f>
        <v/>
      </c>
      <c r="F10" s="21">
        <f>IF('03_Empleados'!G10="","",'03_Empleados'!G10)</f>
        <v/>
      </c>
      <c r="G10" s="21">
        <f>IF('03_Empleados'!H10="","",'03_Empleados'!H10)</f>
        <v/>
      </c>
      <c r="H10" s="21">
        <f>IF(AND(F10="",G10=""),"",E10*(IF(F10="",0,F10)*(1+'02_Parametros'!$B$22/100)+IF(G10="",0,G10)*(1+'02_Parametros'!$B$23/100)))</f>
        <v/>
      </c>
      <c r="I10" s="21">
        <f>IF('03_Empleados'!I10="",0,'03_Empleados'!I10)</f>
        <v/>
      </c>
      <c r="J10" s="21">
        <f>IF(H10="","",I10-H10)</f>
        <v/>
      </c>
      <c r="K10" s="21">
        <f>IF('03_Empleados'!J10="",0,'03_Empleados'!J10)</f>
        <v/>
      </c>
      <c r="L10" s="21">
        <f>D10+I10+K10</f>
        <v/>
      </c>
      <c r="M10" s="21">
        <f>'03_Empleados'!K10</f>
        <v/>
      </c>
      <c r="N10" s="21">
        <f>M10-L10</f>
        <v/>
      </c>
      <c r="O10" s="21">
        <f>L10*'02_Parametros'!$B$13/100</f>
        <v/>
      </c>
      <c r="P10" s="21">
        <f>IF('03_Empleados'!L10="",0,'03_Empleados'!L10)</f>
        <v/>
      </c>
      <c r="Q10" s="21">
        <f>L10-O10-P10</f>
        <v/>
      </c>
      <c r="R10" s="21">
        <f>IF('03_Empleados'!M10="","",'03_Empleados'!M10)</f>
        <v/>
      </c>
      <c r="S10" s="21">
        <f>IF(R10="","",R10-Q10)</f>
        <v/>
      </c>
    </row>
    <row r="11">
      <c r="A11" s="18" t="inlineStr">
        <is>
          <t>E07</t>
        </is>
      </c>
      <c r="B11" s="20">
        <f>'03_Empleados'!F11</f>
        <v/>
      </c>
      <c r="C11" s="37">
        <f>'05_Tiempo_servicio'!D11</f>
        <v/>
      </c>
      <c r="D11" s="20">
        <f>B11*C11/30</f>
        <v/>
      </c>
      <c r="E11" s="20">
        <f>B11/'02_Parametros'!$B$21</f>
        <v/>
      </c>
      <c r="F11" s="20">
        <f>IF('03_Empleados'!G11="","",'03_Empleados'!G11)</f>
        <v/>
      </c>
      <c r="G11" s="20">
        <f>IF('03_Empleados'!H11="","",'03_Empleados'!H11)</f>
        <v/>
      </c>
      <c r="H11" s="20">
        <f>IF(AND(F11="",G11=""),"",E11*(IF(F11="",0,F11)*(1+'02_Parametros'!$B$22/100)+IF(G11="",0,G11)*(1+'02_Parametros'!$B$23/100)))</f>
        <v/>
      </c>
      <c r="I11" s="20">
        <f>IF('03_Empleados'!I11="",0,'03_Empleados'!I11)</f>
        <v/>
      </c>
      <c r="J11" s="20">
        <f>IF(H11="","",I11-H11)</f>
        <v/>
      </c>
      <c r="K11" s="20">
        <f>IF('03_Empleados'!J11="",0,'03_Empleados'!J11)</f>
        <v/>
      </c>
      <c r="L11" s="20">
        <f>D11+I11+K11</f>
        <v/>
      </c>
      <c r="M11" s="20">
        <f>'03_Empleados'!K11</f>
        <v/>
      </c>
      <c r="N11" s="20">
        <f>M11-L11</f>
        <v/>
      </c>
      <c r="O11" s="20">
        <f>L11*'02_Parametros'!$B$13/100</f>
        <v/>
      </c>
      <c r="P11" s="20">
        <f>IF('03_Empleados'!L11="",0,'03_Empleados'!L11)</f>
        <v/>
      </c>
      <c r="Q11" s="20">
        <f>L11-O11-P11</f>
        <v/>
      </c>
      <c r="R11" s="20">
        <f>IF('03_Empleados'!M11="","",'03_Empleados'!M11)</f>
        <v/>
      </c>
      <c r="S11" s="20">
        <f>IF(R11="","",R11-Q11)</f>
        <v/>
      </c>
    </row>
    <row r="12">
      <c r="A12" s="19" t="inlineStr">
        <is>
          <t>E08</t>
        </is>
      </c>
      <c r="B12" s="21">
        <f>'03_Empleados'!F12</f>
        <v/>
      </c>
      <c r="C12" s="38">
        <f>'05_Tiempo_servicio'!D12</f>
        <v/>
      </c>
      <c r="D12" s="21">
        <f>B12*C12/30</f>
        <v/>
      </c>
      <c r="E12" s="21">
        <f>B12/'02_Parametros'!$B$21</f>
        <v/>
      </c>
      <c r="F12" s="21">
        <f>IF('03_Empleados'!G12="","",'03_Empleados'!G12)</f>
        <v/>
      </c>
      <c r="G12" s="21">
        <f>IF('03_Empleados'!H12="","",'03_Empleados'!H12)</f>
        <v/>
      </c>
      <c r="H12" s="21">
        <f>IF(AND(F12="",G12=""),"",E12*(IF(F12="",0,F12)*(1+'02_Parametros'!$B$22/100)+IF(G12="",0,G12)*(1+'02_Parametros'!$B$23/100)))</f>
        <v/>
      </c>
      <c r="I12" s="21">
        <f>IF('03_Empleados'!I12="",0,'03_Empleados'!I12)</f>
        <v/>
      </c>
      <c r="J12" s="21">
        <f>IF(H12="","",I12-H12)</f>
        <v/>
      </c>
      <c r="K12" s="21">
        <f>IF('03_Empleados'!J12="",0,'03_Empleados'!J12)</f>
        <v/>
      </c>
      <c r="L12" s="21">
        <f>D12+I12+K12</f>
        <v/>
      </c>
      <c r="M12" s="21">
        <f>'03_Empleados'!K12</f>
        <v/>
      </c>
      <c r="N12" s="21">
        <f>M12-L12</f>
        <v/>
      </c>
      <c r="O12" s="21">
        <f>L12*'02_Parametros'!$B$13/100</f>
        <v/>
      </c>
      <c r="P12" s="21">
        <f>IF('03_Empleados'!L12="",0,'03_Empleados'!L12)</f>
        <v/>
      </c>
      <c r="Q12" s="21">
        <f>L12-O12-P12</f>
        <v/>
      </c>
      <c r="R12" s="21">
        <f>IF('03_Empleados'!M12="","",'03_Empleados'!M12)</f>
        <v/>
      </c>
      <c r="S12" s="21">
        <f>IF(R12="","",R12-Q12)</f>
        <v/>
      </c>
    </row>
    <row r="13">
      <c r="A13" s="34" t="inlineStr">
        <is>
          <t>TOTAL</t>
        </is>
      </c>
      <c r="B13" s="36" t="n"/>
      <c r="C13" s="39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>
        <f>SUM(L5:L12)</f>
        <v/>
      </c>
      <c r="M13" s="36">
        <f>SUM(M5:M12)</f>
        <v/>
      </c>
      <c r="N13" s="36">
        <f>SUM(N5:N12)</f>
        <v/>
      </c>
      <c r="O13" s="36" t="n"/>
      <c r="P13" s="36" t="n"/>
      <c r="Q13" s="36" t="n"/>
      <c r="R13" s="36" t="n"/>
      <c r="S13" s="36" t="n"/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Sueldo mensual</t>
        </is>
      </c>
      <c r="B17" s="25" t="inlineStr">
        <is>
          <t>'='03_Empleados'!F5</t>
        </is>
      </c>
      <c r="C17" s="24" t="inlineStr">
        <is>
          <t>Trae el sueldo mensual del empleado tal como lo informó el cliente en la hoja 03 (Empleados).</t>
        </is>
      </c>
      <c r="D17" s="24" t="inlineStr">
        <is>
          <t>Fila 1: 1.200,00 → 1.200,00</t>
        </is>
      </c>
      <c r="E17" s="24" t="inlineStr">
        <is>
          <t>hoja «Empleados (datos del cliente)»</t>
        </is>
      </c>
      <c r="F17" s="24" t="inlineStr">
        <is>
          <t>—</t>
        </is>
      </c>
    </row>
    <row r="18">
      <c r="A18" s="24" t="inlineStr">
        <is>
          <t>Días</t>
        </is>
      </c>
      <c r="B18" s="25" t="inlineStr">
        <is>
          <t>'='05_Tiempo_servicio'!D5</t>
        </is>
      </c>
      <c r="C18" s="24" t="inlineStr">
        <is>
          <t>Trae los días trabajados en el ejercicio (base 30/360) calculados en la hoja 05 (Tiempo de servicio).</t>
        </is>
      </c>
      <c r="D18" s="24" t="inlineStr">
        <is>
          <t>Fila 1: 360 → 360</t>
        </is>
      </c>
      <c r="E18" s="24" t="inlineStr">
        <is>
          <t>hoja «Tiempo de servicio»</t>
        </is>
      </c>
      <c r="F18" s="24" t="inlineStr">
        <is>
          <t>—</t>
        </is>
      </c>
    </row>
    <row r="19">
      <c r="A19" s="24" t="inlineStr">
        <is>
          <t>Sueldo del período</t>
        </is>
      </c>
      <c r="B19" s="25" t="inlineStr">
        <is>
          <t>'=B5*C5/30</t>
        </is>
      </c>
      <c r="C19" s="24" t="inlineStr">
        <is>
          <t>Multiplica el sueldo mensual por los días trabajados y divide para 30: es el sueldo que corresponde al tiempo trabajado en el año.</t>
        </is>
      </c>
      <c r="D19" s="24" t="inlineStr">
        <is>
          <t>Fila 1: 1.200,00*360/30 → 14.400,00</t>
        </is>
      </c>
      <c r="E19" s="24" t="inlineStr">
        <is>
          <t>«Sueldo mensual» (esta hoja), «Días» (esta hoja)</t>
        </is>
      </c>
      <c r="F19" s="24" t="inlineStr">
        <is>
          <t>—</t>
        </is>
      </c>
    </row>
    <row r="20">
      <c r="A20" s="24" t="inlineStr">
        <is>
          <t>Valor hora</t>
        </is>
      </c>
      <c r="B20" s="25" t="inlineStr">
        <is>
          <t>'=B5/'02_Parametros'!$B$21</t>
        </is>
      </c>
      <c r="C20" s="24" t="inlineStr">
        <is>
          <t>Divide el sueldo mensual para las horas del mes de la hoja 02 (Parámetros), normalmente 240, para obtener el valor de una hora ordinaria.</t>
        </is>
      </c>
      <c r="D20" s="24" t="inlineStr">
        <is>
          <t>Fila 1: 1.200,00/240,00 → 5,00</t>
        </is>
      </c>
      <c r="E20" s="24" t="inlineStr">
        <is>
          <t>«Sueldo mensual» (esta hoja), hoja «Parámetros»</t>
        </is>
      </c>
      <c r="F20" s="24" t="inlineStr">
        <is>
          <t>—</t>
        </is>
      </c>
    </row>
    <row r="21">
      <c r="A21" s="24" t="inlineStr">
        <is>
          <t>Horas 50 %</t>
        </is>
      </c>
      <c r="B21" s="25" t="inlineStr">
        <is>
          <t>'=IF('03_Empleados'!G5="","",'03_Empleados'!G5)</t>
        </is>
      </c>
      <c r="C21" s="24" t="inlineStr">
        <is>
          <t>Trae las horas suplementarias del año informadas en la hoja 03 (Empleados); queda en blanco si el cliente no las informó.</t>
        </is>
      </c>
      <c r="D21" s="24" t="inlineStr">
        <is>
          <t>Fila 1: IF(20,00=""; ""; 20,00) → 20,00</t>
        </is>
      </c>
      <c r="E21" s="24" t="inlineStr">
        <is>
          <t>hoja «Empleados (datos del cliente)»</t>
        </is>
      </c>
      <c r="F21" s="24" t="inlineStr">
        <is>
          <t>—</t>
        </is>
      </c>
    </row>
    <row r="22">
      <c r="A22" s="24" t="inlineStr">
        <is>
          <t>Horas 100 %</t>
        </is>
      </c>
      <c r="B22" s="25" t="inlineStr">
        <is>
          <t>'=IF('03_Empleados'!H5="","",'03_Empleados'!H5)</t>
        </is>
      </c>
      <c r="C22" s="24" t="inlineStr">
        <is>
          <t>Trae las horas extraordinarias del año informadas en la hoja 03 (Empleados); queda en blanco si el cliente no las informó.</t>
        </is>
      </c>
      <c r="D22" s="24" t="inlineStr">
        <is>
          <t>Fila 1: IF(10,00=""; ""; 10,00) → 10,00</t>
        </is>
      </c>
      <c r="E22" s="24" t="inlineStr">
        <is>
          <t>hoja «Empleados (datos del cliente)»</t>
        </is>
      </c>
      <c r="F22" s="24" t="inlineStr">
        <is>
          <t>—</t>
        </is>
      </c>
    </row>
    <row r="23">
      <c r="A23" s="24" t="inlineStr">
        <is>
          <t>Horas extras recalculadas</t>
        </is>
      </c>
      <c r="B23" s="25" t="inlineStr">
        <is>
          <t>'=IF(AND(F5="",G5=""),"",E5*(IF(F5="",0,F5)*(1+'02_Parametros'!$B$22/100)+IF(G5="",0,G5)*(1+'02_Parametros'!$B$23/100)))</t>
        </is>
      </c>
      <c r="C23" s="24" t="inlineStr">
        <is>
          <t>Valora las horas del año con el valor hora: las suplementarias con su recargo y las extraordinarias con el suyo (recargos de la hoja 02). Si no se informó ninguna hora, queda en blanco.</t>
        </is>
      </c>
      <c r="D23" s="24" t="inlineStr">
        <is>
          <t>Fila 1: IF(AND(20,00=""; 10,00=""); ""; 5,00*(IF(20,00=""; 0; 20,00)*(1+50,00/100)+IF(10,00=""; 0; 10,00)*(1+100,00/100))) → 250,00</t>
        </is>
      </c>
      <c r="E23" s="24" t="inlineStr">
        <is>
          <t>«Horas 50 %» (esta hoja), «Horas 100 %» (esta hoja), «Valor hora» (esta hoja), hoja «Parámetros»</t>
        </is>
      </c>
      <c r="F23" s="24" t="inlineStr">
        <is>
          <t>—</t>
        </is>
      </c>
    </row>
    <row r="24">
      <c r="A24" s="24" t="inlineStr">
        <is>
          <t>Horas extras registradas</t>
        </is>
      </c>
      <c r="B24" s="25" t="inlineStr">
        <is>
          <t>'=IF('03_Empleados'!I5="",0,'03_Empleados'!I5)</t>
        </is>
      </c>
      <c r="C24" s="24" t="inlineStr">
        <is>
          <t>Trae el valor de horas extras que registró el cliente en la hoja 03 (Empleados); si lo dejó vacío se toma cero.</t>
        </is>
      </c>
      <c r="D24" s="24" t="inlineStr">
        <is>
          <t>Fila 1: IF(250,00=""; 0; 250,00) → 250,00</t>
        </is>
      </c>
      <c r="E24" s="24" t="inlineStr">
        <is>
          <t>hoja «Empleados (datos del cliente)»</t>
        </is>
      </c>
      <c r="F24" s="24" t="inlineStr">
        <is>
          <t>—</t>
        </is>
      </c>
    </row>
    <row r="25">
      <c r="A25" s="24" t="inlineStr">
        <is>
          <t>Dif. horas extras</t>
        </is>
      </c>
      <c r="B25" s="25" t="inlineStr">
        <is>
          <t>'=IF(H5="","",I5-H5)</t>
        </is>
      </c>
      <c r="C25" s="24" t="inlineStr">
        <is>
          <t>Resta las horas extras recalculadas del valor registrado por el cliente; queda en blanco cuando no hubo horas para recalcular.</t>
        </is>
      </c>
      <c r="D25" s="24" t="inlineStr">
        <is>
          <t>Fila 1: IF(250,00=""; ""; 250,00-250,00) → 0,00</t>
        </is>
      </c>
      <c r="E25" s="24" t="inlineStr">
        <is>
          <t>«Horas extras recalculadas» (esta hoja), «Horas extras registradas» (esta hoja)</t>
        </is>
      </c>
      <c r="F25" s="24" t="inlineStr">
        <is>
          <t>—</t>
        </is>
      </c>
    </row>
    <row r="26">
      <c r="A26" s="24" t="inlineStr">
        <is>
          <t>Comisiones y bonos</t>
        </is>
      </c>
      <c r="B26" s="25" t="inlineStr">
        <is>
          <t>'=IF('03_Empleados'!J5="",0,'03_Empleados'!J5)</t>
        </is>
      </c>
      <c r="C26" s="24" t="inlineStr">
        <is>
          <t>Trae las comisiones y bonos del año de la hoja 03 (Empleados); si están vacíos se toma cero.</t>
        </is>
      </c>
      <c r="D26" s="24" t="inlineStr">
        <is>
          <t>Fila 1: IF((vacío)=""; 0; (vacío)) → 0,00</t>
        </is>
      </c>
      <c r="E26" s="24" t="inlineStr">
        <is>
          <t>hoja «Empleados (datos del cliente)»</t>
        </is>
      </c>
      <c r="F26" s="24" t="inlineStr">
        <is>
          <t>—</t>
        </is>
      </c>
    </row>
    <row r="27">
      <c r="A27" s="24" t="inlineStr">
        <is>
          <t>Bruto recalculado</t>
        </is>
      </c>
      <c r="B27" s="25" t="inlineStr">
        <is>
          <t>'=D5+I5+K5</t>
        </is>
      </c>
      <c r="C27" s="24" t="inlineStr">
        <is>
          <t>Suma el sueldo del período, las horas extras REGISTRADAS por el cliente (no las recalculadas) y las comisiones y bonos: es la remuneración bruta del año según el auditor.</t>
        </is>
      </c>
      <c r="D27" s="24" t="inlineStr">
        <is>
          <t>Fila 1: 14.400,00+250,00+0,00 → 14.650,00</t>
        </is>
      </c>
      <c r="E27" s="24" t="inlineStr">
        <is>
          <t>«Sueldo del período» (esta hoja), «Horas extras registradas» (esta hoja), «Comisiones y bonos» (esta hoja)</t>
        </is>
      </c>
      <c r="F27" s="24" t="inlineStr">
        <is>
          <t>—</t>
        </is>
      </c>
    </row>
    <row r="28">
      <c r="A28" s="24" t="inlineStr">
        <is>
          <t>Remuneración registrada</t>
        </is>
      </c>
      <c r="B28" s="25" t="inlineStr">
        <is>
          <t>'='03_Empleados'!K5</t>
        </is>
      </c>
      <c r="C28" s="24" t="inlineStr">
        <is>
          <t>Trae la remuneración total anual que registró el cliente (materia gravada del IESS) en la hoja 03 (Empleados).</t>
        </is>
      </c>
      <c r="D28" s="24" t="inlineStr">
        <is>
          <t>Fila 1: 14.650,00 → 14.650,00</t>
        </is>
      </c>
      <c r="E28" s="24" t="inlineStr">
        <is>
          <t>hoja «Empleados (datos del cliente)»</t>
        </is>
      </c>
      <c r="F28" s="24" t="inlineStr">
        <is>
          <t>—</t>
        </is>
      </c>
    </row>
    <row r="29">
      <c r="A29" s="24" t="inlineStr">
        <is>
          <t>Registrada − recalculada</t>
        </is>
      </c>
      <c r="B29" s="25" t="inlineStr">
        <is>
          <t>'=M5-L5</t>
        </is>
      </c>
      <c r="C29" s="24" t="inlineStr">
        <is>
          <t>Resta el bruto recalculado de la remuneración registrada: una cifra positiva indica que el cliente registró más de lo que corresponde.</t>
        </is>
      </c>
      <c r="D29" s="24" t="inlineStr">
        <is>
          <t>Fila 1: 14.650,00-14.650,00 → 0,00</t>
        </is>
      </c>
      <c r="E29" s="24" t="inlineStr">
        <is>
          <t>«Remuneración registrada» (esta hoja), «Bruto recalculado» (esta hoja)</t>
        </is>
      </c>
      <c r="F29" s="24" t="inlineStr">
        <is>
          <t>—</t>
        </is>
      </c>
    </row>
    <row r="30">
      <c r="A30" s="24" t="inlineStr">
        <is>
          <t>Aporte personal s/ bruto</t>
        </is>
      </c>
      <c r="B30" s="25" t="inlineStr">
        <is>
          <t>'=L5*'02_Parametros'!$B$13/100</t>
        </is>
      </c>
      <c r="C30" s="24" t="inlineStr">
        <is>
          <t>Aplica el porcentaje de aporte personal al IESS de la hoja 02 (Parámetros) sobre el bruto recalculado de esta hoja.</t>
        </is>
      </c>
      <c r="D30" s="24" t="inlineStr">
        <is>
          <t>Fila 1: 14.650,00*9,45/100 → 1.384,42</t>
        </is>
      </c>
      <c r="E30" s="24" t="inlineStr">
        <is>
          <t>«Bruto recalculado» (esta hoja), hoja «Parámetros»</t>
        </is>
      </c>
      <c r="F30" s="24" t="inlineStr">
        <is>
          <t>—</t>
        </is>
      </c>
    </row>
    <row r="31">
      <c r="A31" s="24" t="inlineStr">
        <is>
          <t>Otras deducciones</t>
        </is>
      </c>
      <c r="B31" s="25" t="inlineStr">
        <is>
          <t>'=IF('03_Empleados'!L5="",0,'03_Empleados'!L5)</t>
        </is>
      </c>
      <c r="C31" s="24" t="inlineStr">
        <is>
          <t>Trae las otras deducciones del año (préstamos, impuesto retenido, etc.) de la hoja 03; si están vacías se toma cero.</t>
        </is>
      </c>
      <c r="D31" s="24" t="inlineStr">
        <is>
          <t>Fila 1: IF(300,00=""; 0; 300,00) → 300,00</t>
        </is>
      </c>
      <c r="E31" s="24" t="inlineStr">
        <is>
          <t>hoja «Empleados (datos del cliente)»</t>
        </is>
      </c>
      <c r="F31" s="24" t="inlineStr">
        <is>
          <t>—</t>
        </is>
      </c>
    </row>
    <row r="32">
      <c r="A32" s="24" t="inlineStr">
        <is>
          <t>Neto recalculado</t>
        </is>
      </c>
      <c r="B32" s="25" t="inlineStr">
        <is>
          <t>'=L5-O5-P5</t>
        </is>
      </c>
      <c r="C32" s="24" t="inlineStr">
        <is>
          <t>Parte del bruto recalculado y le resta el aporte personal y las otras deducciones: es lo que el empleado debió recibir en el año.</t>
        </is>
      </c>
      <c r="D32" s="24" t="inlineStr">
        <is>
          <t>Fila 1: 14.650,00-1.384,42-300,00 → 12.965,58</t>
        </is>
      </c>
      <c r="E32" s="24" t="inlineStr">
        <is>
          <t>«Bruto recalculado» (esta hoja), «Aporte personal s/ bruto» (esta hoja), «Otras deducciones» (esta hoja)</t>
        </is>
      </c>
      <c r="F32" s="24" t="inlineStr">
        <is>
          <t>—</t>
        </is>
      </c>
    </row>
    <row r="33">
      <c r="A33" s="24" t="inlineStr">
        <is>
          <t>Neto pagado</t>
        </is>
      </c>
      <c r="B33" s="25" t="inlineStr">
        <is>
          <t>'=IF('03_Empleados'!M5="","",'03_Empleados'!M5)</t>
        </is>
      </c>
      <c r="C33" s="24" t="inlineStr">
        <is>
          <t>Trae el neto que el cliente dice haber pagado en el año (hoja 03); queda en blanco si no lo informó.</t>
        </is>
      </c>
      <c r="D33" s="24" t="inlineStr">
        <is>
          <t>Fila 1: IF(12.965,58=""; ""; 12.965,58) → 12.965,58</t>
        </is>
      </c>
      <c r="E33" s="24" t="inlineStr">
        <is>
          <t>hoja «Empleados (datos del cliente)»</t>
        </is>
      </c>
      <c r="F33" s="24" t="inlineStr">
        <is>
          <t>—</t>
        </is>
      </c>
    </row>
    <row r="34">
      <c r="A34" s="24" t="inlineStr">
        <is>
          <t>Dif. neto</t>
        </is>
      </c>
      <c r="B34" s="25" t="inlineStr">
        <is>
          <t>'=IF(R5="","",R5-Q5)</t>
        </is>
      </c>
      <c r="C34" s="24" t="inlineStr">
        <is>
          <t>Resta el neto recalculado del neto pagado por el cliente; queda en blanco cuando el neto pagado no fue informado.</t>
        </is>
      </c>
      <c r="D34" s="24" t="inlineStr">
        <is>
          <t>Fila 1: IF(12.965,58=""; ""; 12.965,58-12.965,58) → 0,00</t>
        </is>
      </c>
      <c r="E34" s="24" t="inlineStr">
        <is>
          <t>«Neto pagado» (esta hoja), «Neto recalculado» (esta hoja)</t>
        </is>
      </c>
      <c r="F34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1" customWidth="1" min="3" max="3"/>
    <col width="24" customWidth="1" min="4" max="4"/>
    <col width="29" customWidth="1" min="5" max="5"/>
    <col width="28" customWidth="1" min="6" max="6"/>
    <col width="24" customWidth="1" min="7" max="7"/>
    <col width="21" customWidth="1" min="8" max="8"/>
    <col width="29" customWidth="1" min="9" max="9"/>
    <col width="28" customWidth="1" min="10" max="10"/>
    <col width="24" customWidth="1" min="11" max="11"/>
  </cols>
  <sheetData>
    <row r="1">
      <c r="A1" s="3" t="inlineStr">
        <is>
          <t>Aportes IESS y planillas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4" ht="30" customHeight="1">
      <c r="A4" s="17" t="inlineStr">
        <is>
          <t>Cédula/código</t>
        </is>
      </c>
      <c r="B4" s="17" t="inlineStr">
        <is>
          <t>Base (remuneración registrada)</t>
        </is>
      </c>
      <c r="C4" s="17" t="inlineStr">
        <is>
          <t>Base planillas IESS</t>
        </is>
      </c>
      <c r="D4" s="17" t="inlineStr">
        <is>
          <t>Dif. planilla − nómina</t>
        </is>
      </c>
      <c r="E4" s="17" t="inlineStr">
        <is>
          <t>Aporte personal recalculado</t>
        </is>
      </c>
      <c r="F4" s="17" t="inlineStr">
        <is>
          <t>Aporte personal registrado</t>
        </is>
      </c>
      <c r="G4" s="17" t="inlineStr">
        <is>
          <t>Dif. personal</t>
        </is>
      </c>
      <c r="H4" s="17" t="inlineStr">
        <is>
          <t>Tasa patronal total</t>
        </is>
      </c>
      <c r="I4" s="17" t="inlineStr">
        <is>
          <t>Aporte patronal recalculado</t>
        </is>
      </c>
      <c r="J4" s="17" t="inlineStr">
        <is>
          <t>Aporte patronal registrado</t>
        </is>
      </c>
      <c r="K4" s="17" t="inlineStr">
        <is>
          <t>Dif. patronal</t>
        </is>
      </c>
    </row>
    <row r="5">
      <c r="A5" s="18" t="inlineStr">
        <is>
          <t>E01</t>
        </is>
      </c>
      <c r="B5" s="20">
        <f>'03_Empleados'!K5</f>
        <v/>
      </c>
      <c r="C5" s="20">
        <f>IF('03_Empleados'!N5="","",'03_Empleados'!N5)</f>
        <v/>
      </c>
      <c r="D5" s="20">
        <f>IF(C5="","",C5-B5)</f>
        <v/>
      </c>
      <c r="E5" s="20">
        <f>B5*'02_Parametros'!$B$13/100</f>
        <v/>
      </c>
      <c r="F5" s="20">
        <f>IF('03_Empleados'!O5="","",'03_Empleados'!O5)</f>
        <v/>
      </c>
      <c r="G5" s="20">
        <f>IF(F5="","",F5-E5)</f>
        <v/>
      </c>
      <c r="H5" s="40">
        <f>('02_Parametros'!$B$14+'02_Parametros'!$B$15+'02_Parametros'!$B$16)/100</f>
        <v/>
      </c>
      <c r="I5" s="20">
        <f>B5*H5</f>
        <v/>
      </c>
      <c r="J5" s="20">
        <f>IF('03_Empleados'!P5="","",'03_Empleados'!P5)</f>
        <v/>
      </c>
      <c r="K5" s="20">
        <f>IF(J5="","",J5-I5)</f>
        <v/>
      </c>
    </row>
    <row r="6">
      <c r="A6" s="19" t="inlineStr">
        <is>
          <t>E02</t>
        </is>
      </c>
      <c r="B6" s="21">
        <f>'03_Empleados'!K6</f>
        <v/>
      </c>
      <c r="C6" s="21">
        <f>IF('03_Empleados'!N6="","",'03_Empleados'!N6)</f>
        <v/>
      </c>
      <c r="D6" s="21">
        <f>IF(C6="","",C6-B6)</f>
        <v/>
      </c>
      <c r="E6" s="21">
        <f>B6*'02_Parametros'!$B$13/100</f>
        <v/>
      </c>
      <c r="F6" s="21">
        <f>IF('03_Empleados'!O6="","",'03_Empleados'!O6)</f>
        <v/>
      </c>
      <c r="G6" s="21">
        <f>IF(F6="","",F6-E6)</f>
        <v/>
      </c>
      <c r="H6" s="41">
        <f>('02_Parametros'!$B$14+'02_Parametros'!$B$15+'02_Parametros'!$B$16)/100</f>
        <v/>
      </c>
      <c r="I6" s="21">
        <f>B6*H6</f>
        <v/>
      </c>
      <c r="J6" s="21">
        <f>IF('03_Empleados'!P6="","",'03_Empleados'!P6)</f>
        <v/>
      </c>
      <c r="K6" s="21">
        <f>IF(J6="","",J6-I6)</f>
        <v/>
      </c>
    </row>
    <row r="7">
      <c r="A7" s="18" t="inlineStr">
        <is>
          <t>E03</t>
        </is>
      </c>
      <c r="B7" s="20">
        <f>'03_Empleados'!K7</f>
        <v/>
      </c>
      <c r="C7" s="20">
        <f>IF('03_Empleados'!N7="","",'03_Empleados'!N7)</f>
        <v/>
      </c>
      <c r="D7" s="20">
        <f>IF(C7="","",C7-B7)</f>
        <v/>
      </c>
      <c r="E7" s="20">
        <f>B7*'02_Parametros'!$B$13/100</f>
        <v/>
      </c>
      <c r="F7" s="20">
        <f>IF('03_Empleados'!O7="","",'03_Empleados'!O7)</f>
        <v/>
      </c>
      <c r="G7" s="20">
        <f>IF(F7="","",F7-E7)</f>
        <v/>
      </c>
      <c r="H7" s="40">
        <f>('02_Parametros'!$B$14+'02_Parametros'!$B$15+'02_Parametros'!$B$16)/100</f>
        <v/>
      </c>
      <c r="I7" s="20">
        <f>B7*H7</f>
        <v/>
      </c>
      <c r="J7" s="20">
        <f>IF('03_Empleados'!P7="","",'03_Empleados'!P7)</f>
        <v/>
      </c>
      <c r="K7" s="20">
        <f>IF(J7="","",J7-I7)</f>
        <v/>
      </c>
    </row>
    <row r="8">
      <c r="A8" s="19" t="inlineStr">
        <is>
          <t>E04</t>
        </is>
      </c>
      <c r="B8" s="21">
        <f>'03_Empleados'!K8</f>
        <v/>
      </c>
      <c r="C8" s="21">
        <f>IF('03_Empleados'!N8="","",'03_Empleados'!N8)</f>
        <v/>
      </c>
      <c r="D8" s="21">
        <f>IF(C8="","",C8-B8)</f>
        <v/>
      </c>
      <c r="E8" s="21">
        <f>B8*'02_Parametros'!$B$13/100</f>
        <v/>
      </c>
      <c r="F8" s="21">
        <f>IF('03_Empleados'!O8="","",'03_Empleados'!O8)</f>
        <v/>
      </c>
      <c r="G8" s="21">
        <f>IF(F8="","",F8-E8)</f>
        <v/>
      </c>
      <c r="H8" s="41">
        <f>('02_Parametros'!$B$14+'02_Parametros'!$B$15+'02_Parametros'!$B$16)/100</f>
        <v/>
      </c>
      <c r="I8" s="21">
        <f>B8*H8</f>
        <v/>
      </c>
      <c r="J8" s="21">
        <f>IF('03_Empleados'!P8="","",'03_Empleados'!P8)</f>
        <v/>
      </c>
      <c r="K8" s="21">
        <f>IF(J8="","",J8-I8)</f>
        <v/>
      </c>
    </row>
    <row r="9">
      <c r="A9" s="18" t="inlineStr">
        <is>
          <t>E05</t>
        </is>
      </c>
      <c r="B9" s="20">
        <f>'03_Empleados'!K9</f>
        <v/>
      </c>
      <c r="C9" s="20">
        <f>IF('03_Empleados'!N9="","",'03_Empleados'!N9)</f>
        <v/>
      </c>
      <c r="D9" s="20">
        <f>IF(C9="","",C9-B9)</f>
        <v/>
      </c>
      <c r="E9" s="20">
        <f>B9*'02_Parametros'!$B$13/100</f>
        <v/>
      </c>
      <c r="F9" s="20">
        <f>IF('03_Empleados'!O9="","",'03_Empleados'!O9)</f>
        <v/>
      </c>
      <c r="G9" s="20">
        <f>IF(F9="","",F9-E9)</f>
        <v/>
      </c>
      <c r="H9" s="40">
        <f>('02_Parametros'!$B$14+'02_Parametros'!$B$15+'02_Parametros'!$B$16)/100</f>
        <v/>
      </c>
      <c r="I9" s="20">
        <f>B9*H9</f>
        <v/>
      </c>
      <c r="J9" s="20">
        <f>IF('03_Empleados'!P9="","",'03_Empleados'!P9)</f>
        <v/>
      </c>
      <c r="K9" s="20">
        <f>IF(J9="","",J9-I9)</f>
        <v/>
      </c>
    </row>
    <row r="10">
      <c r="A10" s="19" t="inlineStr">
        <is>
          <t>E06</t>
        </is>
      </c>
      <c r="B10" s="21">
        <f>'03_Empleados'!K10</f>
        <v/>
      </c>
      <c r="C10" s="21">
        <f>IF('03_Empleados'!N10="","",'03_Empleados'!N10)</f>
        <v/>
      </c>
      <c r="D10" s="21">
        <f>IF(C10="","",C10-B10)</f>
        <v/>
      </c>
      <c r="E10" s="21">
        <f>B10*'02_Parametros'!$B$13/100</f>
        <v/>
      </c>
      <c r="F10" s="21">
        <f>IF('03_Empleados'!O10="","",'03_Empleados'!O10)</f>
        <v/>
      </c>
      <c r="G10" s="21">
        <f>IF(F10="","",F10-E10)</f>
        <v/>
      </c>
      <c r="H10" s="41">
        <f>('02_Parametros'!$B$14+'02_Parametros'!$B$15+'02_Parametros'!$B$16)/100</f>
        <v/>
      </c>
      <c r="I10" s="21">
        <f>B10*H10</f>
        <v/>
      </c>
      <c r="J10" s="21">
        <f>IF('03_Empleados'!P10="","",'03_Empleados'!P10)</f>
        <v/>
      </c>
      <c r="K10" s="21">
        <f>IF(J10="","",J10-I10)</f>
        <v/>
      </c>
    </row>
    <row r="11">
      <c r="A11" s="18" t="inlineStr">
        <is>
          <t>E07</t>
        </is>
      </c>
      <c r="B11" s="20">
        <f>'03_Empleados'!K11</f>
        <v/>
      </c>
      <c r="C11" s="20">
        <f>IF('03_Empleados'!N11="","",'03_Empleados'!N11)</f>
        <v/>
      </c>
      <c r="D11" s="20">
        <f>IF(C11="","",C11-B11)</f>
        <v/>
      </c>
      <c r="E11" s="20">
        <f>B11*'02_Parametros'!$B$13/100</f>
        <v/>
      </c>
      <c r="F11" s="20">
        <f>IF('03_Empleados'!O11="","",'03_Empleados'!O11)</f>
        <v/>
      </c>
      <c r="G11" s="20">
        <f>IF(F11="","",F11-E11)</f>
        <v/>
      </c>
      <c r="H11" s="40">
        <f>('02_Parametros'!$B$14+'02_Parametros'!$B$15+'02_Parametros'!$B$16)/100</f>
        <v/>
      </c>
      <c r="I11" s="20">
        <f>B11*H11</f>
        <v/>
      </c>
      <c r="J11" s="20">
        <f>IF('03_Empleados'!P11="","",'03_Empleados'!P11)</f>
        <v/>
      </c>
      <c r="K11" s="20">
        <f>IF(J11="","",J11-I11)</f>
        <v/>
      </c>
    </row>
    <row r="12">
      <c r="A12" s="19" t="inlineStr">
        <is>
          <t>E08</t>
        </is>
      </c>
      <c r="B12" s="21">
        <f>'03_Empleados'!K12</f>
        <v/>
      </c>
      <c r="C12" s="21">
        <f>IF('03_Empleados'!N12="","",'03_Empleados'!N12)</f>
        <v/>
      </c>
      <c r="D12" s="21">
        <f>IF(C12="","",C12-B12)</f>
        <v/>
      </c>
      <c r="E12" s="21">
        <f>B12*'02_Parametros'!$B$13/100</f>
        <v/>
      </c>
      <c r="F12" s="21">
        <f>IF('03_Empleados'!O12="","",'03_Empleados'!O12)</f>
        <v/>
      </c>
      <c r="G12" s="21">
        <f>IF(F12="","",F12-E12)</f>
        <v/>
      </c>
      <c r="H12" s="41">
        <f>('02_Parametros'!$B$14+'02_Parametros'!$B$15+'02_Parametros'!$B$16)/100</f>
        <v/>
      </c>
      <c r="I12" s="21">
        <f>B12*H12</f>
        <v/>
      </c>
      <c r="J12" s="21">
        <f>IF('03_Empleados'!P12="","",'03_Empleados'!P12)</f>
        <v/>
      </c>
      <c r="K12" s="21">
        <f>IF(J12="","",J12-I12)</f>
        <v/>
      </c>
    </row>
    <row r="13">
      <c r="A13" s="34" t="inlineStr">
        <is>
          <t>TOTAL</t>
        </is>
      </c>
      <c r="B13" s="36" t="n"/>
      <c r="C13" s="36" t="n"/>
      <c r="D13" s="36" t="n"/>
      <c r="E13" s="36">
        <f>SUM(E5:E12)</f>
        <v/>
      </c>
      <c r="F13" s="36" t="n"/>
      <c r="G13" s="36">
        <f>SUM(G5:G12)</f>
        <v/>
      </c>
      <c r="H13" s="42" t="n"/>
      <c r="I13" s="36">
        <f>SUM(I5:I12)</f>
        <v/>
      </c>
      <c r="J13" s="36" t="n"/>
      <c r="K13" s="36">
        <f>SUM(K5:K12)</f>
        <v/>
      </c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Base (remuneración registrada)</t>
        </is>
      </c>
      <c r="B17" s="25" t="inlineStr">
        <is>
          <t>'='03_Empleados'!K5</t>
        </is>
      </c>
      <c r="C17" s="24" t="inlineStr">
        <is>
          <t>Trae la remuneración anual registrada del empleado de la hoja 03 (Empleados); es la base sobre la que se recalculan los aportes.</t>
        </is>
      </c>
      <c r="D17" s="24" t="inlineStr">
        <is>
          <t>Fila 1: 14.650,00 → 14.650,00</t>
        </is>
      </c>
      <c r="E17" s="24" t="inlineStr">
        <is>
          <t>hoja «Empleados (datos del cliente)»</t>
        </is>
      </c>
      <c r="F17" s="24" t="inlineStr">
        <is>
          <t>—</t>
        </is>
      </c>
    </row>
    <row r="18">
      <c r="A18" s="24" t="inlineStr">
        <is>
          <t>Base planillas IESS</t>
        </is>
      </c>
      <c r="B18" s="25" t="inlineStr">
        <is>
          <t>'=IF('03_Empleados'!N5="","",'03_Empleados'!N5)</t>
        </is>
      </c>
      <c r="C18" s="24" t="inlineStr">
        <is>
          <t>Trae la base de aportación que figura en las planillas del IESS (hoja 03); queda en blanco si no se informó.</t>
        </is>
      </c>
      <c r="D18" s="24" t="inlineStr">
        <is>
          <t>Fila 1: IF(14.650,00=""; ""; 14.650,00) → 14.650,00</t>
        </is>
      </c>
      <c r="E18" s="24" t="inlineStr">
        <is>
          <t>hoja «Empleados (datos del cliente)»</t>
        </is>
      </c>
      <c r="F18" s="24" t="inlineStr">
        <is>
          <t>—</t>
        </is>
      </c>
    </row>
    <row r="19">
      <c r="A19" s="24" t="inlineStr">
        <is>
          <t>Dif. planilla − nómina</t>
        </is>
      </c>
      <c r="B19" s="25" t="inlineStr">
        <is>
          <t>'=IF(C5="","",C5-B5)</t>
        </is>
      </c>
      <c r="C19" s="24" t="inlineStr">
        <is>
          <t>Resta la remuneración de la nómina de la base declarada en las planillas del IESS; queda en blanco si falta la base de planillas.</t>
        </is>
      </c>
      <c r="D19" s="24" t="inlineStr">
        <is>
          <t>Fila 1: IF(14.650,00=""; ""; 14.650,00-14.650,00) → 0,00</t>
        </is>
      </c>
      <c r="E19" s="24" t="inlineStr">
        <is>
          <t>«Base planillas IESS» (esta hoja), «Base (remuneración registrada)» (esta hoja)</t>
        </is>
      </c>
      <c r="F19" s="24" t="inlineStr">
        <is>
          <t>—</t>
        </is>
      </c>
    </row>
    <row r="20">
      <c r="A20" s="24" t="inlineStr">
        <is>
          <t>Aporte personal recalculado</t>
        </is>
      </c>
      <c r="B20" s="25" t="inlineStr">
        <is>
          <t>'=B5*'02_Parametros'!$B$13/100</t>
        </is>
      </c>
      <c r="C20" s="24" t="inlineStr">
        <is>
          <t>Multiplica la base (remuneración registrada) por el porcentaje de aporte personal de la hoja 02 (Parámetros).</t>
        </is>
      </c>
      <c r="D20" s="24" t="inlineStr">
        <is>
          <t>Fila 1: 14.650,00*9,45/100 → 1.384,42</t>
        </is>
      </c>
      <c r="E20" s="24" t="inlineStr">
        <is>
          <t>«Base (remuneración registrada)» (esta hoja), hoja «Parámetros»</t>
        </is>
      </c>
      <c r="F20" s="24" t="inlineStr">
        <is>
          <t>—</t>
        </is>
      </c>
    </row>
    <row r="21">
      <c r="A21" s="24" t="inlineStr">
        <is>
          <t>Aporte personal registrado</t>
        </is>
      </c>
      <c r="B21" s="25" t="inlineStr">
        <is>
          <t>'=IF('03_Empleados'!O5="","",'03_Empleados'!O5)</t>
        </is>
      </c>
      <c r="C21" s="24" t="inlineStr">
        <is>
          <t>Trae el aporte personal al IESS que registró el cliente en la hoja 03; queda en blanco si no lo informó.</t>
        </is>
      </c>
      <c r="D21" s="24" t="inlineStr">
        <is>
          <t>Fila 1: IF(1.384,43=""; ""; 1.384,43) → 1.384,43</t>
        </is>
      </c>
      <c r="E21" s="24" t="inlineStr">
        <is>
          <t>hoja «Empleados (datos del cliente)»</t>
        </is>
      </c>
      <c r="F21" s="24" t="inlineStr">
        <is>
          <t>—</t>
        </is>
      </c>
    </row>
    <row r="22">
      <c r="A22" s="24" t="inlineStr">
        <is>
          <t>Dif. personal</t>
        </is>
      </c>
      <c r="B22" s="25" t="inlineStr">
        <is>
          <t>'=IF(F5="","",F5-E5)</t>
        </is>
      </c>
      <c r="C22" s="24" t="inlineStr">
        <is>
          <t>Resta el aporte personal recalculado del registrado por el cliente; queda en blanco si el cliente no informó su aporte.</t>
        </is>
      </c>
      <c r="D22" s="24" t="inlineStr">
        <is>
          <t>Fila 1: IF(1.384,43=""; ""; 1.384,43-1.384,42) → 0,01</t>
        </is>
      </c>
      <c r="E22" s="24" t="inlineStr">
        <is>
          <t>«Aporte personal registrado» (esta hoja), «Aporte personal recalculado» (esta hoja)</t>
        </is>
      </c>
      <c r="F22" s="24" t="inlineStr">
        <is>
          <t>—</t>
        </is>
      </c>
    </row>
    <row r="23">
      <c r="A23" s="24" t="inlineStr">
        <is>
          <t>Tasa patronal total</t>
        </is>
      </c>
      <c r="B23" s="25" t="inlineStr">
        <is>
          <t>'=('02_Parametros'!$B$14+'02_Parametros'!$B$15+'02_Parametros'!$B$16)/100</t>
        </is>
      </c>
      <c r="C23" s="24" t="inlineStr">
        <is>
          <t>Suma los porcentajes de aporte patronal, ex IECE y SECAP de la hoja 02 (Parámetros) y los expresa como tasa única.</t>
        </is>
      </c>
      <c r="D23" s="24" t="inlineStr">
        <is>
          <t>Fila 1: (11,15+0,50+0,50)/100 → 12,15 %</t>
        </is>
      </c>
      <c r="E23" s="24" t="inlineStr">
        <is>
          <t>hoja «Parámetros»</t>
        </is>
      </c>
      <c r="F23" s="24" t="inlineStr">
        <is>
          <t>—</t>
        </is>
      </c>
    </row>
    <row r="24">
      <c r="A24" s="24" t="inlineStr">
        <is>
          <t>Aporte patronal recalculado</t>
        </is>
      </c>
      <c r="B24" s="25" t="inlineStr">
        <is>
          <t>'=B5*H5</t>
        </is>
      </c>
      <c r="C24" s="24" t="inlineStr">
        <is>
          <t>Multiplica la base (remuneración registrada) por la tasa patronal total de esta hoja.</t>
        </is>
      </c>
      <c r="D24" s="24" t="inlineStr">
        <is>
          <t>Fila 1: 14.650,00*12,15 % → 1.779,97</t>
        </is>
      </c>
      <c r="E24" s="24" t="inlineStr">
        <is>
          <t>«Base (remuneración registrada)» (esta hoja), «Tasa patronal total» (esta hoja)</t>
        </is>
      </c>
      <c r="F24" s="24" t="inlineStr">
        <is>
          <t>—</t>
        </is>
      </c>
    </row>
    <row r="25">
      <c r="A25" s="24" t="inlineStr">
        <is>
          <t>Aporte patronal registrado</t>
        </is>
      </c>
      <c r="B25" s="25" t="inlineStr">
        <is>
          <t>'=IF('03_Empleados'!P5="","",'03_Empleados'!P5)</t>
        </is>
      </c>
      <c r="C25" s="24" t="inlineStr">
        <is>
          <t>Trae el aporte patronal (con IECE y SECAP) que registró el cliente en la hoja 03; queda en blanco si no se informó.</t>
        </is>
      </c>
      <c r="D25" s="24" t="inlineStr">
        <is>
          <t>Fila 1: IF(1.779,98=""; ""; 1.779,98) → 1.779,98</t>
        </is>
      </c>
      <c r="E25" s="24" t="inlineStr">
        <is>
          <t>hoja «Empleados (datos del cliente)»</t>
        </is>
      </c>
      <c r="F25" s="24" t="inlineStr">
        <is>
          <t>—</t>
        </is>
      </c>
    </row>
    <row r="26">
      <c r="A26" s="24" t="inlineStr">
        <is>
          <t>Dif. patronal</t>
        </is>
      </c>
      <c r="B26" s="25" t="inlineStr">
        <is>
          <t>'=IF(J5="","",J5-I5)</t>
        </is>
      </c>
      <c r="C26" s="24" t="inlineStr">
        <is>
          <t>Resta el aporte patronal recalculado del registrado por el cliente; queda en blanco si el cliente no informó su aporte patronal.</t>
        </is>
      </c>
      <c r="D26" s="24" t="inlineStr">
        <is>
          <t>Fila 1: IF(1.779,98=""; ""; 1.779,98-1.779,97) → 0,01</t>
        </is>
      </c>
      <c r="E26" s="24" t="inlineStr">
        <is>
          <t>«Aporte patronal registrado» (esta hoja), «Aporte patronal recalculado» (esta hoja)</t>
        </is>
      </c>
      <c r="F26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7" customWidth="1" min="4" max="4"/>
    <col width="21" customWidth="1" min="5" max="5"/>
    <col width="30" customWidth="1" min="6" max="6"/>
    <col width="14" customWidth="1" min="7" max="7"/>
    <col width="28" customWidth="1" min="8" max="8"/>
  </cols>
  <sheetData>
    <row r="1">
      <c r="A1" s="3" t="inlineStr">
        <is>
          <t>Décimo tercero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Cédula/código</t>
        </is>
      </c>
      <c r="B4" s="17" t="inlineStr">
        <is>
          <t>Activo</t>
        </is>
      </c>
      <c r="C4" s="17" t="inlineStr">
        <is>
          <t>Mensualizado</t>
        </is>
      </c>
      <c r="D4" s="17" t="inlineStr">
        <is>
          <t>Días del período al corte</t>
        </is>
      </c>
      <c r="E4" s="17" t="inlineStr">
        <is>
          <t>Remuneración diaria</t>
        </is>
      </c>
      <c r="F4" s="17" t="inlineStr">
        <is>
          <t>Provisión recalculada (1/12)</t>
        </is>
      </c>
      <c r="G4" s="17" t="inlineStr">
        <is>
          <t>Provisionado</t>
        </is>
      </c>
      <c r="H4" s="17" t="inlineStr">
        <is>
          <t>Provisionado − recalculado</t>
        </is>
      </c>
    </row>
    <row r="5">
      <c r="A5" s="18" t="inlineStr">
        <is>
          <t>E01</t>
        </is>
      </c>
      <c r="B5" s="18">
        <f>'05_Tiempo_servicio'!E5</f>
        <v/>
      </c>
      <c r="C5" s="18" t="inlineStr">
        <is>
          <t>No</t>
        </is>
      </c>
      <c r="D5" s="37">
        <f>IF(OR(B5="No",C5="Sí"),0,DAYS360(MAX('03_Empleados'!C5,'02_Parametros'!$B$27),'02_Parametros'!$B$5+1,TRUE))</f>
        <v/>
      </c>
      <c r="E5" s="20">
        <f>IF('05_Tiempo_servicio'!D5=0,0,'06_Recalculo_nomina'!L5/'05_Tiempo_servicio'!D5)</f>
        <v/>
      </c>
      <c r="F5" s="20">
        <f>E5*D5/12</f>
        <v/>
      </c>
      <c r="G5" s="20">
        <f>IF('03_Empleados'!S5="","",'03_Empleados'!S5)</f>
        <v/>
      </c>
      <c r="H5" s="20">
        <f>IF(G5="","",G5-F5)</f>
        <v/>
      </c>
    </row>
    <row r="6">
      <c r="A6" s="19" t="inlineStr">
        <is>
          <t>E02</t>
        </is>
      </c>
      <c r="B6" s="19">
        <f>'05_Tiempo_servicio'!E6</f>
        <v/>
      </c>
      <c r="C6" s="19" t="inlineStr">
        <is>
          <t>No</t>
        </is>
      </c>
      <c r="D6" s="38">
        <f>IF(OR(B6="No",C6="Sí"),0,DAYS360(MAX('03_Empleados'!C6,'02_Parametros'!$B$27),'02_Parametros'!$B$5+1,TRUE))</f>
        <v/>
      </c>
      <c r="E6" s="21">
        <f>IF('05_Tiempo_servicio'!D6=0,0,'06_Recalculo_nomina'!L6/'05_Tiempo_servicio'!D6)</f>
        <v/>
      </c>
      <c r="F6" s="21">
        <f>E6*D6/12</f>
        <v/>
      </c>
      <c r="G6" s="21">
        <f>IF('03_Empleados'!S6="","",'03_Empleados'!S6)</f>
        <v/>
      </c>
      <c r="H6" s="21">
        <f>IF(G6="","",G6-F6)</f>
        <v/>
      </c>
    </row>
    <row r="7">
      <c r="A7" s="18" t="inlineStr">
        <is>
          <t>E03</t>
        </is>
      </c>
      <c r="B7" s="18">
        <f>'05_Tiempo_servicio'!E7</f>
        <v/>
      </c>
      <c r="C7" s="18" t="inlineStr">
        <is>
          <t>No</t>
        </is>
      </c>
      <c r="D7" s="37">
        <f>IF(OR(B7="No",C7="Sí"),0,DAYS360(MAX('03_Empleados'!C7,'02_Parametros'!$B$27),'02_Parametros'!$B$5+1,TRUE))</f>
        <v/>
      </c>
      <c r="E7" s="20">
        <f>IF('05_Tiempo_servicio'!D7=0,0,'06_Recalculo_nomina'!L7/'05_Tiempo_servicio'!D7)</f>
        <v/>
      </c>
      <c r="F7" s="20">
        <f>E7*D7/12</f>
        <v/>
      </c>
      <c r="G7" s="20">
        <f>IF('03_Empleados'!S7="","",'03_Empleados'!S7)</f>
        <v/>
      </c>
      <c r="H7" s="20">
        <f>IF(G7="","",G7-F7)</f>
        <v/>
      </c>
    </row>
    <row r="8">
      <c r="A8" s="19" t="inlineStr">
        <is>
          <t>E04</t>
        </is>
      </c>
      <c r="B8" s="19">
        <f>'05_Tiempo_servicio'!E8</f>
        <v/>
      </c>
      <c r="C8" s="19" t="inlineStr">
        <is>
          <t>No</t>
        </is>
      </c>
      <c r="D8" s="38">
        <f>IF(OR(B8="No",C8="Sí"),0,DAYS360(MAX('03_Empleados'!C8,'02_Parametros'!$B$27),'02_Parametros'!$B$5+1,TRUE))</f>
        <v/>
      </c>
      <c r="E8" s="21">
        <f>IF('05_Tiempo_servicio'!D8=0,0,'06_Recalculo_nomina'!L8/'05_Tiempo_servicio'!D8)</f>
        <v/>
      </c>
      <c r="F8" s="21">
        <f>E8*D8/12</f>
        <v/>
      </c>
      <c r="G8" s="21">
        <f>IF('03_Empleados'!S8="","",'03_Empleados'!S8)</f>
        <v/>
      </c>
      <c r="H8" s="21">
        <f>IF(G8="","",G8-F8)</f>
        <v/>
      </c>
    </row>
    <row r="9">
      <c r="A9" s="18" t="inlineStr">
        <is>
          <t>E05</t>
        </is>
      </c>
      <c r="B9" s="18">
        <f>'05_Tiempo_servicio'!E9</f>
        <v/>
      </c>
      <c r="C9" s="18" t="inlineStr">
        <is>
          <t>No</t>
        </is>
      </c>
      <c r="D9" s="37">
        <f>IF(OR(B9="No",C9="Sí"),0,DAYS360(MAX('03_Empleados'!C9,'02_Parametros'!$B$27),'02_Parametros'!$B$5+1,TRUE))</f>
        <v/>
      </c>
      <c r="E9" s="20">
        <f>IF('05_Tiempo_servicio'!D9=0,0,'06_Recalculo_nomina'!L9/'05_Tiempo_servicio'!D9)</f>
        <v/>
      </c>
      <c r="F9" s="20">
        <f>E9*D9/12</f>
        <v/>
      </c>
      <c r="G9" s="20">
        <f>IF('03_Empleados'!S9="","",'03_Empleados'!S9)</f>
        <v/>
      </c>
      <c r="H9" s="20">
        <f>IF(G9="","",G9-F9)</f>
        <v/>
      </c>
    </row>
    <row r="10">
      <c r="A10" s="19" t="inlineStr">
        <is>
          <t>E06</t>
        </is>
      </c>
      <c r="B10" s="19">
        <f>'05_Tiempo_servicio'!E10</f>
        <v/>
      </c>
      <c r="C10" s="19" t="inlineStr">
        <is>
          <t>Sí</t>
        </is>
      </c>
      <c r="D10" s="38">
        <f>IF(OR(B10="No",C10="Sí"),0,DAYS360(MAX('03_Empleados'!C10,'02_Parametros'!$B$27),'02_Parametros'!$B$5+1,TRUE))</f>
        <v/>
      </c>
      <c r="E10" s="21">
        <f>IF('05_Tiempo_servicio'!D10=0,0,'06_Recalculo_nomina'!L10/'05_Tiempo_servicio'!D10)</f>
        <v/>
      </c>
      <c r="F10" s="21">
        <f>E10*D10/12</f>
        <v/>
      </c>
      <c r="G10" s="21">
        <f>IF('03_Empleados'!S10="","",'03_Empleados'!S10)</f>
        <v/>
      </c>
      <c r="H10" s="21">
        <f>IF(G10="","",G10-F10)</f>
        <v/>
      </c>
    </row>
    <row r="11">
      <c r="A11" s="18" t="inlineStr">
        <is>
          <t>E07</t>
        </is>
      </c>
      <c r="B11" s="18">
        <f>'05_Tiempo_servicio'!E11</f>
        <v/>
      </c>
      <c r="C11" s="18" t="inlineStr">
        <is>
          <t>No</t>
        </is>
      </c>
      <c r="D11" s="37">
        <f>IF(OR(B11="No",C11="Sí"),0,DAYS360(MAX('03_Empleados'!C11,'02_Parametros'!$B$27),'02_Parametros'!$B$5+1,TRUE))</f>
        <v/>
      </c>
      <c r="E11" s="20">
        <f>IF('05_Tiempo_servicio'!D11=0,0,'06_Recalculo_nomina'!L11/'05_Tiempo_servicio'!D11)</f>
        <v/>
      </c>
      <c r="F11" s="20">
        <f>E11*D11/12</f>
        <v/>
      </c>
      <c r="G11" s="20">
        <f>IF('03_Empleados'!S11="","",'03_Empleados'!S11)</f>
        <v/>
      </c>
      <c r="H11" s="20">
        <f>IF(G11="","",G11-F11)</f>
        <v/>
      </c>
    </row>
    <row r="12">
      <c r="A12" s="19" t="inlineStr">
        <is>
          <t>E08</t>
        </is>
      </c>
      <c r="B12" s="19">
        <f>'05_Tiempo_servicio'!E12</f>
        <v/>
      </c>
      <c r="C12" s="19" t="inlineStr">
        <is>
          <t>No</t>
        </is>
      </c>
      <c r="D12" s="38">
        <f>IF(OR(B12="No",C12="Sí"),0,DAYS360(MAX('03_Empleados'!C12,'02_Parametros'!$B$27),'02_Parametros'!$B$5+1,TRUE))</f>
        <v/>
      </c>
      <c r="E12" s="21">
        <f>IF('05_Tiempo_servicio'!D12=0,0,'06_Recalculo_nomina'!L12/'05_Tiempo_servicio'!D12)</f>
        <v/>
      </c>
      <c r="F12" s="21">
        <f>E12*D12/12</f>
        <v/>
      </c>
      <c r="G12" s="21">
        <f>IF('03_Empleados'!S12="","",'03_Empleados'!S12)</f>
        <v/>
      </c>
      <c r="H12" s="21">
        <f>IF(G12="","",G12-F12)</f>
        <v/>
      </c>
    </row>
    <row r="13">
      <c r="A13" s="34" t="inlineStr">
        <is>
          <t>TOTAL</t>
        </is>
      </c>
      <c r="B13" s="34" t="inlineStr"/>
      <c r="C13" s="34" t="inlineStr"/>
      <c r="D13" s="39" t="n"/>
      <c r="E13" s="36" t="n"/>
      <c r="F13" s="36">
        <f>SUM(F5:F12)</f>
        <v/>
      </c>
      <c r="G13" s="36" t="n"/>
      <c r="H13" s="36">
        <f>SUM(H5:H12)</f>
        <v/>
      </c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Activo</t>
        </is>
      </c>
      <c r="B17" s="25" t="inlineStr">
        <is>
          <t>'='05_Tiempo_servicio'!E5</t>
        </is>
      </c>
      <c r="C17" s="24" t="inlineStr">
        <is>
          <t>Trae si el empleado está activo al corte, según la hoja 05 (Tiempo de servicio).</t>
        </is>
      </c>
      <c r="D17" s="24" t="inlineStr">
        <is>
          <t>Fila 1: «Sí» → Sí</t>
        </is>
      </c>
      <c r="E17" s="24" t="inlineStr">
        <is>
          <t>hoja «Tiempo de servicio»</t>
        </is>
      </c>
      <c r="F17" s="24" t="inlineStr">
        <is>
          <t>—</t>
        </is>
      </c>
    </row>
    <row r="18">
      <c r="A18" s="24" t="inlineStr">
        <is>
          <t>Días del período al corte</t>
        </is>
      </c>
      <c r="B18" s="25" t="inlineStr">
        <is>
          <t>'=IF(OR(B5="No",C5="Sí"),0,DAYS360(MAX('03_Empleados'!C5,'02_Parametros'!$B$27),'02_Parametros'!$B$5+1,TRUE))</t>
        </is>
      </c>
      <c r="C18" s="24" t="inlineStr">
        <is>
          <t>Cuenta los días, en base 30/360, desde el inicio del período del décimo tercero (hoja 02) o desde el ingreso si fue posterior, hasta el corte. Da cero si el empleado ya no está activo o si cobra el décimo mensualizado.</t>
        </is>
      </c>
      <c r="D18" s="24" t="inlineStr">
        <is>
          <t>Fila 1: IF(OR(«Sí»="No"; «No»="Sí"); 0; D(vacío)(MAX(«2015-03-01»; «2025-12-01»); «2025-12-31»+1; TRUE)) → 30</t>
        </is>
      </c>
      <c r="E18" s="24" t="inlineStr">
        <is>
          <t>«Activo» (esta hoja), «Mensualizado» (esta hoja), hoja «Empleados (datos del cliente)», hoja «Parámetros»</t>
        </is>
      </c>
      <c r="F18" s="24" t="inlineStr">
        <is>
          <t>—</t>
        </is>
      </c>
    </row>
    <row r="19">
      <c r="A19" s="24" t="inlineStr">
        <is>
          <t>Remuneración diaria</t>
        </is>
      </c>
      <c r="B19" s="25" t="inlineStr">
        <is>
          <t>'=IF('05_Tiempo_servicio'!D5=0,0,'06_Recalculo_nomina'!L5/'05_Tiempo_servicio'!D5)</t>
        </is>
      </c>
      <c r="C19" s="24" t="inlineStr">
        <is>
          <t>Divide el bruto recalculado de la hoja 06 (Recálculo de nómina) para los días trabajados de la hoja 05; cero si no trabajó días en el año.</t>
        </is>
      </c>
      <c r="D19" s="24" t="inlineStr">
        <is>
          <t>Fila 1: IF(360=0; 0; 14.650,00/360) → 40,69</t>
        </is>
      </c>
      <c r="E19" s="24" t="inlineStr">
        <is>
          <t>hoja «Tiempo de servicio», hoja «Recálculo de nómina: bruto y neto»</t>
        </is>
      </c>
      <c r="F19" s="24" t="inlineStr">
        <is>
          <t>—</t>
        </is>
      </c>
    </row>
    <row r="20">
      <c r="A20" s="24" t="inlineStr">
        <is>
          <t>Provisión recalculada (1/12)</t>
        </is>
      </c>
      <c r="B20" s="25" t="inlineStr">
        <is>
          <t>'=E5*D5/12</t>
        </is>
      </c>
      <c r="C20" s="24" t="inlineStr">
        <is>
          <t>Multiplica la remuneración diaria por los días del período al corte y divide para 12: es la doceava parte de lo ganado en el período, lo que debería estar provisionado.</t>
        </is>
      </c>
      <c r="D20" s="24" t="inlineStr">
        <is>
          <t>Fila 1: 40,69*30/12 → 101,74</t>
        </is>
      </c>
      <c r="E20" s="24" t="inlineStr">
        <is>
          <t>«Remuneración diaria» (esta hoja), «Días del período al corte» (esta hoja)</t>
        </is>
      </c>
      <c r="F20" s="24" t="inlineStr">
        <is>
          <t>—</t>
        </is>
      </c>
    </row>
    <row r="21">
      <c r="A21" s="24" t="inlineStr">
        <is>
          <t>Provisionado</t>
        </is>
      </c>
      <c r="B21" s="25" t="inlineStr">
        <is>
          <t>'=IF('03_Empleados'!S5="","",'03_Empleados'!S5)</t>
        </is>
      </c>
      <c r="C21" s="24" t="inlineStr">
        <is>
          <t>Trae el décimo tercero que el cliente tiene provisionado al corte (hoja 03); queda en blanco si no lo informó.</t>
        </is>
      </c>
      <c r="D21" s="24" t="inlineStr">
        <is>
          <t>Fila 1: IF(101,74=""; ""; 101,74) → 101,74</t>
        </is>
      </c>
      <c r="E21" s="24" t="inlineStr">
        <is>
          <t>hoja «Empleados (datos del cliente)»</t>
        </is>
      </c>
      <c r="F21" s="24" t="inlineStr">
        <is>
          <t>—</t>
        </is>
      </c>
    </row>
    <row r="22">
      <c r="A22" s="24" t="inlineStr">
        <is>
          <t>Provisionado − recalculado</t>
        </is>
      </c>
      <c r="B22" s="25" t="inlineStr">
        <is>
          <t>'=IF(G5="","",G5-F5)</t>
        </is>
      </c>
      <c r="C22" s="24" t="inlineStr">
        <is>
          <t>Resta la provisión recalculada de la provisionada por el cliente: negativa significa que falta provisión; queda en blanco si no hay dato del cliente.</t>
        </is>
      </c>
      <c r="D22" s="24" t="inlineStr">
        <is>
          <t>Fila 1: IF(101,74=""; ""; 101,74-101,74) → 0,00</t>
        </is>
      </c>
      <c r="E22" s="24" t="inlineStr">
        <is>
          <t>«Provisionado» (esta hoja), «Provisión recalculada (1/12)» (esta hoja)</t>
        </is>
      </c>
      <c r="F22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7" customWidth="1" min="4" max="4"/>
    <col width="20" customWidth="1" min="5" max="5"/>
    <col width="27" customWidth="1" min="6" max="6"/>
    <col width="42" customWidth="1" min="7" max="7"/>
    <col width="14" customWidth="1" min="8" max="8"/>
    <col width="28" customWidth="1" min="9" max="9"/>
  </cols>
  <sheetData>
    <row r="1">
      <c r="A1" s="3" t="inlineStr">
        <is>
          <t>Décimo cuarto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Cédula/código</t>
        </is>
      </c>
      <c r="B4" s="17" t="inlineStr">
        <is>
          <t>Activo</t>
        </is>
      </c>
      <c r="C4" s="17" t="inlineStr">
        <is>
          <t>Mensualizado</t>
        </is>
      </c>
      <c r="D4" s="17" t="inlineStr">
        <is>
          <t>Región</t>
        </is>
      </c>
      <c r="E4" s="17" t="inlineStr">
        <is>
          <t>Inicio del período</t>
        </is>
      </c>
      <c r="F4" s="17" t="inlineStr">
        <is>
          <t>Días del período al corte</t>
        </is>
      </c>
      <c r="G4" s="17" t="inlineStr">
        <is>
          <t>Provisión recalculada (SBU × días ÷ 360)</t>
        </is>
      </c>
      <c r="H4" s="17" t="inlineStr">
        <is>
          <t>Provisionado</t>
        </is>
      </c>
      <c r="I4" s="17" t="inlineStr">
        <is>
          <t>Provisionado − recalculado</t>
        </is>
      </c>
    </row>
    <row r="5">
      <c r="A5" s="18" t="inlineStr">
        <is>
          <t>E01</t>
        </is>
      </c>
      <c r="B5" s="18">
        <f>'05_Tiempo_servicio'!E5</f>
        <v/>
      </c>
      <c r="C5" s="18" t="inlineStr">
        <is>
          <t>No</t>
        </is>
      </c>
      <c r="D5" s="18" t="inlineStr">
        <is>
          <t>Sierra/Oriente</t>
        </is>
      </c>
      <c r="E5" s="30" t="n">
        <v>45870</v>
      </c>
      <c r="F5" s="37">
        <f>IF(OR(B5="No",C5="Sí"),0,DAYS360(MAX('03_Empleados'!C5,IF(D5="Costa/Galápagos",'02_Parametros'!$B$31,'02_Parametros'!$B$29)),'02_Parametros'!$B$5+1,TRUE))</f>
        <v/>
      </c>
      <c r="G5" s="20">
        <f>'02_Parametros'!$B$12*F5/360</f>
        <v/>
      </c>
      <c r="H5" s="20">
        <f>IF('03_Empleados'!T5="","",'03_Empleados'!T5)</f>
        <v/>
      </c>
      <c r="I5" s="20">
        <f>IF(H5="","",H5-G5)</f>
        <v/>
      </c>
    </row>
    <row r="6">
      <c r="A6" s="19" t="inlineStr">
        <is>
          <t>E02</t>
        </is>
      </c>
      <c r="B6" s="19">
        <f>'05_Tiempo_servicio'!E6</f>
        <v/>
      </c>
      <c r="C6" s="19" t="inlineStr">
        <is>
          <t>No</t>
        </is>
      </c>
      <c r="D6" s="19" t="inlineStr">
        <is>
          <t>Costa/Galápagos</t>
        </is>
      </c>
      <c r="E6" s="32" t="n">
        <v>45717</v>
      </c>
      <c r="F6" s="38">
        <f>IF(OR(B6="No",C6="Sí"),0,DAYS360(MAX('03_Empleados'!C6,IF(D6="Costa/Galápagos",'02_Parametros'!$B$31,'02_Parametros'!$B$29)),'02_Parametros'!$B$5+1,TRUE))</f>
        <v/>
      </c>
      <c r="G6" s="21">
        <f>'02_Parametros'!$B$12*F6/360</f>
        <v/>
      </c>
      <c r="H6" s="21">
        <f>IF('03_Empleados'!T6="","",'03_Empleados'!T6)</f>
        <v/>
      </c>
      <c r="I6" s="21">
        <f>IF(H6="","",H6-G6)</f>
        <v/>
      </c>
    </row>
    <row r="7">
      <c r="A7" s="18" t="inlineStr">
        <is>
          <t>E03</t>
        </is>
      </c>
      <c r="B7" s="18">
        <f>'05_Tiempo_servicio'!E7</f>
        <v/>
      </c>
      <c r="C7" s="18" t="inlineStr">
        <is>
          <t>No</t>
        </is>
      </c>
      <c r="D7" s="18" t="inlineStr">
        <is>
          <t>Sierra/Oriente</t>
        </is>
      </c>
      <c r="E7" s="30" t="n">
        <v>45870</v>
      </c>
      <c r="F7" s="37">
        <f>IF(OR(B7="No",C7="Sí"),0,DAYS360(MAX('03_Empleados'!C7,IF(D7="Costa/Galápagos",'02_Parametros'!$B$31,'02_Parametros'!$B$29)),'02_Parametros'!$B$5+1,TRUE))</f>
        <v/>
      </c>
      <c r="G7" s="20">
        <f>'02_Parametros'!$B$12*F7/360</f>
        <v/>
      </c>
      <c r="H7" s="20">
        <f>IF('03_Empleados'!T7="","",'03_Empleados'!T7)</f>
        <v/>
      </c>
      <c r="I7" s="20">
        <f>IF(H7="","",H7-G7)</f>
        <v/>
      </c>
    </row>
    <row r="8">
      <c r="A8" s="19" t="inlineStr">
        <is>
          <t>E04</t>
        </is>
      </c>
      <c r="B8" s="19">
        <f>'05_Tiempo_servicio'!E8</f>
        <v/>
      </c>
      <c r="C8" s="19" t="inlineStr">
        <is>
          <t>No</t>
        </is>
      </c>
      <c r="D8" s="19" t="inlineStr">
        <is>
          <t>Sierra/Oriente</t>
        </is>
      </c>
      <c r="E8" s="32" t="n">
        <v>45870</v>
      </c>
      <c r="F8" s="38">
        <f>IF(OR(B8="No",C8="Sí"),0,DAYS360(MAX('03_Empleados'!C8,IF(D8="Costa/Galápagos",'02_Parametros'!$B$31,'02_Parametros'!$B$29)),'02_Parametros'!$B$5+1,TRUE))</f>
        <v/>
      </c>
      <c r="G8" s="21">
        <f>'02_Parametros'!$B$12*F8/360</f>
        <v/>
      </c>
      <c r="H8" s="21">
        <f>IF('03_Empleados'!T8="","",'03_Empleados'!T8)</f>
        <v/>
      </c>
      <c r="I8" s="21">
        <f>IF(H8="","",H8-G8)</f>
        <v/>
      </c>
    </row>
    <row r="9">
      <c r="A9" s="18" t="inlineStr">
        <is>
          <t>E05</t>
        </is>
      </c>
      <c r="B9" s="18">
        <f>'05_Tiempo_servicio'!E9</f>
        <v/>
      </c>
      <c r="C9" s="18" t="inlineStr">
        <is>
          <t>Sí</t>
        </is>
      </c>
      <c r="D9" s="18" t="inlineStr">
        <is>
          <t>Sierra/Oriente</t>
        </is>
      </c>
      <c r="E9" s="30" t="n">
        <v>45870</v>
      </c>
      <c r="F9" s="37">
        <f>IF(OR(B9="No",C9="Sí"),0,DAYS360(MAX('03_Empleados'!C9,IF(D9="Costa/Galápagos",'02_Parametros'!$B$31,'02_Parametros'!$B$29)),'02_Parametros'!$B$5+1,TRUE))</f>
        <v/>
      </c>
      <c r="G9" s="20">
        <f>'02_Parametros'!$B$12*F9/360</f>
        <v/>
      </c>
      <c r="H9" s="20">
        <f>IF('03_Empleados'!T9="","",'03_Empleados'!T9)</f>
        <v/>
      </c>
      <c r="I9" s="20">
        <f>IF(H9="","",H9-G9)</f>
        <v/>
      </c>
    </row>
    <row r="10">
      <c r="A10" s="19" t="inlineStr">
        <is>
          <t>E06</t>
        </is>
      </c>
      <c r="B10" s="19">
        <f>'05_Tiempo_servicio'!E10</f>
        <v/>
      </c>
      <c r="C10" s="19" t="inlineStr">
        <is>
          <t>No</t>
        </is>
      </c>
      <c r="D10" s="19" t="inlineStr">
        <is>
          <t>Costa/Galápagos</t>
        </is>
      </c>
      <c r="E10" s="32" t="n">
        <v>45717</v>
      </c>
      <c r="F10" s="38">
        <f>IF(OR(B10="No",C10="Sí"),0,DAYS360(MAX('03_Empleados'!C10,IF(D10="Costa/Galápagos",'02_Parametros'!$B$31,'02_Parametros'!$B$29)),'02_Parametros'!$B$5+1,TRUE))</f>
        <v/>
      </c>
      <c r="G10" s="21">
        <f>'02_Parametros'!$B$12*F10/360</f>
        <v/>
      </c>
      <c r="H10" s="21">
        <f>IF('03_Empleados'!T10="","",'03_Empleados'!T10)</f>
        <v/>
      </c>
      <c r="I10" s="21">
        <f>IF(H10="","",H10-G10)</f>
        <v/>
      </c>
    </row>
    <row r="11">
      <c r="A11" s="18" t="inlineStr">
        <is>
          <t>E07</t>
        </is>
      </c>
      <c r="B11" s="18">
        <f>'05_Tiempo_servicio'!E11</f>
        <v/>
      </c>
      <c r="C11" s="18" t="inlineStr">
        <is>
          <t>No</t>
        </is>
      </c>
      <c r="D11" s="18" t="inlineStr">
        <is>
          <t>Sierra/Oriente</t>
        </is>
      </c>
      <c r="E11" s="30" t="n">
        <v>45870</v>
      </c>
      <c r="F11" s="37">
        <f>IF(OR(B11="No",C11="Sí"),0,DAYS360(MAX('03_Empleados'!C11,IF(D11="Costa/Galápagos",'02_Parametros'!$B$31,'02_Parametros'!$B$29)),'02_Parametros'!$B$5+1,TRUE))</f>
        <v/>
      </c>
      <c r="G11" s="20">
        <f>'02_Parametros'!$B$12*F11/360</f>
        <v/>
      </c>
      <c r="H11" s="20">
        <f>IF('03_Empleados'!T11="","",'03_Empleados'!T11)</f>
        <v/>
      </c>
      <c r="I11" s="20">
        <f>IF(H11="","",H11-G11)</f>
        <v/>
      </c>
    </row>
    <row r="12">
      <c r="A12" s="19" t="inlineStr">
        <is>
          <t>E08</t>
        </is>
      </c>
      <c r="B12" s="19">
        <f>'05_Tiempo_servicio'!E12</f>
        <v/>
      </c>
      <c r="C12" s="19" t="inlineStr">
        <is>
          <t>No</t>
        </is>
      </c>
      <c r="D12" s="19" t="inlineStr">
        <is>
          <t>Costa/Galápagos</t>
        </is>
      </c>
      <c r="E12" s="32" t="n">
        <v>45717</v>
      </c>
      <c r="F12" s="38">
        <f>IF(OR(B12="No",C12="Sí"),0,DAYS360(MAX('03_Empleados'!C12,IF(D12="Costa/Galápagos",'02_Parametros'!$B$31,'02_Parametros'!$B$29)),'02_Parametros'!$B$5+1,TRUE))</f>
        <v/>
      </c>
      <c r="G12" s="21">
        <f>'02_Parametros'!$B$12*F12/360</f>
        <v/>
      </c>
      <c r="H12" s="21">
        <f>IF('03_Empleados'!T12="","",'03_Empleados'!T12)</f>
        <v/>
      </c>
      <c r="I12" s="21">
        <f>IF(H12="","",H12-G12)</f>
        <v/>
      </c>
    </row>
    <row r="13">
      <c r="A13" s="34" t="inlineStr">
        <is>
          <t>TOTAL</t>
        </is>
      </c>
      <c r="B13" s="34" t="inlineStr"/>
      <c r="C13" s="34" t="inlineStr"/>
      <c r="D13" s="34" t="inlineStr"/>
      <c r="E13" s="35" t="n"/>
      <c r="F13" s="39" t="n"/>
      <c r="G13" s="36">
        <f>SUM(G5:G12)</f>
        <v/>
      </c>
      <c r="H13" s="36" t="n"/>
      <c r="I13" s="36">
        <f>SUM(I5:I12)</f>
        <v/>
      </c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Activo</t>
        </is>
      </c>
      <c r="B17" s="25" t="inlineStr">
        <is>
          <t>'='05_Tiempo_servicio'!E5</t>
        </is>
      </c>
      <c r="C17" s="24" t="inlineStr">
        <is>
          <t>Trae si el empleado está activo al corte, según la hoja 05 (Tiempo de servicio).</t>
        </is>
      </c>
      <c r="D17" s="24" t="inlineStr">
        <is>
          <t>Fila 1: «Sí» → Sí</t>
        </is>
      </c>
      <c r="E17" s="24" t="inlineStr">
        <is>
          <t>hoja «Tiempo de servicio»</t>
        </is>
      </c>
      <c r="F17" s="24" t="inlineStr">
        <is>
          <t>—</t>
        </is>
      </c>
    </row>
    <row r="18">
      <c r="A18" s="24" t="inlineStr">
        <is>
          <t>Días del período al corte</t>
        </is>
      </c>
      <c r="B18" s="25" t="inlineStr">
        <is>
          <t>'=IF(OR(B5="No",C5="Sí"),0,DAYS360(MAX('03_Empleados'!C5,IF(D5="Costa/Galápagos",'02_Parametros'!$B$31,'02_Parametros'!$B$29)),'02_Parametros'!$B$5+1,TRUE))</t>
        </is>
      </c>
      <c r="C18" s="24" t="inlineStr">
        <is>
          <t>Cuenta los días, en base 30/360, desde el inicio del período del décimo cuarto de la región del empleado (Costa/Galápagos o Sierra/Oriente, hoja 02) o desde el ingreso si fue posterior, hasta el corte; cero si no está activo o lo cobra mensualizado.</t>
        </is>
      </c>
      <c r="D18" s="24" t="inlineStr">
        <is>
          <t>Fila 1: IF(OR(«Sí»="No"; «No»="Sí"); 0; D(vacío)(MAX(«2015-03-01»; IF(«Sierra/Oriente»="Costa/Galápagos"; «2025-03-01»; «2025-08-01»)); «2025-12-31»+1; TRUE)) → 150</t>
        </is>
      </c>
      <c r="E18" s="24" t="inlineStr">
        <is>
          <t>«Activo» (esta hoja), «Mensualizado» (esta hoja), «Región» (esta hoja), hoja «Empleados (datos del cliente)», hoja «Parámetros»</t>
        </is>
      </c>
      <c r="F18" s="24" t="inlineStr">
        <is>
          <t>—</t>
        </is>
      </c>
    </row>
    <row r="19">
      <c r="A19" s="24" t="inlineStr">
        <is>
          <t>Provisión recalculada (SBU × días ÷ 360)</t>
        </is>
      </c>
      <c r="B19" s="25" t="inlineStr">
        <is>
          <t>'='02_Parametros'!$B$12*F5/360</t>
        </is>
      </c>
      <c r="C19" s="24" t="inlineStr">
        <is>
          <t>Multiplica el SBU aplicado al décimo cuarto (hoja 02: el de la fecha de pago si se informó, si no el del corte) por los días del período y divide para 360.</t>
        </is>
      </c>
      <c r="D19" s="24" t="inlineStr">
        <is>
          <t>Fila 1: 470,00*150/360 → 195,83</t>
        </is>
      </c>
      <c r="E19" s="24" t="inlineStr">
        <is>
          <t>«Días del período al corte» (esta hoja), hoja «Parámetros»</t>
        </is>
      </c>
      <c r="F19" s="24" t="inlineStr">
        <is>
          <t>—</t>
        </is>
      </c>
    </row>
    <row r="20">
      <c r="A20" s="24" t="inlineStr">
        <is>
          <t>Provisionado</t>
        </is>
      </c>
      <c r="B20" s="25" t="inlineStr">
        <is>
          <t>'=IF('03_Empleados'!T5="","",'03_Empleados'!T5)</t>
        </is>
      </c>
      <c r="C20" s="24" t="inlineStr">
        <is>
          <t>Trae el décimo cuarto que el cliente tiene provisionado al corte (hoja 03); queda en blanco si no lo informó.</t>
        </is>
      </c>
      <c r="D20" s="24" t="inlineStr">
        <is>
          <t>Fila 1: IF(195,83=""; ""; 195,83) → 195,83</t>
        </is>
      </c>
      <c r="E20" s="24" t="inlineStr">
        <is>
          <t>hoja «Empleados (datos del cliente)»</t>
        </is>
      </c>
      <c r="F20" s="24" t="inlineStr">
        <is>
          <t>—</t>
        </is>
      </c>
    </row>
    <row r="21">
      <c r="A21" s="24" t="inlineStr">
        <is>
          <t>Provisionado − recalculado</t>
        </is>
      </c>
      <c r="B21" s="25" t="inlineStr">
        <is>
          <t>'=IF(H5="","",H5-G5)</t>
        </is>
      </c>
      <c r="C21" s="24" t="inlineStr">
        <is>
          <t>Resta la provisión recalculada de la provisionada por el cliente: negativa significa que falta provisión; en blanco si el cliente no informó el dato.</t>
        </is>
      </c>
      <c r="D21" s="24" t="inlineStr">
        <is>
          <t>Fila 1: IF(195,83=""; ""; 195,83-195,83) → -0,00</t>
        </is>
      </c>
      <c r="E21" s="24" t="inlineStr">
        <is>
          <t>«Provisionado» (esta hoja), «Provisión recalculada (SBU × días ÷ 360)» (esta hoja)</t>
        </is>
      </c>
      <c r="F21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4" customWidth="1" min="4" max="4"/>
    <col width="27" customWidth="1" min="5" max="5"/>
    <col width="20" customWidth="1" min="6" max="6"/>
    <col width="14" customWidth="1" min="7" max="7"/>
    <col width="18" customWidth="1" min="8" max="8"/>
    <col width="20" customWidth="1" min="9" max="9"/>
    <col width="23" customWidth="1" min="10" max="10"/>
    <col width="14" customWidth="1" min="11" max="11"/>
    <col width="28" customWidth="1" min="12" max="12"/>
  </cols>
  <sheetData>
    <row r="1">
      <c r="A1" s="3" t="inlineStr">
        <is>
          <t>Vacaciones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4" ht="30" customHeight="1">
      <c r="A4" s="17" t="inlineStr">
        <is>
          <t>Cédula/código</t>
        </is>
      </c>
      <c r="B4" s="17" t="inlineStr">
        <is>
          <t>Activo</t>
        </is>
      </c>
      <c r="C4" s="17" t="inlineStr">
        <is>
          <t>Años de servicio</t>
        </is>
      </c>
      <c r="D4" s="17" t="inlineStr">
        <is>
          <t>Días por año</t>
        </is>
      </c>
      <c r="E4" s="17" t="inlineStr">
        <is>
          <t>Días devengados en el año</t>
        </is>
      </c>
      <c r="F4" s="17" t="inlineStr">
        <is>
          <t>Saldo inicial días</t>
        </is>
      </c>
      <c r="G4" s="17" t="inlineStr">
        <is>
          <t>Días gozados</t>
        </is>
      </c>
      <c r="H4" s="17" t="inlineStr">
        <is>
          <t>Saldo final días</t>
        </is>
      </c>
      <c r="I4" s="17" t="inlineStr">
        <is>
          <t>Valor por día</t>
        </is>
      </c>
      <c r="J4" s="17" t="inlineStr">
        <is>
          <t>Provisión recalculada</t>
        </is>
      </c>
      <c r="K4" s="17" t="inlineStr">
        <is>
          <t>Provisionado</t>
        </is>
      </c>
      <c r="L4" s="17" t="inlineStr">
        <is>
          <t>Provisionado − recalculado</t>
        </is>
      </c>
    </row>
    <row r="5">
      <c r="A5" s="18" t="inlineStr">
        <is>
          <t>E01</t>
        </is>
      </c>
      <c r="B5" s="18">
        <f>'05_Tiempo_servicio'!E5</f>
        <v/>
      </c>
      <c r="C5" s="37">
        <f>'05_Tiempo_servicio'!F5</f>
        <v/>
      </c>
      <c r="D5" s="20">
        <f>'02_Parametros'!$B$18+MIN(MAX(C5-'02_Parametros'!$B$19,0),'02_Parametros'!$B$20)</f>
        <v/>
      </c>
      <c r="E5" s="20">
        <f>D5*'05_Tiempo_servicio'!D5/360</f>
        <v/>
      </c>
      <c r="F5" s="20">
        <f>IF('03_Empleados'!U5="",0,'03_Empleados'!U5)</f>
        <v/>
      </c>
      <c r="G5" s="20">
        <f>IF('03_Empleados'!V5="",0,'03_Empleados'!V5)</f>
        <v/>
      </c>
      <c r="H5" s="20">
        <f>F5+E5-G5</f>
        <v/>
      </c>
      <c r="I5" s="20">
        <f>IF('05_Tiempo_servicio'!D5=0,0,'06_Recalculo_nomina'!L5/'05_Tiempo_servicio'!D5)</f>
        <v/>
      </c>
      <c r="J5" s="20">
        <f>IF(B5="No",0,MAX(H5,0)*I5)</f>
        <v/>
      </c>
      <c r="K5" s="20">
        <f>IF('03_Empleados'!W5="","",'03_Empleados'!W5)</f>
        <v/>
      </c>
      <c r="L5" s="20">
        <f>IF(K5="","",K5-J5)</f>
        <v/>
      </c>
    </row>
    <row r="6">
      <c r="A6" s="19" t="inlineStr">
        <is>
          <t>E02</t>
        </is>
      </c>
      <c r="B6" s="19">
        <f>'05_Tiempo_servicio'!E6</f>
        <v/>
      </c>
      <c r="C6" s="38">
        <f>'05_Tiempo_servicio'!F6</f>
        <v/>
      </c>
      <c r="D6" s="21">
        <f>'02_Parametros'!$B$18+MIN(MAX(C6-'02_Parametros'!$B$19,0),'02_Parametros'!$B$20)</f>
        <v/>
      </c>
      <c r="E6" s="21">
        <f>D6*'05_Tiempo_servicio'!D6/360</f>
        <v/>
      </c>
      <c r="F6" s="21">
        <f>IF('03_Empleados'!U6="",0,'03_Empleados'!U6)</f>
        <v/>
      </c>
      <c r="G6" s="21">
        <f>IF('03_Empleados'!V6="",0,'03_Empleados'!V6)</f>
        <v/>
      </c>
      <c r="H6" s="21">
        <f>F6+E6-G6</f>
        <v/>
      </c>
      <c r="I6" s="21">
        <f>IF('05_Tiempo_servicio'!D6=0,0,'06_Recalculo_nomina'!L6/'05_Tiempo_servicio'!D6)</f>
        <v/>
      </c>
      <c r="J6" s="21">
        <f>IF(B6="No",0,MAX(H6,0)*I6)</f>
        <v/>
      </c>
      <c r="K6" s="21">
        <f>IF('03_Empleados'!W6="","",'03_Empleados'!W6)</f>
        <v/>
      </c>
      <c r="L6" s="21">
        <f>IF(K6="","",K6-J6)</f>
        <v/>
      </c>
    </row>
    <row r="7">
      <c r="A7" s="18" t="inlineStr">
        <is>
          <t>E03</t>
        </is>
      </c>
      <c r="B7" s="18">
        <f>'05_Tiempo_servicio'!E7</f>
        <v/>
      </c>
      <c r="C7" s="37">
        <f>'05_Tiempo_servicio'!F7</f>
        <v/>
      </c>
      <c r="D7" s="20">
        <f>'02_Parametros'!$B$18+MIN(MAX(C7-'02_Parametros'!$B$19,0),'02_Parametros'!$B$20)</f>
        <v/>
      </c>
      <c r="E7" s="20">
        <f>D7*'05_Tiempo_servicio'!D7/360</f>
        <v/>
      </c>
      <c r="F7" s="20">
        <f>IF('03_Empleados'!U7="",0,'03_Empleados'!U7)</f>
        <v/>
      </c>
      <c r="G7" s="20">
        <f>IF('03_Empleados'!V7="",0,'03_Empleados'!V7)</f>
        <v/>
      </c>
      <c r="H7" s="20">
        <f>F7+E7-G7</f>
        <v/>
      </c>
      <c r="I7" s="20">
        <f>IF('05_Tiempo_servicio'!D7=0,0,'06_Recalculo_nomina'!L7/'05_Tiempo_servicio'!D7)</f>
        <v/>
      </c>
      <c r="J7" s="20">
        <f>IF(B7="No",0,MAX(H7,0)*I7)</f>
        <v/>
      </c>
      <c r="K7" s="20">
        <f>IF('03_Empleados'!W7="","",'03_Empleados'!W7)</f>
        <v/>
      </c>
      <c r="L7" s="20">
        <f>IF(K7="","",K7-J7)</f>
        <v/>
      </c>
    </row>
    <row r="8">
      <c r="A8" s="19" t="inlineStr">
        <is>
          <t>E04</t>
        </is>
      </c>
      <c r="B8" s="19">
        <f>'05_Tiempo_servicio'!E8</f>
        <v/>
      </c>
      <c r="C8" s="38">
        <f>'05_Tiempo_servicio'!F8</f>
        <v/>
      </c>
      <c r="D8" s="21">
        <f>'02_Parametros'!$B$18+MIN(MAX(C8-'02_Parametros'!$B$19,0),'02_Parametros'!$B$20)</f>
        <v/>
      </c>
      <c r="E8" s="21">
        <f>D8*'05_Tiempo_servicio'!D8/360</f>
        <v/>
      </c>
      <c r="F8" s="21">
        <f>IF('03_Empleados'!U8="",0,'03_Empleados'!U8)</f>
        <v/>
      </c>
      <c r="G8" s="21">
        <f>IF('03_Empleados'!V8="",0,'03_Empleados'!V8)</f>
        <v/>
      </c>
      <c r="H8" s="21">
        <f>F8+E8-G8</f>
        <v/>
      </c>
      <c r="I8" s="21">
        <f>IF('05_Tiempo_servicio'!D8=0,0,'06_Recalculo_nomina'!L8/'05_Tiempo_servicio'!D8)</f>
        <v/>
      </c>
      <c r="J8" s="21">
        <f>IF(B8="No",0,MAX(H8,0)*I8)</f>
        <v/>
      </c>
      <c r="K8" s="21">
        <f>IF('03_Empleados'!W8="","",'03_Empleados'!W8)</f>
        <v/>
      </c>
      <c r="L8" s="21">
        <f>IF(K8="","",K8-J8)</f>
        <v/>
      </c>
    </row>
    <row r="9">
      <c r="A9" s="18" t="inlineStr">
        <is>
          <t>E05</t>
        </is>
      </c>
      <c r="B9" s="18">
        <f>'05_Tiempo_servicio'!E9</f>
        <v/>
      </c>
      <c r="C9" s="37">
        <f>'05_Tiempo_servicio'!F9</f>
        <v/>
      </c>
      <c r="D9" s="20">
        <f>'02_Parametros'!$B$18+MIN(MAX(C9-'02_Parametros'!$B$19,0),'02_Parametros'!$B$20)</f>
        <v/>
      </c>
      <c r="E9" s="20">
        <f>D9*'05_Tiempo_servicio'!D9/360</f>
        <v/>
      </c>
      <c r="F9" s="20">
        <f>IF('03_Empleados'!U9="",0,'03_Empleados'!U9)</f>
        <v/>
      </c>
      <c r="G9" s="20">
        <f>IF('03_Empleados'!V9="",0,'03_Empleados'!V9)</f>
        <v/>
      </c>
      <c r="H9" s="20">
        <f>F9+E9-G9</f>
        <v/>
      </c>
      <c r="I9" s="20">
        <f>IF('05_Tiempo_servicio'!D9=0,0,'06_Recalculo_nomina'!L9/'05_Tiempo_servicio'!D9)</f>
        <v/>
      </c>
      <c r="J9" s="20">
        <f>IF(B9="No",0,MAX(H9,0)*I9)</f>
        <v/>
      </c>
      <c r="K9" s="20">
        <f>IF('03_Empleados'!W9="","",'03_Empleados'!W9)</f>
        <v/>
      </c>
      <c r="L9" s="20">
        <f>IF(K9="","",K9-J9)</f>
        <v/>
      </c>
    </row>
    <row r="10">
      <c r="A10" s="19" t="inlineStr">
        <is>
          <t>E06</t>
        </is>
      </c>
      <c r="B10" s="19">
        <f>'05_Tiempo_servicio'!E10</f>
        <v/>
      </c>
      <c r="C10" s="38">
        <f>'05_Tiempo_servicio'!F10</f>
        <v/>
      </c>
      <c r="D10" s="21">
        <f>'02_Parametros'!$B$18+MIN(MAX(C10-'02_Parametros'!$B$19,0),'02_Parametros'!$B$20)</f>
        <v/>
      </c>
      <c r="E10" s="21">
        <f>D10*'05_Tiempo_servicio'!D10/360</f>
        <v/>
      </c>
      <c r="F10" s="21">
        <f>IF('03_Empleados'!U10="",0,'03_Empleados'!U10)</f>
        <v/>
      </c>
      <c r="G10" s="21">
        <f>IF('03_Empleados'!V10="",0,'03_Empleados'!V10)</f>
        <v/>
      </c>
      <c r="H10" s="21">
        <f>F10+E10-G10</f>
        <v/>
      </c>
      <c r="I10" s="21">
        <f>IF('05_Tiempo_servicio'!D10=0,0,'06_Recalculo_nomina'!L10/'05_Tiempo_servicio'!D10)</f>
        <v/>
      </c>
      <c r="J10" s="21">
        <f>IF(B10="No",0,MAX(H10,0)*I10)</f>
        <v/>
      </c>
      <c r="K10" s="21">
        <f>IF('03_Empleados'!W10="","",'03_Empleados'!W10)</f>
        <v/>
      </c>
      <c r="L10" s="21">
        <f>IF(K10="","",K10-J10)</f>
        <v/>
      </c>
    </row>
    <row r="11">
      <c r="A11" s="18" t="inlineStr">
        <is>
          <t>E07</t>
        </is>
      </c>
      <c r="B11" s="18">
        <f>'05_Tiempo_servicio'!E11</f>
        <v/>
      </c>
      <c r="C11" s="37">
        <f>'05_Tiempo_servicio'!F11</f>
        <v/>
      </c>
      <c r="D11" s="20">
        <f>'02_Parametros'!$B$18+MIN(MAX(C11-'02_Parametros'!$B$19,0),'02_Parametros'!$B$20)</f>
        <v/>
      </c>
      <c r="E11" s="20">
        <f>D11*'05_Tiempo_servicio'!D11/360</f>
        <v/>
      </c>
      <c r="F11" s="20">
        <f>IF('03_Empleados'!U11="",0,'03_Empleados'!U11)</f>
        <v/>
      </c>
      <c r="G11" s="20">
        <f>IF('03_Empleados'!V11="",0,'03_Empleados'!V11)</f>
        <v/>
      </c>
      <c r="H11" s="20">
        <f>F11+E11-G11</f>
        <v/>
      </c>
      <c r="I11" s="20">
        <f>IF('05_Tiempo_servicio'!D11=0,0,'06_Recalculo_nomina'!L11/'05_Tiempo_servicio'!D11)</f>
        <v/>
      </c>
      <c r="J11" s="20">
        <f>IF(B11="No",0,MAX(H11,0)*I11)</f>
        <v/>
      </c>
      <c r="K11" s="20">
        <f>IF('03_Empleados'!W11="","",'03_Empleados'!W11)</f>
        <v/>
      </c>
      <c r="L11" s="20">
        <f>IF(K11="","",K11-J11)</f>
        <v/>
      </c>
    </row>
    <row r="12">
      <c r="A12" s="19" t="inlineStr">
        <is>
          <t>E08</t>
        </is>
      </c>
      <c r="B12" s="19">
        <f>'05_Tiempo_servicio'!E12</f>
        <v/>
      </c>
      <c r="C12" s="38">
        <f>'05_Tiempo_servicio'!F12</f>
        <v/>
      </c>
      <c r="D12" s="21">
        <f>'02_Parametros'!$B$18+MIN(MAX(C12-'02_Parametros'!$B$19,0),'02_Parametros'!$B$20)</f>
        <v/>
      </c>
      <c r="E12" s="21">
        <f>D12*'05_Tiempo_servicio'!D12/360</f>
        <v/>
      </c>
      <c r="F12" s="21">
        <f>IF('03_Empleados'!U12="",0,'03_Empleados'!U12)</f>
        <v/>
      </c>
      <c r="G12" s="21">
        <f>IF('03_Empleados'!V12="",0,'03_Empleados'!V12)</f>
        <v/>
      </c>
      <c r="H12" s="21">
        <f>F12+E12-G12</f>
        <v/>
      </c>
      <c r="I12" s="21">
        <f>IF('05_Tiempo_servicio'!D12=0,0,'06_Recalculo_nomina'!L12/'05_Tiempo_servicio'!D12)</f>
        <v/>
      </c>
      <c r="J12" s="21">
        <f>IF(B12="No",0,MAX(H12,0)*I12)</f>
        <v/>
      </c>
      <c r="K12" s="21">
        <f>IF('03_Empleados'!W12="","",'03_Empleados'!W12)</f>
        <v/>
      </c>
      <c r="L12" s="21">
        <f>IF(K12="","",K12-J12)</f>
        <v/>
      </c>
    </row>
    <row r="13">
      <c r="A13" s="34" t="inlineStr">
        <is>
          <t>TOTAL</t>
        </is>
      </c>
      <c r="B13" s="34" t="inlineStr"/>
      <c r="C13" s="39" t="n"/>
      <c r="D13" s="36" t="n"/>
      <c r="E13" s="36" t="n"/>
      <c r="F13" s="36" t="n"/>
      <c r="G13" s="36" t="n"/>
      <c r="H13" s="36" t="n"/>
      <c r="I13" s="36" t="n"/>
      <c r="J13" s="36">
        <f>SUM(J5:J12)</f>
        <v/>
      </c>
      <c r="K13" s="36" t="n"/>
      <c r="L13" s="36">
        <f>SUM(L5:L12)</f>
        <v/>
      </c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Activo</t>
        </is>
      </c>
      <c r="B17" s="25" t="inlineStr">
        <is>
          <t>'='05_Tiempo_servicio'!E5</t>
        </is>
      </c>
      <c r="C17" s="24" t="inlineStr">
        <is>
          <t>Trae si el empleado está activo al corte, según la hoja 05 (Tiempo de servicio).</t>
        </is>
      </c>
      <c r="D17" s="24" t="inlineStr">
        <is>
          <t>Fila 1: «Sí» → Sí</t>
        </is>
      </c>
      <c r="E17" s="24" t="inlineStr">
        <is>
          <t>hoja «Tiempo de servicio»</t>
        </is>
      </c>
      <c r="F17" s="24" t="inlineStr">
        <is>
          <t>—</t>
        </is>
      </c>
    </row>
    <row r="18">
      <c r="A18" s="24" t="inlineStr">
        <is>
          <t>Años de servicio</t>
        </is>
      </c>
      <c r="B18" s="25" t="inlineStr">
        <is>
          <t>'='05_Tiempo_servicio'!F5</t>
        </is>
      </c>
      <c r="C18" s="24" t="inlineStr">
        <is>
          <t>Trae los años completos de servicio del empleado calculados en la hoja 05 (Tiempo de servicio).</t>
        </is>
      </c>
      <c r="D18" s="24" t="inlineStr">
        <is>
          <t>Fila 1: 10 → 10</t>
        </is>
      </c>
      <c r="E18" s="24" t="inlineStr">
        <is>
          <t>hoja «Tiempo de servicio»</t>
        </is>
      </c>
      <c r="F18" s="24" t="inlineStr">
        <is>
          <t>—</t>
        </is>
      </c>
    </row>
    <row r="19">
      <c r="A19" s="24" t="inlineStr">
        <is>
          <t>Días por año</t>
        </is>
      </c>
      <c r="B19" s="25" t="inlineStr">
        <is>
          <t>'='02_Parametros'!$B$18+MIN(MAX(C5-'02_Parametros'!$B$19,0),'02_Parametros'!$B$20)</t>
        </is>
      </c>
      <c r="C19" s="24" t="inlineStr">
        <is>
          <t>Parte de los días de vacaciones por año de la hoja 02 y suma un día por cada año de servicio que exceda los años requeridos para el día adicional, sin pasar del máximo de días adicionales.</t>
        </is>
      </c>
      <c r="D19" s="24" t="inlineStr">
        <is>
          <t>Fila 1: 15,00+MIN(MAX(10-5,00; 0); 15,00) → 20,00</t>
        </is>
      </c>
      <c r="E19" s="24" t="inlineStr">
        <is>
          <t>«Años de servicio» (esta hoja), hoja «Parámetros»</t>
        </is>
      </c>
      <c r="F19" s="24" t="inlineStr">
        <is>
          <t>—</t>
        </is>
      </c>
    </row>
    <row r="20">
      <c r="A20" s="24" t="inlineStr">
        <is>
          <t>Días devengados en el año</t>
        </is>
      </c>
      <c r="B20" s="25" t="inlineStr">
        <is>
          <t>'=D5*'05_Tiempo_servicio'!D5/360</t>
        </is>
      </c>
      <c r="C20" s="24" t="inlineStr">
        <is>
          <t>Multiplica los días de vacaciones por año por los días trabajados en el ejercicio (hoja 05) y divide para 360: son los días ganados en el año.</t>
        </is>
      </c>
      <c r="D20" s="24" t="inlineStr">
        <is>
          <t>Fila 1: 20,00*360/360 → 20,00</t>
        </is>
      </c>
      <c r="E20" s="24" t="inlineStr">
        <is>
          <t>«Días por año» (esta hoja), hoja «Tiempo de servicio»</t>
        </is>
      </c>
      <c r="F20" s="24" t="inlineStr">
        <is>
          <t>—</t>
        </is>
      </c>
    </row>
    <row r="21">
      <c r="A21" s="24" t="inlineStr">
        <is>
          <t>Saldo inicial días</t>
        </is>
      </c>
      <c r="B21" s="25" t="inlineStr">
        <is>
          <t>'=IF('03_Empleados'!U5="",0,'03_Empleados'!U5)</t>
        </is>
      </c>
      <c r="C21" s="24" t="inlineStr">
        <is>
          <t>Trae el saldo de días de vacaciones pendientes al inicio del año (hoja 03); si está vacío se toma cero.</t>
        </is>
      </c>
      <c r="D21" s="24" t="inlineStr">
        <is>
          <t>Fila 1: IF(10,00=""; 0; 10,00) → 10,00</t>
        </is>
      </c>
      <c r="E21" s="24" t="inlineStr">
        <is>
          <t>hoja «Empleados (datos del cliente)»</t>
        </is>
      </c>
      <c r="F21" s="24" t="inlineStr">
        <is>
          <t>—</t>
        </is>
      </c>
    </row>
    <row r="22">
      <c r="A22" s="24" t="inlineStr">
        <is>
          <t>Días gozados</t>
        </is>
      </c>
      <c r="B22" s="25" t="inlineStr">
        <is>
          <t>'=IF('03_Empleados'!V5="",0,'03_Empleados'!V5)</t>
        </is>
      </c>
      <c r="C22" s="24" t="inlineStr">
        <is>
          <t>Trae los días de vacaciones gozados en el año (hoja 03); si están vacíos se toma cero.</t>
        </is>
      </c>
      <c r="D22" s="24" t="inlineStr">
        <is>
          <t>Fila 1: IF(15,00=""; 0; 15,00) → 15,00</t>
        </is>
      </c>
      <c r="E22" s="24" t="inlineStr">
        <is>
          <t>hoja «Empleados (datos del cliente)»</t>
        </is>
      </c>
      <c r="F22" s="24" t="inlineStr">
        <is>
          <t>—</t>
        </is>
      </c>
    </row>
    <row r="23">
      <c r="A23" s="24" t="inlineStr">
        <is>
          <t>Saldo final días</t>
        </is>
      </c>
      <c r="B23" s="25" t="inlineStr">
        <is>
          <t>'=F5+E5-G5</t>
        </is>
      </c>
      <c r="C23" s="24" t="inlineStr">
        <is>
          <t>Suma al saldo inicial los días devengados en el año y resta los días gozados: son los días pendientes al corte.</t>
        </is>
      </c>
      <c r="D23" s="24" t="inlineStr">
        <is>
          <t>Fila 1: 10,00+20,00-15,00 → 15,00</t>
        </is>
      </c>
      <c r="E23" s="24" t="inlineStr">
        <is>
          <t>«Saldo inicial días» (esta hoja), «Días devengados en el año» (esta hoja), «Días gozados» (esta hoja)</t>
        </is>
      </c>
      <c r="F23" s="24" t="inlineStr">
        <is>
          <t>—</t>
        </is>
      </c>
    </row>
    <row r="24">
      <c r="A24" s="24" t="inlineStr">
        <is>
          <t>Valor por día</t>
        </is>
      </c>
      <c r="B24" s="25" t="inlineStr">
        <is>
          <t>'=IF('05_Tiempo_servicio'!D5=0,0,'06_Recalculo_nomina'!L5/'05_Tiempo_servicio'!D5)</t>
        </is>
      </c>
      <c r="C24" s="24" t="inlineStr">
        <is>
          <t>Divide el bruto recalculado de la hoja 06 (Recálculo de nómina) para los días trabajados de la hoja 05; es el valor de un día de vacaciones (cero si no trabajó en el año).</t>
        </is>
      </c>
      <c r="D24" s="24" t="inlineStr">
        <is>
          <t>Fila 1: IF(360=0; 0; 14.650,00/360) → 40,69</t>
        </is>
      </c>
      <c r="E24" s="24" t="inlineStr">
        <is>
          <t>hoja «Tiempo de servicio», hoja «Recálculo de nómina: bruto y neto»</t>
        </is>
      </c>
      <c r="F24" s="24" t="inlineStr">
        <is>
          <t>—</t>
        </is>
      </c>
    </row>
    <row r="25">
      <c r="A25" s="24" t="inlineStr">
        <is>
          <t>Provisión recalculada</t>
        </is>
      </c>
      <c r="B25" s="25" t="inlineStr">
        <is>
          <t>'=IF(B5="No",0,MAX(H5,0)*I5)</t>
        </is>
      </c>
      <c r="C25" s="24" t="inlineStr">
        <is>
          <t>Multiplica el saldo final de días (si es negativo se toma cero) por el valor por día; da cero cuando el empleado ya no está activo al corte.</t>
        </is>
      </c>
      <c r="D25" s="24" t="inlineStr">
        <is>
          <t>Fila 1: IF(«Sí»="No"; 0; MAX(15,00; 0)*40,69) → 610,42</t>
        </is>
      </c>
      <c r="E25" s="24" t="inlineStr">
        <is>
          <t>«Activo» (esta hoja), «Saldo final días» (esta hoja), «Valor por día» (esta hoja)</t>
        </is>
      </c>
      <c r="F25" s="24" t="inlineStr">
        <is>
          <t>—</t>
        </is>
      </c>
    </row>
    <row r="26">
      <c r="A26" s="24" t="inlineStr">
        <is>
          <t>Provisionado</t>
        </is>
      </c>
      <c r="B26" s="25" t="inlineStr">
        <is>
          <t>'=IF('03_Empleados'!W5="","",'03_Empleados'!W5)</t>
        </is>
      </c>
      <c r="C26" s="24" t="inlineStr">
        <is>
          <t>Trae la provisión de vacaciones que el cliente tiene registrada al corte (hoja 03); queda en blanco si no la informó.</t>
        </is>
      </c>
      <c r="D26" s="24" t="inlineStr">
        <is>
          <t>Fila 1: IF(610,42=""; ""; 610,42) → 610,42</t>
        </is>
      </c>
      <c r="E26" s="24" t="inlineStr">
        <is>
          <t>hoja «Empleados (datos del cliente)»</t>
        </is>
      </c>
      <c r="F26" s="24" t="inlineStr">
        <is>
          <t>—</t>
        </is>
      </c>
    </row>
    <row r="27">
      <c r="A27" s="24" t="inlineStr">
        <is>
          <t>Provisionado − recalculado</t>
        </is>
      </c>
      <c r="B27" s="25" t="inlineStr">
        <is>
          <t>'=IF(K5="","",K5-J5)</t>
        </is>
      </c>
      <c r="C27" s="24" t="inlineStr">
        <is>
          <t>Resta la provisión recalculada de la registrada por el cliente: negativa significa que falta provisión; en blanco si el cliente no informó el dato.</t>
        </is>
      </c>
      <c r="D27" s="24" t="inlineStr">
        <is>
          <t>Fila 1: IF(610,42=""; ""; 610,42-610,42) → 0,00</t>
        </is>
      </c>
      <c r="E27" s="24" t="inlineStr">
        <is>
          <t>«Provisionado» (esta hoja), «Provisión recalculada» (esta hoja)</t>
        </is>
      </c>
      <c r="F27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9" customWidth="1" min="4" max="4"/>
    <col width="25" customWidth="1" min="5" max="5"/>
    <col width="21" customWidth="1" min="6" max="6"/>
    <col width="23" customWidth="1" min="7" max="7"/>
  </cols>
  <sheetData>
    <row r="1">
      <c r="A1" s="3" t="inlineStr">
        <is>
          <t>Fondo de reserva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Cédula/código</t>
        </is>
      </c>
      <c r="B4" s="17" t="inlineStr">
        <is>
          <t>Días trabajados</t>
        </is>
      </c>
      <c r="C4" s="17" t="inlineStr">
        <is>
          <t>Días con derecho</t>
        </is>
      </c>
      <c r="D4" s="17" t="inlineStr">
        <is>
          <t>Bruto recalculado</t>
        </is>
      </c>
      <c r="E4" s="17" t="inlineStr">
        <is>
          <t>Fondo de reserva debido</t>
        </is>
      </c>
      <c r="F4" s="17" t="inlineStr">
        <is>
          <t>Pagado o depositado</t>
        </is>
      </c>
      <c r="G4" s="17" t="inlineStr">
        <is>
          <t>Pagado − debido</t>
        </is>
      </c>
    </row>
    <row r="5">
      <c r="A5" s="18" t="inlineStr">
        <is>
          <t>E01</t>
        </is>
      </c>
      <c r="B5" s="37">
        <f>'05_Tiempo_servicio'!D5</f>
        <v/>
      </c>
      <c r="C5" s="37">
        <f>'05_Tiempo_servicio'!H5</f>
        <v/>
      </c>
      <c r="D5" s="20">
        <f>'06_Recalculo_nomina'!L5</f>
        <v/>
      </c>
      <c r="E5" s="20">
        <f>IF(B5=0,0,D5*'02_Parametros'!$B$17/100*C5/B5)</f>
        <v/>
      </c>
      <c r="F5" s="20">
        <f>IF('03_Empleados'!X5="","",'03_Empleados'!X5)</f>
        <v/>
      </c>
      <c r="G5" s="20">
        <f>IF(F5="","",F5-E5)</f>
        <v/>
      </c>
    </row>
    <row r="6">
      <c r="A6" s="19" t="inlineStr">
        <is>
          <t>E02</t>
        </is>
      </c>
      <c r="B6" s="38">
        <f>'05_Tiempo_servicio'!D6</f>
        <v/>
      </c>
      <c r="C6" s="38">
        <f>'05_Tiempo_servicio'!H6</f>
        <v/>
      </c>
      <c r="D6" s="21">
        <f>'06_Recalculo_nomina'!L6</f>
        <v/>
      </c>
      <c r="E6" s="21">
        <f>IF(B6=0,0,D6*'02_Parametros'!$B$17/100*C6/B6)</f>
        <v/>
      </c>
      <c r="F6" s="21">
        <f>IF('03_Empleados'!X6="","",'03_Empleados'!X6)</f>
        <v/>
      </c>
      <c r="G6" s="21">
        <f>IF(F6="","",F6-E6)</f>
        <v/>
      </c>
    </row>
    <row r="7">
      <c r="A7" s="18" t="inlineStr">
        <is>
          <t>E03</t>
        </is>
      </c>
      <c r="B7" s="37">
        <f>'05_Tiempo_servicio'!D7</f>
        <v/>
      </c>
      <c r="C7" s="37">
        <f>'05_Tiempo_servicio'!H7</f>
        <v/>
      </c>
      <c r="D7" s="20">
        <f>'06_Recalculo_nomina'!L7</f>
        <v/>
      </c>
      <c r="E7" s="20">
        <f>IF(B7=0,0,D7*'02_Parametros'!$B$17/100*C7/B7)</f>
        <v/>
      </c>
      <c r="F7" s="20">
        <f>IF('03_Empleados'!X7="","",'03_Empleados'!X7)</f>
        <v/>
      </c>
      <c r="G7" s="20">
        <f>IF(F7="","",F7-E7)</f>
        <v/>
      </c>
    </row>
    <row r="8">
      <c r="A8" s="19" t="inlineStr">
        <is>
          <t>E04</t>
        </is>
      </c>
      <c r="B8" s="38">
        <f>'05_Tiempo_servicio'!D8</f>
        <v/>
      </c>
      <c r="C8" s="38">
        <f>'05_Tiempo_servicio'!H8</f>
        <v/>
      </c>
      <c r="D8" s="21">
        <f>'06_Recalculo_nomina'!L8</f>
        <v/>
      </c>
      <c r="E8" s="21">
        <f>IF(B8=0,0,D8*'02_Parametros'!$B$17/100*C8/B8)</f>
        <v/>
      </c>
      <c r="F8" s="21">
        <f>IF('03_Empleados'!X8="","",'03_Empleados'!X8)</f>
        <v/>
      </c>
      <c r="G8" s="21">
        <f>IF(F8="","",F8-E8)</f>
        <v/>
      </c>
    </row>
    <row r="9">
      <c r="A9" s="18" t="inlineStr">
        <is>
          <t>E05</t>
        </is>
      </c>
      <c r="B9" s="37">
        <f>'05_Tiempo_servicio'!D9</f>
        <v/>
      </c>
      <c r="C9" s="37">
        <f>'05_Tiempo_servicio'!H9</f>
        <v/>
      </c>
      <c r="D9" s="20">
        <f>'06_Recalculo_nomina'!L9</f>
        <v/>
      </c>
      <c r="E9" s="20">
        <f>IF(B9=0,0,D9*'02_Parametros'!$B$17/100*C9/B9)</f>
        <v/>
      </c>
      <c r="F9" s="20">
        <f>IF('03_Empleados'!X9="","",'03_Empleados'!X9)</f>
        <v/>
      </c>
      <c r="G9" s="20">
        <f>IF(F9="","",F9-E9)</f>
        <v/>
      </c>
    </row>
    <row r="10">
      <c r="A10" s="19" t="inlineStr">
        <is>
          <t>E06</t>
        </is>
      </c>
      <c r="B10" s="38">
        <f>'05_Tiempo_servicio'!D10</f>
        <v/>
      </c>
      <c r="C10" s="38">
        <f>'05_Tiempo_servicio'!H10</f>
        <v/>
      </c>
      <c r="D10" s="21">
        <f>'06_Recalculo_nomina'!L10</f>
        <v/>
      </c>
      <c r="E10" s="21">
        <f>IF(B10=0,0,D10*'02_Parametros'!$B$17/100*C10/B10)</f>
        <v/>
      </c>
      <c r="F10" s="21">
        <f>IF('03_Empleados'!X10="","",'03_Empleados'!X10)</f>
        <v/>
      </c>
      <c r="G10" s="21">
        <f>IF(F10="","",F10-E10)</f>
        <v/>
      </c>
    </row>
    <row r="11">
      <c r="A11" s="18" t="inlineStr">
        <is>
          <t>E07</t>
        </is>
      </c>
      <c r="B11" s="37">
        <f>'05_Tiempo_servicio'!D11</f>
        <v/>
      </c>
      <c r="C11" s="37">
        <f>'05_Tiempo_servicio'!H11</f>
        <v/>
      </c>
      <c r="D11" s="20">
        <f>'06_Recalculo_nomina'!L11</f>
        <v/>
      </c>
      <c r="E11" s="20">
        <f>IF(B11=0,0,D11*'02_Parametros'!$B$17/100*C11/B11)</f>
        <v/>
      </c>
      <c r="F11" s="20">
        <f>IF('03_Empleados'!X11="","",'03_Empleados'!X11)</f>
        <v/>
      </c>
      <c r="G11" s="20">
        <f>IF(F11="","",F11-E11)</f>
        <v/>
      </c>
    </row>
    <row r="12">
      <c r="A12" s="19" t="inlineStr">
        <is>
          <t>E08</t>
        </is>
      </c>
      <c r="B12" s="38">
        <f>'05_Tiempo_servicio'!D12</f>
        <v/>
      </c>
      <c r="C12" s="38">
        <f>'05_Tiempo_servicio'!H12</f>
        <v/>
      </c>
      <c r="D12" s="21">
        <f>'06_Recalculo_nomina'!L12</f>
        <v/>
      </c>
      <c r="E12" s="21">
        <f>IF(B12=0,0,D12*'02_Parametros'!$B$17/100*C12/B12)</f>
        <v/>
      </c>
      <c r="F12" s="21">
        <f>IF('03_Empleados'!X12="","",'03_Empleados'!X12)</f>
        <v/>
      </c>
      <c r="G12" s="21">
        <f>IF(F12="","",F12-E12)</f>
        <v/>
      </c>
    </row>
    <row r="13">
      <c r="A13" s="34" t="inlineStr">
        <is>
          <t>TOTAL</t>
        </is>
      </c>
      <c r="B13" s="39" t="n"/>
      <c r="C13" s="39" t="n"/>
      <c r="D13" s="36" t="n"/>
      <c r="E13" s="36">
        <f>SUM(E5:E12)</f>
        <v/>
      </c>
      <c r="F13" s="36" t="n"/>
      <c r="G13" s="36">
        <f>SUM(G5:G12)</f>
        <v/>
      </c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Días trabajados</t>
        </is>
      </c>
      <c r="B17" s="25" t="inlineStr">
        <is>
          <t>'='05_Tiempo_servicio'!D5</t>
        </is>
      </c>
      <c r="C17" s="24" t="inlineStr">
        <is>
          <t>Trae los días trabajados en el ejercicio (base 30/360) de la hoja 05 (Tiempo de servicio).</t>
        </is>
      </c>
      <c r="D17" s="24" t="inlineStr">
        <is>
          <t>Fila 1: 360 → 360</t>
        </is>
      </c>
      <c r="E17" s="24" t="inlineStr">
        <is>
          <t>hoja «Tiempo de servicio»</t>
        </is>
      </c>
      <c r="F17" s="24" t="inlineStr">
        <is>
          <t>—</t>
        </is>
      </c>
    </row>
    <row r="18">
      <c r="A18" s="24" t="inlineStr">
        <is>
          <t>Días con derecho</t>
        </is>
      </c>
      <c r="B18" s="25" t="inlineStr">
        <is>
          <t>'='05_Tiempo_servicio'!H5</t>
        </is>
      </c>
      <c r="C18" s="24" t="inlineStr">
        <is>
          <t>Trae los días del ejercicio posteriores al 13.º mes del empleado, calculados en la hoja 05 (Tiempo de servicio).</t>
        </is>
      </c>
      <c r="D18" s="24" t="inlineStr">
        <is>
          <t>Fila 1: 360 → 360</t>
        </is>
      </c>
      <c r="E18" s="24" t="inlineStr">
        <is>
          <t>hoja «Tiempo de servicio»</t>
        </is>
      </c>
      <c r="F18" s="24" t="inlineStr">
        <is>
          <t>—</t>
        </is>
      </c>
    </row>
    <row r="19">
      <c r="A19" s="24" t="inlineStr">
        <is>
          <t>Bruto recalculado</t>
        </is>
      </c>
      <c r="B19" s="25" t="inlineStr">
        <is>
          <t>'='06_Recalculo_nomina'!L5</t>
        </is>
      </c>
      <c r="C19" s="24" t="inlineStr">
        <is>
          <t>Trae el bruto recalculado del año de la hoja 06 (Recálculo de nómina: bruto y neto).</t>
        </is>
      </c>
      <c r="D19" s="24" t="inlineStr">
        <is>
          <t>Fila 1: 14.650,00 → 14.650,00</t>
        </is>
      </c>
      <c r="E19" s="24" t="inlineStr">
        <is>
          <t>hoja «Recálculo de nómina: bruto y neto»</t>
        </is>
      </c>
      <c r="F19" s="24" t="inlineStr">
        <is>
          <t>—</t>
        </is>
      </c>
    </row>
    <row r="20">
      <c r="A20" s="24" t="inlineStr">
        <is>
          <t>Fondo de reserva debido</t>
        </is>
      </c>
      <c r="B20" s="25" t="inlineStr">
        <is>
          <t>'=IF(B5=0,0,D5*'02_Parametros'!$B$17/100*C5/B5)</t>
        </is>
      </c>
      <c r="C20" s="24" t="inlineStr">
        <is>
          <t>Aplica el porcentaje de fondo de reserva de la hoja 02 al bruto recalculado y lo prorratea por los días con derecho sobre los días trabajados; cero si no trabajó en el año.</t>
        </is>
      </c>
      <c r="D20" s="24" t="inlineStr">
        <is>
          <t>Fila 1: IF(360=0; 0; 14.650,00*8,33/100*360/360) → 1.220,35</t>
        </is>
      </c>
      <c r="E20" s="24" t="inlineStr">
        <is>
          <t>«Días trabajados» (esta hoja), «Bruto recalculado» (esta hoja), «Días con derecho» (esta hoja), hoja «Parámetros»</t>
        </is>
      </c>
      <c r="F20" s="24" t="inlineStr">
        <is>
          <t>—</t>
        </is>
      </c>
    </row>
    <row r="21">
      <c r="A21" s="24" t="inlineStr">
        <is>
          <t>Pagado o depositado</t>
        </is>
      </c>
      <c r="B21" s="25" t="inlineStr">
        <is>
          <t>'=IF('03_Empleados'!X5="","",'03_Empleados'!X5)</t>
        </is>
      </c>
      <c r="C21" s="24" t="inlineStr">
        <is>
          <t>Trae el fondo de reserva que el cliente pagó o depositó en el año (hoja 03); queda en blanco si no lo informó.</t>
        </is>
      </c>
      <c r="D21" s="24" t="inlineStr">
        <is>
          <t>Fila 1: IF(1.220,35=""; ""; 1.220,35) → 1.220,35</t>
        </is>
      </c>
      <c r="E21" s="24" t="inlineStr">
        <is>
          <t>hoja «Empleados (datos del cliente)»</t>
        </is>
      </c>
      <c r="F21" s="24" t="inlineStr">
        <is>
          <t>—</t>
        </is>
      </c>
    </row>
    <row r="22">
      <c r="A22" s="24" t="inlineStr">
        <is>
          <t>Pagado − debido</t>
        </is>
      </c>
      <c r="B22" s="25" t="inlineStr">
        <is>
          <t>'=IF(F5="","",F5-E5)</t>
        </is>
      </c>
      <c r="C22" s="24" t="inlineStr">
        <is>
          <t>Resta el fondo debido de lo pagado o depositado: negativa significa fondo de reserva no pagado; en blanco si el cliente no informó el pago.</t>
        </is>
      </c>
      <c r="D22" s="24" t="inlineStr">
        <is>
          <t>Fila 1: IF(1.220,35=""; ""; 1.220,35-1.220,35) → 0,00</t>
        </is>
      </c>
      <c r="E22" s="24" t="inlineStr">
        <is>
          <t>«Pagado o depositado» (esta hoja), «Fondo de reserva debido» (esta hoja)</t>
        </is>
      </c>
      <c r="F22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0" customWidth="1" min="4" max="4"/>
    <col width="12" customWidth="1" min="5" max="5"/>
    <col width="19" customWidth="1" min="6" max="6"/>
    <col width="19" customWidth="1" min="7" max="7"/>
    <col width="20" customWidth="1" min="8" max="8"/>
    <col width="23" customWidth="1" min="9" max="9"/>
    <col width="21" customWidth="1" min="10" max="10"/>
    <col width="23" customWidth="1" min="11" max="11"/>
    <col width="22" customWidth="1" min="12" max="12"/>
    <col width="22" customWidth="1" min="13" max="13"/>
    <col width="27" customWidth="1" min="14" max="14"/>
    <col width="25" customWidth="1" min="15" max="15"/>
    <col width="18" customWidth="1" min="16" max="16"/>
  </cols>
  <sheetData>
    <row r="1">
      <c r="A1" s="3" t="inlineStr">
        <is>
          <t>Jubilación patronal y desahucio: DBO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</row>
    <row r="4" ht="30" customHeight="1">
      <c r="A4" s="17" t="inlineStr">
        <is>
          <t>Plan</t>
        </is>
      </c>
      <c r="B4" s="17" t="inlineStr">
        <is>
          <t>Tipo</t>
        </is>
      </c>
      <c r="C4" s="17" t="inlineStr">
        <is>
          <t>DBO inicial</t>
        </is>
      </c>
      <c r="D4" s="17" t="inlineStr">
        <is>
          <t>Costo del servicio</t>
        </is>
      </c>
      <c r="E4" s="17" t="inlineStr">
        <is>
          <t>Intereses</t>
        </is>
      </c>
      <c r="F4" s="17" t="inlineStr">
        <is>
          <t>Servicios pasados</t>
        </is>
      </c>
      <c r="G4" s="17" t="inlineStr">
        <is>
          <t>Nuevas mediciones</t>
        </is>
      </c>
      <c r="H4" s="17" t="inlineStr">
        <is>
          <t>Beneficios pagados</t>
        </is>
      </c>
      <c r="I4" s="17" t="inlineStr">
        <is>
          <t>DBO final recalculado</t>
        </is>
      </c>
      <c r="J4" s="17" t="inlineStr">
        <is>
          <t>DBO final (informe)</t>
        </is>
      </c>
      <c r="K4" s="17" t="inlineStr">
        <is>
          <t>Informe − recalculado</t>
        </is>
      </c>
      <c r="L4" s="17" t="inlineStr">
        <is>
          <t>Provisión registrada</t>
        </is>
      </c>
      <c r="M4" s="17" t="inlineStr">
        <is>
          <t>Registrada − informe</t>
        </is>
      </c>
      <c r="N4" s="17" t="inlineStr">
        <is>
          <t>Activos al corte (nómina)</t>
        </is>
      </c>
      <c r="O4" s="17" t="inlineStr">
        <is>
          <t>Empleados en el estudio</t>
        </is>
      </c>
      <c r="P4" s="17" t="inlineStr">
        <is>
          <t>Estudio − nómina</t>
        </is>
      </c>
    </row>
    <row r="5">
      <c r="A5" s="18" t="inlineStr">
        <is>
          <t>JUB</t>
        </is>
      </c>
      <c r="B5" s="18" t="inlineStr">
        <is>
          <t>Jubilación patronal</t>
        </is>
      </c>
      <c r="C5" s="20">
        <f>'04_Actuarial'!C5</f>
        <v/>
      </c>
      <c r="D5" s="20">
        <f>'04_Actuarial'!D5</f>
        <v/>
      </c>
      <c r="E5" s="20">
        <f>'04_Actuarial'!E5</f>
        <v/>
      </c>
      <c r="F5" s="20">
        <f>'04_Actuarial'!F5</f>
        <v/>
      </c>
      <c r="G5" s="20">
        <f>'04_Actuarial'!G5</f>
        <v/>
      </c>
      <c r="H5" s="20">
        <f>'04_Actuarial'!H5</f>
        <v/>
      </c>
      <c r="I5" s="20">
        <f>C5+D5+E5+F5+G5-H5</f>
        <v/>
      </c>
      <c r="J5" s="20">
        <f>'04_Actuarial'!I5</f>
        <v/>
      </c>
      <c r="K5" s="20">
        <f>J5-I5</f>
        <v/>
      </c>
      <c r="L5" s="20">
        <f>'04_Actuarial'!J5</f>
        <v/>
      </c>
      <c r="M5" s="20">
        <f>L5-J5</f>
        <v/>
      </c>
      <c r="N5" s="37">
        <f>COUNTIF('05_Tiempo_servicio'!$E$5:$E$12,"Sí")</f>
        <v/>
      </c>
      <c r="O5" s="37">
        <f>IF('04_Actuarial'!L5="","",'04_Actuarial'!L5)</f>
        <v/>
      </c>
      <c r="P5" s="37">
        <f>IF(O5="","",O5-N5)</f>
        <v/>
      </c>
    </row>
    <row r="6">
      <c r="A6" s="19" t="inlineStr">
        <is>
          <t>DES</t>
        </is>
      </c>
      <c r="B6" s="19" t="inlineStr">
        <is>
          <t>Desahucio</t>
        </is>
      </c>
      <c r="C6" s="21">
        <f>'04_Actuarial'!C6</f>
        <v/>
      </c>
      <c r="D6" s="21">
        <f>'04_Actuarial'!D6</f>
        <v/>
      </c>
      <c r="E6" s="21">
        <f>'04_Actuarial'!E6</f>
        <v/>
      </c>
      <c r="F6" s="21">
        <f>'04_Actuarial'!F6</f>
        <v/>
      </c>
      <c r="G6" s="21">
        <f>'04_Actuarial'!G6</f>
        <v/>
      </c>
      <c r="H6" s="21">
        <f>'04_Actuarial'!H6</f>
        <v/>
      </c>
      <c r="I6" s="21">
        <f>C6+D6+E6+F6+G6-H6</f>
        <v/>
      </c>
      <c r="J6" s="21">
        <f>'04_Actuarial'!I6</f>
        <v/>
      </c>
      <c r="K6" s="21">
        <f>J6-I6</f>
        <v/>
      </c>
      <c r="L6" s="21">
        <f>'04_Actuarial'!J6</f>
        <v/>
      </c>
      <c r="M6" s="21">
        <f>L6-J6</f>
        <v/>
      </c>
      <c r="N6" s="38">
        <f>COUNTIF('05_Tiempo_servicio'!$E$5:$E$12,"Sí")</f>
        <v/>
      </c>
      <c r="O6" s="38">
        <f>IF('04_Actuarial'!L6="","",'04_Actuarial'!L6)</f>
        <v/>
      </c>
      <c r="P6" s="38">
        <f>IF(O6="","",O6-N6)</f>
        <v/>
      </c>
    </row>
    <row r="7">
      <c r="A7" s="34" t="inlineStr">
        <is>
          <t>TOTAL</t>
        </is>
      </c>
      <c r="B7" s="34" t="inlineStr"/>
      <c r="C7" s="36" t="n"/>
      <c r="D7" s="36" t="n"/>
      <c r="E7" s="36" t="n"/>
      <c r="F7" s="36" t="n"/>
      <c r="G7" s="36" t="n"/>
      <c r="H7" s="36" t="n"/>
      <c r="I7" s="36" t="n"/>
      <c r="J7" s="36">
        <f>SUM(J5:J6)</f>
        <v/>
      </c>
      <c r="K7" s="36" t="n"/>
      <c r="L7" s="36">
        <f>SUM(L5:L6)</f>
        <v/>
      </c>
      <c r="M7" s="36">
        <f>SUM(M5:M6)</f>
        <v/>
      </c>
      <c r="N7" s="39" t="n"/>
      <c r="O7" s="39" t="n"/>
      <c r="P7" s="39" t="n"/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DBO inicial</t>
        </is>
      </c>
      <c r="B11" s="25" t="inlineStr">
        <is>
          <t>'='04_Actuarial'!C5</t>
        </is>
      </c>
      <c r="C11" s="24" t="inlineStr">
        <is>
          <t>Trae la obligación actuarial (DBO) al inicio del año del plan, según la hoja 04 (Informe actuarial).</t>
        </is>
      </c>
      <c r="D11" s="24" t="inlineStr">
        <is>
          <t>Fila 1: 85.000,00 → 85.000,00</t>
        </is>
      </c>
      <c r="E11" s="24" t="inlineStr">
        <is>
          <t>hoja «Informe actuarial (datos del cliente)»</t>
        </is>
      </c>
      <c r="F11" s="24" t="inlineStr">
        <is>
          <t>—</t>
        </is>
      </c>
    </row>
    <row r="12">
      <c r="A12" s="24" t="inlineStr">
        <is>
          <t>Costo del servicio</t>
        </is>
      </c>
      <c r="B12" s="25" t="inlineStr">
        <is>
          <t>'='04_Actuarial'!D5</t>
        </is>
      </c>
      <c r="C12" s="24" t="inlineStr">
        <is>
          <t>Trae el costo del servicio del período que reporta el actuario para el plan en la hoja 04.</t>
        </is>
      </c>
      <c r="D12" s="24" t="inlineStr">
        <is>
          <t>Fila 1: 9.500,00 → 9.500,00</t>
        </is>
      </c>
      <c r="E12" s="24" t="inlineStr">
        <is>
          <t>hoja «Informe actuarial (datos del cliente)»</t>
        </is>
      </c>
      <c r="F12" s="24" t="inlineStr">
        <is>
          <t>—</t>
        </is>
      </c>
    </row>
    <row r="13">
      <c r="A13" s="24" t="inlineStr">
        <is>
          <t>Intereses</t>
        </is>
      </c>
      <c r="B13" s="25" t="inlineStr">
        <is>
          <t>'='04_Actuarial'!E5</t>
        </is>
      </c>
      <c r="C13" s="24" t="inlineStr">
        <is>
          <t>Trae el costo por intereses del período que reporta el actuario para el plan en la hoja 04.</t>
        </is>
      </c>
      <c r="D13" s="24" t="inlineStr">
        <is>
          <t>Fila 1: 6.800,00 → 6.800,00</t>
        </is>
      </c>
      <c r="E13" s="24" t="inlineStr">
        <is>
          <t>hoja «Informe actuarial (datos del cliente)»</t>
        </is>
      </c>
      <c r="F13" s="24" t="inlineStr">
        <is>
          <t>—</t>
        </is>
      </c>
    </row>
    <row r="14">
      <c r="A14" s="24" t="inlineStr">
        <is>
          <t>Servicios pasados</t>
        </is>
      </c>
      <c r="B14" s="25" t="inlineStr">
        <is>
          <t>'='04_Actuarial'!F5</t>
        </is>
      </c>
      <c r="C14" s="24" t="inlineStr">
        <is>
          <t>Trae el costo de servicios pasados (modificaciones del plan) de la hoja 04; si no se informó se toma cero.</t>
        </is>
      </c>
      <c r="D14" s="24" t="inlineStr">
        <is>
          <t>Fila 1: (vacío) → 0,00</t>
        </is>
      </c>
      <c r="E14" s="24" t="inlineStr">
        <is>
          <t>hoja «Informe actuarial (datos del cliente)»</t>
        </is>
      </c>
      <c r="F14" s="24" t="inlineStr">
        <is>
          <t>—</t>
        </is>
      </c>
    </row>
    <row r="15">
      <c r="A15" s="24" t="inlineStr">
        <is>
          <t>Nuevas mediciones</t>
        </is>
      </c>
      <c r="B15" s="25" t="inlineStr">
        <is>
          <t>'='04_Actuarial'!G5</t>
        </is>
      </c>
      <c r="C15" s="24" t="inlineStr">
        <is>
          <t>Trae las nuevas mediciones del informe actuarial (hoja 04): pérdida actuarial en positivo, ganancia en negativo.</t>
        </is>
      </c>
      <c r="D15" s="24" t="inlineStr">
        <is>
          <t>Fila 1: 3.200,00 → 3.200,00</t>
        </is>
      </c>
      <c r="E15" s="24" t="inlineStr">
        <is>
          <t>hoja «Informe actuarial (datos del cliente)»</t>
        </is>
      </c>
      <c r="F15" s="24" t="inlineStr">
        <is>
          <t>—</t>
        </is>
      </c>
    </row>
    <row r="16">
      <c r="A16" s="24" t="inlineStr">
        <is>
          <t>Beneficios pagados</t>
        </is>
      </c>
      <c r="B16" s="25" t="inlineStr">
        <is>
          <t>'='04_Actuarial'!H5</t>
        </is>
      </c>
      <c r="C16" s="24" t="inlineStr">
        <is>
          <t>Trae los beneficios pagados en el año a los empleados del plan, según la hoja 04.</t>
        </is>
      </c>
      <c r="D16" s="24" t="inlineStr">
        <is>
          <t>Fila 1: 2.500,00 → 2.500,00</t>
        </is>
      </c>
      <c r="E16" s="24" t="inlineStr">
        <is>
          <t>hoja «Informe actuarial (datos del cliente)»</t>
        </is>
      </c>
      <c r="F16" s="24" t="inlineStr">
        <is>
          <t>—</t>
        </is>
      </c>
    </row>
    <row r="17">
      <c r="A17" s="24" t="inlineStr">
        <is>
          <t>DBO final recalculado</t>
        </is>
      </c>
      <c r="B17" s="25" t="inlineStr">
        <is>
          <t>'=C5+D5+E5+F5+G5-H5</t>
        </is>
      </c>
      <c r="C17" s="24" t="inlineStr">
        <is>
          <t>Rehace el movimiento del año: DBO inicial más costo del servicio, intereses, servicios pasados y nuevas mediciones, menos los beneficios pagados.</t>
        </is>
      </c>
      <c r="D17" s="24" t="inlineStr">
        <is>
          <t>Fila 1: 85.000,00+9.500,00+6.800,00+0,00+3.200,00-2.500,00 → 102.000,00</t>
        </is>
      </c>
      <c r="E17" s="24" t="inlineStr">
        <is>
          <t>«DBO inicial» (esta hoja), «Costo del servicio» (esta hoja), «Intereses» (esta hoja), «Servicios pasados» (esta hoja), «Nuevas mediciones» (esta hoja), «Beneficios pagados» (esta hoja)</t>
        </is>
      </c>
      <c r="F17" s="24" t="inlineStr">
        <is>
          <t>—</t>
        </is>
      </c>
    </row>
    <row r="18">
      <c r="A18" s="24" t="inlineStr">
        <is>
          <t>DBO final (informe)</t>
        </is>
      </c>
      <c r="B18" s="25" t="inlineStr">
        <is>
          <t>'='04_Actuarial'!I5</t>
        </is>
      </c>
      <c r="C18" s="24" t="inlineStr">
        <is>
          <t>Trae el DBO final que reporta el informe actuarial para el plan (hoja 04).</t>
        </is>
      </c>
      <c r="D18" s="24" t="inlineStr">
        <is>
          <t>Fila 1: 102.000,00 → 102.000,00</t>
        </is>
      </c>
      <c r="E18" s="24" t="inlineStr">
        <is>
          <t>hoja «Informe actuarial (datos del cliente)»</t>
        </is>
      </c>
      <c r="F18" s="24" t="inlineStr">
        <is>
          <t>—</t>
        </is>
      </c>
    </row>
    <row r="19">
      <c r="A19" s="24" t="inlineStr">
        <is>
          <t>Informe − recalculado</t>
        </is>
      </c>
      <c r="B19" s="25" t="inlineStr">
        <is>
          <t>'=J5-I5</t>
        </is>
      </c>
      <c r="C19" s="24" t="inlineStr">
        <is>
          <t>Resta el DBO final recalculado del DBO final del informe: si no es cero, el informe no cuadra internamente y hay que pedir la conciliación al actuario.</t>
        </is>
      </c>
      <c r="D19" s="24" t="inlineStr">
        <is>
          <t>Fila 1: 102.000,00-102.000,00 → 0,00</t>
        </is>
      </c>
      <c r="E19" s="24" t="inlineStr">
        <is>
          <t>«DBO final (informe)» (esta hoja), «DBO final recalculado» (esta hoja)</t>
        </is>
      </c>
      <c r="F19" s="24" t="inlineStr">
        <is>
          <t>—</t>
        </is>
      </c>
    </row>
    <row r="20">
      <c r="A20" s="24" t="inlineStr">
        <is>
          <t>Provisión registrada</t>
        </is>
      </c>
      <c r="B20" s="25" t="inlineStr">
        <is>
          <t>'='04_Actuarial'!J5</t>
        </is>
      </c>
      <c r="C20" s="24" t="inlineStr">
        <is>
          <t>Trae la provisión que el cliente tiene registrada al cierre para el plan (hoja 04).</t>
        </is>
      </c>
      <c r="D20" s="24" t="inlineStr">
        <is>
          <t>Fila 1: 95.000,00 → 95.000,00</t>
        </is>
      </c>
      <c r="E20" s="24" t="inlineStr">
        <is>
          <t>hoja «Informe actuarial (datos del cliente)»</t>
        </is>
      </c>
      <c r="F20" s="24" t="inlineStr">
        <is>
          <t>—</t>
        </is>
      </c>
    </row>
    <row r="21">
      <c r="A21" s="24" t="inlineStr">
        <is>
          <t>Registrada − informe</t>
        </is>
      </c>
      <c r="B21" s="25" t="inlineStr">
        <is>
          <t>'=L5-J5</t>
        </is>
      </c>
      <c r="C21" s="24" t="inlineStr">
        <is>
          <t>Resta el DBO del informe de la provisión registrada: negativa significa que al cliente le falta provisión frente al informe actuarial.</t>
        </is>
      </c>
      <c r="D21" s="24" t="inlineStr">
        <is>
          <t>Fila 1: 95.000,00-102.000,00 → -7.000,00</t>
        </is>
      </c>
      <c r="E21" s="24" t="inlineStr">
        <is>
          <t>«Provisión registrada» (esta hoja), «DBO final (informe)» (esta hoja)</t>
        </is>
      </c>
      <c r="F21" s="24" t="inlineStr">
        <is>
          <t>—</t>
        </is>
      </c>
    </row>
    <row r="22">
      <c r="A22" s="24" t="inlineStr">
        <is>
          <t>Activos al corte (nómina)</t>
        </is>
      </c>
      <c r="B22" s="25" t="inlineStr">
        <is>
          <t>'=COUNTIF('05_Tiempo_servicio'!$E$5:$E$12,"Sí")</t>
        </is>
      </c>
      <c r="C22" s="24" t="inlineStr">
        <is>
          <t>Cuenta cuántos empleados figuran como activos al corte en la hoja 05 (Tiempo de servicio); es el censo esperado según la nómina.</t>
        </is>
      </c>
      <c r="D22" s="24" t="inlineStr">
        <is>
          <t>Fila 1: COUNTIF([«Activo al corte» de «Tiempo de servicio», 8 filas]; "Sí") → 7</t>
        </is>
      </c>
      <c r="E22" s="24" t="inlineStr">
        <is>
          <t>hoja «Tiempo de servicio»</t>
        </is>
      </c>
      <c r="F22" s="24" t="inlineStr">
        <is>
          <t>—</t>
        </is>
      </c>
    </row>
    <row r="23">
      <c r="A23" s="24" t="inlineStr">
        <is>
          <t>Empleados en el estudio</t>
        </is>
      </c>
      <c r="B23" s="25" t="inlineStr">
        <is>
          <t>'=IF('04_Actuarial'!L5="","",'04_Actuarial'!L5)</t>
        </is>
      </c>
      <c r="C23" s="24" t="inlineStr">
        <is>
          <t>Trae cuántos empleados incluyó el actuario en el estudio (hoja 04); queda en blanco si no se informó.</t>
        </is>
      </c>
      <c r="D23" s="24" t="inlineStr">
        <is>
          <t>Fila 1: IF(6=""; ""; 6) → 6</t>
        </is>
      </c>
      <c r="E23" s="24" t="inlineStr">
        <is>
          <t>hoja «Informe actuarial (datos del cliente)»</t>
        </is>
      </c>
      <c r="F23" s="24" t="inlineStr">
        <is>
          <t>—</t>
        </is>
      </c>
    </row>
    <row r="24">
      <c r="A24" s="24" t="inlineStr">
        <is>
          <t>Estudio − nómina</t>
        </is>
      </c>
      <c r="B24" s="25" t="inlineStr">
        <is>
          <t>'=IF(O5="","",O5-N5)</t>
        </is>
      </c>
      <c r="C24" s="24" t="inlineStr">
        <is>
          <t>Resta los activos de la nómina de los empleados del estudio actuarial: negativa significa que faltan empleados en el estudio; en blanco si no hay dato del estudio.</t>
        </is>
      </c>
      <c r="D24" s="24" t="inlineStr">
        <is>
          <t>Fila 1: IF(6=""; ""; 6-7) → -1</t>
        </is>
      </c>
      <c r="E24" s="24" t="inlineStr">
        <is>
          <t>«Empleados en el estudio» (esta hoja), «Activos al corte (nómina)» (esta hoja)</t>
        </is>
      </c>
      <c r="F24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1" customWidth="1" min="4" max="4"/>
    <col width="30" customWidth="1" min="5" max="5"/>
    <col width="12" customWidth="1" min="6" max="6"/>
  </cols>
  <sheetData>
    <row r="1">
      <c r="A1" s="3" t="inlineStr">
        <is>
          <t>Costo post-empleo: resultados y ORI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Plan</t>
        </is>
      </c>
      <c r="B4" s="17" t="inlineStr">
        <is>
          <t>Gasto en resultados</t>
        </is>
      </c>
      <c r="C4" s="17" t="inlineStr">
        <is>
          <t>Otro resultado integral</t>
        </is>
      </c>
      <c r="D4" s="17" t="inlineStr">
        <is>
          <t>Destino según marco</t>
        </is>
      </c>
      <c r="E4" s="17" t="inlineStr">
        <is>
          <t>Registrado por el cliente en</t>
        </is>
      </c>
      <c r="F4" s="17" t="inlineStr">
        <is>
          <t>Conforme</t>
        </is>
      </c>
    </row>
    <row r="5">
      <c r="A5" s="18" t="inlineStr">
        <is>
          <t>JUB</t>
        </is>
      </c>
      <c r="B5" s="20">
        <f>'12_DBO_actuarial'!D5+'12_DBO_actuarial'!E5+'12_DBO_actuarial'!F5+IF('02_Parametros'!$B$9="Resultados",'12_DBO_actuarial'!G5,0)</f>
        <v/>
      </c>
      <c r="C5" s="20">
        <f>IF('02_Parametros'!$B$9="ORI",'12_DBO_actuarial'!G5,0)</f>
        <v/>
      </c>
      <c r="D5" s="18">
        <f>'02_Parametros'!$B$9</f>
        <v/>
      </c>
      <c r="E5" s="18" t="inlineStr">
        <is>
          <t>Resultados</t>
        </is>
      </c>
      <c r="F5" s="18">
        <f>IF(E5="","Sin dato",IF(E5=D5,"Sí","No"))</f>
        <v/>
      </c>
    </row>
    <row r="6">
      <c r="A6" s="19" t="inlineStr">
        <is>
          <t>DES</t>
        </is>
      </c>
      <c r="B6" s="21">
        <f>'12_DBO_actuarial'!D6+'12_DBO_actuarial'!E6+'12_DBO_actuarial'!F6+IF('02_Parametros'!$B$9="Resultados",'12_DBO_actuarial'!G6,0)</f>
        <v/>
      </c>
      <c r="C6" s="21">
        <f>IF('02_Parametros'!$B$9="ORI",'12_DBO_actuarial'!G6,0)</f>
        <v/>
      </c>
      <c r="D6" s="19">
        <f>'02_Parametros'!$B$9</f>
        <v/>
      </c>
      <c r="E6" s="19" t="inlineStr">
        <is>
          <t>ORI</t>
        </is>
      </c>
      <c r="F6" s="19">
        <f>IF(E6="","Sin dato",IF(E6=D6,"Sí","No"))</f>
        <v/>
      </c>
    </row>
    <row r="7">
      <c r="A7" s="34" t="inlineStr">
        <is>
          <t>TOTAL</t>
        </is>
      </c>
      <c r="B7" s="36">
        <f>SUM(B5:B6)</f>
        <v/>
      </c>
      <c r="C7" s="36">
        <f>SUM(C5:C6)</f>
        <v/>
      </c>
      <c r="D7" s="34" t="inlineStr"/>
      <c r="E7" s="34" t="inlineStr"/>
      <c r="F7" s="34" t="inlineStr"/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Gasto en resultados</t>
        </is>
      </c>
      <c r="B11" s="25" t="inlineStr">
        <is>
          <t>'='12_DBO_actuarial'!D5+'12_DBO_actuarial'!E5+'12_DBO_actuarial'!F5+IF('02_Parametros'!$B$9="Resultados",'12_DBO_actuarial'!G5,0)</t>
        </is>
      </c>
      <c r="C11" s="24" t="inlineStr">
        <is>
          <t>Suma el costo del servicio, los intereses y los servicios pasados de la hoja 12 y, solo si las nuevas mediciones van a resultados según la hoja 02, también las nuevas mediciones.</t>
        </is>
      </c>
      <c r="D11" s="24" t="inlineStr">
        <is>
          <t>Fila 1: 9.500,00+6.800,00+0,00+IF(«ORI»="Resultados"; 3.200,00; 0) → 16.300,00</t>
        </is>
      </c>
      <c r="E11" s="24" t="inlineStr">
        <is>
          <t>hoja «Jubilación patronal y desahucio: DBO», hoja «Parámetros»</t>
        </is>
      </c>
      <c r="F11" s="24" t="inlineStr">
        <is>
          <t>—</t>
        </is>
      </c>
    </row>
    <row r="12">
      <c r="A12" s="24" t="inlineStr">
        <is>
          <t>Otro resultado integral</t>
        </is>
      </c>
      <c r="B12" s="25" t="inlineStr">
        <is>
          <t>'=IF('02_Parametros'!$B$9="ORI",'12_DBO_actuarial'!G5,0)</t>
        </is>
      </c>
      <c r="C12" s="24" t="inlineStr">
        <is>
          <t>Toma las nuevas mediciones de la hoja 12 cuando, según la hoja 02 (Parámetros), deben ir a otro resultado integral (ORI); si van a resultados, pone cero.</t>
        </is>
      </c>
      <c r="D12" s="24" t="inlineStr">
        <is>
          <t>Fila 1: IF(«ORI»="ORI"; 3.200,00; 0) → 3.200,00</t>
        </is>
      </c>
      <c r="E12" s="24" t="inlineStr">
        <is>
          <t>hoja «Parámetros», hoja «Jubilación patronal y desahucio: DBO»</t>
        </is>
      </c>
      <c r="F12" s="24" t="inlineStr">
        <is>
          <t>—</t>
        </is>
      </c>
    </row>
    <row r="13">
      <c r="A13" s="24" t="inlineStr">
        <is>
          <t>Destino según marco</t>
        </is>
      </c>
      <c r="B13" s="25" t="inlineStr">
        <is>
          <t>'='02_Parametros'!$B$9</t>
        </is>
      </c>
      <c r="C13" s="24" t="inlineStr">
        <is>
          <t>Trae de la hoja 02 (Parámetros) a dónde deben ir las nuevas mediciones según el marco contable y la política elegida (ORI o Resultados).</t>
        </is>
      </c>
      <c r="D13" s="24" t="inlineStr">
        <is>
          <t>Fila 1: «ORI» → ORI</t>
        </is>
      </c>
      <c r="E13" s="24" t="inlineStr">
        <is>
          <t>hoja «Parámetros»</t>
        </is>
      </c>
      <c r="F13" s="24" t="inlineStr">
        <is>
          <t>—</t>
        </is>
      </c>
    </row>
    <row r="14">
      <c r="A14" s="24" t="inlineStr">
        <is>
          <t>Conforme</t>
        </is>
      </c>
      <c r="B14" s="25" t="inlineStr">
        <is>
          <t>'=IF(E5="","Sin dato",IF(E5=D5,"Sí","No"))</t>
        </is>
      </c>
      <c r="C14" s="24" t="inlineStr">
        <is>
          <t>Compara dónde registró el cliente las nuevas mediciones con el destino según el marco: «Sí» si coinciden, «No» si difieren y «Sin dato» si el cliente no lo informó.</t>
        </is>
      </c>
      <c r="D14" s="24" t="inlineStr">
        <is>
          <t>Fila 1: IF(«Resultados»=""; "Sin dato"; IF(«Resultados»=«ORI»; "Sí"; "No")) → No</t>
        </is>
      </c>
      <c r="E14" s="24" t="inlineStr">
        <is>
          <t>«Registrado por el cliente en» (esta hoja), «Destino según marco» (esta hoja)</t>
        </is>
      </c>
      <c r="F14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6" customWidth="1" min="4" max="4"/>
    <col width="58" customWidth="1" min="5" max="5"/>
    <col width="42" customWidth="1" min="6" max="6"/>
    <col width="22" customWidth="1" min="7" max="7"/>
    <col width="60" customWidth="1" min="8" max="8"/>
  </cols>
  <sheetData>
    <row r="1">
      <c r="A1" s="3" t="inlineStr">
        <is>
          <t>Censo actuarial y desahucio legal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Cédula/código</t>
        </is>
      </c>
      <c r="B4" s="17" t="inlineStr">
        <is>
          <t>Nombre</t>
        </is>
      </c>
      <c r="C4" s="17" t="inlineStr">
        <is>
          <t>Años de servicio</t>
        </is>
      </c>
      <c r="D4" s="17" t="inlineStr">
        <is>
          <t>Sueldo mensual</t>
        </is>
      </c>
      <c r="E4" s="17" t="inlineStr">
        <is>
          <t>Promedio mensual de horas extras y comisiones (año ÷ 12)</t>
        </is>
      </c>
      <c r="F4" s="17" t="inlineStr">
        <is>
          <t>Última remuneración mensual (CT art. 95)</t>
        </is>
      </c>
      <c r="G4" s="17" t="inlineStr">
        <is>
          <t>En estudio actuarial</t>
        </is>
      </c>
      <c r="H4" s="17" t="inlineStr">
        <is>
          <t>Desahucio legal referencial (25 % × última remuneración mensual × años; CT art. 185)</t>
        </is>
      </c>
    </row>
    <row r="5">
      <c r="A5" s="18" t="inlineStr">
        <is>
          <t>E01</t>
        </is>
      </c>
      <c r="B5" s="18" t="inlineStr">
        <is>
          <t>Ana Pérez</t>
        </is>
      </c>
      <c r="C5" s="37">
        <f>'05_Tiempo_servicio'!F5</f>
        <v/>
      </c>
      <c r="D5" s="20">
        <f>'03_Empleados'!F5</f>
        <v/>
      </c>
      <c r="E5" s="20">
        <f>(IF('03_Empleados'!I5="",0,'03_Empleados'!I5)+IF('03_Empleados'!J5="",0,'03_Empleados'!J5))/12</f>
        <v/>
      </c>
      <c r="F5" s="20">
        <f>D5+E5</f>
        <v/>
      </c>
      <c r="G5" s="18" t="inlineStr">
        <is>
          <t>Sí</t>
        </is>
      </c>
      <c r="H5" s="20">
        <f>F5*'02_Parametros'!$B$24/100*C5</f>
        <v/>
      </c>
    </row>
    <row r="6">
      <c r="A6" s="19" t="inlineStr">
        <is>
          <t>E02</t>
        </is>
      </c>
      <c r="B6" s="19" t="inlineStr">
        <is>
          <t>Bruno Salazar</t>
        </is>
      </c>
      <c r="C6" s="38">
        <f>'05_Tiempo_servicio'!F6</f>
        <v/>
      </c>
      <c r="D6" s="21">
        <f>'03_Empleados'!F6</f>
        <v/>
      </c>
      <c r="E6" s="21">
        <f>(IF('03_Empleados'!I6="",0,'03_Empleados'!I6)+IF('03_Empleados'!J6="",0,'03_Empleados'!J6))/12</f>
        <v/>
      </c>
      <c r="F6" s="21">
        <f>D6+E6</f>
        <v/>
      </c>
      <c r="G6" s="19" t="inlineStr">
        <is>
          <t>Sí</t>
        </is>
      </c>
      <c r="H6" s="21">
        <f>F6*'02_Parametros'!$B$24/100*C6</f>
        <v/>
      </c>
    </row>
    <row r="7">
      <c r="A7" s="18" t="inlineStr">
        <is>
          <t>E03</t>
        </is>
      </c>
      <c r="B7" s="18" t="inlineStr">
        <is>
          <t>Carla Mora</t>
        </is>
      </c>
      <c r="C7" s="37">
        <f>'05_Tiempo_servicio'!F7</f>
        <v/>
      </c>
      <c r="D7" s="20">
        <f>'03_Empleados'!F7</f>
        <v/>
      </c>
      <c r="E7" s="20">
        <f>(IF('03_Empleados'!I7="",0,'03_Empleados'!I7)+IF('03_Empleados'!J7="",0,'03_Empleados'!J7))/12</f>
        <v/>
      </c>
      <c r="F7" s="20">
        <f>D7+E7</f>
        <v/>
      </c>
      <c r="G7" s="18" t="inlineStr">
        <is>
          <t>No</t>
        </is>
      </c>
      <c r="H7" s="20">
        <f>F7*'02_Parametros'!$B$24/100*C7</f>
        <v/>
      </c>
    </row>
    <row r="8">
      <c r="A8" s="19" t="inlineStr">
        <is>
          <t>E05</t>
        </is>
      </c>
      <c r="B8" s="19" t="inlineStr">
        <is>
          <t>Elena Vásquez</t>
        </is>
      </c>
      <c r="C8" s="38">
        <f>'05_Tiempo_servicio'!F9</f>
        <v/>
      </c>
      <c r="D8" s="21">
        <f>'03_Empleados'!F9</f>
        <v/>
      </c>
      <c r="E8" s="21">
        <f>(IF('03_Empleados'!I9="",0,'03_Empleados'!I9)+IF('03_Empleados'!J9="",0,'03_Empleados'!J9))/12</f>
        <v/>
      </c>
      <c r="F8" s="21">
        <f>D8+E8</f>
        <v/>
      </c>
      <c r="G8" s="19" t="inlineStr">
        <is>
          <t>Sí</t>
        </is>
      </c>
      <c r="H8" s="21">
        <f>F8*'02_Parametros'!$B$24/100*C8</f>
        <v/>
      </c>
    </row>
    <row r="9">
      <c r="A9" s="18" t="inlineStr">
        <is>
          <t>E06</t>
        </is>
      </c>
      <c r="B9" s="18" t="inlineStr">
        <is>
          <t>Fabián Torres</t>
        </is>
      </c>
      <c r="C9" s="37">
        <f>'05_Tiempo_servicio'!F10</f>
        <v/>
      </c>
      <c r="D9" s="20">
        <f>'03_Empleados'!F10</f>
        <v/>
      </c>
      <c r="E9" s="20">
        <f>(IF('03_Empleados'!I10="",0,'03_Empleados'!I10)+IF('03_Empleados'!J10="",0,'03_Empleados'!J10))/12</f>
        <v/>
      </c>
      <c r="F9" s="20">
        <f>D9+E9</f>
        <v/>
      </c>
      <c r="G9" s="18" t="inlineStr">
        <is>
          <t>Sí</t>
        </is>
      </c>
      <c r="H9" s="20">
        <f>F9*'02_Parametros'!$B$24/100*C9</f>
        <v/>
      </c>
    </row>
    <row r="10">
      <c r="A10" s="19" t="inlineStr">
        <is>
          <t>E07</t>
        </is>
      </c>
      <c r="B10" s="19" t="inlineStr">
        <is>
          <t>Gabriela León</t>
        </is>
      </c>
      <c r="C10" s="38">
        <f>'05_Tiempo_servicio'!F11</f>
        <v/>
      </c>
      <c r="D10" s="21">
        <f>'03_Empleados'!F11</f>
        <v/>
      </c>
      <c r="E10" s="21">
        <f>(IF('03_Empleados'!I11="",0,'03_Empleados'!I11)+IF('03_Empleados'!J11="",0,'03_Empleados'!J11))/12</f>
        <v/>
      </c>
      <c r="F10" s="21">
        <f>D10+E10</f>
        <v/>
      </c>
      <c r="G10" s="19" t="inlineStr">
        <is>
          <t>Sí</t>
        </is>
      </c>
      <c r="H10" s="21">
        <f>F10*'02_Parametros'!$B$24/100*C10</f>
        <v/>
      </c>
    </row>
    <row r="11">
      <c r="A11" s="18" t="inlineStr">
        <is>
          <t>E08</t>
        </is>
      </c>
      <c r="B11" s="18" t="inlineStr">
        <is>
          <t>Hugo Cedeño</t>
        </is>
      </c>
      <c r="C11" s="37">
        <f>'05_Tiempo_servicio'!F12</f>
        <v/>
      </c>
      <c r="D11" s="20">
        <f>'03_Empleados'!F12</f>
        <v/>
      </c>
      <c r="E11" s="20">
        <f>(IF('03_Empleados'!I12="",0,'03_Empleados'!I12)+IF('03_Empleados'!J12="",0,'03_Empleados'!J12))/12</f>
        <v/>
      </c>
      <c r="F11" s="20">
        <f>D11+E11</f>
        <v/>
      </c>
      <c r="G11" s="18" t="inlineStr">
        <is>
          <t>Sí</t>
        </is>
      </c>
      <c r="H11" s="20">
        <f>F11*'02_Parametros'!$B$24/100*C11</f>
        <v/>
      </c>
    </row>
    <row r="12">
      <c r="A12" s="34" t="inlineStr">
        <is>
          <t>TOTAL</t>
        </is>
      </c>
      <c r="B12" s="34" t="inlineStr"/>
      <c r="C12" s="39" t="n"/>
      <c r="D12" s="36" t="n"/>
      <c r="E12" s="36" t="n"/>
      <c r="F12" s="36" t="n"/>
      <c r="G12" s="34" t="inlineStr"/>
      <c r="H12" s="36">
        <f>SUM(H5:H11)</f>
        <v/>
      </c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Años de servicio</t>
        </is>
      </c>
      <c r="B16" s="25" t="inlineStr">
        <is>
          <t>'='05_Tiempo_servicio'!F5</t>
        </is>
      </c>
      <c r="C16" s="24" t="inlineStr">
        <is>
          <t>Trae los años completos de servicio del empleado activo de la hoja 05 (Tiempo de servicio).</t>
        </is>
      </c>
      <c r="D16" s="24" t="inlineStr">
        <is>
          <t>Fila 1: 10 → 10</t>
        </is>
      </c>
      <c r="E16" s="24" t="inlineStr">
        <is>
          <t>hoja «Tiempo de servicio»</t>
        </is>
      </c>
      <c r="F16" s="24" t="inlineStr">
        <is>
          <t>—</t>
        </is>
      </c>
    </row>
    <row r="17">
      <c r="A17" s="24" t="inlineStr">
        <is>
          <t>Sueldo mensual</t>
        </is>
      </c>
      <c r="B17" s="25" t="inlineStr">
        <is>
          <t>'='03_Empleados'!F5</t>
        </is>
      </c>
      <c r="C17" s="24" t="inlineStr">
        <is>
          <t>Trae el sueldo mensual del empleado activo informado en la hoja 03 (Empleados).</t>
        </is>
      </c>
      <c r="D17" s="24" t="inlineStr">
        <is>
          <t>Fila 1: 1.200,00 → 1.200,00</t>
        </is>
      </c>
      <c r="E17" s="24" t="inlineStr">
        <is>
          <t>hoja «Empleados (datos del cliente)»</t>
        </is>
      </c>
      <c r="F17" s="24" t="inlineStr">
        <is>
          <t>—</t>
        </is>
      </c>
    </row>
    <row r="18">
      <c r="A18" s="24" t="inlineStr">
        <is>
          <t>Promedio mensual de horas extras y comisiones (año ÷ 12)</t>
        </is>
      </c>
      <c r="B18" s="25" t="inlineStr">
        <is>
          <t>'=(IF('03_Empleados'!I5="",0,'03_Empleados'!I5)+IF('03_Empleados'!J5="",0,'03_Empleados'!J5))/12</t>
        </is>
      </c>
      <c r="C18" s="24" t="inlineStr">
        <is>
          <t>Suma las horas extras registradas y las comisiones y bonos del año (hoja 03; vacíos cuentan como cero) y divide para 12 para llevarlas a un promedio mensual.</t>
        </is>
      </c>
      <c r="D18" s="24" t="inlineStr">
        <is>
          <t>Fila 1: (IF(250,00=""; 0; 250,00)+IF((vacío)=""; 0; (vacío)))/12 → 20,83</t>
        </is>
      </c>
      <c r="E18" s="24" t="inlineStr">
        <is>
          <t>hoja «Empleados (datos del cliente)»</t>
        </is>
      </c>
      <c r="F18" s="24" t="inlineStr">
        <is>
          <t>—</t>
        </is>
      </c>
    </row>
    <row r="19">
      <c r="A19" s="24" t="inlineStr">
        <is>
          <t>Última remuneración mensual (CT art. 95)</t>
        </is>
      </c>
      <c r="B19" s="25" t="inlineStr">
        <is>
          <t>'=D5+E5</t>
        </is>
      </c>
      <c r="C19" s="24" t="inlineStr">
        <is>
          <t>Suma el sueldo mensual y el promedio mensual de horas extras y comisiones: es la última remuneración mensual del empleado.</t>
        </is>
      </c>
      <c r="D19" s="24" t="inlineStr">
        <is>
          <t>Fila 1: 1.200,00+20,83 → 1.220,83</t>
        </is>
      </c>
      <c r="E19" s="24" t="inlineStr">
        <is>
          <t>«Sueldo mensual» (esta hoja), «Promedio mensual de horas extras y comisiones (año ÷ 12)» (esta hoja)</t>
        </is>
      </c>
      <c r="F19" s="24" t="inlineStr">
        <is>
          <t>—</t>
        </is>
      </c>
    </row>
    <row r="20">
      <c r="A20" s="24" t="inlineStr">
        <is>
          <t>Desahucio legal referencial (25 % × última remuneración mensual × años; CT art. 185)</t>
        </is>
      </c>
      <c r="B20" s="25" t="inlineStr">
        <is>
          <t>'=F5*'02_Parametros'!$B$24/100*C5</t>
        </is>
      </c>
      <c r="C20" s="24" t="inlineStr">
        <is>
          <t>Multiplica la última remuneración mensual por el porcentaje de desahucio de la hoja 02 y por los años de servicio; es una referencia legal, no reemplaza el DBO del actuario.</t>
        </is>
      </c>
      <c r="D20" s="24" t="inlineStr">
        <is>
          <t>Fila 1: 1.220,83*25,00/100*10 → 3.052,08</t>
        </is>
      </c>
      <c r="E20" s="24" t="inlineStr">
        <is>
          <t>«Última remuneración mensual (CT art. 95)» (esta hoja), «Años de servicio» (esta hoja), hoja «Parámetros»</t>
        </is>
      </c>
      <c r="F20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2" customWidth="1" min="4" max="4"/>
    <col width="24" customWidth="1" min="5" max="5"/>
    <col width="26" customWidth="1" min="6" max="6"/>
  </cols>
  <sheetData>
    <row r="1">
      <c r="A1" s="3" t="inlineStr">
        <is>
          <t>Conciliación nómina–mayor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 registrado</t>
        </is>
      </c>
      <c r="C4" s="17" t="inlineStr">
        <is>
          <t>Recalculado</t>
        </is>
      </c>
      <c r="D4" s="17" t="inlineStr">
        <is>
          <t>Mayor</t>
        </is>
      </c>
      <c r="E4" s="17" t="inlineStr">
        <is>
          <t>Detalle − mayor</t>
        </is>
      </c>
      <c r="F4" s="17" t="inlineStr">
        <is>
          <t>Registrado − recalculado</t>
        </is>
      </c>
    </row>
    <row r="5">
      <c r="A5" s="18" t="inlineStr">
        <is>
          <t>Remuneraciones (sueldos, horas extras, comisiones)</t>
        </is>
      </c>
      <c r="B5" s="20">
        <f>SUM('03_Empleados'!$K$5:$K$12)</f>
        <v/>
      </c>
      <c r="C5" s="20">
        <f>SUM('06_Recalculo_nomina'!$L$5:$L$12)</f>
        <v/>
      </c>
      <c r="D5" s="20">
        <f>IF('02_Parametros'!$B$34="","",'02_Parametros'!$B$34)</f>
        <v/>
      </c>
      <c r="E5" s="20">
        <f>IF(D5="","",B5-D5)</f>
        <v/>
      </c>
      <c r="F5" s="20">
        <f>B5-C5</f>
        <v/>
      </c>
    </row>
    <row r="6">
      <c r="A6" s="19" t="inlineStr">
        <is>
          <t>Aporte patronal IESS (con IECE y SECAP)</t>
        </is>
      </c>
      <c r="B6" s="21">
        <f>SUM('03_Empleados'!$P$5:$P$12)</f>
        <v/>
      </c>
      <c r="C6" s="21">
        <f>SUM('07_IESS'!$I$5:$I$12)</f>
        <v/>
      </c>
      <c r="D6" s="21">
        <f>IF('02_Parametros'!$B$35="","",'02_Parametros'!$B$35)</f>
        <v/>
      </c>
      <c r="E6" s="21">
        <f>IF(D6="","",B6-D6)</f>
        <v/>
      </c>
      <c r="F6" s="21">
        <f>B6-C6</f>
        <v/>
      </c>
    </row>
    <row r="7">
      <c r="A7" s="18" t="inlineStr">
        <is>
          <t>Décimo tercero por pagar</t>
        </is>
      </c>
      <c r="B7" s="20">
        <f>SUM('03_Empleados'!$S$5:$S$12)</f>
        <v/>
      </c>
      <c r="C7" s="20">
        <f>SUM('08_Decimo_tercero'!$F$5:$F$12)</f>
        <v/>
      </c>
      <c r="D7" s="20">
        <f>IF('02_Parametros'!$B$36="","",'02_Parametros'!$B$36)</f>
        <v/>
      </c>
      <c r="E7" s="20">
        <f>IF(D7="","",B7-D7)</f>
        <v/>
      </c>
      <c r="F7" s="20">
        <f>B7-C7</f>
        <v/>
      </c>
    </row>
    <row r="8">
      <c r="A8" s="19" t="inlineStr">
        <is>
          <t>Décimo cuarto por pagar</t>
        </is>
      </c>
      <c r="B8" s="21">
        <f>SUM('03_Empleados'!$T$5:$T$12)</f>
        <v/>
      </c>
      <c r="C8" s="21">
        <f>SUM('09_Decimo_cuarto'!$G$5:$G$12)</f>
        <v/>
      </c>
      <c r="D8" s="21">
        <f>IF('02_Parametros'!$B$37="","",'02_Parametros'!$B$37)</f>
        <v/>
      </c>
      <c r="E8" s="21">
        <f>IF(D8="","",B8-D8)</f>
        <v/>
      </c>
      <c r="F8" s="21">
        <f>B8-C8</f>
        <v/>
      </c>
    </row>
    <row r="9">
      <c r="A9" s="18" t="inlineStr">
        <is>
          <t>Provisión de vacaciones</t>
        </is>
      </c>
      <c r="B9" s="20">
        <f>SUM('03_Empleados'!$W$5:$W$12)</f>
        <v/>
      </c>
      <c r="C9" s="20">
        <f>SUM('10_Vacaciones'!$J$5:$J$12)</f>
        <v/>
      </c>
      <c r="D9" s="20">
        <f>IF('02_Parametros'!$B$38="","",'02_Parametros'!$B$38)</f>
        <v/>
      </c>
      <c r="E9" s="20">
        <f>IF(D9="","",B9-D9)</f>
        <v/>
      </c>
      <c r="F9" s="20">
        <f>B9-C9</f>
        <v/>
      </c>
    </row>
    <row r="10">
      <c r="A10" s="19" t="inlineStr">
        <is>
          <t>Fondo de reserva</t>
        </is>
      </c>
      <c r="B10" s="21">
        <f>SUM('03_Empleados'!$X$5:$X$12)</f>
        <v/>
      </c>
      <c r="C10" s="21">
        <f>SUM('11_Fondo_reserva'!$E$5:$E$12)</f>
        <v/>
      </c>
      <c r="D10" s="21">
        <f>IF('02_Parametros'!$B$39="","",'02_Parametros'!$B$39)</f>
        <v/>
      </c>
      <c r="E10" s="21">
        <f>IF(D10="","",B10-D10)</f>
        <v/>
      </c>
      <c r="F10" s="21">
        <f>B10-C10</f>
        <v/>
      </c>
    </row>
    <row r="11">
      <c r="A11" s="18" t="inlineStr">
        <is>
          <t>Provisión jubilación patronal y desahucio (recalculado = informe)</t>
        </is>
      </c>
      <c r="B11" s="20">
        <f>SUM('04_Actuarial'!$J$5:$J$6)</f>
        <v/>
      </c>
      <c r="C11" s="20">
        <f>SUM('04_Actuarial'!$I$5:$I$6)</f>
        <v/>
      </c>
      <c r="D11" s="20">
        <f>IF('02_Parametros'!$B$40="","",'02_Parametros'!$B$40)</f>
        <v/>
      </c>
      <c r="E11" s="20">
        <f>IF(D11="","",B11-D11)</f>
        <v/>
      </c>
      <c r="F11" s="20">
        <f>B11-C11</f>
        <v/>
      </c>
    </row>
    <row r="13">
      <c r="A13" s="22" t="inlineStr">
        <is>
          <t>ⓘ  Cómo se calcula esta hoja</t>
        </is>
      </c>
    </row>
    <row r="14">
      <c r="A14" s="23" t="inlineStr">
        <is>
          <t>Columna</t>
        </is>
      </c>
      <c r="B14" s="23" t="inlineStr">
        <is>
          <t>Fórmula (Excel)</t>
        </is>
      </c>
      <c r="C14" s="23" t="inlineStr">
        <is>
          <t>Cómo se calcula (sencillo)</t>
        </is>
      </c>
      <c r="D14" s="23" t="inlineStr">
        <is>
          <t>Ejemplo con números reales</t>
        </is>
      </c>
      <c r="E14" s="23" t="inlineStr">
        <is>
          <t>De dónde viene</t>
        </is>
      </c>
      <c r="F14" s="23" t="inlineStr">
        <is>
          <t>Norma</t>
        </is>
      </c>
    </row>
    <row r="15">
      <c r="A15" s="24" t="inlineStr">
        <is>
          <t>Detalle registrado</t>
        </is>
      </c>
      <c r="B15" s="25" t="inlineStr">
        <is>
          <t>'=SUM('03_Empleados'!$K$5:$K$12)</t>
        </is>
      </c>
      <c r="C15" s="24" t="inlineStr">
        <is>
          <t>Suma lo que registró el cliente para cada concepto: remuneraciones, aportes, décimos, vacaciones y fondo de reserva salen de la hoja 03 (Empleados) y la provisión actuarial de la hoja 04 (Informe actuarial).</t>
        </is>
      </c>
      <c r="D15" s="24" t="inlineStr">
        <is>
          <t>Fila 1: SUM([«Remuneración anual registrada» de «Empleados (datos del cliente)», 8 filas]) → 95.300,00</t>
        </is>
      </c>
      <c r="E15" s="24" t="inlineStr">
        <is>
          <t>hoja «Empleados (datos del cliente)»</t>
        </is>
      </c>
      <c r="F15" s="24" t="inlineStr">
        <is>
          <t>—</t>
        </is>
      </c>
    </row>
    <row r="16">
      <c r="A16" s="24" t="inlineStr">
        <is>
          <t>Recalculado</t>
        </is>
      </c>
      <c r="B16" s="25" t="inlineStr">
        <is>
          <t>'=SUM('06_Recalculo_nomina'!$L$5:$L$12)</t>
        </is>
      </c>
      <c r="C16" s="24" t="inlineStr">
        <is>
          <t>Suma lo recalculado por el auditor para cada concepto en su hoja: 06 (bruto), 07 (aporte patronal), 08 y 09 (décimos), 10 (vacaciones) y 11 (fondo de reserva); para la provisión actuarial toma el DBO final del informe (hoja 04).</t>
        </is>
      </c>
      <c r="D16" s="24" t="inlineStr">
        <is>
          <t>Fila 1: SUM([«Bruto recalculado» de «Recálculo de nómina: bruto y neto», 8 filas]) → 95.500,00</t>
        </is>
      </c>
      <c r="E16" s="24" t="inlineStr">
        <is>
          <t>hoja «Recálculo de nómina: bruto y neto»</t>
        </is>
      </c>
      <c r="F16" s="24" t="inlineStr">
        <is>
          <t>—</t>
        </is>
      </c>
    </row>
    <row r="17">
      <c r="A17" s="24" t="inlineStr">
        <is>
          <t>Mayor</t>
        </is>
      </c>
      <c r="B17" s="25" t="inlineStr">
        <is>
          <t>'=IF('02_Parametros'!$B$34="","",'02_Parametros'!$B$34)</t>
        </is>
      </c>
      <c r="C17" s="24" t="inlineStr">
        <is>
          <t>Trae el saldo del mayor contable del concepto que se ingresó en la hoja 02 (Parámetros); queda en blanco si no se informó.</t>
        </is>
      </c>
      <c r="D17" s="24" t="inlineStr">
        <is>
          <t>Fila 1: IF(95.300,00=""; ""; 95.300,00) → 95.300,00</t>
        </is>
      </c>
      <c r="E17" s="24" t="inlineStr">
        <is>
          <t>hoja «Parámetros»</t>
        </is>
      </c>
      <c r="F17" s="24" t="inlineStr">
        <is>
          <t>—</t>
        </is>
      </c>
    </row>
    <row r="18">
      <c r="A18" s="24" t="inlineStr">
        <is>
          <t>Detalle − mayor</t>
        </is>
      </c>
      <c r="B18" s="25" t="inlineStr">
        <is>
          <t>'=IF(D5="","",B5-D5)</t>
        </is>
      </c>
      <c r="C18" s="24" t="inlineStr">
        <is>
          <t>Resta el saldo del mayor del detalle registrado: muestra si la nómina cuadra con la contabilidad; en blanco si falta el mayor.</t>
        </is>
      </c>
      <c r="D18" s="24" t="inlineStr">
        <is>
          <t>Fila 1: IF(95.300,00=""; ""; 95.300,00-95.300,00) → 0,00</t>
        </is>
      </c>
      <c r="E18" s="24" t="inlineStr">
        <is>
          <t>«Mayor» (esta hoja), «Detalle registrado» (esta hoja)</t>
        </is>
      </c>
      <c r="F18" s="24" t="inlineStr">
        <is>
          <t>—</t>
        </is>
      </c>
    </row>
    <row r="19">
      <c r="A19" s="24" t="inlineStr">
        <is>
          <t>Registrado − recalculado</t>
        </is>
      </c>
      <c r="B19" s="25" t="inlineStr">
        <is>
          <t>'=B5-C5</t>
        </is>
      </c>
      <c r="C19" s="24" t="inlineStr">
        <is>
          <t>Resta lo recalculado de lo registrado en el detalle del cliente: positiva significa que el cliente registró más de lo que corresponde.</t>
        </is>
      </c>
      <c r="D19" s="24" t="inlineStr">
        <is>
          <t>Fila 1: 95.300,00-95.500,00 → -200,00</t>
        </is>
      </c>
      <c r="E19" s="24" t="inlineStr">
        <is>
          <t>«Detalle registrado» (esta hoja), «Recalculado» (esta hoja)</t>
        </is>
      </c>
      <c r="F19" s="24" t="inlineStr">
        <is>
          <t>—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31" customWidth="1" min="2" max="2"/>
    <col width="33" customWidth="1" min="3" max="3"/>
    <col width="38" customWidth="1" min="4" max="4"/>
    <col width="57" customWidth="1" min="5" max="5"/>
  </cols>
  <sheetData>
    <row r="1">
      <c r="A1" s="3" t="inlineStr">
        <is>
          <t>Ajustes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 (+ aumenta el pasivo)</t>
        </is>
      </c>
      <c r="C4" s="17" t="inlineStr">
        <is>
          <t>Débito (si positivo)</t>
        </is>
      </c>
      <c r="D4" s="17" t="inlineStr">
        <is>
          <t>Crédito (si positivo)</t>
        </is>
      </c>
      <c r="E4" s="17" t="inlineStr">
        <is>
          <t>Base</t>
        </is>
      </c>
    </row>
    <row r="5">
      <c r="A5" s="18" t="inlineStr">
        <is>
          <t>Décimo tercero</t>
        </is>
      </c>
      <c r="B5" s="20">
        <f>-SUM('08_Decimo_tercero'!$H$5:$H$12)</f>
        <v/>
      </c>
      <c r="C5" s="18" t="inlineStr">
        <is>
          <t>Gasto décimo tercero</t>
        </is>
      </c>
      <c r="D5" s="18" t="inlineStr">
        <is>
          <t>Décimo tercero por pagar</t>
        </is>
      </c>
      <c r="E5" s="18" t="inlineStr">
        <is>
          <t>Recalculado − registrado (filas con registro informado)</t>
        </is>
      </c>
    </row>
    <row r="6">
      <c r="A6" s="19" t="inlineStr">
        <is>
          <t>Décimo cuarto</t>
        </is>
      </c>
      <c r="B6" s="21">
        <f>-SUM('09_Decimo_cuarto'!$I$5:$I$12)</f>
        <v/>
      </c>
      <c r="C6" s="19" t="inlineStr">
        <is>
          <t>Gasto décimo cuarto</t>
        </is>
      </c>
      <c r="D6" s="19" t="inlineStr">
        <is>
          <t>Décimo cuarto por pagar</t>
        </is>
      </c>
      <c r="E6" s="19" t="inlineStr">
        <is>
          <t>Recalculado − registrado (filas con registro informado)</t>
        </is>
      </c>
    </row>
    <row r="7">
      <c r="A7" s="18" t="inlineStr">
        <is>
          <t>Vacaciones</t>
        </is>
      </c>
      <c r="B7" s="20">
        <f>-SUM('10_Vacaciones'!$L$5:$L$12)</f>
        <v/>
      </c>
      <c r="C7" s="18" t="inlineStr">
        <is>
          <t>Gasto vacaciones</t>
        </is>
      </c>
      <c r="D7" s="18" t="inlineStr">
        <is>
          <t>Provisión de vacaciones</t>
        </is>
      </c>
      <c r="E7" s="18" t="inlineStr">
        <is>
          <t>Recalculado − registrado (filas con registro informado)</t>
        </is>
      </c>
    </row>
    <row r="8">
      <c r="A8" s="19" t="inlineStr">
        <is>
          <t>Fondo de reserva no pagado</t>
        </is>
      </c>
      <c r="B8" s="21">
        <f>-SUM('11_Fondo_reserva'!$G$5:$G$12)</f>
        <v/>
      </c>
      <c r="C8" s="19" t="inlineStr">
        <is>
          <t>Gasto fondo de reserva</t>
        </is>
      </c>
      <c r="D8" s="19" t="inlineStr">
        <is>
          <t>Fondo de reserva por pagar</t>
        </is>
      </c>
      <c r="E8" s="19" t="inlineStr">
        <is>
          <t>Recalculado − registrado (filas con registro informado)</t>
        </is>
      </c>
    </row>
    <row r="9">
      <c r="A9" s="18" t="inlineStr">
        <is>
          <t>Aporte patronal IESS</t>
        </is>
      </c>
      <c r="B9" s="20">
        <f>-SUM('07_IESS'!$K$5:$K$12)</f>
        <v/>
      </c>
      <c r="C9" s="18" t="inlineStr">
        <is>
          <t>Gasto aporte patronal</t>
        </is>
      </c>
      <c r="D9" s="18" t="inlineStr">
        <is>
          <t>IESS por pagar</t>
        </is>
      </c>
      <c r="E9" s="18" t="inlineStr">
        <is>
          <t>Recalculado − registrado (filas con registro informado)</t>
        </is>
      </c>
    </row>
    <row r="10">
      <c r="A10" s="19" t="inlineStr">
        <is>
          <t>Jubilación patronal y desahucio (informe − registrada)</t>
        </is>
      </c>
      <c r="B10" s="21">
        <f>-SUM('12_DBO_actuarial'!$M$5:$M$6)</f>
        <v/>
      </c>
      <c r="C10" s="19" t="inlineStr">
        <is>
          <t>Gasto / ORI (nuevas mediciones)</t>
        </is>
      </c>
      <c r="D10" s="19" t="inlineStr">
        <is>
          <t>Provisión por beneficios post-empleo</t>
        </is>
      </c>
      <c r="E10" s="19" t="inlineStr">
        <is>
          <t>Recalculado − registrado (filas con registro informado)</t>
        </is>
      </c>
    </row>
    <row r="11">
      <c r="A11" s="34" t="inlineStr">
        <is>
          <t>TOTAL</t>
        </is>
      </c>
      <c r="B11" s="36">
        <f>SUM(B5:B10)</f>
        <v/>
      </c>
      <c r="C11" s="34" t="inlineStr"/>
      <c r="D11" s="34" t="inlineStr"/>
      <c r="E11" s="34" t="inlineStr"/>
    </row>
    <row r="13">
      <c r="A13" s="22" t="inlineStr">
        <is>
          <t>ⓘ  Cómo se calcula esta hoja</t>
        </is>
      </c>
    </row>
    <row r="14">
      <c r="A14" s="23" t="inlineStr">
        <is>
          <t>Columna</t>
        </is>
      </c>
      <c r="B14" s="23" t="inlineStr">
        <is>
          <t>Fórmula (Excel)</t>
        </is>
      </c>
      <c r="C14" s="23" t="inlineStr">
        <is>
          <t>Cómo se calcula (sencillo)</t>
        </is>
      </c>
      <c r="D14" s="23" t="inlineStr">
        <is>
          <t>Ejemplo con números reales</t>
        </is>
      </c>
      <c r="E14" s="23" t="inlineStr">
        <is>
          <t>De dónde viene</t>
        </is>
      </c>
      <c r="F14" s="23" t="inlineStr">
        <is>
          <t>Norma</t>
        </is>
      </c>
    </row>
    <row r="15">
      <c r="A15" s="24" t="inlineStr">
        <is>
          <t>Importe (+ aumenta el pasivo)</t>
        </is>
      </c>
      <c r="B15" s="25" t="inlineStr">
        <is>
          <t>'=-SUM('08_Decimo_tercero'!$H$5:$H$12)</t>
        </is>
      </c>
      <c r="C15" s="24" t="inlineStr">
        <is>
          <t>Suma, con el signo cambiado, las diferencias registrado − recalculado de la hoja de cada concepto: décimo tercero (08), décimo cuarto (09), vacaciones (10), fondo de reserva (11), aporte patronal (07) y provisión actuarial frente al informe (12). Positivo significa que hay que aumentar el pasivo.</t>
        </is>
      </c>
      <c r="D15" s="24" t="inlineStr">
        <is>
          <t>Fila 1: -SUM([«Provisionado − recalculado» de «Décimo tercero», 8 filas]) → 37,49</t>
        </is>
      </c>
      <c r="E15" s="24" t="inlineStr">
        <is>
          <t>hoja «Décimo tercero»</t>
        </is>
      </c>
      <c r="F15" s="24" t="inlineStr">
        <is>
          <t>—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APORTE_IESS</t>
        </is>
      </c>
      <c r="B5" s="18" t="inlineStr">
        <is>
          <t>E02 (Bruno Salazar): aporte personal IESS registrado 900,00 ≠ recalculado 975,24 sobre la remuneración registrada (tasas del IESS: 9,45 % personal y 11,15 % patronal, sector privado).</t>
        </is>
      </c>
      <c r="C5" s="20" t="n">
        <v>-75.23999999999999</v>
      </c>
    </row>
    <row r="6">
      <c r="A6" s="19" t="inlineStr">
        <is>
          <t>DECIMO_CUARTO</t>
        </is>
      </c>
      <c r="B6" s="19" t="inlineStr">
        <is>
          <t>E02 (Bruno Salazar): décimo cuarto provisionado 195,83 ≠ recalculado 391,67 (CT art. 113; NIC 19.9, 11 · PYMES 28.3–28.6).</t>
        </is>
      </c>
      <c r="C6" s="21" t="n">
        <v>-195.84</v>
      </c>
    </row>
    <row r="7">
      <c r="A7" s="18" t="inlineStr">
        <is>
          <t>VACACIONES_NO_PROVISIONADAS</t>
        </is>
      </c>
      <c r="B7" s="18" t="inlineStr">
        <is>
          <t>E02 (Bruno Salazar): saldo de 5.00 días de vacaciones por 143,33 sin provisión (registrada en cero): ausencia remunerada acumulativa (NIC 19.13–16 · PYMES 28.6).</t>
        </is>
      </c>
      <c r="C7" s="20" t="n">
        <v>143.33</v>
      </c>
    </row>
    <row r="8">
      <c r="A8" s="19" t="inlineStr">
        <is>
          <t>EMPLEADO_SIN_ESTUDIO</t>
        </is>
      </c>
      <c r="B8" s="19" t="inlineStr">
        <is>
          <t>E03 (Carla Mora): activo al corte y fuera del estudio actuarial; la jubilación patronal y el desahucio quedan subestimados (NIC 19.67 · PYMES 28.18).</t>
        </is>
      </c>
      <c r="C8" s="21" t="n">
        <v>0</v>
      </c>
    </row>
    <row r="9">
      <c r="A9" s="18" t="inlineStr">
        <is>
          <t>FONDO_RESERVA_NO_PAGADO</t>
        </is>
      </c>
      <c r="B9" s="18" t="inlineStr">
        <is>
          <t>E04 (Diego Ruiz): fondo de reserva pagado 0,00 &lt; debido 499,80 (180 días con derecho desde el 13.º mes; CT art. 196).</t>
        </is>
      </c>
      <c r="C9" s="20" t="n">
        <v>499.8</v>
      </c>
    </row>
    <row r="10">
      <c r="A10" s="19" t="inlineStr">
        <is>
          <t>DECIMO_TERCERO</t>
        </is>
      </c>
      <c r="B10" s="19" t="inlineStr">
        <is>
          <t>E05 (Elena Vásquez): décimo tercero provisionado 150,00 ≠ recalculado 187,50 (CT art. 111; NIC 19.9, 11 · PYMES 28.3–28.6).</t>
        </is>
      </c>
      <c r="C10" s="21" t="n">
        <v>-37.5</v>
      </c>
    </row>
    <row r="11">
      <c r="A11" s="18" t="inlineStr">
        <is>
          <t>RECALCULO_NOMINA</t>
        </is>
      </c>
      <c r="B11" s="18" t="inlineStr">
        <is>
          <t>E06 (Fabián Torres): remuneración registrada 8.290,00 ≠ recalculada 8.490,00 (sueldo 700,00 × 360 días ÷ 30 + horas extras + comisiones).</t>
        </is>
      </c>
      <c r="C11" s="20" t="n">
        <v>-200</v>
      </c>
    </row>
    <row r="12">
      <c r="A12" s="19" t="inlineStr">
        <is>
          <t>HORAS_EXTRAS</t>
        </is>
      </c>
      <c r="B12" s="19" t="inlineStr">
        <is>
          <t>E06 (Fabián Torres): horas extras registradas 90,00 ≠ recalculadas 70,00 (valor hora = sueldo ÷ horas del mes, con recargo; CT art. 55).</t>
        </is>
      </c>
      <c r="C12" s="21" t="n">
        <v>20</v>
      </c>
    </row>
    <row r="13">
      <c r="A13" s="18" t="inlineStr">
        <is>
          <t>NETO_NOMINA</t>
        </is>
      </c>
      <c r="B13" s="18" t="inlineStr">
        <is>
          <t>E06 (Fabián Torres): neto pagado 7.400,00 ≠ neto recalculado 7.587,70.</t>
        </is>
      </c>
      <c r="C13" s="20" t="n">
        <v>-187.69</v>
      </c>
    </row>
    <row r="14">
      <c r="A14" s="19" t="inlineStr">
        <is>
          <t>PLANILLA_IESS</t>
        </is>
      </c>
      <c r="B14" s="19" t="inlineStr">
        <is>
          <t>E06 (Fabián Torres): base de las planillas IESS 8.490,00 ≠ remuneración de la nómina 8.290,00.</t>
        </is>
      </c>
      <c r="C14" s="21" t="n">
        <v>200</v>
      </c>
    </row>
    <row r="15">
      <c r="A15" s="18" t="inlineStr">
        <is>
          <t>VACACIONES_NO_PROVISIONADAS</t>
        </is>
      </c>
      <c r="B15" s="18" t="inlineStr">
        <is>
          <t>E07 (Gabriela León): saldo de 17.00 días de vacaciones por 266,33 sin provisión (no informada): ausencia remunerada acumulativa (NIC 19.13–16 · PYMES 28.6).</t>
        </is>
      </c>
      <c r="C15" s="20" t="n">
        <v>266.33</v>
      </c>
    </row>
    <row r="16">
      <c r="A16" s="19" t="inlineStr">
        <is>
          <t>FONDO_RESERVA_NO_PAGADO</t>
        </is>
      </c>
      <c r="B16" s="19" t="inlineStr">
        <is>
          <t>E07 (Gabriela León): fondo de reserva pagado 0,00 &lt; debido 60,03 (46 días con derecho desde el 13.º mes; CT art. 196).</t>
        </is>
      </c>
      <c r="C16" s="21" t="n">
        <v>60.03</v>
      </c>
    </row>
    <row r="17">
      <c r="A17" s="18" t="inlineStr">
        <is>
          <t>VACACIONES_DIFERENCIA</t>
        </is>
      </c>
      <c r="B17" s="18" t="inlineStr">
        <is>
          <t>E08 (Hugo Cedeño): vacaciones provisionadas 1.800,00 ≠ recalculadas 2.400,00 (48.00 días × 50,00).</t>
        </is>
      </c>
      <c r="C17" s="20" t="n">
        <v>-600</v>
      </c>
    </row>
    <row r="18">
      <c r="A18" s="19" t="inlineStr">
        <is>
          <t>PROVISION_ACTUARIAL</t>
        </is>
      </c>
      <c r="B18" s="19" t="inlineStr">
        <is>
          <t>Plan JUB (Jubilación patronal): provisión registrada 95.000,00 ≠ DBO del informe actuarial 102.000,00.</t>
        </is>
      </c>
      <c r="C18" s="21" t="n">
        <v>-7000</v>
      </c>
    </row>
    <row r="19">
      <c r="A19" s="18" t="inlineStr">
        <is>
          <t>NUEVAS_MEDICIONES_EN_RESULTADOS</t>
        </is>
      </c>
      <c r="B19" s="18" t="inlineStr">
        <is>
          <t>Plan JUB: las nuevas mediciones (3.200,00) se registraron en resultados; en NIIF completas van a otro resultado integral y no se reclasifican (NIC 19.120 c, 122, 127–130).</t>
        </is>
      </c>
      <c r="C19" s="20" t="n">
        <v>3200</v>
      </c>
    </row>
    <row r="20">
      <c r="A20" s="19" t="inlineStr">
        <is>
          <t>CENSO_ACTUARIAL</t>
        </is>
      </c>
      <c r="B20" s="19" t="inlineStr">
        <is>
          <t>Plan JUB: el estudio incluye 6 empleados y hay 7 activos al corte en la nómina.</t>
        </is>
      </c>
      <c r="C20" s="21" t="n">
        <v>0</v>
      </c>
    </row>
    <row r="21">
      <c r="A21" s="18" t="inlineStr">
        <is>
          <t>DBO_ROLLFORWARD</t>
        </is>
      </c>
      <c r="B21" s="18" t="inlineStr">
        <is>
          <t>Plan DES (Desahucio): el DBO final del informe 32.500,00 no cuadra con inicial + costo del servicio + intereses + servicios pasados + nuevas mediciones − pagos = 32.100,00; pida la conciliación al actuario.</t>
        </is>
      </c>
      <c r="C21" s="20" t="n">
        <v>400</v>
      </c>
    </row>
    <row r="22">
      <c r="A22" s="19" t="inlineStr">
        <is>
          <t>CENSO_ACTUARIAL</t>
        </is>
      </c>
      <c r="B22" s="19" t="inlineStr">
        <is>
          <t>Plan DES: el estudio incluye 6 empleados y hay 7 activos al corte en la nómina.</t>
        </is>
      </c>
      <c r="C22" s="21" t="n">
        <v>0</v>
      </c>
    </row>
    <row r="23">
      <c r="A23" s="18" t="inlineStr">
        <is>
          <t>SUPUESTOS_ACTUARIALES</t>
        </is>
      </c>
      <c r="B23" s="18" t="inlineStr">
        <is>
          <t>Plan DES: sin tasa de descuento informada; evalúe los supuestos (NIC 19.75–98, tasa 83 · PYMES 28.17 (tasa) y 28.18 (supuestos actuariales); NIA 540).</t>
        </is>
      </c>
      <c r="C23" s="20" t="n">
        <v>0</v>
      </c>
    </row>
    <row r="24">
      <c r="A24" s="19" t="inlineStr">
        <is>
          <t>D14_SBU_PAGO</t>
        </is>
      </c>
      <c r="B24" s="19" t="inlineStr">
        <is>
          <t>Décimo cuarto provisionado con el SBU del corte (470,00). La bonificación se paga con la remuneración básica unificada vigente a la fecha de pago (acumulada hasta el 15-mar en Costa e Insular y el 15-ago en Sierra y Amazónica del año siguiente; CT art. 113 fija esas fechas y la regla del SBU vigente viene del instructivo ministerial, no del art. 113). Si ese SBU ya se conoce al cierre, informe el parámetro «SBU vigente a la fecha de pago»: la provisión debe medirse por el importe sin descontar que se espera pagar (NIC 19.11 · PYMES 28.5).</t>
        </is>
      </c>
      <c r="C24" s="21" t="n">
        <v>0</v>
      </c>
    </row>
    <row r="25">
      <c r="A25" s="18" t="inlineStr">
        <is>
          <t>CONCILIACION_MAYOR</t>
        </is>
      </c>
      <c r="B25" s="18" t="inlineStr">
        <is>
          <t>Décimo tercero por pagar: detalle 537,58 ≠ mayor 600,00.</t>
        </is>
      </c>
      <c r="C25" s="20" t="n">
        <v>-62.42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Beneficios sociales y nómina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2026-09-24T04:20:13Z</dcterms:created>
  <dcterms:modified xmlns:dcterms="http://purl.org/dc/terms/" xmlns:xsi="http://www.w3.org/2001/XMLSchema-instance" xsi:type="dcterms:W3CDTF">2026-09-24T04:20:13Z</dcterms:modified>
</cp:coreProperties>
</file>