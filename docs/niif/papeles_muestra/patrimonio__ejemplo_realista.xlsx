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Movimiento" sheetId="7" state="visible" r:id="rId7"/>
    <sheet xmlns:r="http://schemas.openxmlformats.org/officeDocument/2006/relationships" name="04_Transacciones" sheetId="8" state="visible" r:id="rId8"/>
    <sheet xmlns:r="http://schemas.openxmlformats.org/officeDocument/2006/relationships" name="05_Reserva_legal" sheetId="9" state="visible" r:id="rId9"/>
    <sheet xmlns:r="http://schemas.openxmlformats.org/officeDocument/2006/relationships" name="06_Dividendos" sheetId="10" state="visible" r:id="rId10"/>
    <sheet xmlns:r="http://schemas.openxmlformats.org/officeDocument/2006/relationships" name="07_Capital" sheetId="11" state="visible" r:id="rId11"/>
    <sheet xmlns:r="http://schemas.openxmlformats.org/officeDocument/2006/relationships" name="08_Clasificacion" sheetId="12" state="visible" r:id="rId12"/>
    <sheet xmlns:r="http://schemas.openxmlformats.org/officeDocument/2006/relationships" name="09_Recompra" sheetId="13" state="visible" r:id="rId13"/>
    <sheet xmlns:r="http://schemas.openxmlformats.org/officeDocument/2006/relationships" name="10_Ajuste" sheetId="14" state="visible" r:id="rId14"/>
    <sheet xmlns:r="http://schemas.openxmlformats.org/officeDocument/2006/relationships" name="11_Asientos" sheetId="15" state="visible" r:id="rId15"/>
    <sheet xmlns:r="http://schemas.openxmlformats.org/officeDocument/2006/relationships" name="12_Problemas" sheetId="16" state="visible" r:id="rId16"/>
    <sheet xmlns:r="http://schemas.openxmlformats.org/officeDocument/2006/relationships" name="13_Conclusion" sheetId="17" state="visible" r:id="rId17"/>
    <sheet xmlns:r="http://schemas.openxmlformats.org/officeDocument/2006/relationships" name="14_Control_Revision" sheetId="18" state="visible" r:id="rId18"/>
  </sheets>
  <definedNames>
    <definedName name="_xlnm.Print_Area" localSheetId="0">'00_Inicio'!$A$1:$L$82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'00_Inicio'!$N$24:$N$46</f>
            </numRef>
          </cat>
          <val>
            <numRef>
              <f>'00_Inicio'!$O$24:$O$46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'00_Inicio'!O48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'00_Inicio'!$N$49:$N$56</f>
            </numRef>
          </cat>
          <val>
            <numRef>
              <f>'00_Inicio'!$O$49:$O$56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704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62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Movimiento'!A1" TargetMode="External" Id="rId6"/><Relationship Type="http://schemas.openxmlformats.org/officeDocument/2006/relationships/hyperlink" Target="#'04_Transacciones'!A1" TargetMode="External" Id="rId7"/><Relationship Type="http://schemas.openxmlformats.org/officeDocument/2006/relationships/hyperlink" Target="#'05_Reserva_legal'!A1" TargetMode="External" Id="rId8"/><Relationship Type="http://schemas.openxmlformats.org/officeDocument/2006/relationships/hyperlink" Target="#'06_Dividendos'!A1" TargetMode="External" Id="rId9"/><Relationship Type="http://schemas.openxmlformats.org/officeDocument/2006/relationships/hyperlink" Target="#'07_Capital'!A1" TargetMode="External" Id="rId10"/><Relationship Type="http://schemas.openxmlformats.org/officeDocument/2006/relationships/hyperlink" Target="#'08_Clasificacion'!A1" TargetMode="External" Id="rId11"/><Relationship Type="http://schemas.openxmlformats.org/officeDocument/2006/relationships/hyperlink" Target="#'09_Recompra'!A1" TargetMode="External" Id="rId12"/><Relationship Type="http://schemas.openxmlformats.org/officeDocument/2006/relationships/hyperlink" Target="#'10_Ajuste'!A1" TargetMode="External" Id="rId13"/><Relationship Type="http://schemas.openxmlformats.org/officeDocument/2006/relationships/hyperlink" Target="#'11_Asientos'!A1" TargetMode="External" Id="rId14"/><Relationship Type="http://schemas.openxmlformats.org/officeDocument/2006/relationships/hyperlink" Target="#'12_Problemas'!A1" TargetMode="External" Id="rId15"/><Relationship Type="http://schemas.openxmlformats.org/officeDocument/2006/relationships/hyperlink" Target="#'13_Conclusion'!A1" TargetMode="External" Id="rId16"/><Relationship Type="http://schemas.openxmlformats.org/officeDocument/2006/relationships/hyperlink" Target="#'14_Control_Revision'!A1" TargetMode="External" Id="rId17"/><Relationship Type="http://schemas.openxmlformats.org/officeDocument/2006/relationships/drawing" Target="/xl/drawings/drawing1.xml" Id="rId18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Movimiento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Transacciones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Movimiento'!A1" TargetMode="External" Id="rId2"/><Relationship Type="http://schemas.openxmlformats.org/officeDocument/2006/relationships/hyperlink" Target="#'05_Reserva_legal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Transacciones'!A1" TargetMode="External" Id="rId2"/><Relationship Type="http://schemas.openxmlformats.org/officeDocument/2006/relationships/hyperlink" Target="#'06_Dividendos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Reserva_legal'!A1" TargetMode="External" Id="rId2"/><Relationship Type="http://schemas.openxmlformats.org/officeDocument/2006/relationships/hyperlink" Target="#'07_Capital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Dividendos'!A1" TargetMode="External" Id="rId2"/><Relationship Type="http://schemas.openxmlformats.org/officeDocument/2006/relationships/hyperlink" Target="#'08_Clasificacion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apital'!A1" TargetMode="External" Id="rId2"/><Relationship Type="http://schemas.openxmlformats.org/officeDocument/2006/relationships/hyperlink" Target="#'09_Recompra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Clasificacion'!A1" TargetMode="External" Id="rId2"/><Relationship Type="http://schemas.openxmlformats.org/officeDocument/2006/relationships/hyperlink" Target="#'10_Ajuste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Recompra'!A1" TargetMode="External" Id="rId2"/><Relationship Type="http://schemas.openxmlformats.org/officeDocument/2006/relationships/hyperlink" Target="#'11_Asient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Ajuste'!A1" TargetMode="External" Id="rId2"/><Relationship Type="http://schemas.openxmlformats.org/officeDocument/2006/relationships/hyperlink" Target="#'12_Problema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Asientos'!A1" TargetMode="External" Id="rId2"/><Relationship Type="http://schemas.openxmlformats.org/officeDocument/2006/relationships/hyperlink" Target="#'13_Conclus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Problemas'!A1" TargetMode="External" Id="rId2"/><Relationship Type="http://schemas.openxmlformats.org/officeDocument/2006/relationships/hyperlink" Target="#'14_Control_Revi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Patrimonio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neto propuesto al patrimonio</t>
        </is>
      </c>
      <c r="C11" s="7" t="inlineStr">
        <is>
          <t>Problemas encontrados</t>
        </is>
      </c>
    </row>
    <row r="12">
      <c r="B12" s="8" t="n">
        <v>-25000</v>
      </c>
      <c r="C12" s="9" t="n">
        <v>13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Movimiento patrimonial</t>
        </is>
      </c>
      <c r="D17" s="10" t="inlineStr">
        <is>
          <t>Actas y transacciones</t>
        </is>
      </c>
      <c r="E17" s="10" t="inlineStr">
        <is>
          <t>Reserva legal</t>
        </is>
      </c>
    </row>
    <row r="18" ht="32" customHeight="1">
      <c r="B18" s="10" t="inlineStr">
        <is>
          <t>Dividendos</t>
        </is>
      </c>
      <c r="C18" s="10" t="inlineStr">
        <is>
          <t>Capital y aumentos</t>
        </is>
      </c>
      <c r="D18" s="10" t="inlineStr">
        <is>
          <t>Clasificación deuda / patrimonio</t>
        </is>
      </c>
      <c r="E18" s="10" t="inlineStr">
        <is>
          <t>Recompra de acciones propias</t>
        </is>
      </c>
    </row>
    <row r="19" ht="32" customHeight="1">
      <c r="B19" s="10" t="inlineStr">
        <is>
          <t>Patrimonio auditado y ajustes</t>
        </is>
      </c>
      <c r="C19" s="10" t="inlineStr">
        <is>
          <t>Asientos propuestos</t>
        </is>
      </c>
      <c r="D19" s="10" t="inlineStr">
        <is>
          <t>Problemas encontrados</t>
        </is>
      </c>
      <c r="E19" s="10" t="inlineStr">
        <is>
          <t>Conclusión</t>
        </is>
      </c>
    </row>
    <row r="20" ht="32" customHeight="1">
      <c r="B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1">
      <c r="N41" s="12">
        <f>'01_Resumen'!A22</f>
        <v/>
      </c>
      <c r="O41" s="13">
        <f>'01_Resumen'!B22</f>
        <v/>
      </c>
    </row>
    <row r="42">
      <c r="N42" s="12">
        <f>'01_Resumen'!A23</f>
        <v/>
      </c>
      <c r="O42" s="13">
        <f>'01_Resumen'!B23</f>
        <v/>
      </c>
    </row>
    <row r="43">
      <c r="N43" s="12">
        <f>'01_Resumen'!A24</f>
        <v/>
      </c>
      <c r="O43" s="13">
        <f>'01_Resumen'!B24</f>
        <v/>
      </c>
    </row>
    <row r="44">
      <c r="N44" s="12">
        <f>'01_Resumen'!A25</f>
        <v/>
      </c>
      <c r="O44" s="13">
        <f>'01_Resumen'!B25</f>
        <v/>
      </c>
    </row>
    <row r="45">
      <c r="N45" s="12">
        <f>'01_Resumen'!A26</f>
        <v/>
      </c>
      <c r="O45" s="13">
        <f>'01_Resumen'!B26</f>
        <v/>
      </c>
    </row>
    <row r="46">
      <c r="N46" s="12">
        <f>'01_Resumen'!A27</f>
        <v/>
      </c>
      <c r="O46" s="13">
        <f>'01_Resumen'!B27</f>
        <v/>
      </c>
    </row>
    <row r="48">
      <c r="N48" s="12" t="inlineStr">
        <is>
          <t>Hallazgos de mayor impacto</t>
        </is>
      </c>
      <c r="O48" s="12" t="inlineStr">
        <is>
          <t>Importe (USD)</t>
        </is>
      </c>
    </row>
    <row r="49">
      <c r="N49" s="12" t="inlineStr">
        <is>
          <t>Dividendo posterior como pasivo</t>
        </is>
      </c>
      <c r="O49" s="13">
        <f>SUMIFS('12_Problemas'!$C$5:$C$17,'12_Problemas'!$A$5:$A$17,"DIVIDENDO_POSTERIOR_COMO_PASIVO",'12_Problemas'!$C$5:$C$17,"&gt;0")-SUMIFS('12_Problemas'!$C$5:$C$17,'12_Problemas'!$A$5:$A$17,"DIVIDENDO_POSTERIOR_COMO_PASIVO",'12_Problemas'!$C$5:$C$17,"&lt;0")</f>
        <v/>
      </c>
    </row>
    <row r="50">
      <c r="N50" s="12" t="inlineStr">
        <is>
          <t>Dividendo posterior revelar</t>
        </is>
      </c>
      <c r="O50" s="13">
        <f>SUMIFS('12_Problemas'!$C$5:$C$17,'12_Problemas'!$A$5:$A$17,"DIVIDENDO_POSTERIOR_REVELAR",'12_Problemas'!$C$5:$C$17,"&gt;0")-SUMIFS('12_Problemas'!$C$5:$C$17,'12_Problemas'!$A$5:$A$17,"DIVIDENDO_POSTERIOR_REVELAR",'12_Problemas'!$C$5:$C$17,"&lt;0")</f>
        <v/>
      </c>
    </row>
    <row r="51">
      <c r="N51" s="12" t="inlineStr">
        <is>
          <t>Instrumento mal clasificado</t>
        </is>
      </c>
      <c r="O51" s="13">
        <f>SUMIFS('12_Problemas'!$C$5:$C$17,'12_Problemas'!$A$5:$A$17,"INSTRUMENTO_MAL_CLASIFICADO",'12_Problemas'!$C$5:$C$17,"&gt;0")-SUMIFS('12_Problemas'!$C$5:$C$17,'12_Problemas'!$A$5:$A$17,"INSTRUMENTO_MAL_CLASIFICADO",'12_Problemas'!$C$5:$C$17,"&lt;0")</f>
        <v/>
      </c>
    </row>
    <row r="52">
      <c r="N52" s="12" t="inlineStr">
        <is>
          <t>Capital no coincide escritura</t>
        </is>
      </c>
      <c r="O52" s="13">
        <f>SUMIFS('12_Problemas'!$C$5:$C$17,'12_Problemas'!$A$5:$A$17,"CAPITAL_NO_COINCIDE_ESCRITURA",'12_Problemas'!$C$5:$C$17,"&gt;0")-SUMIFS('12_Problemas'!$C$5:$C$17,'12_Problemas'!$A$5:$A$17,"CAPITAL_NO_COINCIDE_ESCRITURA",'12_Problemas'!$C$5:$C$17,"&lt;0")</f>
        <v/>
      </c>
    </row>
    <row r="53">
      <c r="N53" s="12" t="inlineStr">
        <is>
          <t>Aumento no inscrito</t>
        </is>
      </c>
      <c r="O53" s="13">
        <f>SUMIFS('12_Problemas'!$C$5:$C$17,'12_Problemas'!$A$5:$A$17,"AUMENTO_NO_INSCRITO",'12_Problemas'!$C$5:$C$17,"&gt;0")-SUMIFS('12_Problemas'!$C$5:$C$17,'12_Problemas'!$A$5:$A$17,"AUMENTO_NO_INSCRITO",'12_Problemas'!$C$5:$C$17,"&lt;0")</f>
        <v/>
      </c>
    </row>
    <row r="54">
      <c r="N54" s="12" t="inlineStr">
        <is>
          <t>Sin acta</t>
        </is>
      </c>
      <c r="O54" s="13">
        <f>SUMIFS('12_Problemas'!$C$5:$C$17,'12_Problemas'!$A$5:$A$17,"SIN_ACTA",'12_Problemas'!$C$5:$C$17,"&gt;0")-SUMIFS('12_Problemas'!$C$5:$C$17,'12_Problemas'!$A$5:$A$17,"SIN_ACTA",'12_Problemas'!$C$5:$C$17,"&lt;0")</f>
        <v/>
      </c>
    </row>
    <row r="55">
      <c r="N55" s="12" t="inlineStr">
        <is>
          <t>Aporte es pasivo</t>
        </is>
      </c>
      <c r="O55" s="13">
        <f>SUMIFS('12_Problemas'!$C$5:$C$17,'12_Problemas'!$A$5:$A$17,"APORTE_ES_PASIVO",'12_Problemas'!$C$5:$C$17,"&gt;0")-SUMIFS('12_Problemas'!$C$5:$C$17,'12_Problemas'!$A$5:$A$17,"APORTE_ES_PASIVO",'12_Problemas'!$C$5:$C$17,"&lt;0")</f>
        <v/>
      </c>
    </row>
    <row r="56">
      <c r="N56" s="12" t="inlineStr">
        <is>
          <t>Otros (6 tipos)</t>
        </is>
      </c>
      <c r="O56" s="13">
        <f>SUMIF('12_Problemas'!$C$5:$C$17,"&gt;0")-SUMIF('12_Problemas'!$C$5:$C$17,"&lt;0")-((SUMIFS('12_Problemas'!$C$5:$C$17,'12_Problemas'!$A$5:$A$17,"DIVIDENDO_POSTERIOR_COMO_PASIVO",'12_Problemas'!$C$5:$C$17,"&gt;0")-SUMIFS('12_Problemas'!$C$5:$C$17,'12_Problemas'!$A$5:$A$17,"DIVIDENDO_POSTERIOR_COMO_PASIVO",'12_Problemas'!$C$5:$C$17,"&lt;0"))+(SUMIFS('12_Problemas'!$C$5:$C$17,'12_Problemas'!$A$5:$A$17,"DIVIDENDO_POSTERIOR_REVELAR",'12_Problemas'!$C$5:$C$17,"&gt;0")-SUMIFS('12_Problemas'!$C$5:$C$17,'12_Problemas'!$A$5:$A$17,"DIVIDENDO_POSTERIOR_REVELAR",'12_Problemas'!$C$5:$C$17,"&lt;0"))+(SUMIFS('12_Problemas'!$C$5:$C$17,'12_Problemas'!$A$5:$A$17,"INSTRUMENTO_MAL_CLASIFICADO",'12_Problemas'!$C$5:$C$17,"&gt;0")-SUMIFS('12_Problemas'!$C$5:$C$17,'12_Problemas'!$A$5:$A$17,"INSTRUMENTO_MAL_CLASIFICADO",'12_Problemas'!$C$5:$C$17,"&lt;0"))+(SUMIFS('12_Problemas'!$C$5:$C$17,'12_Problemas'!$A$5:$A$17,"CAPITAL_NO_COINCIDE_ESCRITURA",'12_Problemas'!$C$5:$C$17,"&gt;0")-SUMIFS('12_Problemas'!$C$5:$C$17,'12_Problemas'!$A$5:$A$17,"CAPITAL_NO_COINCIDE_ESCRITURA",'12_Problemas'!$C$5:$C$17,"&lt;0"))+(SUMIFS('12_Problemas'!$C$5:$C$17,'12_Problemas'!$A$5:$A$17,"AUMENTO_NO_INSCRITO",'12_Problemas'!$C$5:$C$17,"&gt;0")-SUMIFS('12_Problemas'!$C$5:$C$17,'12_Problemas'!$A$5:$A$17,"AUMENTO_NO_INSCRITO",'12_Problemas'!$C$5:$C$17,"&lt;0"))+(SUMIFS('12_Problemas'!$C$5:$C$17,'12_Problemas'!$A$5:$A$17,"SIN_ACTA",'12_Problemas'!$C$5:$C$17,"&gt;0")-SUMIFS('12_Problemas'!$C$5:$C$17,'12_Problemas'!$A$5:$A$17,"SIN_ACTA",'12_Problemas'!$C$5:$C$17,"&lt;0"))+(SUMIFS('12_Problemas'!$C$5:$C$17,'12_Problemas'!$A$5:$A$17,"APORTE_ES_PASIVO",'12_Problemas'!$C$5:$C$17,"&gt;0")-SUMIFS('12_Problemas'!$C$5:$C$17,'12_Problemas'!$A$5:$A$17,"APORTE_ES_PASIVO",'12_Problemas'!$C$5:$C$17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Patrimonio</t>
        </is>
      </c>
    </row>
    <row r="12">
      <c r="A12" s="19" t="inlineStr">
        <is>
          <t>Rubro</t>
        </is>
      </c>
      <c r="B12" s="19" t="inlineStr">
        <is>
          <t>Patrimonio</t>
        </is>
      </c>
    </row>
    <row r="13">
      <c r="A13" s="18" t="inlineStr">
        <is>
          <t>Motor</t>
        </is>
      </c>
      <c r="B13" s="18" t="inlineStr">
        <is>
          <t>patrimonio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9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PAT-01</t>
        </is>
      </c>
      <c r="B5" s="18" t="inlineStr">
        <is>
          <t>Movimiento patrimonial</t>
        </is>
      </c>
      <c r="C5" s="18" t="inlineStr">
        <is>
          <t>Exactitud / Integridad</t>
        </is>
      </c>
      <c r="D5" s="18" t="inlineStr">
        <is>
          <t>Recalcular inicial + aumentos − disminuciones por cuenta y conciliar con el cliente y el mayor</t>
        </is>
      </c>
      <c r="E5" s="18" t="inlineStr">
        <is>
          <t>Mayor, estado de cambios en el patrimonio</t>
        </is>
      </c>
      <c r="F5" s="18" t="inlineStr">
        <is>
          <t>Diferencia cero o explicada</t>
        </is>
      </c>
      <c r="G5" s="18" t="inlineStr">
        <is>
          <t>NIC 1 106–110 · PYMES Sección 6 · NIA 500</t>
        </is>
      </c>
    </row>
    <row r="6">
      <c r="A6" s="19" t="inlineStr">
        <is>
          <t>PAT-02</t>
        </is>
      </c>
      <c r="B6" s="19" t="inlineStr">
        <is>
          <t>Capital y aportes</t>
        </is>
      </c>
      <c r="C6" s="19" t="inlineStr">
        <is>
          <t>Existencia / Clasificación</t>
        </is>
      </c>
      <c r="D6" s="19" t="inlineStr">
        <is>
          <t>Cotejar el capital con la escritura y Supercias, la inscripción de los aumentos y las condiciones de devolución de los aportes</t>
        </is>
      </c>
      <c r="E6" s="19" t="inlineStr">
        <is>
          <t>Escrituras, razón de inscripción, portal Supercias, actas</t>
        </is>
      </c>
      <c r="F6" s="19" t="inlineStr">
        <is>
          <t>Capital igual a lo inscrito; aportes sin obligación de devolución</t>
        </is>
      </c>
      <c r="G6" s="19" t="inlineStr">
        <is>
          <t>NIC 32 16 · PYMES 22.3–22.10 · Ley de Compañías</t>
        </is>
      </c>
    </row>
    <row r="7">
      <c r="A7" s="18" t="inlineStr">
        <is>
          <t>PAT-03</t>
        </is>
      </c>
      <c r="B7" s="18" t="inlineStr">
        <is>
          <t>Reserva legal y otras reservas</t>
        </is>
      </c>
      <c r="C7" s="18" t="inlineStr">
        <is>
          <t>Exactitud / Cumplimiento</t>
        </is>
      </c>
      <c r="D7" s="18" t="inlineStr">
        <is>
          <t>Confirmar la forma societaria en la escritura de constitución y en el certificado de existencia de la Superintendencia de Compañías y recalcular la reserva legal requerida con el % y el nivel mínimo de esa forma; en la sociedad por acciones simplificada no hay reserva legal obligatoria: revisar si el estatuto o la asamblea acordaron una reserva estatutaria o facultativa</t>
        </is>
      </c>
      <c r="E7" s="18" t="inlineStr">
        <is>
          <t>Escritura de constitución, certificado de existencia, estatuto social, actas de junta o asamblea, mayor</t>
        </is>
      </c>
      <c r="F7" s="18" t="inlineStr">
        <is>
          <t>Apropiado igual a lo requerido por la forma societaria; en la SAS, lo que acuerde el estatuto o la asamblea</t>
        </is>
      </c>
      <c r="G7" s="18" t="inlineStr">
        <is>
          <t>Ley de Compañías arts. 297 (anónima) y 109 (limitada); artículo innumerado «Constitución opcional de reservas» (SAS)</t>
        </is>
      </c>
    </row>
    <row r="8">
      <c r="A8" s="19" t="inlineStr">
        <is>
          <t>PAT-08</t>
        </is>
      </c>
      <c r="B8" s="19" t="inlineStr">
        <is>
          <t>Resultados acumulados por adopción por primera vez de las NIIF</t>
        </is>
      </c>
      <c r="C8" s="19" t="inlineStr">
        <is>
          <t>Presentación / Cumplimiento</t>
        </is>
      </c>
      <c r="D8" s="19" t="inlineStr">
        <is>
          <t>Identificar en el mayor la subcuenta de resultados acumulados por adopción por primera vez de las NIIF, cotejarla con la conciliación del patrimonio de la transición y analizar el origen de cada ajuste para concluir si es repartible según la regulación societaria aplicable</t>
        </is>
      </c>
      <c r="E8" s="19" t="inlineStr">
        <is>
          <t>Estado de situación financiera de apertura y su conciliación, mayor de la subcuenta, actas de junta o asamblea</t>
        </is>
      </c>
      <c r="F8" s="19" t="inlineStr">
        <is>
          <t>Presentados por separado y excluidos de la utilidad disponible mientras no se sustente su disponibilidad</t>
        </is>
      </c>
      <c r="G8" s="19" t="inlineStr">
        <is>
          <t>NIIF 1 11 y 24 a) · PYMES 35.8 y 35.13 b) · Ley de Compañías arts. 208 y 297</t>
        </is>
      </c>
    </row>
    <row r="9">
      <c r="A9" s="18" t="inlineStr">
        <is>
          <t>PAT-04</t>
        </is>
      </c>
      <c r="B9" s="18" t="inlineStr">
        <is>
          <t>Dividendos</t>
        </is>
      </c>
      <c r="C9" s="18" t="inlineStr">
        <is>
          <t>Ocurrencia / Corte</t>
        </is>
      </c>
      <c r="D9" s="18" t="inlineStr">
        <is>
          <t>Comparar dividendos declarados con las utilidades disponibles (incluidas las reservas de libre disposición) y con el mínimo legal del art. 297; revisar actas posteriores al cierre</t>
        </is>
      </c>
      <c r="E9" s="18" t="inlineStr">
        <is>
          <t>Actas, pagos, estados de cuenta</t>
        </is>
      </c>
      <c r="F9" s="18" t="inlineStr">
        <is>
          <t>Mínimo legal ≤ declarados ≤ disponibles; posteriores revelados, no registrados</t>
        </is>
      </c>
      <c r="G9" s="18" t="inlineStr">
        <is>
          <t>NIC 32 35 · NIC 10 12–13 · NIC 1 137 · CINIIF 17 · PYMES 22.17, 32.8 · Ley de Compañías arts. 297 y 298</t>
        </is>
      </c>
    </row>
    <row r="10">
      <c r="A10" s="19" t="inlineStr">
        <is>
          <t>PAT-05</t>
        </is>
      </c>
      <c r="B10" s="19" t="inlineStr">
        <is>
          <t>Resultados acumulados</t>
        </is>
      </c>
      <c r="C10" s="19" t="inlineStr">
        <is>
          <t>Exactitud</t>
        </is>
      </c>
      <c r="D10" s="19" t="inlineStr">
        <is>
          <t>Verificar el traspaso del resultado del ejercicio anterior, la apropiación de reservas y los dividendos contra resultados acumulados</t>
        </is>
      </c>
      <c r="E10" s="19" t="inlineStr">
        <is>
          <t>Mayor y actas</t>
        </is>
      </c>
      <c r="F10" s="19" t="inlineStr">
        <is>
          <t>Movimiento conciliado</t>
        </is>
      </c>
      <c r="G10" s="19" t="inlineStr">
        <is>
          <t>NIC 1 106 d) · PYMES 6.3</t>
        </is>
      </c>
    </row>
    <row r="11">
      <c r="A11" s="18" t="inlineStr">
        <is>
          <t>PAT-06</t>
        </is>
      </c>
      <c r="B11" s="18" t="inlineStr">
        <is>
          <t>Recompra de acciones</t>
        </is>
      </c>
      <c r="C11" s="18" t="inlineStr">
        <is>
          <t>Presentación</t>
        </is>
      </c>
      <c r="D11" s="18" t="inlineStr">
        <is>
          <t>Revisar que las recompras se deduzcan del patrimonio y que no afecten resultados</t>
        </is>
      </c>
      <c r="E11" s="18" t="inlineStr">
        <is>
          <t>Actas, contratos de compra, asientos</t>
        </is>
      </c>
      <c r="F11" s="18" t="inlineStr">
        <is>
          <t>Sin pérdida ni ganancia en resultados</t>
        </is>
      </c>
      <c r="G11" s="18" t="inlineStr">
        <is>
          <t>NIC 32 33 · PYMES 22.16</t>
        </is>
      </c>
    </row>
    <row r="12">
      <c r="A12" s="19" t="inlineStr">
        <is>
          <t>PAT-07</t>
        </is>
      </c>
      <c r="B12" s="19" t="inlineStr">
        <is>
          <t>Clasificación deuda / patrimonio</t>
        </is>
      </c>
      <c r="C12" s="19" t="inlineStr">
        <is>
          <t>Clasificación</t>
        </is>
      </c>
      <c r="D12" s="19" t="inlineStr">
        <is>
          <t>Analizar los términos de acciones preferentes, aportes e instrumentos con opción de venta</t>
        </is>
      </c>
      <c r="E12" s="19" t="inlineStr">
        <is>
          <t>Estatutos, contratos, actas</t>
        </is>
      </c>
      <c r="F12" s="19" t="inlineStr">
        <is>
          <t>Pasivo si hay obligación contractual de entregar efectivo</t>
        </is>
      </c>
      <c r="G12" s="19" t="inlineStr">
        <is>
          <t>NIC 32 11, 15–16D, 18 · PYMES 22.3–22.6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5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500</t>
        </is>
      </c>
      <c r="B5" s="18" t="inlineStr">
        <is>
          <t>Exactitud e integridad del movimiento patrimonial contra el mayor.</t>
        </is>
      </c>
      <c r="C5" s="18" t="inlineStr">
        <is>
          <t>párr. 9</t>
        </is>
      </c>
      <c r="D5" s="18" t="inlineStr"/>
      <c r="E5" s="18" t="inlineStr"/>
    </row>
    <row r="6">
      <c r="A6" s="19" t="inlineStr">
        <is>
          <t>NIA · NIA 330</t>
        </is>
      </c>
      <c r="B6" s="19" t="inlineStr">
        <is>
          <t>Conciliar el estado de cambios en el patrimonio con los registros.</t>
        </is>
      </c>
      <c r="C6" s="19" t="inlineStr">
        <is>
          <t>párr. 20</t>
        </is>
      </c>
      <c r="D6" s="19" t="inlineStr"/>
      <c r="E6" s="19" t="inlineStr"/>
    </row>
    <row r="7">
      <c r="A7" s="18" t="inlineStr">
        <is>
          <t>NIA · NIA 250 (Revisada)</t>
        </is>
      </c>
      <c r="B7" s="18" t="inlineStr">
        <is>
          <t>Cumplimiento de la Ley de Compañías (reserva legal, dividendos, inscripción de aumentos).</t>
        </is>
      </c>
      <c r="C7" s="18" t="inlineStr">
        <is>
          <t>párr. 14</t>
        </is>
      </c>
      <c r="D7" s="18" t="inlineStr"/>
      <c r="E7" s="18" t="inlineStr"/>
    </row>
    <row r="8">
      <c r="A8" s="19" t="inlineStr">
        <is>
          <t>NIA · NIA 560</t>
        </is>
      </c>
      <c r="B8" s="19" t="inlineStr">
        <is>
          <t>Hechos posteriores: dividendos declarados después del cierre.</t>
        </is>
      </c>
      <c r="C8" s="19" t="inlineStr">
        <is>
          <t>párr. 6–9</t>
        </is>
      </c>
      <c r="D8" s="19" t="inlineStr"/>
      <c r="E8" s="19" t="inlineStr"/>
    </row>
    <row r="9">
      <c r="A9" s="18" t="inlineStr">
        <is>
          <t>NIA · NIA 580</t>
        </is>
      </c>
      <c r="B9" s="18" t="inlineStr">
        <is>
          <t>Manifestaciones escritas sobre actas de junta entregadas en su totalidad.</t>
        </is>
      </c>
      <c r="C9" s="18" t="inlineStr">
        <is>
          <t>párr. 11 y 13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Patrimonio según cliente</t>
        </is>
      </c>
      <c r="B5" s="20">
        <f>'10_Ajuste'!B5</f>
        <v/>
      </c>
    </row>
    <row r="6">
      <c r="A6" s="19" t="inlineStr">
        <is>
          <t>Patrimonio auditado</t>
        </is>
      </c>
      <c r="B6" s="21">
        <f>'10_Ajuste'!B9</f>
        <v/>
      </c>
    </row>
    <row r="7">
      <c r="A7" s="18" t="inlineStr">
        <is>
          <t>Ajuste neto propuesto al patrimonio</t>
        </is>
      </c>
      <c r="B7" s="20">
        <f>'10_Ajuste'!B10</f>
        <v/>
      </c>
    </row>
    <row r="8">
      <c r="A8" s="19" t="inlineStr">
        <is>
          <t>Aportes con obligación de devolución (a pasivo)</t>
        </is>
      </c>
      <c r="B8" s="21">
        <f>'10_Ajuste'!B6</f>
        <v/>
      </c>
    </row>
    <row r="9">
      <c r="A9" s="18" t="inlineStr">
        <is>
          <t>Instrumentos con obligación contractual (a pasivo)</t>
        </is>
      </c>
      <c r="B9" s="20">
        <f>'10_Ajuste'!B7</f>
        <v/>
      </c>
    </row>
    <row r="10">
      <c r="A10" s="19" t="inlineStr">
        <is>
          <t>Dividendos posteriores registrados como pasivo (revertir)</t>
        </is>
      </c>
      <c r="B10" s="21">
        <f>'10_Ajuste'!B8</f>
        <v/>
      </c>
    </row>
    <row r="11">
      <c r="A11" s="18" t="inlineStr">
        <is>
          <t>Diferencias del movimiento recalculado (absolutas)</t>
        </is>
      </c>
      <c r="B11" s="20">
        <f>'10_Ajuste'!B11</f>
        <v/>
      </c>
    </row>
    <row r="12">
      <c r="A12" s="19" t="inlineStr">
        <is>
          <t>Patrimonio según el mayor</t>
        </is>
      </c>
      <c r="B12" s="21">
        <f>'10_Ajuste'!B12</f>
        <v/>
      </c>
    </row>
    <row r="13">
      <c r="A13" s="18" t="inlineStr">
        <is>
          <t>Diferencia cliente − mayor</t>
        </is>
      </c>
      <c r="B13" s="20">
        <f>'10_Ajuste'!B13</f>
        <v/>
      </c>
    </row>
    <row r="14">
      <c r="A14" s="19" t="inlineStr">
        <is>
          <t>Reserva legal requerida</t>
        </is>
      </c>
      <c r="B14" s="21">
        <f>'10_Ajuste'!B14</f>
        <v/>
      </c>
    </row>
    <row r="15">
      <c r="A15" s="18" t="inlineStr">
        <is>
          <t>Reserva legal apropiada</t>
        </is>
      </c>
      <c r="B15" s="20">
        <f>'10_Ajuste'!B15</f>
        <v/>
      </c>
    </row>
    <row r="16">
      <c r="A16" s="19" t="inlineStr">
        <is>
          <t>Reserva legal por apropiar (− exceso)</t>
        </is>
      </c>
      <c r="B16" s="21">
        <f>'10_Ajuste'!B16</f>
        <v/>
      </c>
    </row>
    <row r="17">
      <c r="A17" s="18" t="inlineStr">
        <is>
          <t>Resultados acumulados por adopción por primera vez de NIIF (no distribuibles)</t>
        </is>
      </c>
      <c r="B17" s="20">
        <f>'10_Ajuste'!B17</f>
        <v/>
      </c>
    </row>
    <row r="18">
      <c r="A18" s="19" t="inlineStr">
        <is>
          <t>Dividendos declarados en el período</t>
        </is>
      </c>
      <c r="B18" s="21">
        <f>'10_Ajuste'!B19</f>
        <v/>
      </c>
    </row>
    <row r="19">
      <c r="A19" s="18" t="inlineStr">
        <is>
          <t>Utilidades disponibles para dividendos</t>
        </is>
      </c>
      <c r="B19" s="20">
        <f>'10_Ajuste'!B20</f>
        <v/>
      </c>
    </row>
    <row r="20">
      <c r="A20" s="19" t="inlineStr">
        <is>
          <t>Dividendos en exceso de utilidades disponibles</t>
        </is>
      </c>
      <c r="B20" s="21">
        <f>'10_Ajuste'!B21</f>
        <v/>
      </c>
    </row>
    <row r="21">
      <c r="A21" s="18" t="inlineStr">
        <is>
          <t>Aumentos de capital no inscritos al corte</t>
        </is>
      </c>
      <c r="B21" s="20">
        <f>'10_Ajuste'!B24</f>
        <v/>
      </c>
    </row>
    <row r="22">
      <c r="A22" s="19" t="inlineStr">
        <is>
          <t>Capital según cliente</t>
        </is>
      </c>
      <c r="B22" s="21">
        <f>'10_Ajuste'!B25</f>
        <v/>
      </c>
    </row>
    <row r="23">
      <c r="A23" s="18" t="inlineStr">
        <is>
          <t>Dividendo mínimo legal (Ley de Compañías art. 297)</t>
        </is>
      </c>
      <c r="B23" s="20">
        <f>'10_Ajuste'!B22</f>
        <v/>
      </c>
    </row>
    <row r="24">
      <c r="A24" s="19" t="inlineStr">
        <is>
          <t>Dividendos por debajo del mínimo legal</t>
        </is>
      </c>
      <c r="B24" s="21">
        <f>'10_Ajuste'!B23</f>
        <v/>
      </c>
    </row>
    <row r="25">
      <c r="A25" s="18" t="inlineStr">
        <is>
          <t>Capital según escritura / Supercias</t>
        </is>
      </c>
      <c r="B25" s="20">
        <f>'10_Ajuste'!B26</f>
        <v/>
      </c>
    </row>
    <row r="26">
      <c r="A26" s="19" t="inlineStr">
        <is>
          <t>Diferencia capital cliente − escritura</t>
        </is>
      </c>
      <c r="B26" s="21">
        <f>'10_Ajuste'!B27</f>
        <v/>
      </c>
    </row>
    <row r="27">
      <c r="A27" s="18" t="inlineStr">
        <is>
          <t>Resultado reconocido por recompras (a reclasificar al patrimonio)</t>
        </is>
      </c>
      <c r="B27" s="20">
        <f>'10_Ajuste'!B28</f>
        <v/>
      </c>
    </row>
    <row r="29">
      <c r="A29" s="22" t="inlineStr">
        <is>
          <t>ⓘ  Cómo se calcula esta hoja</t>
        </is>
      </c>
    </row>
    <row r="30">
      <c r="A30" s="23" t="inlineStr">
        <is>
          <t>Columna</t>
        </is>
      </c>
      <c r="B30" s="23" t="inlineStr">
        <is>
          <t>Fórmula (Excel)</t>
        </is>
      </c>
      <c r="C30" s="23" t="inlineStr">
        <is>
          <t>Cómo se calcula (sencillo)</t>
        </is>
      </c>
      <c r="D30" s="23" t="inlineStr">
        <is>
          <t>Ejemplo con números reales</t>
        </is>
      </c>
      <c r="E30" s="23" t="inlineStr">
        <is>
          <t>De dónde viene</t>
        </is>
      </c>
      <c r="F30" s="23" t="inlineStr">
        <is>
          <t>Norma</t>
        </is>
      </c>
    </row>
    <row r="31">
      <c r="A31" s="24" t="inlineStr">
        <is>
          <t>Importe</t>
        </is>
      </c>
      <c r="B31" s="25" t="inlineStr">
        <is>
          <t>'='10_Ajuste'!B5</t>
        </is>
      </c>
      <c r="C31" s="24" t="inlineStr">
        <is>
          <t>Trae cada importe, concepto por concepto, de la hoja 10 (Patrimonio auditado y ajustes), donde se calcula el patrimonio auditado y se reúnen las pruebas de reserva, dividendos y capital.</t>
        </is>
      </c>
      <c r="D31" s="24" t="inlineStr">
        <is>
          <t>Fila 1: 935.000,00 → 935.000,00</t>
        </is>
      </c>
      <c r="E31" s="24" t="inlineStr">
        <is>
          <t>hoja «Patrimonio auditado y ajustes»</t>
        </is>
      </c>
      <c r="F31" s="24" t="inlineStr">
        <is>
          <t>—</t>
        </is>
      </c>
    </row>
  </sheetData>
  <mergeCells count="3">
    <mergeCell ref="A2:F2"/>
    <mergeCell ref="A1:F1"/>
    <mergeCell ref="A29:F2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Mismo cálculo en ambos marcos; cambian las citas</t>
        </is>
      </c>
    </row>
    <row r="7">
      <c r="A7" s="18" t="inlineStr">
        <is>
          <t>Tipo de compañía</t>
        </is>
      </c>
      <c r="B7" s="18" t="inlineStr">
        <is>
          <t>Anónima</t>
        </is>
      </c>
      <c r="C7" s="18" t="inlineStr">
        <is>
          <t>Escritura de constitución / Superintendencia de Compañías · Reserva legal obligatoria: 10 % de las utilidades líquidas hasta por lo menos el 50 % del capital (Ley de Compañías art. 297)</t>
        </is>
      </c>
    </row>
    <row r="8">
      <c r="A8" s="19" t="inlineStr">
        <is>
          <t>Utilidad líquida base de la reserva legal</t>
        </is>
      </c>
      <c r="B8" s="27">
        <f>SUMIF('03_Movimiento'!$C$5:$C$13,"Resultado del ejercicio",'03_Movimiento'!$D$5:$D$13)</f>
        <v/>
      </c>
      <c r="C8" s="19" t="inlineStr">
        <is>
          <t>Saldo inicial del resultado del ejercicio (utilidad que la junta apropia en el período)</t>
        </is>
      </c>
    </row>
    <row r="9">
      <c r="A9" s="18" t="inlineStr">
        <is>
          <t>% de la utilidad para reserva legal</t>
        </is>
      </c>
      <c r="B9" s="28" t="n">
        <v>10</v>
      </c>
      <c r="C9" s="18" t="inlineStr">
        <is>
          <t>por defecto según el tipo de compañía; 10 % de las utilidades líquidas hasta por lo menos el 50 % del capital (Ley de Compañías art. 297, anónimas); 5 % de las utilidades líquidas y realizadas hasta por lo menos el 20 % (art. 109, limitadas); en la SAS la reserva legal no es obligatoria (artículo innumerado «Constitución opcional de reservas»); vigente al corte</t>
        </is>
      </c>
    </row>
    <row r="10">
      <c r="A10" s="19" t="inlineStr">
        <is>
          <t>Nivel mínimo de la reserva legal a partir del cual cesa la apropiación obligatoria (% del capital)</t>
        </is>
      </c>
      <c r="B10" s="27" t="n">
        <v>50</v>
      </c>
      <c r="C10" s="19" t="inlineStr">
        <is>
          <t>por defecto según el tipo de compañía; 10 % de las utilidades líquidas hasta por lo menos el 50 % del capital (Ley de Compañías art. 297, anónimas); 5 % de las utilidades líquidas y realizadas hasta por lo menos el 20 % (art. 109, limitadas); en la SAS la reserva legal no es obligatoria (artículo innumerado «Constitución opcional de reservas»); vigente al corte</t>
        </is>
      </c>
    </row>
    <row r="11">
      <c r="A11" s="18" t="inlineStr">
        <is>
          <t>Capital suscrito según escritura / Supercias</t>
        </is>
      </c>
      <c r="B11" s="28" t="n">
        <v>460000</v>
      </c>
      <c r="C11" s="18" t="inlineStr">
        <is>
          <t>Escritura inscrita / portal Supercias</t>
        </is>
      </c>
    </row>
    <row r="12">
      <c r="A12" s="19" t="inlineStr">
        <is>
          <t>Utilidades disponibles según el auditor</t>
        </is>
      </c>
      <c r="B12" s="27" t="n">
        <v>80000</v>
      </c>
      <c r="C12" s="19" t="inlineStr">
        <is>
          <t>Vacío: se calculan en 06_Dividendos (Ley de Compañías arts. 208 y 298: solo beneficios realmente obtenidos y percibidos o reservas de libre disposición)</t>
        </is>
      </c>
    </row>
    <row r="13">
      <c r="A13" s="18" t="inlineStr">
        <is>
          <t>Reservas expresas efectivas de libre disposición</t>
        </is>
      </c>
      <c r="B13" s="28" t="n">
        <v>25000</v>
      </c>
      <c r="C13" s="18" t="inlineStr">
        <is>
          <t>Ley de Compañías art. 298: también sirven para pagar dividendos</t>
        </is>
      </c>
    </row>
    <row r="14">
      <c r="A14" s="19" t="inlineStr">
        <is>
          <t>% mínimo de dividendos sobre los beneficios líquidos</t>
        </is>
      </c>
      <c r="B14" s="27" t="n">
        <v>50</v>
      </c>
      <c r="C14" s="19" t="inlineStr">
        <is>
          <t>Ley de Compañías art. 297: al menos el 50 %, salvo resolución unánime; 30 % en emisores inscritos en el Catastro Público del Mercado de Valores; en las demás formas societarias, el % que fije la norma o el estatuto; vigente al corte</t>
        </is>
      </c>
    </row>
    <row r="15">
      <c r="A15" s="18" t="inlineStr">
        <is>
          <t>Resolución unánime de la junta sobre las utilidades</t>
        </is>
      </c>
      <c r="B15" s="18" t="inlineStr">
        <is>
          <t>No</t>
        </is>
      </c>
      <c r="C15" s="18" t="inlineStr">
        <is>
          <t>Ley de Compañías art. 297: con resolución unánime no aplica el mínimo</t>
        </is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Valor</t>
        </is>
      </c>
      <c r="B19" s="25" t="inlineStr">
        <is>
          <t>'=SUMIF('03_Movimiento'!$C$5:$C$13,"Resultado del ejercicio",'03_Movimiento'!$D$5:$D$13)</t>
        </is>
      </c>
      <c r="C19" s="24" t="inlineStr">
        <is>
          <t>Los valores son datos del encargo o del auditor; solo la utilidad líquida base, cuando el auditor no la indica, se toma del saldo inicial del resultado del ejercicio en la hoja 03 (Movimiento patrimonial).</t>
        </is>
      </c>
      <c r="D19" s="24" t="inlineStr">
        <is>
          <t>Fila 4: SUMIF([«Clase» de «Movimiento patrimonial», 9 filas]; "Resultado del ejercicio"; [«Saldo inicial» de «Movimiento patrimonial», 9 filas]) → 128.000,00</t>
        </is>
      </c>
      <c r="E19" s="24" t="inlineStr">
        <is>
          <t>hoja «Movimiento patrimonial»</t>
        </is>
      </c>
      <c r="F19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15" customWidth="1" min="4" max="4"/>
    <col width="12" customWidth="1" min="5" max="5"/>
    <col width="15" customWidth="1" min="6" max="6"/>
    <col width="19" customWidth="1" min="7" max="7"/>
    <col width="21" customWidth="1" min="8" max="8"/>
    <col width="12" customWidth="1" min="9" max="9"/>
    <col width="19" customWidth="1" min="10" max="10"/>
    <col width="17" customWidth="1" min="11" max="11"/>
    <col width="53" customWidth="1" min="12" max="12"/>
  </cols>
  <sheetData>
    <row r="1">
      <c r="A1" s="3" t="inlineStr">
        <is>
          <t>Movimiento patrimonial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Código</t>
        </is>
      </c>
      <c r="B4" s="17" t="inlineStr">
        <is>
          <t>Cuenta</t>
        </is>
      </c>
      <c r="C4" s="17" t="inlineStr">
        <is>
          <t>Clase</t>
        </is>
      </c>
      <c r="D4" s="17" t="inlineStr">
        <is>
          <t>Saldo inicial</t>
        </is>
      </c>
      <c r="E4" s="17" t="inlineStr">
        <is>
          <t>Aumentos</t>
        </is>
      </c>
      <c r="F4" s="17" t="inlineStr">
        <is>
          <t>Disminuciones</t>
        </is>
      </c>
      <c r="G4" s="17" t="inlineStr">
        <is>
          <t>Final recalculado</t>
        </is>
      </c>
      <c r="H4" s="17" t="inlineStr">
        <is>
          <t>Final según cliente</t>
        </is>
      </c>
      <c r="I4" s="17" t="inlineStr">
        <is>
          <t>Diferencia</t>
        </is>
      </c>
      <c r="J4" s="17" t="inlineStr">
        <is>
          <t>Final según mayor</t>
        </is>
      </c>
      <c r="K4" s="17" t="inlineStr">
        <is>
          <t>Cliente − mayor</t>
        </is>
      </c>
      <c r="L4" s="17" t="inlineStr">
        <is>
          <t>Del saldo inicial: adopción por primera vez de NIIF</t>
        </is>
      </c>
    </row>
    <row r="5">
      <c r="A5" s="18" t="inlineStr">
        <is>
          <t>301</t>
        </is>
      </c>
      <c r="B5" s="18" t="inlineStr">
        <is>
          <t>Capital suscrito y pagado</t>
        </is>
      </c>
      <c r="C5" s="18" t="inlineStr">
        <is>
          <t>Capital</t>
        </is>
      </c>
      <c r="D5" s="20" t="n">
        <v>400000</v>
      </c>
      <c r="E5" s="20" t="n">
        <v>100000</v>
      </c>
      <c r="F5" s="20" t="n">
        <v>0</v>
      </c>
      <c r="G5" s="20">
        <f>D5+E5-F5</f>
        <v/>
      </c>
      <c r="H5" s="20" t="n">
        <v>500000</v>
      </c>
      <c r="I5" s="20">
        <f>H5-G5</f>
        <v/>
      </c>
      <c r="J5" s="20" t="n">
        <v>500000</v>
      </c>
      <c r="K5" s="20">
        <f>IF(J5&lt;&gt;"",H5-J5,"")</f>
        <v/>
      </c>
      <c r="L5" s="20" t="n"/>
    </row>
    <row r="6">
      <c r="A6" s="19" t="inlineStr">
        <is>
          <t>302</t>
        </is>
      </c>
      <c r="B6" s="19" t="inlineStr">
        <is>
          <t>Aportes para futuras capitalizaciones</t>
        </is>
      </c>
      <c r="C6" s="19" t="inlineStr">
        <is>
          <t>Aportes futuras capitalizaciones</t>
        </is>
      </c>
      <c r="D6" s="21" t="n">
        <v>100000</v>
      </c>
      <c r="E6" s="21" t="n">
        <v>30000</v>
      </c>
      <c r="F6" s="21" t="n">
        <v>100000</v>
      </c>
      <c r="G6" s="21">
        <f>D6+E6-F6</f>
        <v/>
      </c>
      <c r="H6" s="21" t="n">
        <v>30000</v>
      </c>
      <c r="I6" s="21">
        <f>H6-G6</f>
        <v/>
      </c>
      <c r="J6" s="21" t="n">
        <v>30000</v>
      </c>
      <c r="K6" s="21">
        <f>IF(J6&lt;&gt;"",H6-J6,"")</f>
        <v/>
      </c>
      <c r="L6" s="21" t="n"/>
    </row>
    <row r="7">
      <c r="A7" s="18" t="inlineStr">
        <is>
          <t>304</t>
        </is>
      </c>
      <c r="B7" s="18" t="inlineStr">
        <is>
          <t>Reserva legal</t>
        </is>
      </c>
      <c r="C7" s="18" t="inlineStr">
        <is>
          <t>Reserva legal</t>
        </is>
      </c>
      <c r="D7" s="20" t="n">
        <v>60000</v>
      </c>
      <c r="E7" s="20" t="n">
        <v>8000</v>
      </c>
      <c r="F7" s="20" t="n">
        <v>0</v>
      </c>
      <c r="G7" s="20">
        <f>D7+E7-F7</f>
        <v/>
      </c>
      <c r="H7" s="20" t="n">
        <v>68000</v>
      </c>
      <c r="I7" s="20">
        <f>H7-G7</f>
        <v/>
      </c>
      <c r="J7" s="20" t="n">
        <v>68000</v>
      </c>
      <c r="K7" s="20">
        <f>IF(J7&lt;&gt;"",H7-J7,"")</f>
        <v/>
      </c>
      <c r="L7" s="20" t="n"/>
    </row>
    <row r="8">
      <c r="A8" s="19" t="inlineStr">
        <is>
          <t>305</t>
        </is>
      </c>
      <c r="B8" s="19" t="inlineStr">
        <is>
          <t>Reserva facultativa</t>
        </is>
      </c>
      <c r="C8" s="19" t="inlineStr">
        <is>
          <t>Otras reservas</t>
        </is>
      </c>
      <c r="D8" s="21" t="n">
        <v>25000</v>
      </c>
      <c r="E8" s="21" t="n">
        <v>0</v>
      </c>
      <c r="F8" s="21" t="n">
        <v>0</v>
      </c>
      <c r="G8" s="21">
        <f>D8+E8-F8</f>
        <v/>
      </c>
      <c r="H8" s="21" t="n">
        <v>25000</v>
      </c>
      <c r="I8" s="21">
        <f>H8-G8</f>
        <v/>
      </c>
      <c r="J8" s="21" t="n">
        <v>25000</v>
      </c>
      <c r="K8" s="21">
        <f>IF(J8&lt;&gt;"",H8-J8,"")</f>
        <v/>
      </c>
      <c r="L8" s="21" t="n"/>
    </row>
    <row r="9">
      <c r="A9" s="18" t="inlineStr">
        <is>
          <t>306</t>
        </is>
      </c>
      <c r="B9" s="18" t="inlineStr">
        <is>
          <t>Otros resultados integrales</t>
        </is>
      </c>
      <c r="C9" s="18" t="inlineStr">
        <is>
          <t>Otros resultados integrales</t>
        </is>
      </c>
      <c r="D9" s="20" t="n">
        <v>12000</v>
      </c>
      <c r="E9" s="20" t="n">
        <v>3500</v>
      </c>
      <c r="F9" s="20" t="n">
        <v>0</v>
      </c>
      <c r="G9" s="20">
        <f>D9+E9-F9</f>
        <v/>
      </c>
      <c r="H9" s="20" t="n">
        <v>15000</v>
      </c>
      <c r="I9" s="20">
        <f>H9-G9</f>
        <v/>
      </c>
      <c r="J9" s="20" t="n">
        <v>15000</v>
      </c>
      <c r="K9" s="20">
        <f>IF(J9&lt;&gt;"",H9-J9,"")</f>
        <v/>
      </c>
      <c r="L9" s="20" t="n"/>
    </row>
    <row r="10">
      <c r="A10" s="19" t="inlineStr">
        <is>
          <t>307</t>
        </is>
      </c>
      <c r="B10" s="19" t="inlineStr">
        <is>
          <t>Resultados acumulados</t>
        </is>
      </c>
      <c r="C10" s="19" t="inlineStr">
        <is>
          <t>Resultados acumulados</t>
        </is>
      </c>
      <c r="D10" s="21" t="n">
        <v>150000</v>
      </c>
      <c r="E10" s="21" t="n">
        <v>120000</v>
      </c>
      <c r="F10" s="21" t="n">
        <v>140000</v>
      </c>
      <c r="G10" s="21">
        <f>D10+E10-F10</f>
        <v/>
      </c>
      <c r="H10" s="21" t="n">
        <v>130000</v>
      </c>
      <c r="I10" s="21">
        <f>H10-G10</f>
        <v/>
      </c>
      <c r="J10" s="21" t="n">
        <v>130000</v>
      </c>
      <c r="K10" s="21">
        <f>IF(J10&lt;&gt;"",H10-J10,"")</f>
        <v/>
      </c>
      <c r="L10" s="21" t="n">
        <v>18000</v>
      </c>
    </row>
    <row r="11">
      <c r="A11" s="18" t="inlineStr">
        <is>
          <t>308</t>
        </is>
      </c>
      <c r="B11" s="18" t="inlineStr">
        <is>
          <t>Resultado del ejercicio</t>
        </is>
      </c>
      <c r="C11" s="18" t="inlineStr">
        <is>
          <t>Resultado del ejercicio</t>
        </is>
      </c>
      <c r="D11" s="20" t="n">
        <v>128000</v>
      </c>
      <c r="E11" s="20" t="n">
        <v>142000</v>
      </c>
      <c r="F11" s="20" t="n">
        <v>128000</v>
      </c>
      <c r="G11" s="20">
        <f>D11+E11-F11</f>
        <v/>
      </c>
      <c r="H11" s="20" t="n">
        <v>142000</v>
      </c>
      <c r="I11" s="20">
        <f>H11-G11</f>
        <v/>
      </c>
      <c r="J11" s="20" t="n">
        <v>143200</v>
      </c>
      <c r="K11" s="20">
        <f>IF(J11&lt;&gt;"",H11-J11,"")</f>
        <v/>
      </c>
      <c r="L11" s="20" t="n"/>
    </row>
    <row r="12">
      <c r="A12" s="19" t="inlineStr">
        <is>
          <t>309</t>
        </is>
      </c>
      <c r="B12" s="19" t="inlineStr">
        <is>
          <t>Acciones propias en cartera</t>
        </is>
      </c>
      <c r="C12" s="19" t="inlineStr">
        <is>
          <t>Acciones propias</t>
        </is>
      </c>
      <c r="D12" s="21" t="n">
        <v>0</v>
      </c>
      <c r="E12" s="21" t="n">
        <v>0</v>
      </c>
      <c r="F12" s="21" t="n">
        <v>20000</v>
      </c>
      <c r="G12" s="21">
        <f>D12+E12-F12</f>
        <v/>
      </c>
      <c r="H12" s="21" t="n">
        <v>-20000</v>
      </c>
      <c r="I12" s="21">
        <f>H12-G12</f>
        <v/>
      </c>
      <c r="J12" s="21" t="n">
        <v>-20000</v>
      </c>
      <c r="K12" s="21">
        <f>IF(J12&lt;&gt;"",H12-J12,"")</f>
        <v/>
      </c>
      <c r="L12" s="21" t="n"/>
    </row>
    <row r="13">
      <c r="A13" s="18" t="inlineStr">
        <is>
          <t>310</t>
        </is>
      </c>
      <c r="B13" s="18" t="inlineStr">
        <is>
          <t>Acciones preferentes rescatables</t>
        </is>
      </c>
      <c r="C13" s="18" t="inlineStr">
        <is>
          <t>Otra</t>
        </is>
      </c>
      <c r="D13" s="20" t="n">
        <v>0</v>
      </c>
      <c r="E13" s="20" t="n">
        <v>45000</v>
      </c>
      <c r="F13" s="20" t="n">
        <v>0</v>
      </c>
      <c r="G13" s="20">
        <f>D13+E13-F13</f>
        <v/>
      </c>
      <c r="H13" s="20" t="n">
        <v>45000</v>
      </c>
      <c r="I13" s="20">
        <f>H13-G13</f>
        <v/>
      </c>
      <c r="J13" s="20" t="n">
        <v>45000</v>
      </c>
      <c r="K13" s="20">
        <f>IF(J13&lt;&gt;"",H13-J13,"")</f>
        <v/>
      </c>
      <c r="L13" s="20" t="n"/>
    </row>
    <row r="14">
      <c r="A14" s="29" t="inlineStr">
        <is>
          <t>TOTAL</t>
        </is>
      </c>
      <c r="B14" s="29" t="inlineStr"/>
      <c r="C14" s="29" t="inlineStr"/>
      <c r="D14" s="30">
        <f>SUM(D5:D13)</f>
        <v/>
      </c>
      <c r="E14" s="30">
        <f>SUM(E5:E13)</f>
        <v/>
      </c>
      <c r="F14" s="30">
        <f>SUM(F5:F13)</f>
        <v/>
      </c>
      <c r="G14" s="30">
        <f>SUM(G5:G13)</f>
        <v/>
      </c>
      <c r="H14" s="30">
        <f>SUM(H5:H13)</f>
        <v/>
      </c>
      <c r="I14" s="30">
        <f>SUM(I5:I13)</f>
        <v/>
      </c>
      <c r="J14" s="30">
        <f>IF(COUNT(J5:J13)=0,"",SUM(J5:J13))</f>
        <v/>
      </c>
      <c r="K14" s="30">
        <f>IF(COUNT(J5:J13)=0,"",SUM(K5:K13))</f>
        <v/>
      </c>
      <c r="L14" s="30">
        <f>IF(COUNT(L5:L13)=0,"",SUM(L5:L13))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Final recalculado</t>
        </is>
      </c>
      <c r="B18" s="25" t="inlineStr">
        <is>
          <t>'=D5+E5-F5</t>
        </is>
      </c>
      <c r="C18" s="24" t="inlineStr">
        <is>
          <t>Parte del saldo inicial de la cuenta, suma los aumentos y resta las disminuciones del período.</t>
        </is>
      </c>
      <c r="D18" s="24" t="inlineStr">
        <is>
          <t>Fila 1: 400.000,00+100.000,00-0,00 → 500.000,00</t>
        </is>
      </c>
      <c r="E18" s="24" t="inlineStr">
        <is>
          <t>«Saldo inicial» (esta hoja), «Aumentos» (esta hoja), «Disminuciones» (esta hoja)</t>
        </is>
      </c>
      <c r="F18" s="24" t="inlineStr">
        <is>
          <t>—</t>
        </is>
      </c>
    </row>
    <row r="19">
      <c r="A19" s="24" t="inlineStr">
        <is>
          <t>Diferencia</t>
        </is>
      </c>
      <c r="B19" s="25" t="inlineStr">
        <is>
          <t>'=H5-G5</t>
        </is>
      </c>
      <c r="C19" s="24" t="inlineStr">
        <is>
          <t>Resta al saldo final que informa el cliente el final recalculado: si no es cero, el movimiento de la cuenta no cuadra.</t>
        </is>
      </c>
      <c r="D19" s="24" t="inlineStr">
        <is>
          <t>Fila 1: 500.000,00-500.000,00 → 0,00</t>
        </is>
      </c>
      <c r="E19" s="24" t="inlineStr">
        <is>
          <t>«Final según cliente» (esta hoja), «Final recalculado» (esta hoja)</t>
        </is>
      </c>
      <c r="F19" s="24" t="inlineStr">
        <is>
          <t>—</t>
        </is>
      </c>
    </row>
    <row r="20">
      <c r="A20" s="24" t="inlineStr">
        <is>
          <t>Cliente − mayor</t>
        </is>
      </c>
      <c r="B20" s="25" t="inlineStr">
        <is>
          <t>'=IF(J5&lt;&gt;"",H5-J5,"")</t>
        </is>
      </c>
      <c r="C20" s="24" t="inlineStr">
        <is>
          <t>Resta al saldo final según el cliente el saldo final según el mayor; si no se informó el saldo del mayor, queda en blanco.</t>
        </is>
      </c>
      <c r="D20" s="24" t="inlineStr">
        <is>
          <t>Fila 1: IF(500.000,00&lt;&gt;""; 500.000,00-500.000,00; "") → 0,00</t>
        </is>
      </c>
      <c r="E20" s="24" t="inlineStr">
        <is>
          <t>«Final según mayor» (esta hoja), «Final según cliente» (esta hoja)</t>
        </is>
      </c>
      <c r="F20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24" customWidth="1" min="9" max="9"/>
    <col width="34" customWidth="1" min="10" max="10"/>
    <col width="17" customWidth="1" min="11" max="11"/>
    <col width="22" customWidth="1" min="12" max="12"/>
    <col width="34" customWidth="1" min="13" max="13"/>
    <col width="20" customWidth="1" min="14" max="14"/>
    <col width="23" customWidth="1" min="15" max="15"/>
    <col width="33" customWidth="1" min="16" max="16"/>
    <col width="21" customWidth="1" min="17" max="17"/>
    <col width="17" customWidth="1" min="18" max="18"/>
    <col width="22" customWidth="1" min="19" max="19"/>
    <col width="23" customWidth="1" min="20" max="20"/>
    <col width="12" customWidth="1" min="21" max="21"/>
  </cols>
  <sheetData>
    <row r="1">
      <c r="A1" s="3" t="inlineStr">
        <is>
          <t>Actas y transacciones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</row>
    <row r="4" ht="30" customHeight="1">
      <c r="A4" s="17" t="inlineStr">
        <is>
          <t>Referencia</t>
        </is>
      </c>
      <c r="B4" s="17" t="inlineStr">
        <is>
          <t>Fecha</t>
        </is>
      </c>
      <c r="C4" s="17" t="inlineStr">
        <is>
          <t>Tipo</t>
        </is>
      </c>
      <c r="D4" s="17" t="inlineStr">
        <is>
          <t>Importe</t>
        </is>
      </c>
      <c r="E4" s="17" t="inlineStr">
        <is>
          <t>Acta</t>
        </is>
      </c>
      <c r="F4" s="17" t="inlineStr">
        <is>
          <t>Fecha del acta</t>
        </is>
      </c>
      <c r="G4" s="17" t="inlineStr">
        <is>
          <t>Inscripción</t>
        </is>
      </c>
      <c r="H4" s="17" t="inlineStr">
        <is>
          <t>Devolución</t>
        </is>
      </c>
      <c r="I4" s="17" t="inlineStr">
        <is>
          <t>Obligación contractual</t>
        </is>
      </c>
      <c r="J4" s="17" t="inlineStr">
        <is>
          <t>Cuenta afectada</t>
        </is>
      </c>
      <c r="K4" s="17" t="inlineStr">
        <is>
          <t>Pasivo al corte</t>
        </is>
      </c>
      <c r="L4" s="17" t="inlineStr">
        <is>
          <t>Resultado reconocido</t>
        </is>
      </c>
      <c r="M4" s="17" t="inlineStr">
        <is>
          <t>Fecha efectiva (acta o registro)</t>
        </is>
      </c>
      <c r="N4" s="17" t="inlineStr">
        <is>
          <t>Posterior al corte</t>
        </is>
      </c>
      <c r="O4" s="17" t="inlineStr">
        <is>
          <t>Dividendo del período</t>
        </is>
      </c>
      <c r="P4" s="17" t="inlineStr">
        <is>
          <t>Dividendo posterior como pasivo</t>
        </is>
      </c>
      <c r="Q4" s="17" t="inlineStr">
        <is>
          <t>Aumento no inscrito</t>
        </is>
      </c>
      <c r="R4" s="17" t="inlineStr">
        <is>
          <t>Aporte a pasivo</t>
        </is>
      </c>
      <c r="S4" s="17" t="inlineStr">
        <is>
          <t>Instrumento a pasivo</t>
        </is>
      </c>
      <c r="T4" s="17" t="inlineStr">
        <is>
          <t>Resultado de recompra</t>
        </is>
      </c>
      <c r="U4" s="17" t="inlineStr">
        <is>
          <t>Sin acta</t>
        </is>
      </c>
    </row>
    <row r="5">
      <c r="A5" s="18" t="inlineStr">
        <is>
          <t>JGA-2025-01</t>
        </is>
      </c>
      <c r="B5" s="31" t="n">
        <v>45744</v>
      </c>
      <c r="C5" s="18" t="inlineStr">
        <is>
          <t>Aumento de capital</t>
        </is>
      </c>
      <c r="D5" s="20" t="n">
        <v>60000</v>
      </c>
      <c r="E5" s="18" t="inlineStr">
        <is>
          <t>Sí</t>
        </is>
      </c>
      <c r="F5" s="31" t="n">
        <v>45736</v>
      </c>
      <c r="G5" s="31" t="n">
        <v>45792</v>
      </c>
      <c r="H5" s="18" t="inlineStr"/>
      <c r="I5" s="18" t="inlineStr"/>
      <c r="J5" s="18" t="inlineStr">
        <is>
          <t>Capital</t>
        </is>
      </c>
      <c r="K5" s="18" t="inlineStr"/>
      <c r="L5" s="20" t="n"/>
      <c r="M5" s="31" t="n">
        <v>45736</v>
      </c>
      <c r="N5" s="18">
        <f>IF(IF(F5&lt;&gt;"",F5,B5)&gt;'02_Parametros'!$B$5,"Sí","No")</f>
        <v/>
      </c>
      <c r="O5" s="20">
        <f>IF(AND(C5="Dividendo declarado",N5="No"),D5,0)</f>
        <v/>
      </c>
      <c r="P5" s="20">
        <f>IF(AND(C5="Dividendo declarado",N5="Sí",K5="Sí"),D5,0)</f>
        <v/>
      </c>
      <c r="Q5" s="20">
        <f>IF(AND(C5="Aumento de capital",B5&lt;='02_Parametros'!$B$5,OR(G5="",G5&gt;'02_Parametros'!$B$5)),D5,0)</f>
        <v/>
      </c>
      <c r="R5" s="20">
        <f>IF(AND(C5="Aporte",H5="Sí"),D5,0)</f>
        <v/>
      </c>
      <c r="S5" s="20">
        <f>IF(AND(I5="Sí",NOT(AND(C5="Aporte",H5="Sí"))),D5,0)</f>
        <v/>
      </c>
      <c r="T5" s="20">
        <f>IF(AND(C5="Recompra",L5&lt;&gt;""),L5,0)</f>
        <v/>
      </c>
      <c r="U5" s="18">
        <f>IF(AND(E5&lt;&gt;"Sí",OR(C5="Aumento de capital",C5="Aporte",C5="Dividendo declarado",C5="Apropiación de reserva",C5="Recompra")),"Sí","No")</f>
        <v/>
      </c>
    </row>
    <row r="6">
      <c r="A6" s="19" t="inlineStr">
        <is>
          <t>JGA-2025-02</t>
        </is>
      </c>
      <c r="B6" s="32" t="n">
        <v>45762</v>
      </c>
      <c r="C6" s="19" t="inlineStr">
        <is>
          <t>Apropiación de reserva</t>
        </is>
      </c>
      <c r="D6" s="21" t="n">
        <v>8000</v>
      </c>
      <c r="E6" s="19" t="inlineStr">
        <is>
          <t>Sí</t>
        </is>
      </c>
      <c r="F6" s="32" t="n">
        <v>45736</v>
      </c>
      <c r="G6" s="33" t="n"/>
      <c r="H6" s="19" t="inlineStr"/>
      <c r="I6" s="19" t="inlineStr"/>
      <c r="J6" s="19" t="inlineStr">
        <is>
          <t>Reserva legal</t>
        </is>
      </c>
      <c r="K6" s="19" t="inlineStr"/>
      <c r="L6" s="21" t="n"/>
      <c r="M6" s="32" t="n">
        <v>45736</v>
      </c>
      <c r="N6" s="19">
        <f>IF(IF(F6&lt;&gt;"",F6,B6)&gt;'02_Parametros'!$B$5,"Sí","No")</f>
        <v/>
      </c>
      <c r="O6" s="21">
        <f>IF(AND(C6="Dividendo declarado",N6="No"),D6,0)</f>
        <v/>
      </c>
      <c r="P6" s="21">
        <f>IF(AND(C6="Dividendo declarado",N6="Sí",K6="Sí"),D6,0)</f>
        <v/>
      </c>
      <c r="Q6" s="21">
        <f>IF(AND(C6="Aumento de capital",B6&lt;='02_Parametros'!$B$5,OR(G6="",G6&gt;'02_Parametros'!$B$5)),D6,0)</f>
        <v/>
      </c>
      <c r="R6" s="21">
        <f>IF(AND(C6="Aporte",H6="Sí"),D6,0)</f>
        <v/>
      </c>
      <c r="S6" s="21">
        <f>IF(AND(I6="Sí",NOT(AND(C6="Aporte",H6="Sí"))),D6,0)</f>
        <v/>
      </c>
      <c r="T6" s="21">
        <f>IF(AND(C6="Recompra",L6&lt;&gt;""),L6,0)</f>
        <v/>
      </c>
      <c r="U6" s="19">
        <f>IF(AND(E6&lt;&gt;"Sí",OR(C6="Aumento de capital",C6="Aporte",C6="Dividendo declarado",C6="Apropiación de reserva",C6="Recompra")),"Sí","No")</f>
        <v/>
      </c>
    </row>
    <row r="7">
      <c r="A7" s="18" t="inlineStr">
        <is>
          <t>JGA-2025-03</t>
        </is>
      </c>
      <c r="B7" s="31" t="n">
        <v>45762</v>
      </c>
      <c r="C7" s="18" t="inlineStr">
        <is>
          <t>Dividendo declarado</t>
        </is>
      </c>
      <c r="D7" s="20" t="n">
        <v>90000</v>
      </c>
      <c r="E7" s="18" t="inlineStr">
        <is>
          <t>Sí</t>
        </is>
      </c>
      <c r="F7" s="31" t="n">
        <v>45736</v>
      </c>
      <c r="G7" s="34" t="n"/>
      <c r="H7" s="18" t="inlineStr"/>
      <c r="I7" s="18" t="inlineStr"/>
      <c r="J7" s="18" t="inlineStr">
        <is>
          <t>Resultados acumulados</t>
        </is>
      </c>
      <c r="K7" s="18" t="inlineStr">
        <is>
          <t>No</t>
        </is>
      </c>
      <c r="L7" s="20" t="n"/>
      <c r="M7" s="31" t="n">
        <v>45736</v>
      </c>
      <c r="N7" s="18">
        <f>IF(IF(F7&lt;&gt;"",F7,B7)&gt;'02_Parametros'!$B$5,"Sí","No")</f>
        <v/>
      </c>
      <c r="O7" s="20">
        <f>IF(AND(C7="Dividendo declarado",N7="No"),D7,0)</f>
        <v/>
      </c>
      <c r="P7" s="20">
        <f>IF(AND(C7="Dividendo declarado",N7="Sí",K7="Sí"),D7,0)</f>
        <v/>
      </c>
      <c r="Q7" s="20">
        <f>IF(AND(C7="Aumento de capital",B7&lt;='02_Parametros'!$B$5,OR(G7="",G7&gt;'02_Parametros'!$B$5)),D7,0)</f>
        <v/>
      </c>
      <c r="R7" s="20">
        <f>IF(AND(C7="Aporte",H7="Sí"),D7,0)</f>
        <v/>
      </c>
      <c r="S7" s="20">
        <f>IF(AND(I7="Sí",NOT(AND(C7="Aporte",H7="Sí"))),D7,0)</f>
        <v/>
      </c>
      <c r="T7" s="20">
        <f>IF(AND(C7="Recompra",L7&lt;&gt;""),L7,0)</f>
        <v/>
      </c>
      <c r="U7" s="18">
        <f>IF(AND(E7&lt;&gt;"Sí",OR(C7="Aumento de capital",C7="Aporte",C7="Dividendo declarado",C7="Apropiación de reserva",C7="Recompra")),"Sí","No")</f>
        <v/>
      </c>
    </row>
    <row r="8">
      <c r="A8" s="19" t="inlineStr">
        <is>
          <t>EG-2025-118</t>
        </is>
      </c>
      <c r="B8" s="32" t="n">
        <v>45807</v>
      </c>
      <c r="C8" s="19" t="inlineStr">
        <is>
          <t>Dividendo pagado</t>
        </is>
      </c>
      <c r="D8" s="21" t="n">
        <v>90000</v>
      </c>
      <c r="E8" s="19" t="inlineStr">
        <is>
          <t>Sí</t>
        </is>
      </c>
      <c r="F8" s="32" t="n">
        <v>45736</v>
      </c>
      <c r="G8" s="33" t="n"/>
      <c r="H8" s="19" t="inlineStr"/>
      <c r="I8" s="19" t="inlineStr"/>
      <c r="J8" s="19" t="inlineStr">
        <is>
          <t>Resultados acumulados</t>
        </is>
      </c>
      <c r="K8" s="19" t="inlineStr"/>
      <c r="L8" s="21" t="n"/>
      <c r="M8" s="32" t="n">
        <v>45736</v>
      </c>
      <c r="N8" s="19">
        <f>IF(IF(F8&lt;&gt;"",F8,B8)&gt;'02_Parametros'!$B$5,"Sí","No")</f>
        <v/>
      </c>
      <c r="O8" s="21">
        <f>IF(AND(C8="Dividendo declarado",N8="No"),D8,0)</f>
        <v/>
      </c>
      <c r="P8" s="21">
        <f>IF(AND(C8="Dividendo declarado",N8="Sí",K8="Sí"),D8,0)</f>
        <v/>
      </c>
      <c r="Q8" s="21">
        <f>IF(AND(C8="Aumento de capital",B8&lt;='02_Parametros'!$B$5,OR(G8="",G8&gt;'02_Parametros'!$B$5)),D8,0)</f>
        <v/>
      </c>
      <c r="R8" s="21">
        <f>IF(AND(C8="Aporte",H8="Sí"),D8,0)</f>
        <v/>
      </c>
      <c r="S8" s="21">
        <f>IF(AND(I8="Sí",NOT(AND(C8="Aporte",H8="Sí"))),D8,0)</f>
        <v/>
      </c>
      <c r="T8" s="21">
        <f>IF(AND(C8="Recompra",L8&lt;&gt;""),L8,0)</f>
        <v/>
      </c>
      <c r="U8" s="19">
        <f>IF(AND(E8&lt;&gt;"Sí",OR(C8="Aumento de capital",C8="Aporte",C8="Dividendo declarado",C8="Apropiación de reserva",C8="Recompra")),"Sí","No")</f>
        <v/>
      </c>
    </row>
    <row r="9">
      <c r="A9" s="18" t="inlineStr">
        <is>
          <t>AP-2025-01</t>
        </is>
      </c>
      <c r="B9" s="31" t="n">
        <v>45818</v>
      </c>
      <c r="C9" s="18" t="inlineStr">
        <is>
          <t>Aporte</t>
        </is>
      </c>
      <c r="D9" s="20" t="n">
        <v>30000</v>
      </c>
      <c r="E9" s="18" t="inlineStr">
        <is>
          <t>Sí</t>
        </is>
      </c>
      <c r="F9" s="31" t="n">
        <v>45813</v>
      </c>
      <c r="G9" s="34" t="n"/>
      <c r="H9" s="18" t="inlineStr">
        <is>
          <t>Sí</t>
        </is>
      </c>
      <c r="I9" s="18" t="inlineStr"/>
      <c r="J9" s="18" t="inlineStr">
        <is>
          <t>Aportes futuras capitalizaciones</t>
        </is>
      </c>
      <c r="K9" s="18" t="inlineStr"/>
      <c r="L9" s="20" t="n"/>
      <c r="M9" s="31" t="n">
        <v>45813</v>
      </c>
      <c r="N9" s="18">
        <f>IF(IF(F9&lt;&gt;"",F9,B9)&gt;'02_Parametros'!$B$5,"Sí","No")</f>
        <v/>
      </c>
      <c r="O9" s="20">
        <f>IF(AND(C9="Dividendo declarado",N9="No"),D9,0)</f>
        <v/>
      </c>
      <c r="P9" s="20">
        <f>IF(AND(C9="Dividendo declarado",N9="Sí",K9="Sí"),D9,0)</f>
        <v/>
      </c>
      <c r="Q9" s="20">
        <f>IF(AND(C9="Aumento de capital",B9&lt;='02_Parametros'!$B$5,OR(G9="",G9&gt;'02_Parametros'!$B$5)),D9,0)</f>
        <v/>
      </c>
      <c r="R9" s="20">
        <f>IF(AND(C9="Aporte",H9="Sí"),D9,0)</f>
        <v/>
      </c>
      <c r="S9" s="20">
        <f>IF(AND(I9="Sí",NOT(AND(C9="Aporte",H9="Sí"))),D9,0)</f>
        <v/>
      </c>
      <c r="T9" s="20">
        <f>IF(AND(C9="Recompra",L9&lt;&gt;""),L9,0)</f>
        <v/>
      </c>
      <c r="U9" s="18">
        <f>IF(AND(E9&lt;&gt;"Sí",OR(C9="Aumento de capital",C9="Aporte",C9="Dividendo declarado",C9="Apropiación de reserva",C9="Recompra")),"Sí","No")</f>
        <v/>
      </c>
    </row>
    <row r="10">
      <c r="A10" s="19" t="inlineStr">
        <is>
          <t>JGA-2025-05</t>
        </is>
      </c>
      <c r="B10" s="32" t="n">
        <v>45881</v>
      </c>
      <c r="C10" s="19" t="inlineStr">
        <is>
          <t>Recompra</t>
        </is>
      </c>
      <c r="D10" s="21" t="n">
        <v>20000</v>
      </c>
      <c r="E10" s="19" t="inlineStr">
        <is>
          <t>Sí</t>
        </is>
      </c>
      <c r="F10" s="32" t="n">
        <v>45870</v>
      </c>
      <c r="G10" s="33" t="n"/>
      <c r="H10" s="19" t="inlineStr"/>
      <c r="I10" s="19" t="inlineStr"/>
      <c r="J10" s="19" t="inlineStr">
        <is>
          <t>Acciones propias</t>
        </is>
      </c>
      <c r="K10" s="19" t="inlineStr"/>
      <c r="L10" s="21" t="n">
        <v>-1500</v>
      </c>
      <c r="M10" s="32" t="n">
        <v>45870</v>
      </c>
      <c r="N10" s="19">
        <f>IF(IF(F10&lt;&gt;"",F10,B10)&gt;'02_Parametros'!$B$5,"Sí","No")</f>
        <v/>
      </c>
      <c r="O10" s="21">
        <f>IF(AND(C10="Dividendo declarado",N10="No"),D10,0)</f>
        <v/>
      </c>
      <c r="P10" s="21">
        <f>IF(AND(C10="Dividendo declarado",N10="Sí",K10="Sí"),D10,0)</f>
        <v/>
      </c>
      <c r="Q10" s="21">
        <f>IF(AND(C10="Aumento de capital",B10&lt;='02_Parametros'!$B$5,OR(G10="",G10&gt;'02_Parametros'!$B$5)),D10,0)</f>
        <v/>
      </c>
      <c r="R10" s="21">
        <f>IF(AND(C10="Aporte",H10="Sí"),D10,0)</f>
        <v/>
      </c>
      <c r="S10" s="21">
        <f>IF(AND(I10="Sí",NOT(AND(C10="Aporte",H10="Sí"))),D10,0)</f>
        <v/>
      </c>
      <c r="T10" s="21">
        <f>IF(AND(C10="Recompra",L10&lt;&gt;""),L10,0)</f>
        <v/>
      </c>
      <c r="U10" s="19">
        <f>IF(AND(E10&lt;&gt;"Sí",OR(C10="Aumento de capital",C10="Aporte",C10="Dividendo declarado",C10="Apropiación de reserva",C10="Recompra")),"Sí","No")</f>
        <v/>
      </c>
    </row>
    <row r="11">
      <c r="A11" s="18" t="inlineStr">
        <is>
          <t>JGA-2025-06</t>
        </is>
      </c>
      <c r="B11" s="31" t="n">
        <v>45930</v>
      </c>
      <c r="C11" s="18" t="inlineStr">
        <is>
          <t>Otro</t>
        </is>
      </c>
      <c r="D11" s="20" t="n">
        <v>45000</v>
      </c>
      <c r="E11" s="18" t="inlineStr">
        <is>
          <t>Sí</t>
        </is>
      </c>
      <c r="F11" s="31" t="n">
        <v>45915</v>
      </c>
      <c r="G11" s="34" t="n"/>
      <c r="H11" s="18" t="inlineStr"/>
      <c r="I11" s="18" t="inlineStr">
        <is>
          <t>Sí</t>
        </is>
      </c>
      <c r="J11" s="18" t="inlineStr">
        <is>
          <t>Otra</t>
        </is>
      </c>
      <c r="K11" s="18" t="inlineStr"/>
      <c r="L11" s="20" t="n"/>
      <c r="M11" s="31" t="n">
        <v>45915</v>
      </c>
      <c r="N11" s="18">
        <f>IF(IF(F11&lt;&gt;"",F11,B11)&gt;'02_Parametros'!$B$5,"Sí","No")</f>
        <v/>
      </c>
      <c r="O11" s="20">
        <f>IF(AND(C11="Dividendo declarado",N11="No"),D11,0)</f>
        <v/>
      </c>
      <c r="P11" s="20">
        <f>IF(AND(C11="Dividendo declarado",N11="Sí",K11="Sí"),D11,0)</f>
        <v/>
      </c>
      <c r="Q11" s="20">
        <f>IF(AND(C11="Aumento de capital",B11&lt;='02_Parametros'!$B$5,OR(G11="",G11&gt;'02_Parametros'!$B$5)),D11,0)</f>
        <v/>
      </c>
      <c r="R11" s="20">
        <f>IF(AND(C11="Aporte",H11="Sí"),D11,0)</f>
        <v/>
      </c>
      <c r="S11" s="20">
        <f>IF(AND(I11="Sí",NOT(AND(C11="Aporte",H11="Sí"))),D11,0)</f>
        <v/>
      </c>
      <c r="T11" s="20">
        <f>IF(AND(C11="Recompra",L11&lt;&gt;""),L11,0)</f>
        <v/>
      </c>
      <c r="U11" s="18">
        <f>IF(AND(E11&lt;&gt;"Sí",OR(C11="Aumento de capital",C11="Aporte",C11="Dividendo declarado",C11="Apropiación de reserva",C11="Recompra")),"Sí","No")</f>
        <v/>
      </c>
    </row>
    <row r="12">
      <c r="A12" s="19" t="inlineStr">
        <is>
          <t>JGA-2025-04</t>
        </is>
      </c>
      <c r="B12" s="32" t="n">
        <v>45991</v>
      </c>
      <c r="C12" s="19" t="inlineStr">
        <is>
          <t>Aumento de capital</t>
        </is>
      </c>
      <c r="D12" s="21" t="n">
        <v>40000</v>
      </c>
      <c r="E12" s="19" t="inlineStr">
        <is>
          <t>No</t>
        </is>
      </c>
      <c r="F12" s="33" t="n"/>
      <c r="G12" s="33" t="n"/>
      <c r="H12" s="19" t="inlineStr"/>
      <c r="I12" s="19" t="inlineStr"/>
      <c r="J12" s="19" t="inlineStr">
        <is>
          <t>Capital</t>
        </is>
      </c>
      <c r="K12" s="19" t="inlineStr"/>
      <c r="L12" s="21" t="n"/>
      <c r="M12" s="32" t="n">
        <v>45991</v>
      </c>
      <c r="N12" s="19">
        <f>IF(IF(F12&lt;&gt;"",F12,B12)&gt;'02_Parametros'!$B$5,"Sí","No")</f>
        <v/>
      </c>
      <c r="O12" s="21">
        <f>IF(AND(C12="Dividendo declarado",N12="No"),D12,0)</f>
        <v/>
      </c>
      <c r="P12" s="21">
        <f>IF(AND(C12="Dividendo declarado",N12="Sí",K12="Sí"),D12,0)</f>
        <v/>
      </c>
      <c r="Q12" s="21">
        <f>IF(AND(C12="Aumento de capital",B12&lt;='02_Parametros'!$B$5,OR(G12="",G12&gt;'02_Parametros'!$B$5)),D12,0)</f>
        <v/>
      </c>
      <c r="R12" s="21">
        <f>IF(AND(C12="Aporte",H12="Sí"),D12,0)</f>
        <v/>
      </c>
      <c r="S12" s="21">
        <f>IF(AND(I12="Sí",NOT(AND(C12="Aporte",H12="Sí"))),D12,0)</f>
        <v/>
      </c>
      <c r="T12" s="21">
        <f>IF(AND(C12="Recompra",L12&lt;&gt;""),L12,0)</f>
        <v/>
      </c>
      <c r="U12" s="19">
        <f>IF(AND(E12&lt;&gt;"Sí",OR(C12="Aumento de capital",C12="Aporte",C12="Dividendo declarado",C12="Apropiación de reserva",C12="Recompra")),"Sí","No")</f>
        <v/>
      </c>
    </row>
    <row r="13">
      <c r="A13" s="18" t="inlineStr">
        <is>
          <t>AS-2025-ORI</t>
        </is>
      </c>
      <c r="B13" s="31" t="n">
        <v>46022</v>
      </c>
      <c r="C13" s="18" t="inlineStr">
        <is>
          <t>Otro</t>
        </is>
      </c>
      <c r="D13" s="20" t="n">
        <v>3500</v>
      </c>
      <c r="E13" s="18" t="inlineStr"/>
      <c r="F13" s="34" t="n"/>
      <c r="G13" s="34" t="n"/>
      <c r="H13" s="18" t="inlineStr"/>
      <c r="I13" s="18" t="inlineStr"/>
      <c r="J13" s="18" t="inlineStr">
        <is>
          <t>Otros resultados integrales</t>
        </is>
      </c>
      <c r="K13" s="18" t="inlineStr"/>
      <c r="L13" s="20" t="n"/>
      <c r="M13" s="31" t="n">
        <v>46022</v>
      </c>
      <c r="N13" s="18">
        <f>IF(IF(F13&lt;&gt;"",F13,B13)&gt;'02_Parametros'!$B$5,"Sí","No")</f>
        <v/>
      </c>
      <c r="O13" s="20">
        <f>IF(AND(C13="Dividendo declarado",N13="No"),D13,0)</f>
        <v/>
      </c>
      <c r="P13" s="20">
        <f>IF(AND(C13="Dividendo declarado",N13="Sí",K13="Sí"),D13,0)</f>
        <v/>
      </c>
      <c r="Q13" s="20">
        <f>IF(AND(C13="Aumento de capital",B13&lt;='02_Parametros'!$B$5,OR(G13="",G13&gt;'02_Parametros'!$B$5)),D13,0)</f>
        <v/>
      </c>
      <c r="R13" s="20">
        <f>IF(AND(C13="Aporte",H13="Sí"),D13,0)</f>
        <v/>
      </c>
      <c r="S13" s="20">
        <f>IF(AND(I13="Sí",NOT(AND(C13="Aporte",H13="Sí"))),D13,0)</f>
        <v/>
      </c>
      <c r="T13" s="20">
        <f>IF(AND(C13="Recompra",L13&lt;&gt;""),L13,0)</f>
        <v/>
      </c>
      <c r="U13" s="18">
        <f>IF(AND(E13&lt;&gt;"Sí",OR(C13="Aumento de capital",C13="Aporte",C13="Dividendo declarado",C13="Apropiación de reserva",C13="Recompra")),"Sí","No")</f>
        <v/>
      </c>
    </row>
    <row r="14">
      <c r="A14" s="19" t="inlineStr">
        <is>
          <t>JGA-2026-01</t>
        </is>
      </c>
      <c r="B14" s="32" t="n">
        <v>46022</v>
      </c>
      <c r="C14" s="19" t="inlineStr">
        <is>
          <t>Dividendo declarado</t>
        </is>
      </c>
      <c r="D14" s="21" t="n">
        <v>50000</v>
      </c>
      <c r="E14" s="19" t="inlineStr">
        <is>
          <t>Sí</t>
        </is>
      </c>
      <c r="F14" s="32" t="n">
        <v>46073</v>
      </c>
      <c r="G14" s="33" t="n"/>
      <c r="H14" s="19" t="inlineStr"/>
      <c r="I14" s="19" t="inlineStr"/>
      <c r="J14" s="19" t="inlineStr">
        <is>
          <t>Resultados acumulados</t>
        </is>
      </c>
      <c r="K14" s="19" t="inlineStr">
        <is>
          <t>Sí</t>
        </is>
      </c>
      <c r="L14" s="21" t="n"/>
      <c r="M14" s="32" t="n">
        <v>46073</v>
      </c>
      <c r="N14" s="19">
        <f>IF(IF(F14&lt;&gt;"",F14,B14)&gt;'02_Parametros'!$B$5,"Sí","No")</f>
        <v/>
      </c>
      <c r="O14" s="21">
        <f>IF(AND(C14="Dividendo declarado",N14="No"),D14,0)</f>
        <v/>
      </c>
      <c r="P14" s="21">
        <f>IF(AND(C14="Dividendo declarado",N14="Sí",K14="Sí"),D14,0)</f>
        <v/>
      </c>
      <c r="Q14" s="21">
        <f>IF(AND(C14="Aumento de capital",B14&lt;='02_Parametros'!$B$5,OR(G14="",G14&gt;'02_Parametros'!$B$5)),D14,0)</f>
        <v/>
      </c>
      <c r="R14" s="21">
        <f>IF(AND(C14="Aporte",H14="Sí"),D14,0)</f>
        <v/>
      </c>
      <c r="S14" s="21">
        <f>IF(AND(I14="Sí",NOT(AND(C14="Aporte",H14="Sí"))),D14,0)</f>
        <v/>
      </c>
      <c r="T14" s="21">
        <f>IF(AND(C14="Recompra",L14&lt;&gt;""),L14,0)</f>
        <v/>
      </c>
      <c r="U14" s="19">
        <f>IF(AND(E14&lt;&gt;"Sí",OR(C14="Aumento de capital",C14="Aporte",C14="Dividendo declarado",C14="Apropiación de reserva",C14="Recompra")),"Sí","No")</f>
        <v/>
      </c>
    </row>
    <row r="15">
      <c r="A15" s="29" t="inlineStr">
        <is>
          <t>TOTAL</t>
        </is>
      </c>
      <c r="B15" s="35" t="n"/>
      <c r="C15" s="29" t="inlineStr"/>
      <c r="D15" s="30">
        <f>SUM(D5:D14)</f>
        <v/>
      </c>
      <c r="E15" s="29" t="inlineStr"/>
      <c r="F15" s="35" t="n"/>
      <c r="G15" s="35" t="n"/>
      <c r="H15" s="29" t="inlineStr"/>
      <c r="I15" s="29" t="inlineStr"/>
      <c r="J15" s="29" t="inlineStr"/>
      <c r="K15" s="29" t="inlineStr"/>
      <c r="L15" s="30" t="n"/>
      <c r="M15" s="35" t="n"/>
      <c r="N15" s="29" t="inlineStr"/>
      <c r="O15" s="30">
        <f>SUM(O5:O14)</f>
        <v/>
      </c>
      <c r="P15" s="30">
        <f>SUM(P5:P14)</f>
        <v/>
      </c>
      <c r="Q15" s="30">
        <f>SUM(Q5:Q14)</f>
        <v/>
      </c>
      <c r="R15" s="30">
        <f>SUM(R5:R14)</f>
        <v/>
      </c>
      <c r="S15" s="30">
        <f>SUM(S5:S14)</f>
        <v/>
      </c>
      <c r="T15" s="30">
        <f>SUM(T5:T14)</f>
        <v/>
      </c>
      <c r="U15" s="29" t="inlineStr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Posterior al corte</t>
        </is>
      </c>
      <c r="B19" s="25" t="inlineStr">
        <is>
          <t>'=IF(IF(F5&lt;&gt;"",F5,B5)&gt;'02_Parametros'!$B$5,"Sí","No")</t>
        </is>
      </c>
      <c r="C19" s="24" t="inlineStr">
        <is>
          <t>Marca «Sí» si la fecha del acta (o, sin ella, la fecha de la transacción) es posterior al corte de la hoja 02 (Parámetros); si no, «No».</t>
        </is>
      </c>
      <c r="D19" s="24" t="inlineStr">
        <is>
          <t>Fila 1: IF(IF(«2025-03-20»&lt;&gt;""; «2025-03-20»; «2025-03-28»)&gt;«2025-12-31»; "Sí"; "No") → No</t>
        </is>
      </c>
      <c r="E19" s="24" t="inlineStr">
        <is>
          <t>«Fecha del acta» (esta hoja), «Fecha» (esta hoja), hoja «Parámetros»</t>
        </is>
      </c>
      <c r="F19" s="24" t="inlineStr">
        <is>
          <t>—</t>
        </is>
      </c>
    </row>
    <row r="20">
      <c r="A20" s="24" t="inlineStr">
        <is>
          <t>Dividendo del período</t>
        </is>
      </c>
      <c r="B20" s="25" t="inlineStr">
        <is>
          <t>'=IF(AND(C5="Dividendo declarado",N5="No"),D5,0)</t>
        </is>
      </c>
      <c r="C20" s="24" t="inlineStr">
        <is>
          <t>Si es un dividendo declarado y no es posterior al corte, toma su importe; si no, pone cero.</t>
        </is>
      </c>
      <c r="D20" s="24" t="inlineStr">
        <is>
          <t>Fila 1: IF(AND(«Aumento de capital»="Dividendo declarado"; «No»="No"); 60.000,00; 0) → 0,00</t>
        </is>
      </c>
      <c r="E20" s="24" t="inlineStr">
        <is>
          <t>«Tipo» (esta hoja), «Posterior al corte» (esta hoja), «Importe» (esta hoja)</t>
        </is>
      </c>
      <c r="F20" s="24" t="inlineStr">
        <is>
          <t>—</t>
        </is>
      </c>
    </row>
    <row r="21">
      <c r="A21" s="24" t="inlineStr">
        <is>
          <t>Dividendo posterior como pasivo</t>
        </is>
      </c>
      <c r="B21" s="25" t="inlineStr">
        <is>
          <t>'=IF(AND(C5="Dividendo declarado",N5="Sí",K5="Sí"),D5,0)</t>
        </is>
      </c>
      <c r="C21" s="24" t="inlineStr">
        <is>
          <t>Si es un dividendo declarado después del corte y el cliente igual lo registró como pasivo al corte, toma su importe (es un error); si no, cero.</t>
        </is>
      </c>
      <c r="D21" s="24" t="inlineStr">
        <is>
          <t>Fila 1: IF(AND(«Aumento de capital»="Dividendo declarado"; «No»="Sí"; (vacío)="Sí"); 60.000,00; 0) → 0,00</t>
        </is>
      </c>
      <c r="E21" s="24" t="inlineStr">
        <is>
          <t>«Tipo» (esta hoja), «Posterior al corte» (esta hoja), «Pasivo al corte» (esta hoja), «Importe» (esta hoja)</t>
        </is>
      </c>
      <c r="F21" s="24" t="inlineStr">
        <is>
          <t>—</t>
        </is>
      </c>
    </row>
    <row r="22">
      <c r="A22" s="24" t="inlineStr">
        <is>
          <t>Aumento no inscrito</t>
        </is>
      </c>
      <c r="B22" s="25" t="inlineStr">
        <is>
          <t>'=IF(AND(C5="Aumento de capital",B5&lt;='02_Parametros'!$B$5,OR(G5="",G5&gt;'02_Parametros'!$B$5)),D5,0)</t>
        </is>
      </c>
      <c r="C22" s="24" t="inlineStr">
        <is>
          <t>Si es un aumento de capital con fecha hasta el corte de la hoja 02 y no tiene inscripción, o se inscribió después del corte, toma su importe; si no, cero.</t>
        </is>
      </c>
      <c r="D22" s="24" t="inlineStr">
        <is>
          <t>Fila 1: IF(AND(«Aumento de capital»="Aumento de capital"; «2025-03-28»&lt;=«2025-12-31»; OR(«2025-05-15»=""; «2025-05-15»&gt;«2025-12-31»)); 60.000,00; 0) → 0,00</t>
        </is>
      </c>
      <c r="E22" s="24" t="inlineStr">
        <is>
          <t>«Tipo» (esta hoja), «Fecha» (esta hoja), «Inscripción» (esta hoja), «Importe» (esta hoja), hoja «Parámetros»</t>
        </is>
      </c>
      <c r="F22" s="24" t="inlineStr">
        <is>
          <t>—</t>
        </is>
      </c>
    </row>
    <row r="23">
      <c r="A23" s="24" t="inlineStr">
        <is>
          <t>Aporte a pasivo</t>
        </is>
      </c>
      <c r="B23" s="25" t="inlineStr">
        <is>
          <t>'=IF(AND(C5="Aporte",H5="Sí"),D5,0)</t>
        </is>
      </c>
      <c r="C23" s="24" t="inlineStr">
        <is>
          <t>Si es un aporte que tiene obligación de devolución, toma su importe para pasarlo a pasivo; si no, cero.</t>
        </is>
      </c>
      <c r="D23" s="24" t="inlineStr">
        <is>
          <t>Fila 1: IF(AND(«Aumento de capital»="Aporte"; (vacío)="Sí"); 60.000,00; 0) → 0,00</t>
        </is>
      </c>
      <c r="E23" s="24" t="inlineStr">
        <is>
          <t>«Tipo» (esta hoja), «Devolución» (esta hoja), «Importe» (esta hoja)</t>
        </is>
      </c>
      <c r="F23" s="24" t="inlineStr">
        <is>
          <t>—</t>
        </is>
      </c>
    </row>
    <row r="24">
      <c r="A24" s="24" t="inlineStr">
        <is>
          <t>Instrumento a pasivo</t>
        </is>
      </c>
      <c r="B24" s="25" t="inlineStr">
        <is>
          <t>'=IF(AND(I5="Sí",NOT(AND(C5="Aporte",H5="Sí"))),D5,0)</t>
        </is>
      </c>
      <c r="C24" s="24" t="inlineStr">
        <is>
          <t>Si la transacción tiene obligación contractual de entregar efectivo, toma su importe para pasarlo a pasivo, salvo los aportes con devolución, que ya se cuentan en la columna anterior.</t>
        </is>
      </c>
      <c r="D24" s="24" t="inlineStr">
        <is>
          <t>Fila 1: IF(AND((vacío)="Sí"; NOT(AND(«Aumento de capital»="Aporte"; (vacío)="Sí"))); 60.000,00; 0) → 0,00</t>
        </is>
      </c>
      <c r="E24" s="24" t="inlineStr">
        <is>
          <t>«Obligación contractual» (esta hoja), «Tipo» (esta hoja), «Devolución» (esta hoja), «Importe» (esta hoja)</t>
        </is>
      </c>
      <c r="F24" s="24" t="inlineStr">
        <is>
          <t>—</t>
        </is>
      </c>
    </row>
    <row r="25">
      <c r="A25" s="24" t="inlineStr">
        <is>
          <t>Resultado de recompra</t>
        </is>
      </c>
      <c r="B25" s="25" t="inlineStr">
        <is>
          <t>'=IF(AND(C5="Recompra",L5&lt;&gt;""),L5,0)</t>
        </is>
      </c>
      <c r="C25" s="24" t="inlineStr">
        <is>
          <t>Si es una recompra de acciones y el cliente reconoció un resultado, toma ese resultado; si no, pone cero.</t>
        </is>
      </c>
      <c r="D25" s="24" t="inlineStr">
        <is>
          <t>Fila 1: IF(AND(«Aumento de capital»="Recompra"; (vacío)&lt;&gt;""); (vacío); 0) → 0,00</t>
        </is>
      </c>
      <c r="E25" s="24" t="inlineStr">
        <is>
          <t>«Tipo» (esta hoja), «Resultado reconocido» (esta hoja)</t>
        </is>
      </c>
      <c r="F25" s="24" t="inlineStr">
        <is>
          <t>—</t>
        </is>
      </c>
    </row>
    <row r="26">
      <c r="A26" s="24" t="inlineStr">
        <is>
          <t>Sin acta</t>
        </is>
      </c>
      <c r="B26" s="25" t="inlineStr">
        <is>
          <t>'=IF(AND(E5&lt;&gt;"Sí",OR(C5="Aumento de capital",C5="Aporte",C5="Dividendo declarado",C5="Apropiación de reserva",C5="Recompra")),"Sí","No")</t>
        </is>
      </c>
      <c r="C26" s="24" t="inlineStr">
        <is>
          <t>Marca «Sí» si la transacción no tiene acta y es de un tipo que la exige: aumento de capital, aporte, dividendo declarado, apropiación de reserva o recompra.</t>
        </is>
      </c>
      <c r="D26" s="24" t="inlineStr">
        <is>
          <t>Fila 1: IF(AND(«Sí»&lt;&gt;"Sí"; OR(«Aumento de capital»="Aumento de capital"; «Aumento de capital»="Aporte"; «Aumento de capital»="Dividendo declarado"; «Aumento de capital»="Apropiación de reserva"; «Aumento de capital»="Recompra")); "Sí"; "No") → No</t>
        </is>
      </c>
      <c r="E26" s="24" t="inlineStr">
        <is>
          <t>«Acta» (esta hoja), «Tipo» (esta hoja)</t>
        </is>
      </c>
      <c r="F26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60" customWidth="1" min="4" max="4"/>
  </cols>
  <sheetData>
    <row r="1">
      <c r="A1" s="3" t="inlineStr">
        <is>
          <t>Reserva legal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Porcentaje</t>
        </is>
      </c>
      <c r="D4" s="17" t="inlineStr">
        <is>
          <t>Referencia</t>
        </is>
      </c>
    </row>
    <row r="5">
      <c r="A5" s="18" t="inlineStr">
        <is>
          <t>Tipo de compañía aplicado</t>
        </is>
      </c>
      <c r="B5" s="20" t="n"/>
      <c r="C5" s="36" t="n"/>
      <c r="D5" s="18" t="inlineStr">
        <is>
          <t>Anónima (informado: «Anónima») · 02_Parametros</t>
        </is>
      </c>
    </row>
    <row r="6">
      <c r="A6" s="19" t="inlineStr">
        <is>
          <t>Régimen de reserva legal enrutado</t>
        </is>
      </c>
      <c r="B6" s="21" t="n"/>
      <c r="C6" s="37" t="n"/>
      <c r="D6" s="19" t="inlineStr">
        <is>
          <t>Reserva legal obligatoria: 10 % de las utilidades líquidas hasta por lo menos el 50 % del capital (Ley de Compañías art. 297)</t>
        </is>
      </c>
    </row>
    <row r="7">
      <c r="A7" s="18" t="inlineStr">
        <is>
          <t>Utilidad líquida base</t>
        </is>
      </c>
      <c r="B7" s="20">
        <f>IF('02_Parametros'!$B$8="","",'02_Parametros'!$B$8)</f>
        <v/>
      </c>
      <c r="C7" s="36" t="n"/>
      <c r="D7" s="18" t="inlineStr">
        <is>
          <t>02_Parametros</t>
        </is>
      </c>
    </row>
    <row r="8">
      <c r="A8" s="19" t="inlineStr">
        <is>
          <t>% de la utilidad para reserva legal</t>
        </is>
      </c>
      <c r="B8" s="21" t="n"/>
      <c r="C8" s="37">
        <f>IF('02_Parametros'!$B$9="","",'02_Parametros'!$B$9/100)</f>
        <v/>
      </c>
      <c r="D8" s="19" t="inlineStr">
        <is>
          <t>02_Parametros · Reserva legal obligatoria: 10 % de las utilidades líquidas hasta por lo menos el 50 % del capital (Ley de Compañías art. 297)</t>
        </is>
      </c>
    </row>
    <row r="9">
      <c r="A9" s="18" t="inlineStr">
        <is>
          <t>Reserva calculada sobre la utilidad</t>
        </is>
      </c>
      <c r="B9" s="20">
        <f>IF(OR(B7="",C8=""),"",MAX(B7,0)*C8)</f>
        <v/>
      </c>
      <c r="C9" s="36" t="n"/>
      <c r="D9" s="18" t="inlineStr">
        <is>
          <t>Utilidad positiva × %</t>
        </is>
      </c>
    </row>
    <row r="10">
      <c r="A10" s="19" t="inlineStr">
        <is>
          <t>Capital según cliente</t>
        </is>
      </c>
      <c r="B10" s="21">
        <f>SUMIF('03_Movimiento'!$C$5:$C$13,"Capital",'03_Movimiento'!$H$5:$H$13)</f>
        <v/>
      </c>
      <c r="C10" s="37" t="n"/>
      <c r="D10" s="19" t="inlineStr">
        <is>
          <t>03_Movimiento</t>
        </is>
      </c>
    </row>
    <row r="11">
      <c r="A11" s="18" t="inlineStr">
        <is>
          <t>Nivel mínimo de la reserva (% del capital)</t>
        </is>
      </c>
      <c r="B11" s="20" t="n"/>
      <c r="C11" s="36">
        <f>IF('02_Parametros'!$B$10="","",'02_Parametros'!$B$10/100)</f>
        <v/>
      </c>
      <c r="D11" s="18" t="inlineStr">
        <is>
          <t>02_Parametros · Ley de Compañías arts. 297 y 109 (la SAS no tiene nivel mínimo legal)</t>
        </is>
      </c>
    </row>
    <row r="12">
      <c r="A12" s="19" t="inlineStr">
        <is>
          <t>Nivel mínimo de la reserva legal (cesa la apropiación obligatoria)</t>
        </is>
      </c>
      <c r="B12" s="21">
        <f>IF(C11="","",B10*C11)</f>
        <v/>
      </c>
      <c r="C12" s="37" t="n"/>
      <c r="D12" s="19" t="inlineStr">
        <is>
          <t>Capital × % del nivel mínimo</t>
        </is>
      </c>
    </row>
    <row r="13">
      <c r="A13" s="18" t="inlineStr">
        <is>
          <t>Reserva legal inicial</t>
        </is>
      </c>
      <c r="B13" s="20">
        <f>SUMIF('03_Movimiento'!$C$5:$C$13,"Reserva legal",'03_Movimiento'!$D$5:$D$13)</f>
        <v/>
      </c>
      <c r="C13" s="36" t="n"/>
      <c r="D13" s="18" t="inlineStr">
        <is>
          <t>03_Movimiento</t>
        </is>
      </c>
    </row>
    <row r="14">
      <c r="A14" s="19" t="inlineStr">
        <is>
          <t>Margen hasta el nivel mínimo</t>
        </is>
      </c>
      <c r="B14" s="21">
        <f>IF(B12="","",MAX(B12-B13,0))</f>
        <v/>
      </c>
      <c r="C14" s="37" t="n"/>
      <c r="D14" s="19" t="inlineStr">
        <is>
          <t>Nivel mínimo − reserva inicial</t>
        </is>
      </c>
    </row>
    <row r="15">
      <c r="A15" s="18" t="inlineStr">
        <is>
          <t>Reserva legal requerida</t>
        </is>
      </c>
      <c r="B15" s="20">
        <f>IF(B9="","",IF(B14="",B9,MIN(B9,B14)))</f>
        <v/>
      </c>
      <c r="C15" s="36" t="n"/>
      <c r="D15" s="18" t="inlineStr">
        <is>
          <t>mín(calculada, margen); vacío: el régimen no exige reserva legal o no se enrutó</t>
        </is>
      </c>
    </row>
    <row r="16">
      <c r="A16" s="19" t="inlineStr">
        <is>
          <t>Reserva legal apropiada en el período</t>
        </is>
      </c>
      <c r="B16" s="21">
        <f>SUMIF('03_Movimiento'!$C$5:$C$13,"Reserva legal",'03_Movimiento'!$E$5:$E$13)</f>
        <v/>
      </c>
      <c r="C16" s="37" t="n"/>
      <c r="D16" s="19" t="inlineStr">
        <is>
          <t>Aumentos de la cuenta (03_Movimiento)</t>
        </is>
      </c>
    </row>
    <row r="17">
      <c r="A17" s="18" t="inlineStr">
        <is>
          <t>Por apropiar (+) / exceso (−)</t>
        </is>
      </c>
      <c r="B17" s="20">
        <f>IF(B15="","",B15-B16)</f>
        <v/>
      </c>
      <c r="C17" s="36" t="n"/>
      <c r="D17" s="18" t="inlineStr">
        <is>
          <t>Requerida − apropiada</t>
        </is>
      </c>
    </row>
    <row r="18">
      <c r="A18" s="19" t="inlineStr">
        <is>
          <t>Reserva legal final según cliente</t>
        </is>
      </c>
      <c r="B18" s="21">
        <f>SUMIF('03_Movimiento'!$C$5:$C$13,"Reserva legal",'03_Movimiento'!$H$5:$H$13)</f>
        <v/>
      </c>
      <c r="C18" s="37" t="n"/>
      <c r="D18" s="19" t="inlineStr">
        <is>
          <t>03_Movimiento</t>
        </is>
      </c>
    </row>
    <row r="19">
      <c r="A19" s="18" t="inlineStr">
        <is>
          <t>Reserva final sobre el nivel mínimo</t>
        </is>
      </c>
      <c r="B19" s="20">
        <f>IF(B12="","",MAX(B18-B12,0))</f>
        <v/>
      </c>
      <c r="C19" s="36" t="n"/>
      <c r="D19" s="18" t="inlineStr">
        <is>
          <t>Informativo</t>
        </is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Importe</t>
        </is>
      </c>
      <c r="B23" s="25" t="inlineStr">
        <is>
          <t>'=IF('02_Parametros'!$B$8="","",'02_Parametros'!$B$8)</t>
        </is>
      </c>
      <c r="C23" s="24" t="inlineStr">
        <is>
          <t>Cada concepto tiene su cálculo: la utilidad base viene de la hoja 02 (Parámetros); la reserva calculada es la utilidad positiva por el %; capital y reserva inicial, apropiada y final se suman por clase de la hoja 03; el nivel mínimo es capital por %; la requerida es la menor entre la calculada y el margen hasta el nivel mínimo; por apropiar = requerida − apropiada.</t>
        </is>
      </c>
      <c r="D23" s="24" t="inlineStr">
        <is>
          <t>Fila 3: IF(128.000,00=""; ""; 128.000,00) → 128.000,00</t>
        </is>
      </c>
      <c r="E23" s="24" t="inlineStr">
        <is>
          <t>hoja «Parámetros»</t>
        </is>
      </c>
      <c r="F23" s="24" t="inlineStr">
        <is>
          <t>—</t>
        </is>
      </c>
    </row>
    <row r="24">
      <c r="A24" s="24" t="inlineStr">
        <is>
          <t>Porcentaje</t>
        </is>
      </c>
      <c r="B24" s="25" t="inlineStr">
        <is>
          <t>'=IF('02_Parametros'!$B$9="","",'02_Parametros'!$B$9/100)</t>
        </is>
      </c>
      <c r="C24" s="24" t="inlineStr">
        <is>
          <t>Toma de la hoja 02 (Parámetros) el % de la utilidad para la reserva legal y el % del capital que fija su nivel mínimo, divididos para 100; si no se fijaron, quedan en blanco.</t>
        </is>
      </c>
      <c r="D24" s="24" t="inlineStr">
        <is>
          <t>Fila 4: IF(10,00=""; ""; 10,00/100) → 10,00 %</t>
        </is>
      </c>
      <c r="E24" s="24" t="inlineStr">
        <is>
          <t>hoja «Parámetros»</t>
        </is>
      </c>
      <c r="F24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3" t="inlineStr">
        <is>
          <t>Dividendos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Resultados acumulados (saldo inicial)</t>
        </is>
      </c>
      <c r="B5" s="20">
        <f>SUMIF('03_Movimiento'!$C$5:$C$13,"Resultados acumulados",'03_Movimiento'!$D$5:$D$13)</f>
        <v/>
      </c>
      <c r="C5" s="18" t="inlineStr">
        <is>
          <t>03_Movimiento</t>
        </is>
      </c>
    </row>
    <row r="6">
      <c r="A6" s="19" t="inlineStr">
        <is>
          <t>Resultado del ejercicio anterior (saldo inicial)</t>
        </is>
      </c>
      <c r="B6" s="21">
        <f>SUMIF('03_Movimiento'!$C$5:$C$13,"Resultado del ejercicio",'03_Movimiento'!$D$5:$D$13)</f>
        <v/>
      </c>
      <c r="C6" s="19" t="inlineStr">
        <is>
          <t>03_Movimiento</t>
        </is>
      </c>
    </row>
    <row r="7">
      <c r="A7" s="18" t="inlineStr">
        <is>
          <t>Utilidades antes de la reserva legal</t>
        </is>
      </c>
      <c r="B7" s="20">
        <f>MAX(B5+B6,0)</f>
        <v/>
      </c>
      <c r="C7" s="18" t="inlineStr"/>
    </row>
    <row r="8">
      <c r="A8" s="19" t="inlineStr">
        <is>
          <t>Resultados acumulados por adopción por primera vez de NIIF informados</t>
        </is>
      </c>
      <c r="B8" s="21">
        <f>IF(COUNT('03_Movimiento'!$L$5:$L$13)=0,"",SUM('03_Movimiento'!$L$5:$L$13))</f>
        <v/>
      </c>
      <c r="C8" s="19" t="inlineStr">
        <is>
          <t>03_Movimiento · NIIF 1 párr. 11 (los ajustes de transición se reconocen en las reservas por ganancias acumuladas) y 24 a) (conciliación del patrimonio)</t>
        </is>
      </c>
    </row>
    <row r="9">
      <c r="A9" s="18" t="inlineStr">
        <is>
          <t>(−) De ellos en resultados acumulados y del ejercicio (no distribuibles)</t>
        </is>
      </c>
      <c r="B9" s="20">
        <f>IF(B8="","",SUMIF('03_Movimiento'!$C$5:$C$13,"Resultados acumulados",'03_Movimiento'!$L$5:$L$13)+SUMIF('03_Movimiento'!$C$5:$C$13,"Resultado del ejercicio",'03_Movimiento'!$L$5:$L$13))</f>
        <v/>
      </c>
      <c r="C9" s="18" t="inlineStr">
        <is>
          <t>Se presentan aparte; su disponibilidad depende de la regulación societaria y del origen del ajuste</t>
        </is>
      </c>
    </row>
    <row r="10">
      <c r="A10" s="19" t="inlineStr">
        <is>
          <t>Utilidades antes de la reserva legal, netas de los ajustes de transición</t>
        </is>
      </c>
      <c r="B10" s="21">
        <f>MAX(B7-IF(B9="",0,B9),0)</f>
        <v/>
      </c>
      <c r="C10" s="19" t="inlineStr"/>
    </row>
    <row r="11">
      <c r="A11" s="18" t="inlineStr">
        <is>
          <t>(−) Reserva legal requerida</t>
        </is>
      </c>
      <c r="B11" s="20">
        <f>IF('05_Reserva_legal'!B15="",0,'05_Reserva_legal'!B15)</f>
        <v/>
      </c>
      <c r="C11" s="18" t="inlineStr">
        <is>
          <t>05_Reserva_legal</t>
        </is>
      </c>
    </row>
    <row r="12">
      <c r="A12" s="19" t="inlineStr">
        <is>
          <t>(+) Reservas expresas de libre disposición</t>
        </is>
      </c>
      <c r="B12" s="21">
        <f>IF('02_Parametros'!$B$13="",0,'02_Parametros'!$B$13)</f>
        <v/>
      </c>
      <c r="C12" s="19" t="inlineStr">
        <is>
          <t>Ley de Compañías art. 298</t>
        </is>
      </c>
    </row>
    <row r="13">
      <c r="A13" s="18" t="inlineStr">
        <is>
          <t>Utilidades disponibles calculadas</t>
        </is>
      </c>
      <c r="B13" s="20">
        <f>MAX(B10-B11,0)+B12</f>
        <v/>
      </c>
      <c r="C13" s="18" t="inlineStr"/>
    </row>
    <row r="14">
      <c r="A14" s="19" t="inlineStr">
        <is>
          <t>Utilidades disponibles según el auditor</t>
        </is>
      </c>
      <c r="B14" s="21">
        <f>IF('02_Parametros'!$B$12="","",'02_Parametros'!$B$12)</f>
        <v/>
      </c>
      <c r="C14" s="19" t="inlineStr">
        <is>
          <t>02_Parametros (líquidas y realizadas)</t>
        </is>
      </c>
    </row>
    <row r="15">
      <c r="A15" s="18" t="inlineStr">
        <is>
          <t>Utilidades disponibles usadas</t>
        </is>
      </c>
      <c r="B15" s="20">
        <f>IF(B14&lt;&gt;"",B14,B13)</f>
        <v/>
      </c>
      <c r="C15" s="18" t="inlineStr"/>
    </row>
    <row r="16">
      <c r="A16" s="19" t="inlineStr">
        <is>
          <t>Dividendos declarados en el período</t>
        </is>
      </c>
      <c r="B16" s="21">
        <f>SUM('04_Transacciones'!$O$5:$O$14)</f>
        <v/>
      </c>
      <c r="C16" s="19" t="inlineStr">
        <is>
          <t>04_Transacciones · NIC 32 35</t>
        </is>
      </c>
    </row>
    <row r="17">
      <c r="A17" s="18" t="inlineStr">
        <is>
          <t>Dividendos en exceso de utilidades disponibles</t>
        </is>
      </c>
      <c r="B17" s="20">
        <f>MAX(B16-B15,0)</f>
        <v/>
      </c>
      <c r="C17" s="18" t="inlineStr">
        <is>
          <t>Ley de Compañías arts. 208 y 298</t>
        </is>
      </c>
    </row>
    <row r="18">
      <c r="A18" s="19" t="inlineStr">
        <is>
          <t>Dividendos declarados después del cierre</t>
        </is>
      </c>
      <c r="B18" s="21">
        <f>SUMIFS('04_Transacciones'!$D$5:$D$14,'04_Transacciones'!$C$5:$C$14,"Dividendo declarado",'04_Transacciones'!$N$5:$N$14,"Sí")</f>
        <v/>
      </c>
      <c r="C18" s="19" t="inlineStr">
        <is>
          <t>Revelar · NIC 1 137 a)</t>
        </is>
      </c>
    </row>
    <row r="19">
      <c r="A19" s="18" t="inlineStr">
        <is>
          <t>De ellos registrados como pasivo al corte</t>
        </is>
      </c>
      <c r="B19" s="20">
        <f>SUM('04_Transacciones'!$P$5:$P$14)</f>
        <v/>
      </c>
      <c r="C19" s="18" t="inlineStr">
        <is>
          <t>Error · NIC 10 12–13</t>
        </is>
      </c>
    </row>
    <row r="20">
      <c r="A20" s="19" t="inlineStr">
        <is>
          <t>Dividendos pagados en el período</t>
        </is>
      </c>
      <c r="B20" s="21">
        <f>SUMIFS('04_Transacciones'!$D$5:$D$14,'04_Transacciones'!$C$5:$C$14,"Dividendo pagado",'04_Transacciones'!$N$5:$N$14,"No")</f>
        <v/>
      </c>
      <c r="C20" s="19" t="inlineStr">
        <is>
          <t>04_Transacciones</t>
        </is>
      </c>
    </row>
    <row r="21">
      <c r="A21" s="18" t="inlineStr">
        <is>
          <t>Beneficios líquidos base del mínimo legal (utilidad − reserva legal requerida)</t>
        </is>
      </c>
      <c r="B21" s="20">
        <f>IF('05_Reserva_legal'!B7="","",MAX('05_Reserva_legal'!B7-B11,0))</f>
        <v/>
      </c>
      <c r="C21" s="18" t="inlineStr">
        <is>
          <t>05_Reserva_legal · Ley de Compañías art. 297</t>
        </is>
      </c>
    </row>
    <row r="22">
      <c r="A22" s="19" t="inlineStr">
        <is>
          <t>Dividendo mínimo legal</t>
        </is>
      </c>
      <c r="B22" s="21">
        <f>IF(OR(B21="",'02_Parametros'!$B$15="Sí",'02_Parametros'!$B$14=""),"",B21*'02_Parametros'!$B$14/100)</f>
        <v/>
      </c>
      <c r="C22" s="19" t="inlineStr">
        <is>
          <t>Art. 297 (compañía anónima): 50 % salvo resolución unánime (30 % en emisores inscritos en el Catastro Público del Mercado de Valores); en otras formas societarias, el % que informe el auditor; vigente al corte</t>
        </is>
      </c>
    </row>
    <row r="23">
      <c r="A23" s="18" t="inlineStr">
        <is>
          <t>Dividendos por debajo del mínimo legal</t>
        </is>
      </c>
      <c r="B23" s="20">
        <f>IF(B22="","",MAX(B22-B16,0))</f>
        <v/>
      </c>
      <c r="C23" s="18" t="inlineStr">
        <is>
          <t>Faltante por asignar</t>
        </is>
      </c>
    </row>
    <row r="25">
      <c r="A25" s="22" t="inlineStr">
        <is>
          <t>ⓘ  Cómo se calcula esta hoja</t>
        </is>
      </c>
    </row>
    <row r="26">
      <c r="A26" s="23" t="inlineStr">
        <is>
          <t>Columna</t>
        </is>
      </c>
      <c r="B26" s="23" t="inlineStr">
        <is>
          <t>Fórmula (Excel)</t>
        </is>
      </c>
      <c r="C26" s="23" t="inlineStr">
        <is>
          <t>Cómo se calcula (sencillo)</t>
        </is>
      </c>
      <c r="D26" s="23" t="inlineStr">
        <is>
          <t>Ejemplo con números reales</t>
        </is>
      </c>
      <c r="E26" s="23" t="inlineStr">
        <is>
          <t>De dónde viene</t>
        </is>
      </c>
      <c r="F26" s="23" t="inlineStr">
        <is>
          <t>Norma</t>
        </is>
      </c>
    </row>
    <row r="27">
      <c r="A27" s="24" t="inlineStr">
        <is>
          <t>Importe</t>
        </is>
      </c>
      <c r="B27" s="25" t="inlineStr">
        <is>
          <t>'=SUMIF('03_Movimiento'!$C$5:$C$13,"Resultados acumulados",'03_Movimiento'!$D$5:$D$13)</t>
        </is>
      </c>
      <c r="C27" s="24" t="inlineStr">
        <is>
          <t>Los saldos iniciales de resultados y los ajustes por adopción de NIIF se suman por clase de la hoja 03; la reserva requerida viene de la hoja 05; las reservas libres y el dato del auditor, de la hoja 02; los dividendos declarados, posteriores y pagados se suman de la hoja 04; el resto combina las filas de esta hoja (utilidad disponible, exceso, mínimo legal y faltante).</t>
        </is>
      </c>
      <c r="D27" s="24" t="inlineStr">
        <is>
          <t>Fila 1: SUMIF([«Clase» de «Movimiento patrimonial», 9 filas]; "Resultados acumulados"; [«Saldo inicial» de «Movimiento patrimonial», 9 filas]) → 150.000,00</t>
        </is>
      </c>
      <c r="E27" s="24" t="inlineStr">
        <is>
          <t>hoja «Movimiento patrimonial»</t>
        </is>
      </c>
      <c r="F27" s="24" t="inlineStr">
        <is>
          <t>—</t>
        </is>
      </c>
    </row>
  </sheetData>
  <mergeCells count="3">
    <mergeCell ref="A2:F2"/>
    <mergeCell ref="A1:F1"/>
    <mergeCell ref="A25:F2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20" customWidth="1" min="3" max="3"/>
  </cols>
  <sheetData>
    <row r="1">
      <c r="A1" s="3" t="inlineStr">
        <is>
          <t>Capital y aumentos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Capital según cliente</t>
        </is>
      </c>
      <c r="B5" s="20">
        <f>SUMIF('03_Movimiento'!$C$5:$C$13,"Capital",'03_Movimiento'!$H$5:$H$13)</f>
        <v/>
      </c>
      <c r="C5" s="18" t="inlineStr">
        <is>
          <t>03_Movimiento</t>
        </is>
      </c>
    </row>
    <row r="6">
      <c r="A6" s="19" t="inlineStr">
        <is>
          <t>Capital según escritura / Supercias</t>
        </is>
      </c>
      <c r="B6" s="21">
        <f>IF('02_Parametros'!$B$11="","",'02_Parametros'!$B$11)</f>
        <v/>
      </c>
      <c r="C6" s="19" t="inlineStr">
        <is>
          <t>02_Parametros</t>
        </is>
      </c>
    </row>
    <row r="7">
      <c r="A7" s="18" t="inlineStr">
        <is>
          <t>Diferencia cliente − escritura</t>
        </is>
      </c>
      <c r="B7" s="20">
        <f>IF(B6="","",B5-B6)</f>
        <v/>
      </c>
      <c r="C7" s="18" t="inlineStr"/>
    </row>
    <row r="8">
      <c r="A8" s="19" t="inlineStr">
        <is>
          <t>Aumentos de capital del período</t>
        </is>
      </c>
      <c r="B8" s="21">
        <f>SUMIF('04_Transacciones'!$C$5:$C$14,"Aumento de capital",'04_Transacciones'!$D$5:$D$14)</f>
        <v/>
      </c>
      <c r="C8" s="19" t="inlineStr">
        <is>
          <t>04_Transacciones</t>
        </is>
      </c>
    </row>
    <row r="9">
      <c r="A9" s="18" t="inlineStr">
        <is>
          <t>Aumentos no inscritos al corte</t>
        </is>
      </c>
      <c r="B9" s="20">
        <f>SUM('04_Transacciones'!$Q$5:$Q$14)</f>
        <v/>
      </c>
      <c r="C9" s="18" t="inlineStr">
        <is>
          <t>Registro Mercantil</t>
        </is>
      </c>
    </row>
    <row r="10">
      <c r="A10" s="19" t="inlineStr">
        <is>
          <t>Aportes para futuras capitalizaciones según cliente</t>
        </is>
      </c>
      <c r="B10" s="21">
        <f>SUMIF('03_Movimiento'!$C$5:$C$13,"Aportes futuras capitalizaciones",'03_Movimiento'!$H$5:$H$13)</f>
        <v/>
      </c>
      <c r="C10" s="19" t="inlineStr">
        <is>
          <t>03_Movimiento</t>
        </is>
      </c>
    </row>
    <row r="11">
      <c r="A11" s="18" t="inlineStr">
        <is>
          <t>Capital menos aumentos no inscritos</t>
        </is>
      </c>
      <c r="B11" s="20">
        <f>B5-B9</f>
        <v/>
      </c>
      <c r="C11" s="18" t="inlineStr"/>
    </row>
    <row r="12">
      <c r="A12" s="19" t="inlineStr">
        <is>
          <t>Diferencia no explicada por aumentos no inscritos</t>
        </is>
      </c>
      <c r="B12" s="21">
        <f>IF(B6="","",B11-B6)</f>
        <v/>
      </c>
      <c r="C12" s="19" t="inlineStr"/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Importe</t>
        </is>
      </c>
      <c r="B16" s="25" t="inlineStr">
        <is>
          <t>'=SUMIF('03_Movimiento'!$C$5:$C$13,"Capital",'03_Movimiento'!$H$5:$H$13)</t>
        </is>
      </c>
      <c r="C16" s="24" t="inlineStr">
        <is>
          <t>El capital y los aportes según el cliente se suman de la hoja 03 (Movimiento patrimonial); el capital según escritura viene de la hoja 02 (Parámetros); los aumentos y los no inscritos se suman de la hoja 04 (Actas y transacciones); las diferencias restan esas filas entre sí.</t>
        </is>
      </c>
      <c r="D16" s="24" t="inlineStr">
        <is>
          <t>Fila 1: SUMIF([«Clase» de «Movimiento patrimonial», 9 filas]; "Capital"; [«Final según cliente» de «Movimiento patrimonial», 9 filas]) → 500.000,00</t>
        </is>
      </c>
      <c r="E16" s="24" t="inlineStr">
        <is>
          <t>hoja «Movimiento patrimonial»</t>
        </is>
      </c>
      <c r="F16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12" customWidth="1" min="5" max="5"/>
    <col width="24" customWidth="1" min="6" max="6"/>
    <col width="25" customWidth="1" min="7" max="7"/>
    <col width="60" customWidth="1" min="8" max="8"/>
  </cols>
  <sheetData>
    <row r="1">
      <c r="A1" s="3" t="inlineStr">
        <is>
          <t>Clasificación deuda / patrimonio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Referencia</t>
        </is>
      </c>
      <c r="B4" s="17" t="inlineStr">
        <is>
          <t>Tipo</t>
        </is>
      </c>
      <c r="C4" s="17" t="inlineStr">
        <is>
          <t>Cuenta</t>
        </is>
      </c>
      <c r="D4" s="17" t="inlineStr">
        <is>
          <t>Importe</t>
        </is>
      </c>
      <c r="E4" s="17" t="inlineStr">
        <is>
          <t>Devolución</t>
        </is>
      </c>
      <c r="F4" s="17" t="inlineStr">
        <is>
          <t>Obligación contractual</t>
        </is>
      </c>
      <c r="G4" s="17" t="inlineStr">
        <is>
          <t>A reclasificar a pasivo</t>
        </is>
      </c>
      <c r="H4" s="17" t="inlineStr">
        <is>
          <t>Fundamento</t>
        </is>
      </c>
    </row>
    <row r="5">
      <c r="A5" s="18" t="inlineStr">
        <is>
          <t>AP-2025-01</t>
        </is>
      </c>
      <c r="B5" s="18" t="inlineStr">
        <is>
          <t>Aporte</t>
        </is>
      </c>
      <c r="C5" s="18" t="inlineStr">
        <is>
          <t>Aportes futuras capitalizaciones</t>
        </is>
      </c>
      <c r="D5" s="20">
        <f>'04_Transacciones'!D9</f>
        <v/>
      </c>
      <c r="E5" s="18" t="inlineStr">
        <is>
          <t>Sí</t>
        </is>
      </c>
      <c r="F5" s="18" t="inlineStr"/>
      <c r="G5" s="20">
        <f>'04_Transacciones'!R9+'04_Transacciones'!S9</f>
        <v/>
      </c>
      <c r="H5" s="18" t="inlineStr">
        <is>
          <t>Aporte con obligación de devolución (NIC 32 11, 15–16, 18 a))</t>
        </is>
      </c>
    </row>
    <row r="6">
      <c r="A6" s="19" t="inlineStr">
        <is>
          <t>JGA-2025-06</t>
        </is>
      </c>
      <c r="B6" s="19" t="inlineStr">
        <is>
          <t>Otro</t>
        </is>
      </c>
      <c r="C6" s="19" t="inlineStr">
        <is>
          <t>Otra</t>
        </is>
      </c>
      <c r="D6" s="21">
        <f>'04_Transacciones'!D11</f>
        <v/>
      </c>
      <c r="E6" s="19" t="inlineStr"/>
      <c r="F6" s="19" t="inlineStr">
        <is>
          <t>Sí</t>
        </is>
      </c>
      <c r="G6" s="21">
        <f>'04_Transacciones'!R11+'04_Transacciones'!S11</f>
        <v/>
      </c>
      <c r="H6" s="19" t="inlineStr">
        <is>
          <t>Obligación contractual de entregar efectivo (NIC 32 11, 15–16, 18 a))</t>
        </is>
      </c>
    </row>
    <row r="7">
      <c r="A7" s="29" t="inlineStr">
        <is>
          <t>TOTAL</t>
        </is>
      </c>
      <c r="B7" s="29" t="inlineStr"/>
      <c r="C7" s="29" t="inlineStr"/>
      <c r="D7" s="30">
        <f>SUM(D5:D6)</f>
        <v/>
      </c>
      <c r="E7" s="29" t="inlineStr"/>
      <c r="F7" s="29" t="inlineStr"/>
      <c r="G7" s="30">
        <f>SUM(G5:G6)</f>
        <v/>
      </c>
      <c r="H7" s="29" t="inlineStr"/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Importe</t>
        </is>
      </c>
      <c r="B11" s="25" t="inlineStr">
        <is>
          <t>'='04_Transacciones'!D9</t>
        </is>
      </c>
      <c r="C11" s="24" t="inlineStr">
        <is>
          <t>Trae el importe de la misma transacción desde la hoja 04 (Actas y transacciones).</t>
        </is>
      </c>
      <c r="D11" s="24" t="inlineStr">
        <is>
          <t>Fila 1: 30.000,00 → 30.000,00</t>
        </is>
      </c>
      <c r="E11" s="24" t="inlineStr">
        <is>
          <t>hoja «Actas y transacciones»</t>
        </is>
      </c>
      <c r="F11" s="24" t="inlineStr">
        <is>
          <t>—</t>
        </is>
      </c>
    </row>
    <row r="12">
      <c r="A12" s="24" t="inlineStr">
        <is>
          <t>A reclasificar a pasivo</t>
        </is>
      </c>
      <c r="B12" s="25" t="inlineStr">
        <is>
          <t>'='04_Transacciones'!R9+'04_Transacciones'!S9</t>
        </is>
      </c>
      <c r="C12" s="24" t="inlineStr">
        <is>
          <t>Suma lo que la hoja 04 (Actas y transacciones) marcó como aporte a pasivo y como instrumento a pasivo para esta transacción.</t>
        </is>
      </c>
      <c r="D12" s="24" t="inlineStr">
        <is>
          <t>Fila 1: 30.000,00+0,00 → 30.000,00</t>
        </is>
      </c>
      <c r="E12" s="24" t="inlineStr">
        <is>
          <t>hoja «Actas y transacciones»</t>
        </is>
      </c>
      <c r="F12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32" customWidth="1" min="5" max="5"/>
    <col width="22" customWidth="1" min="6" max="6"/>
    <col width="30" customWidth="1" min="7" max="7"/>
  </cols>
  <sheetData>
    <row r="1">
      <c r="A1" s="3" t="inlineStr">
        <is>
          <t>Recompra de acciones propias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Referencia</t>
        </is>
      </c>
      <c r="B4" s="17" t="inlineStr">
        <is>
          <t>Fecha</t>
        </is>
      </c>
      <c r="C4" s="17" t="inlineStr">
        <is>
          <t>Costo</t>
        </is>
      </c>
      <c r="D4" s="17" t="inlineStr">
        <is>
          <t>Cuenta</t>
        </is>
      </c>
      <c r="E4" s="17" t="inlineStr">
        <is>
          <t>Deducida como acciones propias</t>
        </is>
      </c>
      <c r="F4" s="17" t="inlineStr">
        <is>
          <t>Resultado reconocido</t>
        </is>
      </c>
      <c r="G4" s="17" t="inlineStr">
        <is>
          <t>A reclasificar al patrimonio</t>
        </is>
      </c>
    </row>
    <row r="5">
      <c r="A5" s="18" t="inlineStr">
        <is>
          <t>JGA-2025-05</t>
        </is>
      </c>
      <c r="B5" s="31" t="n">
        <v>45881</v>
      </c>
      <c r="C5" s="20">
        <f>'04_Transacciones'!D10</f>
        <v/>
      </c>
      <c r="D5" s="18" t="inlineStr">
        <is>
          <t>Acciones propias</t>
        </is>
      </c>
      <c r="E5" s="18">
        <f>IF('04_Transacciones'!J10="","",IF('04_Transacciones'!J10="Acciones propias","Sí","No"))</f>
        <v/>
      </c>
      <c r="F5" s="20">
        <f>'04_Transacciones'!T10</f>
        <v/>
      </c>
      <c r="G5" s="20">
        <f>ABS(F5)</f>
        <v/>
      </c>
    </row>
    <row r="6">
      <c r="A6" s="29" t="inlineStr">
        <is>
          <t>TOTAL</t>
        </is>
      </c>
      <c r="B6" s="35" t="n"/>
      <c r="C6" s="30">
        <f>SUM(C5:C5)</f>
        <v/>
      </c>
      <c r="D6" s="29" t="inlineStr"/>
      <c r="E6" s="29" t="inlineStr"/>
      <c r="F6" s="30">
        <f>SUM(F5:F5)</f>
        <v/>
      </c>
      <c r="G6" s="30">
        <f>SUM(G5:G5)</f>
        <v/>
      </c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Costo</t>
        </is>
      </c>
      <c r="B10" s="25" t="inlineStr">
        <is>
          <t>'='04_Transacciones'!D10</t>
        </is>
      </c>
      <c r="C10" s="24" t="inlineStr">
        <is>
          <t>Trae el importe pagado en la recompra desde la hoja 04 (Actas y transacciones).</t>
        </is>
      </c>
      <c r="D10" s="24" t="inlineStr">
        <is>
          <t>Fila 1: 20.000,00 → 20.000,00</t>
        </is>
      </c>
      <c r="E10" s="24" t="inlineStr">
        <is>
          <t>hoja «Actas y transacciones»</t>
        </is>
      </c>
      <c r="F10" s="24" t="inlineStr">
        <is>
          <t>—</t>
        </is>
      </c>
    </row>
    <row r="11">
      <c r="A11" s="24" t="inlineStr">
        <is>
          <t>Deducida como acciones propias</t>
        </is>
      </c>
      <c r="B11" s="25" t="inlineStr">
        <is>
          <t>'=IF('04_Transacciones'!J10="","",IF('04_Transacciones'!J10="Acciones propias","Sí","No"))</t>
        </is>
      </c>
      <c r="C11" s="24" t="inlineStr">
        <is>
          <t>Marca «Sí» si en la hoja 04 la cuenta afectada es «Acciones propias» y «No» si se registró en otra cuenta; si no se indicó la cuenta, queda en blanco.</t>
        </is>
      </c>
      <c r="D11" s="24" t="inlineStr">
        <is>
          <t>Fila 1: IF(«Acciones propias»=""; ""; IF(«Acciones propias»="Acciones propias"; "Sí"; "No")) → Sí</t>
        </is>
      </c>
      <c r="E11" s="24" t="inlineStr">
        <is>
          <t>hoja «Actas y transacciones»</t>
        </is>
      </c>
      <c r="F11" s="24" t="inlineStr">
        <is>
          <t>—</t>
        </is>
      </c>
    </row>
    <row r="12">
      <c r="A12" s="24" t="inlineStr">
        <is>
          <t>Resultado reconocido</t>
        </is>
      </c>
      <c r="B12" s="25" t="inlineStr">
        <is>
          <t>'='04_Transacciones'!T10</t>
        </is>
      </c>
      <c r="C12" s="24" t="inlineStr">
        <is>
          <t>Trae el resultado que el cliente reconoció por la recompra desde la hoja 04 (Actas y transacciones).</t>
        </is>
      </c>
      <c r="D12" s="24" t="inlineStr">
        <is>
          <t>Fila 1: -1.500,00 → -1.500,00</t>
        </is>
      </c>
      <c r="E12" s="24" t="inlineStr">
        <is>
          <t>hoja «Actas y transacciones»</t>
        </is>
      </c>
      <c r="F12" s="24" t="inlineStr">
        <is>
          <t>—</t>
        </is>
      </c>
    </row>
    <row r="13">
      <c r="A13" s="24" t="inlineStr">
        <is>
          <t>A reclasificar al patrimonio</t>
        </is>
      </c>
      <c r="B13" s="25" t="inlineStr">
        <is>
          <t>'=ABS(F5)</t>
        </is>
      </c>
      <c r="C13" s="24" t="inlineStr">
        <is>
          <t>Toma el resultado reconocido sin signo: es el importe que debe pasar de resultados al patrimonio.</t>
        </is>
      </c>
      <c r="D13" s="24" t="inlineStr">
        <is>
          <t>Fila 1: ABS(-1.500,00) → 1.500,00</t>
        </is>
      </c>
      <c r="E13" s="24" t="inlineStr">
        <is>
          <t>«Resultado reconocido» (esta hoja)</t>
        </is>
      </c>
      <c r="F13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3" t="inlineStr">
        <is>
          <t>Patrimonio auditado y ajustes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Patrimonio según cliente</t>
        </is>
      </c>
      <c r="B5" s="20">
        <f>SUM('03_Movimiento'!$H$5:$H$13)</f>
        <v/>
      </c>
      <c r="C5" s="18" t="inlineStr">
        <is>
          <t>03_Movimiento</t>
        </is>
      </c>
    </row>
    <row r="6">
      <c r="A6" s="19" t="inlineStr">
        <is>
          <t>(−) Aportes con obligación de devolución (a pasivo)</t>
        </is>
      </c>
      <c r="B6" s="21">
        <f>SUM('04_Transacciones'!$R$5:$R$14)</f>
        <v/>
      </c>
      <c r="C6" s="19" t="inlineStr">
        <is>
          <t>08_Clasificacion · NIC 32 11, 15–16, 18 a)</t>
        </is>
      </c>
    </row>
    <row r="7">
      <c r="A7" s="18" t="inlineStr">
        <is>
          <t>(−) Instrumentos con obligación contractual (a pasivo)</t>
        </is>
      </c>
      <c r="B7" s="20">
        <f>SUM('04_Transacciones'!$S$5:$S$14)</f>
        <v/>
      </c>
      <c r="C7" s="18" t="inlineStr">
        <is>
          <t>08_Clasificacion · NIC 32 11, 15–16, 18 a)</t>
        </is>
      </c>
    </row>
    <row r="8">
      <c r="A8" s="19" t="inlineStr">
        <is>
          <t>(+) Dividendos posteriores registrados como pasivo (revertir)</t>
        </is>
      </c>
      <c r="B8" s="21">
        <f>SUM('04_Transacciones'!$P$5:$P$14)</f>
        <v/>
      </c>
      <c r="C8" s="19" t="inlineStr">
        <is>
          <t>NIC 10 12–13</t>
        </is>
      </c>
    </row>
    <row r="9">
      <c r="A9" s="18" t="inlineStr">
        <is>
          <t>Patrimonio auditado</t>
        </is>
      </c>
      <c r="B9" s="20">
        <f>B5-B6-B7+B8</f>
        <v/>
      </c>
      <c r="C9" s="18" t="inlineStr"/>
    </row>
    <row r="10">
      <c r="A10" s="19" t="inlineStr">
        <is>
          <t>Ajuste neto propuesto al patrimonio</t>
        </is>
      </c>
      <c r="B10" s="21">
        <f>B9-B5</f>
        <v/>
      </c>
      <c r="C10" s="19" t="inlineStr">
        <is>
          <t>Negativo: disminuye el patrimonio</t>
        </is>
      </c>
    </row>
    <row r="11">
      <c r="A11" s="18" t="inlineStr">
        <is>
          <t>Diferencias del movimiento recalculado (absolutas)</t>
        </is>
      </c>
      <c r="B11" s="20">
        <f>SUMPRODUCT(ABS('03_Movimiento'!$I$5:$I$13))</f>
        <v/>
      </c>
      <c r="C11" s="18" t="inlineStr">
        <is>
          <t>NIC 1 106–110</t>
        </is>
      </c>
    </row>
    <row r="12">
      <c r="A12" s="19" t="inlineStr">
        <is>
          <t>Patrimonio según el mayor</t>
        </is>
      </c>
      <c r="B12" s="21">
        <f>IF(COUNT('03_Movimiento'!$J$5:$J$13)=0,"",SUM('03_Movimiento'!$J$5:$J$13))</f>
        <v/>
      </c>
      <c r="C12" s="19" t="inlineStr">
        <is>
          <t>03_Movimiento</t>
        </is>
      </c>
    </row>
    <row r="13">
      <c r="A13" s="18" t="inlineStr">
        <is>
          <t>Diferencia cliente − mayor</t>
        </is>
      </c>
      <c r="B13" s="20">
        <f>IF(B12="","",B5-B12)</f>
        <v/>
      </c>
      <c r="C13" s="18" t="inlineStr">
        <is>
          <t>NIA 500</t>
        </is>
      </c>
    </row>
    <row r="14">
      <c r="A14" s="19" t="inlineStr">
        <is>
          <t>Reserva legal requerida</t>
        </is>
      </c>
      <c r="B14" s="21">
        <f>'05_Reserva_legal'!B15</f>
        <v/>
      </c>
      <c r="C14" s="19" t="inlineStr">
        <is>
          <t>05_Reserva_legal</t>
        </is>
      </c>
    </row>
    <row r="15">
      <c r="A15" s="18" t="inlineStr">
        <is>
          <t>Reserva legal apropiada</t>
        </is>
      </c>
      <c r="B15" s="20">
        <f>'05_Reserva_legal'!B16</f>
        <v/>
      </c>
      <c r="C15" s="18" t="inlineStr">
        <is>
          <t>05_Reserva_legal</t>
        </is>
      </c>
    </row>
    <row r="16">
      <c r="A16" s="19" t="inlineStr">
        <is>
          <t>Reserva legal por apropiar (− exceso)</t>
        </is>
      </c>
      <c r="B16" s="21">
        <f>'05_Reserva_legal'!B17</f>
        <v/>
      </c>
      <c r="C16" s="19" t="inlineStr">
        <is>
          <t>Reclasificación dentro del patrimonio</t>
        </is>
      </c>
    </row>
    <row r="17">
      <c r="A17" s="18" t="inlineStr">
        <is>
          <t>Resultados acumulados por adopción por primera vez de NIIF (no distribuibles)</t>
        </is>
      </c>
      <c r="B17" s="20">
        <f>'06_Dividendos'!B8</f>
        <v/>
      </c>
      <c r="C17" s="18" t="inlineStr">
        <is>
          <t>06_Dividendos · NIIF 1 párr. 11 (los ajustes de transición se reconocen en las reservas por ganancias acumuladas) y 24 a) (conciliación del patrimonio)</t>
        </is>
      </c>
    </row>
    <row r="18">
      <c r="A18" s="19" t="inlineStr">
        <is>
          <t>De ellos excluidos de la utilidad disponible para dividendos</t>
        </is>
      </c>
      <c r="B18" s="21">
        <f>'06_Dividendos'!B9</f>
        <v/>
      </c>
      <c r="C18" s="19" t="inlineStr">
        <is>
          <t>Sujetos a la regulación societaria aplicable y al origen del ajuste</t>
        </is>
      </c>
    </row>
    <row r="19">
      <c r="A19" s="18" t="inlineStr">
        <is>
          <t>Dividendos declarados en el período</t>
        </is>
      </c>
      <c r="B19" s="20">
        <f>'06_Dividendos'!B16</f>
        <v/>
      </c>
      <c r="C19" s="18" t="inlineStr">
        <is>
          <t>06_Dividendos</t>
        </is>
      </c>
    </row>
    <row r="20">
      <c r="A20" s="19" t="inlineStr">
        <is>
          <t>Utilidades disponibles para dividendos</t>
        </is>
      </c>
      <c r="B20" s="21">
        <f>'06_Dividendos'!B15</f>
        <v/>
      </c>
      <c r="C20" s="19" t="inlineStr">
        <is>
          <t>06_Dividendos</t>
        </is>
      </c>
    </row>
    <row r="21">
      <c r="A21" s="18" t="inlineStr">
        <is>
          <t>Dividendos en exceso de utilidades disponibles</t>
        </is>
      </c>
      <c r="B21" s="20">
        <f>'06_Dividendos'!B17</f>
        <v/>
      </c>
      <c r="C21" s="18" t="inlineStr">
        <is>
          <t>06_Dividendos</t>
        </is>
      </c>
    </row>
    <row r="22">
      <c r="A22" s="19" t="inlineStr">
        <is>
          <t>Dividendo mínimo legal (art. 297)</t>
        </is>
      </c>
      <c r="B22" s="21">
        <f>'06_Dividendos'!B22</f>
        <v/>
      </c>
      <c r="C22" s="19" t="inlineStr">
        <is>
          <t>06_Dividendos</t>
        </is>
      </c>
    </row>
    <row r="23">
      <c r="A23" s="18" t="inlineStr">
        <is>
          <t>Dividendos por debajo del mínimo legal</t>
        </is>
      </c>
      <c r="B23" s="20">
        <f>'06_Dividendos'!B23</f>
        <v/>
      </c>
      <c r="C23" s="18" t="inlineStr">
        <is>
          <t>06_Dividendos</t>
        </is>
      </c>
    </row>
    <row r="24">
      <c r="A24" s="19" t="inlineStr">
        <is>
          <t>Aumentos de capital no inscritos al corte</t>
        </is>
      </c>
      <c r="B24" s="21">
        <f>'07_Capital'!B9</f>
        <v/>
      </c>
      <c r="C24" s="19" t="inlineStr">
        <is>
          <t>07_Capital</t>
        </is>
      </c>
    </row>
    <row r="25">
      <c r="A25" s="18" t="inlineStr">
        <is>
          <t>Capital según cliente</t>
        </is>
      </c>
      <c r="B25" s="20">
        <f>'07_Capital'!B5</f>
        <v/>
      </c>
      <c r="C25" s="18" t="inlineStr">
        <is>
          <t>07_Capital</t>
        </is>
      </c>
    </row>
    <row r="26">
      <c r="A26" s="19" t="inlineStr">
        <is>
          <t>Capital según escritura / Supercias</t>
        </is>
      </c>
      <c r="B26" s="21">
        <f>'07_Capital'!B6</f>
        <v/>
      </c>
      <c r="C26" s="19" t="inlineStr">
        <is>
          <t>07_Capital</t>
        </is>
      </c>
    </row>
    <row r="27">
      <c r="A27" s="18" t="inlineStr">
        <is>
          <t>Diferencia capital cliente − escritura</t>
        </is>
      </c>
      <c r="B27" s="20">
        <f>'07_Capital'!B7</f>
        <v/>
      </c>
      <c r="C27" s="18" t="inlineStr">
        <is>
          <t>07_Capital</t>
        </is>
      </c>
    </row>
    <row r="28">
      <c r="A28" s="19" t="inlineStr">
        <is>
          <t>Resultado reconocido por recompras</t>
        </is>
      </c>
      <c r="B28" s="21">
        <f>SUM('04_Transacciones'!$T$5:$T$14)</f>
        <v/>
      </c>
      <c r="C28" s="19" t="inlineStr">
        <is>
          <t>09_Recompra · NIC 32 33</t>
        </is>
      </c>
    </row>
    <row r="30">
      <c r="A30" s="22" t="inlineStr">
        <is>
          <t>ⓘ  Cómo se calcula esta hoja</t>
        </is>
      </c>
    </row>
    <row r="31">
      <c r="A31" s="23" t="inlineStr">
        <is>
          <t>Columna</t>
        </is>
      </c>
      <c r="B31" s="23" t="inlineStr">
        <is>
          <t>Fórmula (Excel)</t>
        </is>
      </c>
      <c r="C31" s="23" t="inlineStr">
        <is>
          <t>Cómo se calcula (sencillo)</t>
        </is>
      </c>
      <c r="D31" s="23" t="inlineStr">
        <is>
          <t>Ejemplo con números reales</t>
        </is>
      </c>
      <c r="E31" s="23" t="inlineStr">
        <is>
          <t>De dónde viene</t>
        </is>
      </c>
      <c r="F31" s="23" t="inlineStr">
        <is>
          <t>Norma</t>
        </is>
      </c>
    </row>
    <row r="32">
      <c r="A32" s="24" t="inlineStr">
        <is>
          <t>Importe</t>
        </is>
      </c>
      <c r="B32" s="25" t="inlineStr">
        <is>
          <t>'=SUM('03_Movimiento'!$H$5:$H$13)</t>
        </is>
      </c>
      <c r="C32" s="24" t="inlineStr">
        <is>
          <t>El patrimonio según cliente y según mayor y las diferencias del movimiento salen de la hoja 03; las reclasificaciones a pasivo, los dividendos posteriores y las recompras, de la hoja 04; el auditado es cliente − aportes e instrumentos a pasivo + dividendos posteriores; el ajuste, auditado − cliente; reserva, dividendos y capital se traen de las hojas 05, 06 y 07.</t>
        </is>
      </c>
      <c r="D32" s="24" t="inlineStr">
        <is>
          <t>Fila 1: SUM([«Final según cliente» de «Movimiento patrimonial», 9 filas]) → 935.000,00</t>
        </is>
      </c>
      <c r="E32" s="24" t="inlineStr">
        <is>
          <t>hoja «Movimiento patrimonial»</t>
        </is>
      </c>
      <c r="F32" s="24" t="inlineStr">
        <is>
          <t>—</t>
        </is>
      </c>
    </row>
  </sheetData>
  <mergeCells count="3">
    <mergeCell ref="A2:F2"/>
    <mergeCell ref="A1:F1"/>
    <mergeCell ref="A30:F3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Aportes con obligación de devolución</t>
        </is>
      </c>
      <c r="B5" s="18" t="inlineStr">
        <is>
          <t>Aportes para futuras capitalizaciones (patrimonio)</t>
        </is>
      </c>
      <c r="C5" s="20">
        <f>'10_Ajuste'!B6</f>
        <v/>
      </c>
      <c r="D5" s="20" t="n"/>
    </row>
    <row r="6">
      <c r="A6" s="19" t="inlineStr"/>
      <c r="B6" s="19" t="inlineStr">
        <is>
          <t>Cuentas por pagar a accionistas / socios (pasivo)</t>
        </is>
      </c>
      <c r="C6" s="21" t="n"/>
      <c r="D6" s="21">
        <f>'10_Ajuste'!B6</f>
        <v/>
      </c>
    </row>
    <row r="7">
      <c r="A7" s="18" t="inlineStr">
        <is>
          <t>2 · Instrumentos con obligación contractual</t>
        </is>
      </c>
      <c r="B7" s="18" t="inlineStr">
        <is>
          <t>Capital / acciones preferentes (patrimonio)</t>
        </is>
      </c>
      <c r="C7" s="20">
        <f>'10_Ajuste'!B7</f>
        <v/>
      </c>
      <c r="D7" s="20" t="n"/>
    </row>
    <row r="8">
      <c r="A8" s="19" t="inlineStr"/>
      <c r="B8" s="19" t="inlineStr">
        <is>
          <t>Pasivo financiero (acciones rescatables)</t>
        </is>
      </c>
      <c r="C8" s="21" t="n"/>
      <c r="D8" s="21">
        <f>'10_Ajuste'!B7</f>
        <v/>
      </c>
    </row>
    <row r="9">
      <c r="A9" s="18" t="inlineStr">
        <is>
          <t>3 · Reversión de dividendos posteriores</t>
        </is>
      </c>
      <c r="B9" s="18" t="inlineStr">
        <is>
          <t>Dividendos por pagar</t>
        </is>
      </c>
      <c r="C9" s="20">
        <f>'10_Ajuste'!B8</f>
        <v/>
      </c>
      <c r="D9" s="20" t="n"/>
    </row>
    <row r="10">
      <c r="A10" s="19" t="inlineStr"/>
      <c r="B10" s="19" t="inlineStr">
        <is>
          <t>Resultados acumulados</t>
        </is>
      </c>
      <c r="C10" s="21" t="n"/>
      <c r="D10" s="21">
        <f>'10_Ajuste'!B8</f>
        <v/>
      </c>
    </row>
    <row r="11">
      <c r="A11" s="18" t="inlineStr">
        <is>
          <t>4 · Reserva legal</t>
        </is>
      </c>
      <c r="B11" s="18" t="inlineStr">
        <is>
          <t>Resultados acumulados</t>
        </is>
      </c>
      <c r="C11" s="20">
        <f>ABS('10_Ajuste'!B16)</f>
        <v/>
      </c>
      <c r="D11" s="20" t="n"/>
    </row>
    <row r="12">
      <c r="A12" s="19" t="inlineStr"/>
      <c r="B12" s="19" t="inlineStr">
        <is>
          <t>Reserva legal</t>
        </is>
      </c>
      <c r="C12" s="21" t="n"/>
      <c r="D12" s="21">
        <f>ABS('10_Ajuste'!B16)</f>
        <v/>
      </c>
    </row>
    <row r="13">
      <c r="A13" s="18" t="inlineStr">
        <is>
          <t>5 · Resultado de recompras al patrimonio</t>
        </is>
      </c>
      <c r="B13" s="18" t="inlineStr">
        <is>
          <t>Otras reservas / acciones propias (patrimonio)</t>
        </is>
      </c>
      <c r="C13" s="20">
        <f>ABS('10_Ajuste'!B28)</f>
        <v/>
      </c>
      <c r="D13" s="20" t="n"/>
    </row>
    <row r="14">
      <c r="A14" s="19" t="inlineStr"/>
      <c r="B14" s="19" t="inlineStr">
        <is>
          <t>Resultados del ejercicio (pérdida por recompra)</t>
        </is>
      </c>
      <c r="C14" s="21" t="n"/>
      <c r="D14" s="21">
        <f>ABS('10_Ajuste'!B28)</f>
        <v/>
      </c>
    </row>
    <row r="15">
      <c r="A15" s="18" t="inlineStr">
        <is>
          <t>6 · Aumentos de capital no inscritos (pendientes de inscripción)</t>
        </is>
      </c>
      <c r="B15" s="18" t="inlineStr">
        <is>
          <t>Capital social</t>
        </is>
      </c>
      <c r="C15" s="20">
        <f>'10_Ajuste'!B24</f>
        <v/>
      </c>
      <c r="D15" s="20" t="n"/>
    </row>
    <row r="16">
      <c r="A16" s="19" t="inlineStr"/>
      <c r="B16" s="19" t="inlineStr">
        <is>
          <t>Aportes para futuras capitalizaciones</t>
        </is>
      </c>
      <c r="C16" s="21" t="n"/>
      <c r="D16" s="21">
        <f>'10_Ajuste'!B24</f>
        <v/>
      </c>
    </row>
    <row r="18">
      <c r="A18" s="22" t="inlineStr">
        <is>
          <t>ⓘ  Cómo se calcula esta hoja</t>
        </is>
      </c>
    </row>
    <row r="19">
      <c r="A19" s="23" t="inlineStr">
        <is>
          <t>Columna</t>
        </is>
      </c>
      <c r="B19" s="23" t="inlineStr">
        <is>
          <t>Fórmula (Excel)</t>
        </is>
      </c>
      <c r="C19" s="23" t="inlineStr">
        <is>
          <t>Cómo se calcula (sencillo)</t>
        </is>
      </c>
      <c r="D19" s="23" t="inlineStr">
        <is>
          <t>Ejemplo con números reales</t>
        </is>
      </c>
      <c r="E19" s="23" t="inlineStr">
        <is>
          <t>De dónde viene</t>
        </is>
      </c>
      <c r="F19" s="23" t="inlineStr">
        <is>
          <t>Norma</t>
        </is>
      </c>
    </row>
    <row r="20">
      <c r="A20" s="24" t="inlineStr">
        <is>
          <t>Debe</t>
        </is>
      </c>
      <c r="B20" s="25" t="inlineStr">
        <is>
          <t>'='10_Ajuste'!B6</t>
        </is>
      </c>
      <c r="C20" s="24" t="inlineStr">
        <is>
          <t>Toma cada importe de la hoja 10 (Patrimonio auditado y ajustes): aportes e instrumentos a pasivo, dividendos posteriores, reserva legal, recompras y aumentos no inscritos.</t>
        </is>
      </c>
      <c r="D20" s="24" t="inlineStr">
        <is>
          <t>Fila 1: 30.000,00 → 30.000,00</t>
        </is>
      </c>
      <c r="E20" s="24" t="inlineStr">
        <is>
          <t>hoja «Patrimonio auditado y ajustes»</t>
        </is>
      </c>
      <c r="F20" s="24" t="inlineStr">
        <is>
          <t>—</t>
        </is>
      </c>
    </row>
    <row r="21">
      <c r="A21" s="24" t="inlineStr">
        <is>
          <t>Haber</t>
        </is>
      </c>
      <c r="B21" s="25" t="inlineStr">
        <is>
          <t>'='10_Ajuste'!B6</t>
        </is>
      </c>
      <c r="C21" s="24" t="inlineStr">
        <is>
          <t>Lleva a la contrapartida el mismo importe del asiento, tomado de la hoja 10 (Patrimonio auditado y ajustes), para que debe y haber cuadren.</t>
        </is>
      </c>
      <c r="D21" s="24" t="inlineStr">
        <is>
          <t>Fila 2: 30.000,00 → 30.000,00</t>
        </is>
      </c>
      <c r="E21" s="24" t="inlineStr">
        <is>
          <t>hoja «Patrimonio auditado y ajustes»</t>
        </is>
      </c>
      <c r="F21" s="24" t="inlineStr">
        <is>
          <t>—</t>
        </is>
      </c>
    </row>
  </sheetData>
  <mergeCells count="3">
    <mergeCell ref="A2:F2"/>
    <mergeCell ref="A1:F1"/>
    <mergeCell ref="A18:F18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MOVIMIENTO_NO_CUADRA</t>
        </is>
      </c>
      <c r="B5" s="18" t="inlineStr">
        <is>
          <t>306 Otros resultados integrales: inicial 12.000,00 + aumentos 3.500,00 − disminuciones 0,00 = 15.500,00, pero el saldo final informado es 15.000,00 (diferencia -500,00); el estado de cambios en el patrimonio debe conciliar cada componente (NIC 1 106–110).</t>
        </is>
      </c>
      <c r="C5" s="20" t="n">
        <v>-500</v>
      </c>
    </row>
    <row r="6">
      <c r="A6" s="19" t="inlineStr">
        <is>
          <t>DIF_MAYOR</t>
        </is>
      </c>
      <c r="B6" s="19" t="inlineStr">
        <is>
          <t>308 Resultado del ejercicio: saldo del cliente 142.000,00 vs mayor 143.200,00 (diferencia -1.200,00) (NIA 500).</t>
        </is>
      </c>
      <c r="C6" s="21" t="n">
        <v>-1200</v>
      </c>
    </row>
    <row r="7">
      <c r="A7" s="18" t="inlineStr">
        <is>
          <t>RESERVA_LEGAL_NO_APROPIADA</t>
        </is>
      </c>
      <c r="B7" s="18" t="inlineStr">
        <is>
          <t>Reserva legal requerida 12.800,00 (10,00 % de la utilidad 128.000,00, hasta el 50,00 % del capital) frente a 8.000,00 apropiada: falta apropiar 4.800,00 (Reserva legal obligatoria: 10 % de las utilidades líquidas hasta por lo menos el 50 % del capital (Ley de Compañías art. 297); compañía Anónima; confirmar que sigue vigente al corte).</t>
        </is>
      </c>
      <c r="C7" s="20" t="n">
        <v>4800</v>
      </c>
    </row>
    <row r="8">
      <c r="A8" s="19" t="inlineStr">
        <is>
          <t>TRANSICION_NIIF_NO_DISTRIBUIBLE</t>
        </is>
      </c>
      <c r="B8" s="19" t="inlineStr">
        <is>
          <t>Resultados acumulados por adopción por primera vez de NIIF por 18.000,00 separados del resultado disponible para dividendos: no se mezclan automáticamente con la utilidad distribuible. Su disponibilidad queda sujeta a la regulación societaria ecuatoriana aplicable y a la naturaleza y el origen de cada ajuste (revalorizaciones y ajustes que no corresponden a beneficios realmente obtenidos y percibidos no son repartibles: Ley de Compañías arts. 208 y 297; confirmar que sigue vigente al corte y revisar la resolución de la Superintendencia de Compañías sobre el destino de los resultados acumulados por adopción por primera vez de NIIF).</t>
        </is>
      </c>
      <c r="C8" s="21" t="n">
        <v>18000</v>
      </c>
    </row>
    <row r="9">
      <c r="A9" s="18" t="inlineStr">
        <is>
          <t>DIVIDENDOS_SOBRE_UTILIDADES_NO_DISPONIBLES</t>
        </is>
      </c>
      <c r="B9" s="18" t="inlineStr">
        <is>
          <t>Dividendos declarados en el período 90.000,00 superan las utilidades disponibles 80.000,00 en 10.000,00: Ley de Compañías arts. 208 y 298: solo beneficios realmente obtenidos y percibidos o reservas de libre disposición — evalúe la legalidad y la revelación (NIC 32 35).</t>
        </is>
      </c>
      <c r="C9" s="20" t="n">
        <v>10000</v>
      </c>
    </row>
    <row r="10">
      <c r="A10" s="19" t="inlineStr">
        <is>
          <t>DIVIDENDO_POSTERIOR_COMO_PASIVO</t>
        </is>
      </c>
      <c r="B10" s="19" t="inlineStr">
        <is>
          <t>JGA-2026-01: dividendo declarado el 2026-02-20 (después del cierre) registrado como pasivo al corte por 50.000,00: no existía obligación al cierre; revertir contra el patrimonio y revelar en notas (NIC 10 12–13; NIC 1 137 a)).</t>
        </is>
      </c>
      <c r="C10" s="21" t="n">
        <v>50000</v>
      </c>
    </row>
    <row r="11">
      <c r="A11" s="18" t="inlineStr">
        <is>
          <t>DIVIDENDO_POSTERIOR_REVELAR</t>
        </is>
      </c>
      <c r="B11" s="18" t="inlineStr">
        <is>
          <t>Dividendos declarados después del cierre por 50.000,00: revelar el importe y el importe por acción en las notas (NIC 1 137 a)).</t>
        </is>
      </c>
      <c r="C11" s="20" t="n">
        <v>50000</v>
      </c>
    </row>
    <row r="12">
      <c r="A12" s="19" t="inlineStr">
        <is>
          <t>CAPITAL_NO_COINCIDE_ESCRITURA</t>
        </is>
      </c>
      <c r="B12" s="19" t="inlineStr">
        <is>
          <t>Capital según cliente 500.000,00 vs escritura / Supercias 460.000,00: diferencia 40.000,00 (de ella 40.000,00 por aumentos no inscritos).</t>
        </is>
      </c>
      <c r="C12" s="21" t="n">
        <v>40000</v>
      </c>
    </row>
    <row r="13">
      <c r="A13" s="18" t="inlineStr">
        <is>
          <t>APORTE_ES_PASIVO</t>
        </is>
      </c>
      <c r="B13" s="18" t="inlineStr">
        <is>
          <t>AP-2025-01: aporte de 30.000,00 con obligación de devolución: es un pasivo financiero, no patrimonio (NIC 32 11, 15–16, 18 a); confirme la resolución vigente de la Superintendencia de Compañías).</t>
        </is>
      </c>
      <c r="C13" s="20" t="n">
        <v>30000</v>
      </c>
    </row>
    <row r="14">
      <c r="A14" s="19" t="inlineStr">
        <is>
          <t>RECOMPRA_CON_RESULTADO</t>
        </is>
      </c>
      <c r="B14" s="19" t="inlineStr">
        <is>
          <t>JGA-2025-05: la recompra reconoció -1.500,00 en resultados: la contraprestación de acciones propias se reconoce directamente en el patrimonio, sin pérdida ni ganancia (NIC 32 33).</t>
        </is>
      </c>
      <c r="C14" s="21" t="n">
        <v>1500</v>
      </c>
    </row>
    <row r="15">
      <c r="A15" s="18" t="inlineStr">
        <is>
          <t>INSTRUMENTO_MAL_CLASIFICADO</t>
        </is>
      </c>
      <c r="B15" s="18" t="inlineStr">
        <is>
          <t>JGA-2025-06: instrumento de 45.000,00 con obligación contractual de entregar efectivo (p. ej. acciones preferentes rescatables) presentado en patrimonio: reclasificar a pasivo (NIC 32 11, 15–16, 18 a)).</t>
        </is>
      </c>
      <c r="C15" s="20" t="n">
        <v>45000</v>
      </c>
    </row>
    <row r="16">
      <c r="A16" s="19" t="inlineStr">
        <is>
          <t>AUMENTO_NO_INSCRITO</t>
        </is>
      </c>
      <c r="B16" s="19" t="inlineStr">
        <is>
          <t>JGA-2025-04: aumento de capital de 40.000,00 sin inscripción en el Registro Mercantil al corte: presentarlo como aporte para futura capitalización hasta la inscripción (Ley de Compañías art. 33: el aumento sigue las solemnidades de la constitución; confirme la inscripción en el Registro Mercantil).</t>
        </is>
      </c>
      <c r="C16" s="21" t="n">
        <v>40000</v>
      </c>
    </row>
    <row r="17">
      <c r="A17" s="18" t="inlineStr">
        <is>
          <t>SIN_ACTA</t>
        </is>
      </c>
      <c r="B17" s="18" t="inlineStr">
        <is>
          <t>JGA-2025-04: aumento de capital de 40.000,00 sin acta de junta informada: obtenga la resolución que la autoriza (Ley de Compañías; NIA 500).</t>
        </is>
      </c>
      <c r="C17" s="20" t="n">
        <v>40000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Patrimonio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2026-09-24T04:20:37Z</dcterms:created>
  <dcterms:modified xmlns:dcterms="http://purl.org/dc/terms/" xmlns:xsi="http://www.w3.org/2001/XMLSchema-instance" xsi:type="dcterms:W3CDTF">2026-09-24T04:20:37Z</dcterms:modified>
</cp:coreProperties>
</file>