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Analisis_global" sheetId="7" state="visible" r:id="rId7"/>
    <sheet xmlns:r="http://schemas.openxmlformats.org/officeDocument/2006/relationships" name="04_Presentacion_ERI" sheetId="8" state="visible" r:id="rId8"/>
    <sheet xmlns:r="http://schemas.openxmlformats.org/officeDocument/2006/relationships" name="05_Transacciones" sheetId="9" state="visible" r:id="rId9"/>
    <sheet xmlns:r="http://schemas.openxmlformats.org/officeDocument/2006/relationships" name="06_Vouching" sheetId="10" state="visible" r:id="rId10"/>
    <sheet xmlns:r="http://schemas.openxmlformats.org/officeDocument/2006/relationships" name="07_Corte" sheetId="11" state="visible" r:id="rId11"/>
    <sheet xmlns:r="http://schemas.openxmlformats.org/officeDocument/2006/relationships" name="08_Devengo" sheetId="12" state="visible" r:id="rId12"/>
    <sheet xmlns:r="http://schemas.openxmlformats.org/officeDocument/2006/relationships" name="09_Reclasificaciones" sheetId="13" state="visible" r:id="rId13"/>
    <sheet xmlns:r="http://schemas.openxmlformats.org/officeDocument/2006/relationships" name="10_Partes_relacionadas" sheetId="14" state="visible" r:id="rId14"/>
    <sheet xmlns:r="http://schemas.openxmlformats.org/officeDocument/2006/relationships" name="11_RP_Integridad" sheetId="15" state="visible" r:id="rId15"/>
    <sheet xmlns:r="http://schemas.openxmlformats.org/officeDocument/2006/relationships" name="12_Inusuales" sheetId="16" state="visible" r:id="rId16"/>
    <sheet xmlns:r="http://schemas.openxmlformats.org/officeDocument/2006/relationships" name="13_Tributario" sheetId="17" state="visible" r:id="rId17"/>
    <sheet xmlns:r="http://schemas.openxmlformats.org/officeDocument/2006/relationships" name="14_Ajustes" sheetId="18" state="visible" r:id="rId18"/>
    <sheet xmlns:r="http://schemas.openxmlformats.org/officeDocument/2006/relationships" name="15_Asientos" sheetId="19" state="visible" r:id="rId19"/>
    <sheet xmlns:r="http://schemas.openxmlformats.org/officeDocument/2006/relationships" name="16_Problemas" sheetId="20" state="visible" r:id="rId20"/>
    <sheet xmlns:r="http://schemas.openxmlformats.org/officeDocument/2006/relationships" name="13_Conclusion" sheetId="21" state="visible" r:id="rId21"/>
    <sheet xmlns:r="http://schemas.openxmlformats.org/officeDocument/2006/relationships" name="14_Control_Revision" sheetId="22" state="visible" r:id="rId22"/>
  </sheets>
  <definedNames>
    <definedName name="_xlnm.Print_Area" localSheetId="0">'00_Inicio'!$A$1:$L$73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  <xf numFmtId="0" fontId="13" fillId="5" borderId="4" applyAlignment="1" pivotButton="0" quotePrefix="0" xfId="0">
      <alignment horizontal="left" vertical="top" wrapText="1"/>
    </xf>
    <xf numFmtId="4" fontId="13" fillId="5" borderId="4" applyAlignment="1" pivotButton="0" quotePrefix="0" xfId="0">
      <alignment horizontal="right" vertical="center"/>
    </xf>
    <xf numFmtId="10" fontId="13" fillId="5" borderId="4" applyAlignment="1" pivotButton="0" quotePrefix="0" xfId="0">
      <alignment horizontal="right" vertical="center"/>
    </xf>
    <xf numFmtId="3" fontId="12" fillId="0" borderId="3" applyAlignment="1" pivotButton="0" quotePrefix="0" xfId="0">
      <alignment horizontal="right" vertical="center"/>
    </xf>
    <xf numFmtId="3" fontId="12" fillId="6" borderId="3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165" fontId="12" fillId="0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center" vertical="center" wrapText="1"/>
    </xf>
    <xf numFmtId="165" fontId="12" fillId="6" borderId="3" applyAlignment="1" pivotButton="0" quotePrefix="0" xfId="0">
      <alignment horizontal="right" vertical="center"/>
    </xf>
    <xf numFmtId="165" fontId="1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'00_Inicio'!O24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'00_Inicio'!$N$25:$N$39</f>
            </numRef>
          </cat>
          <val>
            <numRef>
              <f>'00_Inicio'!$O$25:$O$39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'00_Inicio'!O41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'00_Inicio'!$N$42:$N$49</f>
            </numRef>
          </cat>
          <val>
            <numRef>
              <f>'00_Inicio'!$O$42:$O$49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7740000" cy="49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53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Analisis_global'!A1" TargetMode="External" Id="rId6"/><Relationship Type="http://schemas.openxmlformats.org/officeDocument/2006/relationships/hyperlink" Target="#'04_Presentacion_ERI'!A1" TargetMode="External" Id="rId7"/><Relationship Type="http://schemas.openxmlformats.org/officeDocument/2006/relationships/hyperlink" Target="#'05_Transacciones'!A1" TargetMode="External" Id="rId8"/><Relationship Type="http://schemas.openxmlformats.org/officeDocument/2006/relationships/hyperlink" Target="#'06_Vouching'!A1" TargetMode="External" Id="rId9"/><Relationship Type="http://schemas.openxmlformats.org/officeDocument/2006/relationships/hyperlink" Target="#'07_Corte'!A1" TargetMode="External" Id="rId10"/><Relationship Type="http://schemas.openxmlformats.org/officeDocument/2006/relationships/hyperlink" Target="#'08_Devengo'!A1" TargetMode="External" Id="rId11"/><Relationship Type="http://schemas.openxmlformats.org/officeDocument/2006/relationships/hyperlink" Target="#'09_Reclasificaciones'!A1" TargetMode="External" Id="rId12"/><Relationship Type="http://schemas.openxmlformats.org/officeDocument/2006/relationships/hyperlink" Target="#'10_Partes_relacionadas'!A1" TargetMode="External" Id="rId13"/><Relationship Type="http://schemas.openxmlformats.org/officeDocument/2006/relationships/hyperlink" Target="#'11_RP_Integridad'!A1" TargetMode="External" Id="rId14"/><Relationship Type="http://schemas.openxmlformats.org/officeDocument/2006/relationships/hyperlink" Target="#'12_Inusuales'!A1" TargetMode="External" Id="rId15"/><Relationship Type="http://schemas.openxmlformats.org/officeDocument/2006/relationships/hyperlink" Target="#'13_Tributario'!A1" TargetMode="External" Id="rId16"/><Relationship Type="http://schemas.openxmlformats.org/officeDocument/2006/relationships/hyperlink" Target="#'14_Ajustes'!A1" TargetMode="External" Id="rId17"/><Relationship Type="http://schemas.openxmlformats.org/officeDocument/2006/relationships/hyperlink" Target="#'15_Asientos'!A1" TargetMode="External" Id="rId18"/><Relationship Type="http://schemas.openxmlformats.org/officeDocument/2006/relationships/hyperlink" Target="#'16_Problemas'!A1" TargetMode="External" Id="rId19"/><Relationship Type="http://schemas.openxmlformats.org/officeDocument/2006/relationships/hyperlink" Target="#'13_Conclusion'!A1" TargetMode="External" Id="rId20"/><Relationship Type="http://schemas.openxmlformats.org/officeDocument/2006/relationships/hyperlink" Target="#'14_Control_Revision'!A1" TargetMode="External" Id="rId21"/><Relationship Type="http://schemas.openxmlformats.org/officeDocument/2006/relationships/drawing" Target="/xl/drawings/drawing1.xml" Id="rId22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Analisis_global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Presentacion_ERI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Analisis_global'!A1" TargetMode="External" Id="rId2"/><Relationship Type="http://schemas.openxmlformats.org/officeDocument/2006/relationships/hyperlink" Target="#'05_Transacciones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Presentacion_ERI'!A1" TargetMode="External" Id="rId2"/><Relationship Type="http://schemas.openxmlformats.org/officeDocument/2006/relationships/hyperlink" Target="#'06_Vouching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Transacciones'!A1" TargetMode="External" Id="rId2"/><Relationship Type="http://schemas.openxmlformats.org/officeDocument/2006/relationships/hyperlink" Target="#'07_Corte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Vouching'!A1" TargetMode="External" Id="rId2"/><Relationship Type="http://schemas.openxmlformats.org/officeDocument/2006/relationships/hyperlink" Target="#'08_Devengo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Corte'!A1" TargetMode="External" Id="rId2"/><Relationship Type="http://schemas.openxmlformats.org/officeDocument/2006/relationships/hyperlink" Target="#'09_Reclasificaciones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Devengo'!A1" TargetMode="External" Id="rId2"/><Relationship Type="http://schemas.openxmlformats.org/officeDocument/2006/relationships/hyperlink" Target="#'10_Partes_relacionadas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Reclasificaciones'!A1" TargetMode="External" Id="rId2"/><Relationship Type="http://schemas.openxmlformats.org/officeDocument/2006/relationships/hyperlink" Target="#'11_RP_Integridad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Partes_relacionadas'!A1" TargetMode="External" Id="rId2"/><Relationship Type="http://schemas.openxmlformats.org/officeDocument/2006/relationships/hyperlink" Target="#'12_Inusuales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RP_Integridad'!A1" TargetMode="External" Id="rId2"/><Relationship Type="http://schemas.openxmlformats.org/officeDocument/2006/relationships/hyperlink" Target="#'13_Tributario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Inusuales'!A1" TargetMode="External" Id="rId2"/><Relationship Type="http://schemas.openxmlformats.org/officeDocument/2006/relationships/hyperlink" Target="#'14_Ajustes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Tributario'!A1" TargetMode="External" Id="rId2"/><Relationship Type="http://schemas.openxmlformats.org/officeDocument/2006/relationships/hyperlink" Target="#'15_Asientos'!A1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4_Ajustes'!A1" TargetMode="External" Id="rId2"/><Relationship Type="http://schemas.openxmlformats.org/officeDocument/2006/relationships/hyperlink" Target="#'16_Problemas'!A1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5_Asientos'!A1" TargetMode="External" Id="rId2"/><Relationship Type="http://schemas.openxmlformats.org/officeDocument/2006/relationships/hyperlink" Target="#'13_Conclusion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6_Problemas'!A1" TargetMode="External" Id="rId2"/><Relationship Type="http://schemas.openxmlformats.org/officeDocument/2006/relationships/hyperlink" Target="#'14_Control_Revision'!A1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Gastos · análisis global, verificación del soporte, corte, devengo, clasificación y partes relacionadas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propuesto al gasto (neto)</t>
        </is>
      </c>
      <c r="C11" s="7" t="inlineStr">
        <is>
          <t>Problemas encontrados</t>
        </is>
      </c>
    </row>
    <row r="12">
      <c r="B12" s="8" t="n">
        <v>-7075.8</v>
      </c>
      <c r="C12" s="9" t="n">
        <v>21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Análisis global por cuenta (NIA 520)</t>
        </is>
      </c>
      <c r="D17" s="10" t="inlineStr">
        <is>
          <t>Presentación en el estado de resultados</t>
        </is>
      </c>
      <c r="E17" s="10" t="inlineStr">
        <is>
          <t>Transacciones de la muestra</t>
        </is>
      </c>
    </row>
    <row r="18" ht="32" customHeight="1">
      <c r="B18" s="10" t="inlineStr">
        <is>
          <t>Verificación del soporte documental</t>
        </is>
      </c>
      <c r="C18" s="10" t="inlineStr">
        <is>
          <t>Corte de gastos</t>
        </is>
      </c>
      <c r="D18" s="10" t="inlineStr">
        <is>
          <t>Devengo y gastos anticipados</t>
        </is>
      </c>
      <c r="E18" s="10" t="inlineStr">
        <is>
          <t>Reclasificaciones</t>
        </is>
      </c>
    </row>
    <row r="19" ht="32" customHeight="1">
      <c r="B19" s="10" t="inlineStr">
        <is>
          <t>Partes relacionadas</t>
        </is>
      </c>
      <c r="C19" s="10" t="inlineStr">
        <is>
          <t>Integridad de la revelación de partes relacionadas</t>
        </is>
      </c>
      <c r="D19" s="10" t="inlineStr">
        <is>
          <t>Partidas inusuales</t>
        </is>
      </c>
      <c r="E19" s="10" t="inlineStr">
        <is>
          <t>Referencia tributaria (Ecuador)</t>
        </is>
      </c>
    </row>
    <row r="20" ht="32" customHeight="1">
      <c r="B20" s="10" t="inlineStr">
        <is>
          <t>Ajustes y conciliación</t>
        </is>
      </c>
      <c r="C20" s="10" t="inlineStr">
        <is>
          <t>Asientos propuestos</t>
        </is>
      </c>
      <c r="D20" s="10" t="inlineStr">
        <is>
          <t>Problemas encontrados</t>
        </is>
      </c>
      <c r="E20" s="10" t="inlineStr">
        <is>
          <t>Conclusión</t>
        </is>
      </c>
    </row>
    <row r="21" ht="32" customHeight="1">
      <c r="B21" s="10" t="inlineStr">
        <is>
          <t>Control de revisión</t>
        </is>
      </c>
    </row>
    <row r="23">
      <c r="B23" s="6" t="inlineStr">
        <is>
          <t>PANORAMA</t>
        </is>
      </c>
      <c r="N23" s="11" t="inlineStr">
        <is>
          <t>Datos de los gráficos (fórmulas a las cédulas)</t>
        </is>
      </c>
    </row>
    <row r="24">
      <c r="N24" s="12" t="inlineStr">
        <is>
          <t>Cifras del resumen</t>
        </is>
      </c>
      <c r="O24" s="12" t="inlineStr">
        <is>
          <t>Importe (USD)</t>
        </is>
      </c>
    </row>
    <row r="25">
      <c r="N25" s="12">
        <f>'01_Resumen'!A5</f>
        <v/>
      </c>
      <c r="O25" s="13">
        <f>'01_Resumen'!B5</f>
        <v/>
      </c>
    </row>
    <row r="26">
      <c r="N26" s="12">
        <f>'01_Resumen'!A6</f>
        <v/>
      </c>
      <c r="O26" s="13">
        <f>'01_Resumen'!B6</f>
        <v/>
      </c>
    </row>
    <row r="27">
      <c r="N27" s="12">
        <f>'01_Resumen'!A7</f>
        <v/>
      </c>
      <c r="O27" s="13">
        <f>'01_Resumen'!B7</f>
        <v/>
      </c>
    </row>
    <row r="28">
      <c r="N28" s="12">
        <f>'01_Resumen'!A8</f>
        <v/>
      </c>
      <c r="O28" s="13">
        <f>'01_Resumen'!B8</f>
        <v/>
      </c>
    </row>
    <row r="29">
      <c r="N29" s="12">
        <f>'01_Resumen'!A9</f>
        <v/>
      </c>
      <c r="O29" s="13">
        <f>'01_Resumen'!B9</f>
        <v/>
      </c>
    </row>
    <row r="30">
      <c r="N30" s="12">
        <f>'01_Resumen'!A10</f>
        <v/>
      </c>
      <c r="O30" s="13">
        <f>'01_Resumen'!B10</f>
        <v/>
      </c>
    </row>
    <row r="31">
      <c r="N31" s="12">
        <f>'01_Resumen'!A11</f>
        <v/>
      </c>
      <c r="O31" s="13">
        <f>'01_Resumen'!B11</f>
        <v/>
      </c>
    </row>
    <row r="32">
      <c r="N32" s="12">
        <f>'01_Resumen'!A12</f>
        <v/>
      </c>
      <c r="O32" s="13">
        <f>'01_Resumen'!B12</f>
        <v/>
      </c>
    </row>
    <row r="33">
      <c r="N33" s="12">
        <f>'01_Resumen'!A13</f>
        <v/>
      </c>
      <c r="O33" s="13">
        <f>'01_Resumen'!B13</f>
        <v/>
      </c>
    </row>
    <row r="34">
      <c r="N34" s="12">
        <f>'01_Resumen'!A14</f>
        <v/>
      </c>
      <c r="O34" s="13">
        <f>'01_Resumen'!B14</f>
        <v/>
      </c>
    </row>
    <row r="35">
      <c r="N35" s="12">
        <f>'01_Resumen'!A15</f>
        <v/>
      </c>
      <c r="O35" s="13">
        <f>'01_Resumen'!B15</f>
        <v/>
      </c>
    </row>
    <row r="36">
      <c r="N36" s="12">
        <f>'01_Resumen'!A16</f>
        <v/>
      </c>
      <c r="O36" s="13">
        <f>'01_Resumen'!B16</f>
        <v/>
      </c>
    </row>
    <row r="37">
      <c r="N37" s="12">
        <f>'01_Resumen'!A17</f>
        <v/>
      </c>
      <c r="O37" s="13">
        <f>'01_Resumen'!B17</f>
        <v/>
      </c>
    </row>
    <row r="38">
      <c r="N38" s="12">
        <f>'01_Resumen'!A18</f>
        <v/>
      </c>
      <c r="O38" s="13">
        <f>'01_Resumen'!B18</f>
        <v/>
      </c>
    </row>
    <row r="39">
      <c r="N39" s="12">
        <f>'01_Resumen'!A19</f>
        <v/>
      </c>
      <c r="O39" s="13">
        <f>'01_Resumen'!B19</f>
        <v/>
      </c>
    </row>
    <row r="41">
      <c r="N41" s="12" t="inlineStr">
        <is>
          <t>Hallazgos de mayor impacto</t>
        </is>
      </c>
      <c r="O41" s="12" t="inlineStr">
        <is>
          <t>Importe (USD)</t>
        </is>
      </c>
    </row>
    <row r="42">
      <c r="N42" s="12" t="inlineStr">
        <is>
          <t>Naturaleza no revelada</t>
        </is>
      </c>
      <c r="O42" s="13">
        <f>SUMIFS('16_Problemas'!$C$5:$C$25,'16_Problemas'!$A$5:$A$25,"NATURALEZA_NO_REVELADA",'16_Problemas'!$C$5:$C$25,"&gt;0")-SUMIFS('16_Problemas'!$C$5:$C$25,'16_Problemas'!$A$5:$A$25,"NATURALEZA_NO_REVELADA",'16_Problemas'!$C$5:$C$25,"&lt;0")</f>
        <v/>
      </c>
    </row>
    <row r="43">
      <c r="N43" s="12" t="inlineStr">
        <is>
          <t>Variacion sin explicar (×2)</t>
        </is>
      </c>
      <c r="O43" s="13">
        <f>SUMIFS('16_Problemas'!$C$5:$C$25,'16_Problemas'!$A$5:$A$25,"VARIACION_SIN_EXPLICAR",'16_Problemas'!$C$5:$C$25,"&gt;0")-SUMIFS('16_Problemas'!$C$5:$C$25,'16_Problemas'!$A$5:$A$25,"VARIACION_SIN_EXPLICAR",'16_Problemas'!$C$5:$C$25,"&lt;0")</f>
        <v/>
      </c>
    </row>
    <row r="44">
      <c r="N44" s="12" t="inlineStr">
        <is>
          <t>Partida inusual (×2)</t>
        </is>
      </c>
      <c r="O44" s="13">
        <f>SUMIFS('16_Problemas'!$C$5:$C$25,'16_Problemas'!$A$5:$A$25,"PARTIDA_INUSUAL",'16_Problemas'!$C$5:$C$25,"&gt;0")-SUMIFS('16_Problemas'!$C$5:$C$25,'16_Problemas'!$A$5:$A$25,"PARTIDA_INUSUAL",'16_Problemas'!$C$5:$C$25,"&lt;0")</f>
        <v/>
      </c>
    </row>
    <row r="45">
      <c r="N45" s="12" t="inlineStr">
        <is>
          <t>Gasto no soportado</t>
        </is>
      </c>
      <c r="O45" s="13">
        <f>SUMIFS('16_Problemas'!$C$5:$C$25,'16_Problemas'!$A$5:$A$25,"GASTO_NO_SOPORTADO",'16_Problemas'!$C$5:$C$25,"&gt;0")-SUMIFS('16_Problemas'!$C$5:$C$25,'16_Problemas'!$A$5:$A$25,"GASTO_NO_SOPORTADO",'16_Problemas'!$C$5:$C$25,"&lt;0")</f>
        <v/>
      </c>
    </row>
    <row r="46">
      <c r="N46" s="12" t="inlineStr">
        <is>
          <t>Gasto anticipado en resultados (×2)</t>
        </is>
      </c>
      <c r="O46" s="13">
        <f>SUMIFS('16_Problemas'!$C$5:$C$25,'16_Problemas'!$A$5:$A$25,"GASTO_ANTICIPADO_EN_RESULTADOS",'16_Problemas'!$C$5:$C$25,"&gt;0")-SUMIFS('16_Problemas'!$C$5:$C$25,'16_Problemas'!$A$5:$A$25,"GASTO_ANTICIPADO_EN_RESULTADOS",'16_Problemas'!$C$5:$C$25,"&lt;0")</f>
        <v/>
      </c>
    </row>
    <row r="47">
      <c r="N47" s="12" t="inlineStr">
        <is>
          <t>Partida extraordinaria</t>
        </is>
      </c>
      <c r="O47" s="13">
        <f>SUMIFS('16_Problemas'!$C$5:$C$25,'16_Problemas'!$A$5:$A$25,"PARTIDA_EXTRAORDINARIA",'16_Problemas'!$C$5:$C$25,"&gt;0")-SUMIFS('16_Problemas'!$C$5:$C$25,'16_Problemas'!$A$5:$A$25,"PARTIDA_EXTRAORDINARIA",'16_Problemas'!$C$5:$C$25,"&lt;0")</f>
        <v/>
      </c>
    </row>
    <row r="48">
      <c r="N48" s="12" t="inlineStr">
        <is>
          <t>Corte no registrado</t>
        </is>
      </c>
      <c r="O48" s="13">
        <f>SUMIFS('16_Problemas'!$C$5:$C$25,'16_Problemas'!$A$5:$A$25,"CORTE_NO_REGISTRADO",'16_Problemas'!$C$5:$C$25,"&gt;0")-SUMIFS('16_Problemas'!$C$5:$C$25,'16_Problemas'!$A$5:$A$25,"CORTE_NO_REGISTRADO",'16_Problemas'!$C$5:$C$25,"&lt;0")</f>
        <v/>
      </c>
    </row>
    <row r="49">
      <c r="N49" s="12" t="inlineStr">
        <is>
          <t>Otros (11 tipos)</t>
        </is>
      </c>
      <c r="O49" s="13">
        <f>SUMIF('16_Problemas'!$C$5:$C$25,"&gt;0")-SUMIF('16_Problemas'!$C$5:$C$25,"&lt;0")-((SUMIFS('16_Problemas'!$C$5:$C$25,'16_Problemas'!$A$5:$A$25,"NATURALEZA_NO_REVELADA",'16_Problemas'!$C$5:$C$25,"&gt;0")-SUMIFS('16_Problemas'!$C$5:$C$25,'16_Problemas'!$A$5:$A$25,"NATURALEZA_NO_REVELADA",'16_Problemas'!$C$5:$C$25,"&lt;0"))+(SUMIFS('16_Problemas'!$C$5:$C$25,'16_Problemas'!$A$5:$A$25,"VARIACION_SIN_EXPLICAR",'16_Problemas'!$C$5:$C$25,"&gt;0")-SUMIFS('16_Problemas'!$C$5:$C$25,'16_Problemas'!$A$5:$A$25,"VARIACION_SIN_EXPLICAR",'16_Problemas'!$C$5:$C$25,"&lt;0"))+(SUMIFS('16_Problemas'!$C$5:$C$25,'16_Problemas'!$A$5:$A$25,"PARTIDA_INUSUAL",'16_Problemas'!$C$5:$C$25,"&gt;0")-SUMIFS('16_Problemas'!$C$5:$C$25,'16_Problemas'!$A$5:$A$25,"PARTIDA_INUSUAL",'16_Problemas'!$C$5:$C$25,"&lt;0"))+(SUMIFS('16_Problemas'!$C$5:$C$25,'16_Problemas'!$A$5:$A$25,"GASTO_NO_SOPORTADO",'16_Problemas'!$C$5:$C$25,"&gt;0")-SUMIFS('16_Problemas'!$C$5:$C$25,'16_Problemas'!$A$5:$A$25,"GASTO_NO_SOPORTADO",'16_Problemas'!$C$5:$C$25,"&lt;0"))+(SUMIFS('16_Problemas'!$C$5:$C$25,'16_Problemas'!$A$5:$A$25,"GASTO_ANTICIPADO_EN_RESULTADOS",'16_Problemas'!$C$5:$C$25,"&gt;0")-SUMIFS('16_Problemas'!$C$5:$C$25,'16_Problemas'!$A$5:$A$25,"GASTO_ANTICIPADO_EN_RESULTADOS",'16_Problemas'!$C$5:$C$25,"&lt;0"))+(SUMIFS('16_Problemas'!$C$5:$C$25,'16_Problemas'!$A$5:$A$25,"PARTIDA_EXTRAORDINARIA",'16_Problemas'!$C$5:$C$25,"&gt;0")-SUMIFS('16_Problemas'!$C$5:$C$25,'16_Problemas'!$A$5:$A$25,"PARTIDA_EXTRAORDINARIA",'16_Problemas'!$C$5:$C$25,"&lt;0"))+(SUMIFS('16_Problemas'!$C$5:$C$25,'16_Problemas'!$A$5:$A$25,"CORTE_NO_REGISTRADO",'16_Problemas'!$C$5:$C$25,"&gt;0")-SUMIFS('16_Problemas'!$C$5:$C$25,'16_Problemas'!$A$5:$A$25,"CORTE_NO_REGISTRADO",'16_Problemas'!$C$5:$C$25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  <hyperlink xmlns:r="http://schemas.openxmlformats.org/officeDocument/2006/relationships" ref="C20" r:id="rId18"/>
    <hyperlink xmlns:r="http://schemas.openxmlformats.org/officeDocument/2006/relationships" ref="D20" r:id="rId19"/>
    <hyperlink xmlns:r="http://schemas.openxmlformats.org/officeDocument/2006/relationships" ref="E20" r:id="rId20"/>
    <hyperlink xmlns:r="http://schemas.openxmlformats.org/officeDocument/2006/relationships" ref="B21" r:id="rId21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2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Gastos · análisis global, verificación del soporte, corte, devengo, clasificación y partes relacionadas</t>
        </is>
      </c>
    </row>
    <row r="12">
      <c r="A12" s="19" t="inlineStr">
        <is>
          <t>Rubro</t>
        </is>
      </c>
      <c r="B12" s="19" t="inlineStr">
        <is>
          <t>Costos y gastos</t>
        </is>
      </c>
    </row>
    <row r="13">
      <c r="A13" s="18" t="inlineStr">
        <is>
          <t>Motor</t>
        </is>
      </c>
      <c r="B13" s="18" t="inlineStr">
        <is>
          <t>gastos_analisis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GAS-01</t>
        </is>
      </c>
      <c r="B5" s="18" t="inlineStr">
        <is>
          <t>Integridad de la sumaria de gastos</t>
        </is>
      </c>
      <c r="C5" s="18" t="inlineStr">
        <is>
          <t>Integridad</t>
        </is>
      </c>
      <c r="D5" s="18" t="inlineStr">
        <is>
          <t>Conciliar la sumaria por cuenta con el estado de resultados y el mayor</t>
        </is>
      </c>
      <c r="E5" s="18" t="inlineStr">
        <is>
          <t>Sumaria, balance de comprobación, mayor</t>
        </is>
      </c>
      <c r="F5" s="18" t="inlineStr">
        <is>
          <t>Diferencia nula o explicada</t>
        </is>
      </c>
      <c r="G5" s="18" t="inlineStr">
        <is>
          <t>NIA 500</t>
        </is>
      </c>
    </row>
    <row r="6">
      <c r="A6" s="19" t="inlineStr">
        <is>
          <t>GAS-02</t>
        </is>
      </c>
      <c r="B6" s="19" t="inlineStr">
        <is>
          <t>Análisis global</t>
        </is>
      </c>
      <c r="C6" s="19" t="inlineStr">
        <is>
          <t>Ocurrencia / Integridad</t>
        </is>
      </c>
      <c r="D6" s="19" t="inlineStr">
        <is>
          <t>Comparar cada cuenta con el año anterior y el presupuesto, fijar el umbral e investigar las variaciones que lo exceden</t>
        </is>
      </c>
      <c r="E6" s="19" t="inlineStr">
        <is>
          <t>Explicaciones de la gerencia corroboradas</t>
        </is>
      </c>
      <c r="F6" s="19" t="inlineStr">
        <is>
          <t>Toda variación sobre el umbral explicada</t>
        </is>
      </c>
      <c r="G6" s="19" t="inlineStr">
        <is>
          <t>NIA 520</t>
        </is>
      </c>
    </row>
    <row r="7">
      <c r="A7" s="18" t="inlineStr">
        <is>
          <t>GAS-03</t>
        </is>
      </c>
      <c r="B7" s="18" t="inlineStr">
        <is>
          <t>Verificación del soporte documental</t>
        </is>
      </c>
      <c r="C7" s="18" t="inlineStr">
        <is>
          <t>Ocurrencia / Exactitud</t>
        </is>
      </c>
      <c r="D7" s="18" t="inlineStr">
        <is>
          <t>Cotejar la muestra con facturas, contratos, aprobaciones y pagos</t>
        </is>
      </c>
      <c r="E7" s="18" t="inlineStr">
        <is>
          <t>Comprobantes de venta y de pago</t>
        </is>
      </c>
      <c r="F7" s="18" t="inlineStr">
        <is>
          <t>Todo gasto de la muestra soportado</t>
        </is>
      </c>
      <c r="G7" s="18" t="inlineStr">
        <is>
          <t>NIA 500 · NIA 330</t>
        </is>
      </c>
    </row>
    <row r="8">
      <c r="A8" s="19" t="inlineStr">
        <is>
          <t>GAS-04</t>
        </is>
      </c>
      <c r="B8" s="19" t="inlineStr">
        <is>
          <t>Corte y devengo</t>
        </is>
      </c>
      <c r="C8" s="19" t="inlineStr">
        <is>
          <t>Corte</t>
        </is>
      </c>
      <c r="D8" s="19" t="inlineStr">
        <is>
          <t>Comparar fecha de documento, registro y período del servicio alrededor del cierre; buscar facturas posteriores con causa anterior</t>
        </is>
      </c>
      <c r="E8" s="19" t="inlineStr">
        <is>
          <t>Facturas y pagos posteriores, contratos de servicios</t>
        </is>
      </c>
      <c r="F8" s="19" t="inlineStr">
        <is>
          <t>Gasto en el período del devengo</t>
        </is>
      </c>
      <c r="G8" s="19" t="inlineStr">
        <is>
          <t>NIC 1 párr. 27–28 · PYMES 2.36 · NIA 330</t>
        </is>
      </c>
    </row>
    <row r="9">
      <c r="A9" s="18" t="inlineStr">
        <is>
          <t>GAS-05</t>
        </is>
      </c>
      <c r="B9" s="18" t="inlineStr">
        <is>
          <t>Clasificación y presentación</t>
        </is>
      </c>
      <c r="C9" s="18" t="inlineStr">
        <is>
          <t>Clasificación / Presentación</t>
        </is>
      </c>
      <c r="D9" s="18" t="inlineStr">
        <is>
          <t>Revisar la cuenta de cada gasto de la muestra y el desglose del estado de resultados</t>
        </is>
      </c>
      <c r="E9" s="18" t="inlineStr">
        <is>
          <t>Plan de cuentas, estado de resultados</t>
        </is>
      </c>
      <c r="F9" s="18" t="inlineStr">
        <is>
          <t>Desglose conforme; sin partidas extraordinarias</t>
        </is>
      </c>
      <c r="G9" s="18" t="inlineStr">
        <is>
          <t>NIC 1 párr. 87, 97–105 · PYMES 5.10–5.11</t>
        </is>
      </c>
    </row>
    <row r="10">
      <c r="A10" s="19" t="inlineStr">
        <is>
          <t>GAS-06</t>
        </is>
      </c>
      <c r="B10" s="19" t="inlineStr">
        <is>
          <t>Partes relacionadas: identificación, integridad de la población y revelación</t>
        </is>
      </c>
      <c r="C10" s="19" t="inlineStr">
        <is>
          <t>Integridad / Presentación</t>
        </is>
      </c>
      <c r="D10" s="19" t="inlineStr">
        <is>
          <t>Obtener el maestro COMPLETO de partes relacionadas (nombre, relación y período), preguntar a la dirección por la identidad de las partes relacionadas y sus cambios (NIA 550 párr. 13), cruzar los proveedores de la muestra con ese maestro, clasificar por categoría y comparar con la nota; obtener la manifestación escrita de la administración (NIA 550 párr. 26) antes de concluir sobre la integridad de la revelación</t>
        </is>
      </c>
      <c r="E10" s="19" t="inlineStr">
        <is>
          <t>Maestro completo de partes relacionadas, manifestación escrita de la administración, nota de revelación</t>
        </is>
      </c>
      <c r="F10" s="19" t="inlineStr">
        <is>
          <t>Población completa evidenciada y todo lo del período revelado por categoría; sin la manifestación escrita o el corte certificado del maestro, la integridad queda no concluida</t>
        </is>
      </c>
      <c r="G10" s="19" t="inlineStr">
        <is>
          <t>NIC 24 párr. 18–19 · PYMES 33.9–33.10 · NIA 550 párr. 13, 25 y 26</t>
        </is>
      </c>
    </row>
    <row r="11">
      <c r="A11" s="18" t="inlineStr">
        <is>
          <t>GAS-07</t>
        </is>
      </c>
      <c r="B11" s="18" t="inlineStr">
        <is>
          <t>Partidas inusuales y referencia tributaria</t>
        </is>
      </c>
      <c r="C11" s="18" t="inlineStr">
        <is>
          <t>Presentación / Cumplimiento</t>
        </is>
      </c>
      <c r="D11" s="18" t="inlineStr">
        <is>
          <t>Identificar partidas inusuales y verificar comprobante válido y bancarización</t>
        </is>
      </c>
      <c r="E11" s="18" t="inlineStr">
        <is>
          <t>Comprobantes SRI, estados de cuenta bancarios</t>
        </is>
      </c>
      <c r="F11" s="18" t="inlineStr">
        <is>
          <t>Revelación separada; no deducibles identificados</t>
        </is>
      </c>
      <c r="G11" s="18" t="inlineStr">
        <is>
          <t>NIC 1 párr. 97 (partidas materiales por separado) · LRTI art. 10 num. 1 y Reglamento LRTI art. 27 (Ecuador)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3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520</t>
        </is>
      </c>
      <c r="B5" s="18" t="inlineStr">
        <is>
          <t>Procedimientos analíticos sustantivos: expectativa y umbral de diferencia aceptable (párr. 5) e investigación de las diferencias (párr. 7).</t>
        </is>
      </c>
      <c r="C5" s="18" t="inlineStr">
        <is>
          <t>párr. 5 y 7</t>
        </is>
      </c>
      <c r="D5" s="18" t="inlineStr"/>
      <c r="E5" s="18" t="inlineStr"/>
    </row>
    <row r="6">
      <c r="A6" s="19" t="inlineStr">
        <is>
          <t>NIA · NIA 500</t>
        </is>
      </c>
      <c r="B6" s="19" t="inlineStr">
        <is>
          <t>Evidencia suficiente y adecuada (párr. 6); exactitud e integridad de la información producida por la entidad —la sumaria contra el mayor— (párr. 9).</t>
        </is>
      </c>
      <c r="C6" s="19" t="inlineStr">
        <is>
          <t>párr. 6 y 9</t>
        </is>
      </c>
      <c r="D6" s="19" t="inlineStr"/>
      <c r="E6" s="19" t="inlineStr"/>
    </row>
    <row r="7">
      <c r="A7" s="18" t="inlineStr">
        <is>
          <t>NIA · NIA 550</t>
        </is>
      </c>
      <c r="B7" s="18" t="inlineStr">
        <is>
          <t>Preguntar a la dirección la identidad de las partes relacionadas (y sus cambios), la naturaleza de cada relación y si hubo transacciones en el período.</t>
        </is>
      </c>
      <c r="C7" s="18" t="inlineStr">
        <is>
          <t>párr. 13</t>
        </is>
      </c>
      <c r="D7" s="18" t="inlineStr"/>
      <c r="E7" s="18" t="inlineStr"/>
    </row>
    <row r="8">
      <c r="A8" s="19" t="inlineStr">
        <is>
          <t>NIA · NIA 550</t>
        </is>
      </c>
      <c r="B8" s="19" t="inlineStr">
        <is>
          <t>Transacciones con partes relacionadas: evaluación de su contabilización y revelación.</t>
        </is>
      </c>
      <c r="C8" s="19" t="inlineStr">
        <is>
          <t>párr. 25</t>
        </is>
      </c>
      <c r="D8" s="19" t="inlineStr"/>
      <c r="E8" s="19" t="inlineStr"/>
    </row>
    <row r="9">
      <c r="A9" s="18" t="inlineStr">
        <is>
          <t>NIA · NIA 550</t>
        </is>
      </c>
      <c r="B9" s="18" t="inlineStr">
        <is>
          <t>Manifestaciones escritas de la administración de que reveló la identidad de todas las partes relacionadas y todas las transacciones de las que tiene conocimiento, y de que las contabilizó y reveló conforme al marco.</t>
        </is>
      </c>
      <c r="C9" s="18" t="inlineStr">
        <is>
          <t>párr. 26</t>
        </is>
      </c>
      <c r="D9" s="18" t="inlineStr"/>
      <c r="E9" s="18" t="inlineStr"/>
    </row>
    <row r="10">
      <c r="A10" s="19" t="inlineStr">
        <is>
          <t>NIA · NIA 330</t>
        </is>
      </c>
      <c r="B10" s="19" t="inlineStr">
        <is>
          <t>Procedimientos sustantivos sobre transacciones materiales, incluido el corte.</t>
        </is>
      </c>
      <c r="C10" s="19" t="inlineStr">
        <is>
          <t>párr. 18</t>
        </is>
      </c>
      <c r="D10" s="19" t="inlineStr"/>
      <c r="E10" s="19" t="inlineStr"/>
    </row>
    <row r="11">
      <c r="A11" s="18" t="inlineStr">
        <is>
          <t>NIA · NIA 450</t>
        </is>
      </c>
      <c r="B11" s="18" t="inlineStr">
        <is>
          <t>Acumular las incorrecciones identificadas, salvo las claramente triviales (gastos no soportados, corte, devengo).</t>
        </is>
      </c>
      <c r="C11" s="18" t="inlineStr">
        <is>
          <t>párr. 5</t>
        </is>
      </c>
      <c r="D11" s="18" t="inlineStr"/>
      <c r="E11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Gastos según la sumaria (año actual)</t>
        </is>
      </c>
      <c r="B5" s="20">
        <f>'14_Ajustes'!B15</f>
        <v/>
      </c>
    </row>
    <row r="6">
      <c r="A6" s="19" t="inlineStr">
        <is>
          <t>Gastos año anterior</t>
        </is>
      </c>
      <c r="B6" s="21">
        <f>SUM('03_Analisis_global'!$F$5:$F$14)</f>
        <v/>
      </c>
    </row>
    <row r="7">
      <c r="A7" s="18" t="inlineStr">
        <is>
          <t>Gastos del ejercicio no registrados (corte)</t>
        </is>
      </c>
      <c r="B7" s="20">
        <f>'14_Ajustes'!B5</f>
        <v/>
      </c>
    </row>
    <row r="8">
      <c r="A8" s="19" t="inlineStr">
        <is>
          <t>Gastos devengados no registrados</t>
        </is>
      </c>
      <c r="B8" s="21">
        <f>'14_Ajustes'!B6</f>
        <v/>
      </c>
    </row>
    <row r="9">
      <c r="A9" s="18" t="inlineStr">
        <is>
          <t>Gastos de otro período registrados (corte)</t>
        </is>
      </c>
      <c r="B9" s="20">
        <f>'14_Ajustes'!B7</f>
        <v/>
      </c>
    </row>
    <row r="10">
      <c r="A10" s="19" t="inlineStr">
        <is>
          <t>Gastos anticipados llevados a resultados</t>
        </is>
      </c>
      <c r="B10" s="21">
        <f>'14_Ajustes'!B8</f>
        <v/>
      </c>
    </row>
    <row r="11">
      <c r="A11" s="18" t="inlineStr">
        <is>
          <t>Ajuste propuesto al gasto (neto)</t>
        </is>
      </c>
      <c r="B11" s="20">
        <f>'14_Ajustes'!B9</f>
        <v/>
      </c>
    </row>
    <row r="12">
      <c r="A12" s="19" t="inlineStr">
        <is>
          <t>Gastos no soportados</t>
        </is>
      </c>
      <c r="B12" s="21">
        <f>'14_Ajustes'!B10</f>
        <v/>
      </c>
    </row>
    <row r="13">
      <c r="A13" s="18" t="inlineStr">
        <is>
          <t>Reclasificaciones entre cuentas</t>
        </is>
      </c>
      <c r="B13" s="20">
        <f>'14_Ajustes'!B11</f>
        <v/>
      </c>
    </row>
    <row r="14">
      <c r="A14" s="19" t="inlineStr">
        <is>
          <t>Transacciones con partes relacionadas</t>
        </is>
      </c>
      <c r="B14" s="21">
        <f>'14_Ajustes'!B12</f>
        <v/>
      </c>
    </row>
    <row r="15">
      <c r="A15" s="18" t="inlineStr">
        <is>
          <t>Partes relacionadas no reveladas</t>
        </is>
      </c>
      <c r="B15" s="20">
        <f>'14_Ajustes'!B14</f>
        <v/>
      </c>
    </row>
    <row r="16">
      <c r="A16" s="19" t="inlineStr">
        <is>
          <t>Partes relacionadas marcadas como no incluidas en la nota</t>
        </is>
      </c>
      <c r="B16" s="21">
        <f>'11_RP_Integridad'!H8</f>
        <v/>
      </c>
    </row>
    <row r="17">
      <c r="A17" s="18" t="inlineStr">
        <is>
          <t>Partidas inusuales</t>
        </is>
      </c>
      <c r="B17" s="20">
        <f>'14_Ajustes'!B19</f>
        <v/>
      </c>
    </row>
    <row r="18">
      <c r="A18" s="19" t="inlineStr">
        <is>
          <t>No deducible (referencia tributaria)</t>
        </is>
      </c>
      <c r="B18" s="21">
        <f>'14_Ajustes'!B18</f>
        <v/>
      </c>
    </row>
    <row r="19">
      <c r="A19" s="18" t="inlineStr">
        <is>
          <t>Diferencia sumaria vs estado de resultados</t>
        </is>
      </c>
      <c r="B19" s="20">
        <f>'14_Ajustes'!B17</f>
        <v/>
      </c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Importe</t>
        </is>
      </c>
      <c r="B23" s="25" t="inlineStr">
        <is>
          <t>'='14_Ajustes'!B15</t>
        </is>
      </c>
      <c r="C23" s="24" t="inlineStr">
        <is>
          <t>Trae cada importe de la hoja 14 (Ajustes y conciliación), concepto por concepto; los gastos del año anterior suman la columna «Saldo anterior» de la hoja 03 (Análisis global) y las partes relacionadas marcadas como no incluidas salen del total de la hoja 11 (Integridad de la revelación).</t>
        </is>
      </c>
      <c r="D23" s="24" t="inlineStr">
        <is>
          <t>Fila 1: 1.008.000,00 → 1.008.000,00</t>
        </is>
      </c>
      <c r="E23" s="24" t="inlineStr">
        <is>
          <t>hoja «Ajustes y conciliación»</t>
        </is>
      </c>
      <c r="F23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Marco contable</t>
        </is>
      </c>
      <c r="B6" s="19" t="inlineStr">
        <is>
          <t>NIIF completas</t>
        </is>
      </c>
      <c r="C6" s="19" t="inlineStr">
        <is>
          <t>Ficha del encargo: enruta el requisito de desglose y las categorías de partes relacionadas</t>
        </is>
      </c>
    </row>
    <row r="7">
      <c r="A7" s="18" t="inlineStr">
        <is>
          <t>Método de desglose del estado de resultados</t>
        </is>
      </c>
      <c r="B7" s="18" t="inlineStr">
        <is>
          <t>Función</t>
        </is>
      </c>
      <c r="C7" s="18" t="inlineStr">
        <is>
          <t>NIC 1 párr. 99 / PYMES 5.11</t>
        </is>
      </c>
    </row>
    <row r="8">
      <c r="A8" s="19" t="inlineStr">
        <is>
          <t>Requisito de desglose que aplica</t>
        </is>
      </c>
      <c r="B8" s="19" t="inlineStr">
        <is>
          <t>Revelar el costo de ventas por separado (NIC 1 párr. 103) e información por naturaleza: amortización y retribuciones a los empleados (NIC 1 párr. 104)</t>
        </is>
      </c>
      <c r="C8" s="19" t="inlineStr">
        <is>
          <t>Enrutado por marco y método</t>
        </is>
      </c>
    </row>
    <row r="9">
      <c r="A9" s="18" t="inlineStr">
        <is>
          <t>Umbral de variación (%)</t>
        </is>
      </c>
      <c r="B9" s="27" t="n">
        <v>10</v>
      </c>
      <c r="C9" s="18" t="inlineStr">
        <is>
          <t>NIA 520 párr. 5 d) y 7 — juicio del auditor</t>
        </is>
      </c>
    </row>
    <row r="10">
      <c r="A10" s="19" t="inlineStr">
        <is>
          <t>Umbral de variación (importe)</t>
        </is>
      </c>
      <c r="B10" s="28" t="n">
        <v>5000</v>
      </c>
      <c r="C10" s="19" t="inlineStr">
        <is>
          <t>NIA 520 — vacío: se usa la materialidad de ejecución</t>
        </is>
      </c>
    </row>
    <row r="11">
      <c r="A11" s="18" t="inlineStr">
        <is>
          <t>Materialidad de ejecución</t>
        </is>
      </c>
      <c r="B11" s="27" t="n">
        <v>20000</v>
      </c>
      <c r="C11" s="18" t="inlineStr">
        <is>
          <t>NIA 320; revelación separada de partidas materiales: se usa la materialidad de ejecución como aproximación (NIC 1.97 se refiere a la importancia relativa)</t>
        </is>
      </c>
    </row>
    <row r="12">
      <c r="A12" s="19" t="inlineStr">
        <is>
          <t>Umbral absoluto aplicado</t>
        </is>
      </c>
      <c r="B12" s="28">
        <f>IF(B10&lt;&gt;"",B10,B11)</f>
        <v/>
      </c>
      <c r="C12" s="19" t="inlineStr">
        <is>
          <t>Umbral de variación o, si falta, materialidad de ejecución</t>
        </is>
      </c>
    </row>
    <row r="13">
      <c r="A13" s="18" t="inlineStr">
        <is>
          <t>Umbral de bancarización (USD)</t>
        </is>
      </c>
      <c r="B13" s="27" t="n">
        <v>500</v>
      </c>
      <c r="C13" s="18" t="inlineStr">
        <is>
          <t>Por caso entendido (contrato), Reglamento LRTI art. 27 (reforma de 15-7-2025) — confirmar que sigue vigente al corte</t>
        </is>
      </c>
    </row>
    <row r="14">
      <c r="A14" s="19" t="inlineStr">
        <is>
          <t>Gastos según el estado de resultados / mayor</t>
        </is>
      </c>
      <c r="B14" s="28" t="n">
        <v>1005000</v>
      </c>
      <c r="C14" s="19" t="inlineStr">
        <is>
          <t>Estado de resultados o balance de comprobación</t>
        </is>
      </c>
    </row>
    <row r="15">
      <c r="A15" s="18" t="inlineStr">
        <is>
          <t>Partes relacionadas reveladas en notas</t>
        </is>
      </c>
      <c r="B15" s="27" t="n">
        <v>10000</v>
      </c>
      <c r="C15" s="18" t="inlineStr">
        <is>
          <t>Nota de partes relacionadas (NIC 24 párr. 18 / PYMES 33.9)</t>
        </is>
      </c>
    </row>
    <row r="16">
      <c r="A16" s="19" t="inlineStr">
        <is>
          <t>Evidencia de integridad de la población de partes relacionadas</t>
        </is>
      </c>
      <c r="B16" s="19" t="inlineStr">
        <is>
          <t>MR-05 manifestación escrita de la administración del 15-01-2026 (NIA 550 párr. 26) y maestro de partes relacionadas certificado al 31-12-2025</t>
        </is>
      </c>
      <c r="C16" s="19" t="inlineStr">
        <is>
          <t>Manifestación escrita de la administración (NIA 550 párr. 26) o corte certificado del maestro. Vacío: la integridad no se concluye</t>
        </is>
      </c>
    </row>
    <row r="18">
      <c r="A18" s="22" t="inlineStr">
        <is>
          <t>ⓘ  Cómo se calcula esta hoja</t>
        </is>
      </c>
    </row>
    <row r="19">
      <c r="A19" s="23" t="inlineStr">
        <is>
          <t>Columna</t>
        </is>
      </c>
      <c r="B19" s="23" t="inlineStr">
        <is>
          <t>Fórmula (Excel)</t>
        </is>
      </c>
      <c r="C19" s="23" t="inlineStr">
        <is>
          <t>Cómo se calcula (sencillo)</t>
        </is>
      </c>
      <c r="D19" s="23" t="inlineStr">
        <is>
          <t>Ejemplo con números reales</t>
        </is>
      </c>
      <c r="E19" s="23" t="inlineStr">
        <is>
          <t>De dónde viene</t>
        </is>
      </c>
      <c r="F19" s="23" t="inlineStr">
        <is>
          <t>Norma</t>
        </is>
      </c>
    </row>
    <row r="20">
      <c r="A20" s="24" t="inlineStr">
        <is>
          <t>Valor</t>
        </is>
      </c>
      <c r="B20" s="25" t="inlineStr">
        <is>
          <t>'=IF(B10&lt;&gt;"",B10,B11)</t>
        </is>
      </c>
      <c r="C20" s="24" t="inlineStr">
        <is>
          <t>Solo el «Umbral absoluto aplicado» se calcula: usa el umbral de variación en importe y, si está vacío, la materialidad de ejecución; los demás valores son datos de la ficha del encargo y del auditor.</t>
        </is>
      </c>
      <c r="D20" s="24" t="inlineStr">
        <is>
          <t>Fila 8: IF(5.000,00&lt;&gt;""; 5.000,00; 20.000,00) → 5.000,00</t>
        </is>
      </c>
      <c r="E20" s="24" t="inlineStr">
        <is>
          <t>«Valor» (esta hoja)</t>
        </is>
      </c>
      <c r="F20" s="24" t="inlineStr">
        <is>
          <t>—</t>
        </is>
      </c>
    </row>
  </sheetData>
  <mergeCells count="3">
    <mergeCell ref="A2:F2"/>
    <mergeCell ref="A1:F1"/>
    <mergeCell ref="A18:F18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24" customWidth="1" min="4" max="4"/>
    <col width="14" customWidth="1" min="5" max="5"/>
    <col width="16" customWidth="1" min="6" max="6"/>
    <col width="12" customWidth="1" min="7" max="7"/>
    <col width="22" customWidth="1" min="8" max="8"/>
    <col width="15" customWidth="1" min="9" max="9"/>
    <col width="13" customWidth="1" min="10" max="10"/>
    <col width="26" customWidth="1" min="11" max="11"/>
    <col width="28" customWidth="1" min="12" max="12"/>
    <col width="29" customWidth="1" min="13" max="13"/>
    <col width="36" customWidth="1" min="14" max="14"/>
    <col width="24" customWidth="1" min="15" max="15"/>
    <col width="19" customWidth="1" min="16" max="16"/>
    <col width="25" customWidth="1" min="17" max="17"/>
    <col width="32" customWidth="1" min="18" max="18"/>
  </cols>
  <sheetData>
    <row r="1">
      <c r="A1" s="3" t="inlineStr">
        <is>
          <t>Análisis global por cuenta (NIA 520)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</row>
    <row r="4" ht="30" customHeight="1">
      <c r="A4" s="17" t="inlineStr">
        <is>
          <t>Cuenta</t>
        </is>
      </c>
      <c r="B4" s="17" t="inlineStr">
        <is>
          <t>Nombre</t>
        </is>
      </c>
      <c r="C4" s="17" t="inlineStr">
        <is>
          <t>Línea del estado de resultados</t>
        </is>
      </c>
      <c r="D4" s="17" t="inlineStr">
        <is>
          <t>Naturaleza</t>
        </is>
      </c>
      <c r="E4" s="17" t="inlineStr">
        <is>
          <t>Saldo actual</t>
        </is>
      </c>
      <c r="F4" s="17" t="inlineStr">
        <is>
          <t>Saldo anterior</t>
        </is>
      </c>
      <c r="G4" s="17" t="inlineStr">
        <is>
          <t>Variación</t>
        </is>
      </c>
      <c r="H4" s="17" t="inlineStr">
        <is>
          <t>Variación %</t>
        </is>
      </c>
      <c r="I4" s="17" t="inlineStr">
        <is>
          <t>Excede umbral</t>
        </is>
      </c>
      <c r="J4" s="17" t="inlineStr">
        <is>
          <t>Presupuesto</t>
        </is>
      </c>
      <c r="K4" s="17" t="inlineStr">
        <is>
          <t>Variación vs presupuesto</t>
        </is>
      </c>
      <c r="L4" s="17" t="inlineStr">
        <is>
          <t>Variación vs presupuesto %</t>
        </is>
      </c>
      <c r="M4" s="17" t="inlineStr">
        <is>
          <t>Excede umbral (presupuesto)</t>
        </is>
      </c>
      <c r="N4" s="17" t="inlineStr">
        <is>
          <t>Explicación</t>
        </is>
      </c>
      <c r="O4" s="17" t="inlineStr">
        <is>
          <t>Variación sin explicar</t>
        </is>
      </c>
      <c r="P4" s="17" t="inlineStr">
        <is>
          <t>Muestra examinada</t>
        </is>
      </c>
      <c r="Q4" s="17" t="inlineStr">
        <is>
          <t>Cobertura de la muestra</t>
        </is>
      </c>
      <c r="R4" s="17" t="inlineStr">
        <is>
          <t>Presentada como extraordinaria</t>
        </is>
      </c>
    </row>
    <row r="5">
      <c r="A5" s="18" t="inlineStr">
        <is>
          <t>5101</t>
        </is>
      </c>
      <c r="B5" s="18" t="inlineStr">
        <is>
          <t>Costo de ventas</t>
        </is>
      </c>
      <c r="C5" s="18" t="inlineStr">
        <is>
          <t>Costo de ventas</t>
        </is>
      </c>
      <c r="D5" s="18" t="inlineStr">
        <is>
          <t>Consumo de inventarios</t>
        </is>
      </c>
      <c r="E5" s="20" t="n">
        <v>600000</v>
      </c>
      <c r="F5" s="20" t="n">
        <v>550000</v>
      </c>
      <c r="G5" s="20">
        <f>IF(F5="","",E5-F5)</f>
        <v/>
      </c>
      <c r="H5" s="29">
        <f>IF(F5="","",IF(F5=0,"",G5/F5))</f>
        <v/>
      </c>
      <c r="I5" s="18">
        <f>IF(G5="","",IF(ABS(G5)&lt;='02_Parametros'!$B$12,"No",IF(F5=0,"Sí",IF(ABS(H5)&gt;'02_Parametros'!$B$9/100,"Sí","No"))))</f>
        <v/>
      </c>
      <c r="J5" s="20" t="n">
        <v>590000</v>
      </c>
      <c r="K5" s="20">
        <f>IF(J5="","",E5-J5)</f>
        <v/>
      </c>
      <c r="L5" s="29">
        <f>IF(J5="","",IF(J5=0,"",K5/J5))</f>
        <v/>
      </c>
      <c r="M5" s="18">
        <f>IF(K5="","",IF(ABS(K5)&lt;='02_Parametros'!$B$12,"No",IF(J5=0,"Sí",IF(ABS(L5)&gt;'02_Parametros'!$B$9/100,"Sí","No"))))</f>
        <v/>
      </c>
      <c r="N5" s="18" t="inlineStr">
        <is>
          <t>Mayor volumen de ventas (+9 %)</t>
        </is>
      </c>
      <c r="O5" s="18">
        <f>IF(AND(OR(I5="Sí",M5="Sí"),N5=""),"Sí","No")</f>
        <v/>
      </c>
      <c r="P5" s="20">
        <f>SUMIFS('05_Transacciones'!$F$5:$F$19,'05_Transacciones'!$G$5:$G$19,A5,'05_Transacciones'!$P$5:$P$19,"Sí")</f>
        <v/>
      </c>
      <c r="Q5" s="29">
        <f>IF(E5=0,"",P5/E5)</f>
        <v/>
      </c>
      <c r="R5" s="18">
        <f>IF(OR(ISNUMBER(SEARCH("extraordinari",B5)),ISNUMBER(SEARCH("extraordinari",C5))),"Sí","No")</f>
        <v/>
      </c>
    </row>
    <row r="6">
      <c r="A6" s="19" t="inlineStr">
        <is>
          <t>5201</t>
        </is>
      </c>
      <c r="B6" s="19" t="inlineStr">
        <is>
          <t>Sueldos y beneficios administración</t>
        </is>
      </c>
      <c r="C6" s="19" t="inlineStr">
        <is>
          <t>Gastos de administración</t>
        </is>
      </c>
      <c r="D6" s="19" t="inlineStr">
        <is>
          <t>Beneficios a empleados</t>
        </is>
      </c>
      <c r="E6" s="21" t="n">
        <v>180000</v>
      </c>
      <c r="F6" s="21" t="n">
        <v>150000</v>
      </c>
      <c r="G6" s="21">
        <f>IF(F6="","",E6-F6)</f>
        <v/>
      </c>
      <c r="H6" s="30">
        <f>IF(F6="","",IF(F6=0,"",G6/F6))</f>
        <v/>
      </c>
      <c r="I6" s="19">
        <f>IF(G6="","",IF(ABS(G6)&lt;='02_Parametros'!$B$12,"No",IF(F6=0,"Sí",IF(ABS(H6)&gt;'02_Parametros'!$B$9/100,"Sí","No"))))</f>
        <v/>
      </c>
      <c r="J6" s="21" t="n">
        <v>175000</v>
      </c>
      <c r="K6" s="21">
        <f>IF(J6="","",E6-J6)</f>
        <v/>
      </c>
      <c r="L6" s="30">
        <f>IF(J6="","",IF(J6=0,"",K6/J6))</f>
        <v/>
      </c>
      <c r="M6" s="19">
        <f>IF(K6="","",IF(ABS(K6)&lt;='02_Parametros'!$B$12,"No",IF(J6=0,"Sí",IF(ABS(L6)&gt;'02_Parametros'!$B$9/100,"Sí","No"))))</f>
        <v/>
      </c>
      <c r="N6" s="19" t="inlineStr"/>
      <c r="O6" s="19">
        <f>IF(AND(OR(I6="Sí",M6="Sí"),N6=""),"Sí","No")</f>
        <v/>
      </c>
      <c r="P6" s="21">
        <f>SUMIFS('05_Transacciones'!$F$5:$F$19,'05_Transacciones'!$G$5:$G$19,A6,'05_Transacciones'!$P$5:$P$19,"Sí")</f>
        <v/>
      </c>
      <c r="Q6" s="30">
        <f>IF(E6=0,"",P6/E6)</f>
        <v/>
      </c>
      <c r="R6" s="19">
        <f>IF(OR(ISNUMBER(SEARCH("extraordinari",B6)),ISNUMBER(SEARCH("extraordinari",C6))),"Sí","No")</f>
        <v/>
      </c>
    </row>
    <row r="7">
      <c r="A7" s="18" t="inlineStr">
        <is>
          <t>5202</t>
        </is>
      </c>
      <c r="B7" s="18" t="inlineStr">
        <is>
          <t>Honorarios profesionales</t>
        </is>
      </c>
      <c r="C7" s="18" t="inlineStr">
        <is>
          <t>Gastos de administración</t>
        </is>
      </c>
      <c r="D7" s="18" t="inlineStr"/>
      <c r="E7" s="20" t="n">
        <v>45000</v>
      </c>
      <c r="F7" s="20" t="n">
        <v>30000</v>
      </c>
      <c r="G7" s="20">
        <f>IF(F7="","",E7-F7)</f>
        <v/>
      </c>
      <c r="H7" s="29">
        <f>IF(F7="","",IF(F7=0,"",G7/F7))</f>
        <v/>
      </c>
      <c r="I7" s="18">
        <f>IF(G7="","",IF(ABS(G7)&lt;='02_Parametros'!$B$12,"No",IF(F7=0,"Sí",IF(ABS(H7)&gt;'02_Parametros'!$B$9/100,"Sí","No"))))</f>
        <v/>
      </c>
      <c r="J7" s="20" t="n">
        <v>32000</v>
      </c>
      <c r="K7" s="20">
        <f>IF(J7="","",E7-J7)</f>
        <v/>
      </c>
      <c r="L7" s="29">
        <f>IF(J7="","",IF(J7=0,"",K7/J7))</f>
        <v/>
      </c>
      <c r="M7" s="18">
        <f>IF(K7="","",IF(ABS(K7)&lt;='02_Parametros'!$B$12,"No",IF(J7=0,"Sí",IF(ABS(L7)&gt;'02_Parametros'!$B$9/100,"Sí","No"))))</f>
        <v/>
      </c>
      <c r="N7" s="18" t="inlineStr">
        <is>
          <t>Asesoría legal por litigio laboral</t>
        </is>
      </c>
      <c r="O7" s="18">
        <f>IF(AND(OR(I7="Sí",M7="Sí"),N7=""),"Sí","No")</f>
        <v/>
      </c>
      <c r="P7" s="20">
        <f>SUMIFS('05_Transacciones'!$F$5:$F$19,'05_Transacciones'!$G$5:$G$19,A7,'05_Transacciones'!$P$5:$P$19,"Sí")</f>
        <v/>
      </c>
      <c r="Q7" s="29">
        <f>IF(E7=0,"",P7/E7)</f>
        <v/>
      </c>
      <c r="R7" s="18">
        <f>IF(OR(ISNUMBER(SEARCH("extraordinari",B7)),ISNUMBER(SEARCH("extraordinari",C7))),"Sí","No")</f>
        <v/>
      </c>
    </row>
    <row r="8">
      <c r="A8" s="19" t="inlineStr">
        <is>
          <t>5203</t>
        </is>
      </c>
      <c r="B8" s="19" t="inlineStr">
        <is>
          <t>Arriendos</t>
        </is>
      </c>
      <c r="C8" s="19" t="inlineStr">
        <is>
          <t>Gastos de administración</t>
        </is>
      </c>
      <c r="D8" s="19" t="inlineStr">
        <is>
          <t>Arrendamientos</t>
        </is>
      </c>
      <c r="E8" s="21" t="n">
        <v>36000</v>
      </c>
      <c r="F8" s="21" t="n">
        <v>36000</v>
      </c>
      <c r="G8" s="21">
        <f>IF(F8="","",E8-F8)</f>
        <v/>
      </c>
      <c r="H8" s="30">
        <f>IF(F8="","",IF(F8=0,"",G8/F8))</f>
        <v/>
      </c>
      <c r="I8" s="19">
        <f>IF(G8="","",IF(ABS(G8)&lt;='02_Parametros'!$B$12,"No",IF(F8=0,"Sí",IF(ABS(H8)&gt;'02_Parametros'!$B$9/100,"Sí","No"))))</f>
        <v/>
      </c>
      <c r="J8" s="21" t="n">
        <v>36000</v>
      </c>
      <c r="K8" s="21">
        <f>IF(J8="","",E8-J8)</f>
        <v/>
      </c>
      <c r="L8" s="30">
        <f>IF(J8="","",IF(J8=0,"",K8/J8))</f>
        <v/>
      </c>
      <c r="M8" s="19">
        <f>IF(K8="","",IF(ABS(K8)&lt;='02_Parametros'!$B$12,"No",IF(J8=0,"Sí",IF(ABS(L8)&gt;'02_Parametros'!$B$9/100,"Sí","No"))))</f>
        <v/>
      </c>
      <c r="N8" s="19" t="inlineStr"/>
      <c r="O8" s="19">
        <f>IF(AND(OR(I8="Sí",M8="Sí"),N8=""),"Sí","No")</f>
        <v/>
      </c>
      <c r="P8" s="21">
        <f>SUMIFS('05_Transacciones'!$F$5:$F$19,'05_Transacciones'!$G$5:$G$19,A8,'05_Transacciones'!$P$5:$P$19,"Sí")</f>
        <v/>
      </c>
      <c r="Q8" s="30">
        <f>IF(E8=0,"",P8/E8)</f>
        <v/>
      </c>
      <c r="R8" s="19">
        <f>IF(OR(ISNUMBER(SEARCH("extraordinari",B8)),ISNUMBER(SEARCH("extraordinari",C8))),"Sí","No")</f>
        <v/>
      </c>
    </row>
    <row r="9">
      <c r="A9" s="18" t="inlineStr">
        <is>
          <t>5204</t>
        </is>
      </c>
      <c r="B9" s="18" t="inlineStr">
        <is>
          <t>Depreciación</t>
        </is>
      </c>
      <c r="C9" s="18" t="inlineStr">
        <is>
          <t>Gastos de administración</t>
        </is>
      </c>
      <c r="D9" s="18" t="inlineStr">
        <is>
          <t>Depreciación</t>
        </is>
      </c>
      <c r="E9" s="20" t="n">
        <v>24000</v>
      </c>
      <c r="F9" s="20" t="n">
        <v>22000</v>
      </c>
      <c r="G9" s="20">
        <f>IF(F9="","",E9-F9)</f>
        <v/>
      </c>
      <c r="H9" s="29">
        <f>IF(F9="","",IF(F9=0,"",G9/F9))</f>
        <v/>
      </c>
      <c r="I9" s="18">
        <f>IF(G9="","",IF(ABS(G9)&lt;='02_Parametros'!$B$12,"No",IF(F9=0,"Sí",IF(ABS(H9)&gt;'02_Parametros'!$B$9/100,"Sí","No"))))</f>
        <v/>
      </c>
      <c r="J9" s="20" t="n"/>
      <c r="K9" s="20">
        <f>IF(J9="","",E9-J9)</f>
        <v/>
      </c>
      <c r="L9" s="29">
        <f>IF(J9="","",IF(J9=0,"",K9/J9))</f>
        <v/>
      </c>
      <c r="M9" s="18">
        <f>IF(K9="","",IF(ABS(K9)&lt;='02_Parametros'!$B$12,"No",IF(J9=0,"Sí",IF(ABS(L9)&gt;'02_Parametros'!$B$9/100,"Sí","No"))))</f>
        <v/>
      </c>
      <c r="N9" s="18" t="inlineStr"/>
      <c r="O9" s="18">
        <f>IF(AND(OR(I9="Sí",M9="Sí"),N9=""),"Sí","No")</f>
        <v/>
      </c>
      <c r="P9" s="20">
        <f>SUMIFS('05_Transacciones'!$F$5:$F$19,'05_Transacciones'!$G$5:$G$19,A9,'05_Transacciones'!$P$5:$P$19,"Sí")</f>
        <v/>
      </c>
      <c r="Q9" s="29">
        <f>IF(E9=0,"",P9/E9)</f>
        <v/>
      </c>
      <c r="R9" s="18">
        <f>IF(OR(ISNUMBER(SEARCH("extraordinari",B9)),ISNUMBER(SEARCH("extraordinari",C9))),"Sí","No")</f>
        <v/>
      </c>
    </row>
    <row r="10">
      <c r="A10" s="19" t="inlineStr">
        <is>
          <t>5301</t>
        </is>
      </c>
      <c r="B10" s="19" t="inlineStr">
        <is>
          <t>Publicidad</t>
        </is>
      </c>
      <c r="C10" s="19" t="inlineStr">
        <is>
          <t>Gastos de ventas</t>
        </is>
      </c>
      <c r="D10" s="19" t="inlineStr">
        <is>
          <t>Publicidad</t>
        </is>
      </c>
      <c r="E10" s="21" t="n">
        <v>60000</v>
      </c>
      <c r="F10" s="21" t="n">
        <v>40000</v>
      </c>
      <c r="G10" s="21">
        <f>IF(F10="","",E10-F10)</f>
        <v/>
      </c>
      <c r="H10" s="30">
        <f>IF(F10="","",IF(F10=0,"",G10/F10))</f>
        <v/>
      </c>
      <c r="I10" s="19">
        <f>IF(G10="","",IF(ABS(G10)&lt;='02_Parametros'!$B$12,"No",IF(F10=0,"Sí",IF(ABS(H10)&gt;'02_Parametros'!$B$9/100,"Sí","No"))))</f>
        <v/>
      </c>
      <c r="J10" s="21" t="n">
        <v>45000</v>
      </c>
      <c r="K10" s="21">
        <f>IF(J10="","",E10-J10)</f>
        <v/>
      </c>
      <c r="L10" s="30">
        <f>IF(J10="","",IF(J10=0,"",K10/J10))</f>
        <v/>
      </c>
      <c r="M10" s="19">
        <f>IF(K10="","",IF(ABS(K10)&lt;='02_Parametros'!$B$12,"No",IF(J10=0,"Sí",IF(ABS(L10)&gt;'02_Parametros'!$B$9/100,"Sí","No"))))</f>
        <v/>
      </c>
      <c r="N10" s="19" t="inlineStr"/>
      <c r="O10" s="19">
        <f>IF(AND(OR(I10="Sí",M10="Sí"),N10=""),"Sí","No")</f>
        <v/>
      </c>
      <c r="P10" s="21">
        <f>SUMIFS('05_Transacciones'!$F$5:$F$19,'05_Transacciones'!$G$5:$G$19,A10,'05_Transacciones'!$P$5:$P$19,"Sí")</f>
        <v/>
      </c>
      <c r="Q10" s="30">
        <f>IF(E10=0,"",P10/E10)</f>
        <v/>
      </c>
      <c r="R10" s="19">
        <f>IF(OR(ISNUMBER(SEARCH("extraordinari",B10)),ISNUMBER(SEARCH("extraordinari",C10))),"Sí","No")</f>
        <v/>
      </c>
    </row>
    <row r="11">
      <c r="A11" s="18" t="inlineStr">
        <is>
          <t>5302</t>
        </is>
      </c>
      <c r="B11" s="18" t="inlineStr">
        <is>
          <t>Comisiones y gastos de distribución</t>
        </is>
      </c>
      <c r="C11" s="18" t="inlineStr">
        <is>
          <t>Gastos de ventas</t>
        </is>
      </c>
      <c r="D11" s="18" t="inlineStr">
        <is>
          <t>Comisiones</t>
        </is>
      </c>
      <c r="E11" s="20" t="n">
        <v>25000</v>
      </c>
      <c r="F11" s="20" t="n">
        <v>27000</v>
      </c>
      <c r="G11" s="20">
        <f>IF(F11="","",E11-F11)</f>
        <v/>
      </c>
      <c r="H11" s="29">
        <f>IF(F11="","",IF(F11=0,"",G11/F11))</f>
        <v/>
      </c>
      <c r="I11" s="18">
        <f>IF(G11="","",IF(ABS(G11)&lt;='02_Parametros'!$B$12,"No",IF(F11=0,"Sí",IF(ABS(H11)&gt;'02_Parametros'!$B$9/100,"Sí","No"))))</f>
        <v/>
      </c>
      <c r="J11" s="20" t="n">
        <v>26000</v>
      </c>
      <c r="K11" s="20">
        <f>IF(J11="","",E11-J11)</f>
        <v/>
      </c>
      <c r="L11" s="29">
        <f>IF(J11="","",IF(J11=0,"",K11/J11))</f>
        <v/>
      </c>
      <c r="M11" s="18">
        <f>IF(K11="","",IF(ABS(K11)&lt;='02_Parametros'!$B$12,"No",IF(J11=0,"Sí",IF(ABS(L11)&gt;'02_Parametros'!$B$9/100,"Sí","No"))))</f>
        <v/>
      </c>
      <c r="N11" s="18" t="inlineStr"/>
      <c r="O11" s="18">
        <f>IF(AND(OR(I11="Sí",M11="Sí"),N11=""),"Sí","No")</f>
        <v/>
      </c>
      <c r="P11" s="20">
        <f>SUMIFS('05_Transacciones'!$F$5:$F$19,'05_Transacciones'!$G$5:$G$19,A11,'05_Transacciones'!$P$5:$P$19,"Sí")</f>
        <v/>
      </c>
      <c r="Q11" s="29">
        <f>IF(E11=0,"",P11/E11)</f>
        <v/>
      </c>
      <c r="R11" s="18">
        <f>IF(OR(ISNUMBER(SEARCH("extraordinari",B11)),ISNUMBER(SEARCH("extraordinari",C11))),"Sí","No")</f>
        <v/>
      </c>
    </row>
    <row r="12">
      <c r="A12" s="19" t="inlineStr">
        <is>
          <t>5401</t>
        </is>
      </c>
      <c r="B12" s="19" t="inlineStr">
        <is>
          <t>Seguros</t>
        </is>
      </c>
      <c r="C12" s="19" t="inlineStr">
        <is>
          <t>Gastos de administración</t>
        </is>
      </c>
      <c r="D12" s="19" t="inlineStr">
        <is>
          <t>Seguros</t>
        </is>
      </c>
      <c r="E12" s="21" t="n">
        <v>12000</v>
      </c>
      <c r="F12" s="21" t="n">
        <v>11000</v>
      </c>
      <c r="G12" s="21">
        <f>IF(F12="","",E12-F12)</f>
        <v/>
      </c>
      <c r="H12" s="30">
        <f>IF(F12="","",IF(F12=0,"",G12/F12))</f>
        <v/>
      </c>
      <c r="I12" s="19">
        <f>IF(G12="","",IF(ABS(G12)&lt;='02_Parametros'!$B$12,"No",IF(F12=0,"Sí",IF(ABS(H12)&gt;'02_Parametros'!$B$9/100,"Sí","No"))))</f>
        <v/>
      </c>
      <c r="J12" s="21" t="n"/>
      <c r="K12" s="21">
        <f>IF(J12="","",E12-J12)</f>
        <v/>
      </c>
      <c r="L12" s="30">
        <f>IF(J12="","",IF(J12=0,"",K12/J12))</f>
        <v/>
      </c>
      <c r="M12" s="19">
        <f>IF(K12="","",IF(ABS(K12)&lt;='02_Parametros'!$B$12,"No",IF(J12=0,"Sí",IF(ABS(L12)&gt;'02_Parametros'!$B$9/100,"Sí","No"))))</f>
        <v/>
      </c>
      <c r="N12" s="19" t="inlineStr"/>
      <c r="O12" s="19">
        <f>IF(AND(OR(I12="Sí",M12="Sí"),N12=""),"Sí","No")</f>
        <v/>
      </c>
      <c r="P12" s="21">
        <f>SUMIFS('05_Transacciones'!$F$5:$F$19,'05_Transacciones'!$G$5:$G$19,A12,'05_Transacciones'!$P$5:$P$19,"Sí")</f>
        <v/>
      </c>
      <c r="Q12" s="30">
        <f>IF(E12=0,"",P12/E12)</f>
        <v/>
      </c>
      <c r="R12" s="19">
        <f>IF(OR(ISNUMBER(SEARCH("extraordinari",B12)),ISNUMBER(SEARCH("extraordinari",C12))),"Sí","No")</f>
        <v/>
      </c>
    </row>
    <row r="13">
      <c r="A13" s="18" t="inlineStr">
        <is>
          <t>5501</t>
        </is>
      </c>
      <c r="B13" s="18" t="inlineStr">
        <is>
          <t>Intereses bancarios</t>
        </is>
      </c>
      <c r="C13" s="18" t="inlineStr">
        <is>
          <t>Gastos financieros</t>
        </is>
      </c>
      <c r="D13" s="18" t="inlineStr">
        <is>
          <t>Intereses</t>
        </is>
      </c>
      <c r="E13" s="20" t="n">
        <v>18000</v>
      </c>
      <c r="F13" s="20" t="n">
        <v>20000</v>
      </c>
      <c r="G13" s="20">
        <f>IF(F13="","",E13-F13)</f>
        <v/>
      </c>
      <c r="H13" s="29">
        <f>IF(F13="","",IF(F13=0,"",G13/F13))</f>
        <v/>
      </c>
      <c r="I13" s="18">
        <f>IF(G13="","",IF(ABS(G13)&lt;='02_Parametros'!$B$12,"No",IF(F13=0,"Sí",IF(ABS(H13)&gt;'02_Parametros'!$B$9/100,"Sí","No"))))</f>
        <v/>
      </c>
      <c r="J13" s="20" t="n"/>
      <c r="K13" s="20">
        <f>IF(J13="","",E13-J13)</f>
        <v/>
      </c>
      <c r="L13" s="29">
        <f>IF(J13="","",IF(J13=0,"",K13/J13))</f>
        <v/>
      </c>
      <c r="M13" s="18">
        <f>IF(K13="","",IF(ABS(K13)&lt;='02_Parametros'!$B$12,"No",IF(J13=0,"Sí",IF(ABS(L13)&gt;'02_Parametros'!$B$9/100,"Sí","No"))))</f>
        <v/>
      </c>
      <c r="N13" s="18" t="inlineStr"/>
      <c r="O13" s="18">
        <f>IF(AND(OR(I13="Sí",M13="Sí"),N13=""),"Sí","No")</f>
        <v/>
      </c>
      <c r="P13" s="20">
        <f>SUMIFS('05_Transacciones'!$F$5:$F$19,'05_Transacciones'!$G$5:$G$19,A13,'05_Transacciones'!$P$5:$P$19,"Sí")</f>
        <v/>
      </c>
      <c r="Q13" s="29">
        <f>IF(E13=0,"",P13/E13)</f>
        <v/>
      </c>
      <c r="R13" s="18">
        <f>IF(OR(ISNUMBER(SEARCH("extraordinari",B13)),ISNUMBER(SEARCH("extraordinari",C13))),"Sí","No")</f>
        <v/>
      </c>
    </row>
    <row r="14">
      <c r="A14" s="19" t="inlineStr">
        <is>
          <t>5601</t>
        </is>
      </c>
      <c r="B14" s="19" t="inlineStr">
        <is>
          <t>Pérdida por siniestro</t>
        </is>
      </c>
      <c r="C14" s="19" t="inlineStr">
        <is>
          <t>Gastos extraordinarios</t>
        </is>
      </c>
      <c r="D14" s="19" t="inlineStr"/>
      <c r="E14" s="21" t="n">
        <v>8000</v>
      </c>
      <c r="F14" s="21" t="n">
        <v>0</v>
      </c>
      <c r="G14" s="21">
        <f>IF(F14="","",E14-F14)</f>
        <v/>
      </c>
      <c r="H14" s="30">
        <f>IF(F14="","",IF(F14=0,"",G14/F14))</f>
        <v/>
      </c>
      <c r="I14" s="19">
        <f>IF(G14="","",IF(ABS(G14)&lt;='02_Parametros'!$B$12,"No",IF(F14=0,"Sí",IF(ABS(H14)&gt;'02_Parametros'!$B$9/100,"Sí","No"))))</f>
        <v/>
      </c>
      <c r="J14" s="21" t="n"/>
      <c r="K14" s="21">
        <f>IF(J14="","",E14-J14)</f>
        <v/>
      </c>
      <c r="L14" s="30">
        <f>IF(J14="","",IF(J14=0,"",K14/J14))</f>
        <v/>
      </c>
      <c r="M14" s="19">
        <f>IF(K14="","",IF(ABS(K14)&lt;='02_Parametros'!$B$12,"No",IF(J14=0,"Sí",IF(ABS(L14)&gt;'02_Parametros'!$B$9/100,"Sí","No"))))</f>
        <v/>
      </c>
      <c r="N14" s="19" t="inlineStr">
        <is>
          <t>Incendio en bodega</t>
        </is>
      </c>
      <c r="O14" s="19">
        <f>IF(AND(OR(I14="Sí",M14="Sí"),N14=""),"Sí","No")</f>
        <v/>
      </c>
      <c r="P14" s="21">
        <f>SUMIFS('05_Transacciones'!$F$5:$F$19,'05_Transacciones'!$G$5:$G$19,A14,'05_Transacciones'!$P$5:$P$19,"Sí")</f>
        <v/>
      </c>
      <c r="Q14" s="30">
        <f>IF(E14=0,"",P14/E14)</f>
        <v/>
      </c>
      <c r="R14" s="19">
        <f>IF(OR(ISNUMBER(SEARCH("extraordinari",B14)),ISNUMBER(SEARCH("extraordinari",C14))),"Sí","No")</f>
        <v/>
      </c>
    </row>
    <row r="15">
      <c r="A15" s="31" t="inlineStr">
        <is>
          <t>TOTAL</t>
        </is>
      </c>
      <c r="B15" s="31" t="inlineStr"/>
      <c r="C15" s="31" t="inlineStr"/>
      <c r="D15" s="31" t="inlineStr"/>
      <c r="E15" s="32">
        <f>SUM(E5:E14)</f>
        <v/>
      </c>
      <c r="F15" s="32">
        <f>SUM(F5:F14)</f>
        <v/>
      </c>
      <c r="G15" s="32">
        <f>SUM(G5:G14)</f>
        <v/>
      </c>
      <c r="H15" s="33" t="n"/>
      <c r="I15" s="31" t="inlineStr"/>
      <c r="J15" s="32">
        <f>SUM(J5:J14)</f>
        <v/>
      </c>
      <c r="K15" s="32">
        <f>SUM(K5:K14)</f>
        <v/>
      </c>
      <c r="L15" s="33" t="n"/>
      <c r="M15" s="31" t="inlineStr"/>
      <c r="N15" s="31" t="inlineStr"/>
      <c r="O15" s="31" t="inlineStr"/>
      <c r="P15" s="32">
        <f>SUM(P5:P14)</f>
        <v/>
      </c>
      <c r="Q15" s="33">
        <f>IF(E15=0,"",P15/E15)</f>
        <v/>
      </c>
      <c r="R15" s="31" t="inlineStr"/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Variación</t>
        </is>
      </c>
      <c r="B19" s="25" t="inlineStr">
        <is>
          <t>'=IF(F5="","",E5-F5)</t>
        </is>
      </c>
      <c r="C19" s="24" t="inlineStr">
        <is>
          <t>Resta el saldo del año anterior al saldo actual de la cuenta; si no hay saldo anterior, queda en blanco.</t>
        </is>
      </c>
      <c r="D19" s="24" t="inlineStr">
        <is>
          <t>Fila 1: IF(550.000,00=""; ""; 600.000,00-550.000,00) → 50.000,00</t>
        </is>
      </c>
      <c r="E19" s="24" t="inlineStr">
        <is>
          <t>«Saldo anterior» (esta hoja), «Saldo actual» (esta hoja)</t>
        </is>
      </c>
      <c r="F19" s="24" t="inlineStr">
        <is>
          <t>—</t>
        </is>
      </c>
    </row>
    <row r="20">
      <c r="A20" s="24" t="inlineStr">
        <is>
          <t>Variación %</t>
        </is>
      </c>
      <c r="B20" s="25" t="inlineStr">
        <is>
          <t>'=IF(F5="","",IF(F5=0,"",G5/F5))</t>
        </is>
      </c>
      <c r="C20" s="24" t="inlineStr">
        <is>
          <t>Divide la variación para el saldo del año anterior; queda en blanco si no hay saldo anterior o si ese saldo es cero.</t>
        </is>
      </c>
      <c r="D20" s="24" t="inlineStr">
        <is>
          <t>Fila 1: IF(550.000,00=""; ""; IF(550.000,00=0; ""; 50.000,00/550.000,00)) → 9,09 %</t>
        </is>
      </c>
      <c r="E20" s="24" t="inlineStr">
        <is>
          <t>«Saldo anterior» (esta hoja), «Variación» (esta hoja)</t>
        </is>
      </c>
      <c r="F20" s="24" t="inlineStr">
        <is>
          <t>—</t>
        </is>
      </c>
    </row>
    <row r="21">
      <c r="A21" s="24" t="inlineStr">
        <is>
          <t>Excede umbral</t>
        </is>
      </c>
      <c r="B21" s="25" t="inlineStr">
        <is>
          <t>'=IF(G5="","",IF(ABS(G5)&lt;='02_Parametros'!$B$12,"No",IF(F5=0,"Sí",IF(ABS(H5)&gt;'02_Parametros'!$B$9/100,"Sí","No"))))</t>
        </is>
      </c>
      <c r="C21" s="24" t="inlineStr">
        <is>
          <t>Compara la variación con los umbrales de la hoja 02 (Parámetros): si en valor absoluto no pasa el umbral absoluto aplicado es «No»; si lo pasa, es «Sí» cuando el saldo anterior es cero o la variación % supera el umbral en %.</t>
        </is>
      </c>
      <c r="D21" s="24" t="inlineStr">
        <is>
          <t>Fila 1: IF(50.000,00=""; ""; IF(ABS(50.000,00)&lt;=5.000,00; "No"; IF(550.000,00=0; "Sí"; IF(ABS(9,09 %)&gt;10,00/100; "Sí"; "No")))) → No</t>
        </is>
      </c>
      <c r="E21" s="24" t="inlineStr">
        <is>
          <t>«Variación» (esta hoja), «Saldo anterior» (esta hoja), «Variación %» (esta hoja), hoja «Parámetros»</t>
        </is>
      </c>
      <c r="F21" s="24" t="inlineStr">
        <is>
          <t>—</t>
        </is>
      </c>
    </row>
    <row r="22">
      <c r="A22" s="24" t="inlineStr">
        <is>
          <t>Variación vs presupuesto</t>
        </is>
      </c>
      <c r="B22" s="25" t="inlineStr">
        <is>
          <t>'=IF(J5="","",E5-J5)</t>
        </is>
      </c>
      <c r="C22" s="24" t="inlineStr">
        <is>
          <t>Resta el presupuesto de la cuenta a su saldo actual; si la cuenta no tiene presupuesto, queda en blanco.</t>
        </is>
      </c>
      <c r="D22" s="24" t="inlineStr">
        <is>
          <t>Fila 1: IF(590.000,00=""; ""; 600.000,00-590.000,00) → 10.000,00</t>
        </is>
      </c>
      <c r="E22" s="24" t="inlineStr">
        <is>
          <t>«Presupuesto» (esta hoja), «Saldo actual» (esta hoja)</t>
        </is>
      </c>
      <c r="F22" s="24" t="inlineStr">
        <is>
          <t>—</t>
        </is>
      </c>
    </row>
    <row r="23">
      <c r="A23" s="24" t="inlineStr">
        <is>
          <t>Variación vs presupuesto %</t>
        </is>
      </c>
      <c r="B23" s="25" t="inlineStr">
        <is>
          <t>'=IF(J5="","",IF(J5=0,"",K5/J5))</t>
        </is>
      </c>
      <c r="C23" s="24" t="inlineStr">
        <is>
          <t>Divide la variación contra el presupuesto para el presupuesto; queda en blanco si no hay presupuesto o si es cero.</t>
        </is>
      </c>
      <c r="D23" s="24" t="inlineStr">
        <is>
          <t>Fila 1: IF(590.000,00=""; ""; IF(590.000,00=0; ""; 10.000,00/590.000,00)) → 1,69 %</t>
        </is>
      </c>
      <c r="E23" s="24" t="inlineStr">
        <is>
          <t>«Presupuesto» (esta hoja), «Variación vs presupuesto» (esta hoja)</t>
        </is>
      </c>
      <c r="F23" s="24" t="inlineStr">
        <is>
          <t>—</t>
        </is>
      </c>
    </row>
    <row r="24">
      <c r="A24" s="24" t="inlineStr">
        <is>
          <t>Excede umbral (presupuesto)</t>
        </is>
      </c>
      <c r="B24" s="25" t="inlineStr">
        <is>
          <t>'=IF(K5="","",IF(ABS(K5)&lt;='02_Parametros'!$B$12,"No",IF(J5=0,"Sí",IF(ABS(L5)&gt;'02_Parametros'!$B$9/100,"Sí","No"))))</t>
        </is>
      </c>
      <c r="C24" s="24" t="inlineStr">
        <is>
          <t>Aplica la misma prueba de umbrales de la hoja 02 (Parámetros) a la variación contra el presupuesto: «Sí» solo si supera el umbral absoluto y, además, el presupuesto es cero o la variación % supera el umbral en %.</t>
        </is>
      </c>
      <c r="D24" s="24" t="inlineStr">
        <is>
          <t>Fila 1: IF(10.000,00=""; ""; IF(ABS(10.000,00)&lt;=5.000,00; "No"; IF(590.000,00=0; "Sí"; IF(ABS(1,69 %)&gt;10,00/100; "Sí"; "No")))) → No</t>
        </is>
      </c>
      <c r="E24" s="24" t="inlineStr">
        <is>
          <t>«Variación vs presupuesto» (esta hoja), «Presupuesto» (esta hoja), «Variación vs presupuesto %» (esta hoja), hoja «Parámetros»</t>
        </is>
      </c>
      <c r="F24" s="24" t="inlineStr">
        <is>
          <t>—</t>
        </is>
      </c>
    </row>
    <row r="25">
      <c r="A25" s="24" t="inlineStr">
        <is>
          <t>Variación sin explicar</t>
        </is>
      </c>
      <c r="B25" s="25" t="inlineStr">
        <is>
          <t>'=IF(AND(OR(I5="Sí",M5="Sí"),N5=""),"Sí","No")</t>
        </is>
      </c>
      <c r="C25" s="24" t="inlineStr">
        <is>
          <t>Marca «Sí» cuando la cuenta excede el umbral (contra el año anterior o contra el presupuesto) y la columna «Explicación» está vacía; en otro caso, «No».</t>
        </is>
      </c>
      <c r="D25" s="24" t="inlineStr">
        <is>
          <t>Fila 1: IF(AND(OR(«No»="Sí"; «No»="Sí"); «Mayor volumen de ventas (+9 %)»=""); "Sí"; "No") → No</t>
        </is>
      </c>
      <c r="E25" s="24" t="inlineStr">
        <is>
          <t>«Excede umbral» (esta hoja), «Excede umbral (presupuesto)» (esta hoja), «Explicación» (esta hoja)</t>
        </is>
      </c>
      <c r="F25" s="24" t="inlineStr">
        <is>
          <t>—</t>
        </is>
      </c>
    </row>
    <row r="26">
      <c r="A26" s="24" t="inlineStr">
        <is>
          <t>Muestra examinada</t>
        </is>
      </c>
      <c r="B26" s="25" t="inlineStr">
        <is>
          <t>'=SUMIFS('05_Transacciones'!$F$5:$F$19,'05_Transacciones'!$G$5:$G$19,A5,'05_Transacciones'!$P$5:$P$19,"Sí")</t>
        </is>
      </c>
      <c r="C26" s="24" t="inlineStr">
        <is>
          <t>Suma los importes de las transacciones de la hoja 05 (Transacciones de la muestra) registradas en esta cuenta y dentro del ejercicio.</t>
        </is>
      </c>
      <c r="D26" s="24" t="inlineStr">
        <is>
          <t>Fila 1: SUMIFS([«Importe» de «Transacciones de la muestra», 15 filas]; [«Cuenta» de «Transacciones de la muestra», 15 filas]; «5101»; [«Registrado en el ejercicio» de «Transacciones de la muestra», 15 filas]; "Sí") → 0,00</t>
        </is>
      </c>
      <c r="E26" s="24" t="inlineStr">
        <is>
          <t>«Cuenta» (esta hoja), hoja «Transacciones de la muestra»</t>
        </is>
      </c>
      <c r="F26" s="24" t="inlineStr">
        <is>
          <t>—</t>
        </is>
      </c>
    </row>
    <row r="27">
      <c r="A27" s="24" t="inlineStr">
        <is>
          <t>Cobertura de la muestra</t>
        </is>
      </c>
      <c r="B27" s="25" t="inlineStr">
        <is>
          <t>'=IF(E5=0,"",P5/E5)</t>
        </is>
      </c>
      <c r="C27" s="24" t="inlineStr">
        <is>
          <t>Divide la muestra examinada para el saldo actual de la cuenta: indica qué parte del gasto se revisó con documentos; en blanco si el saldo es cero.</t>
        </is>
      </c>
      <c r="D27" s="24" t="inlineStr">
        <is>
          <t>Fila 1: IF(600.000,00=0; ""; 0,00/600.000,00) → 0,00 %</t>
        </is>
      </c>
      <c r="E27" s="24" t="inlineStr">
        <is>
          <t>«Saldo actual» (esta hoja), «Muestra examinada» (esta hoja)</t>
        </is>
      </c>
      <c r="F27" s="24" t="inlineStr">
        <is>
          <t>—</t>
        </is>
      </c>
    </row>
    <row r="28">
      <c r="A28" s="24" t="inlineStr">
        <is>
          <t>Presentada como extraordinaria</t>
        </is>
      </c>
      <c r="B28" s="25" t="inlineStr">
        <is>
          <t>'=IF(OR(ISNUMBER(SEARCH("extraordinari",B5)),ISNUMBER(SEARCH("extraordinari",C5))),"Sí","No")</t>
        </is>
      </c>
      <c r="C28" s="24" t="inlineStr">
        <is>
          <t>Marca «Sí» si el nombre de la cuenta o su línea del estado de resultados contiene la palabra «extraordinario/a»; en otro caso, «No».</t>
        </is>
      </c>
      <c r="D28" s="24" t="inlineStr">
        <is>
          <t>Fila 1: IF(OR(ISNUMBER(SEARCH("extraordinari"; «Costo de ventas»)); ISNUMBER(SEARCH("extraordinari"; «Costo de ventas»))); "Sí"; "No") → No</t>
        </is>
      </c>
      <c r="E28" s="24" t="inlineStr">
        <is>
          <t>«Nombre» (esta hoja), «Línea del estado de resultados» (esta hoja)</t>
        </is>
      </c>
      <c r="F28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2" customWidth="1" min="5" max="5"/>
    <col width="22" customWidth="1" min="6" max="6"/>
    <col width="30" customWidth="1" min="7" max="7"/>
  </cols>
  <sheetData>
    <row r="1">
      <c r="A1" s="3" t="inlineStr">
        <is>
          <t>Presentación en el estado de resultados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Línea del estado de resultados</t>
        </is>
      </c>
      <c r="B4" s="17" t="inlineStr">
        <is>
          <t>Cuentas</t>
        </is>
      </c>
      <c r="C4" s="17" t="inlineStr">
        <is>
          <t>Año actual</t>
        </is>
      </c>
      <c r="D4" s="17" t="inlineStr">
        <is>
          <t>Año anterior</t>
        </is>
      </c>
      <c r="E4" s="17" t="inlineStr">
        <is>
          <t>Variación</t>
        </is>
      </c>
      <c r="F4" s="17" t="inlineStr">
        <is>
          <t>% del gasto total</t>
        </is>
      </c>
      <c r="G4" s="17" t="inlineStr">
        <is>
          <t>«Extraordinaria» (prohibido)</t>
        </is>
      </c>
    </row>
    <row r="5">
      <c r="A5" s="18" t="inlineStr">
        <is>
          <t>Costo de ventas</t>
        </is>
      </c>
      <c r="B5" s="34">
        <f>COUNTIF('03_Analisis_global'!$C$5:$C$14,A5)</f>
        <v/>
      </c>
      <c r="C5" s="20">
        <f>SUMIF('03_Analisis_global'!$C$5:$C$14,A5,'03_Analisis_global'!$E$5:$E$14)</f>
        <v/>
      </c>
      <c r="D5" s="20">
        <f>SUMIF('03_Analisis_global'!$C$5:$C$14,A5,'03_Analisis_global'!$F$5:$F$14)</f>
        <v/>
      </c>
      <c r="E5" s="20">
        <f>C5-D5</f>
        <v/>
      </c>
      <c r="F5" s="29">
        <f>IF(SUM('03_Analisis_global'!$E$5:$E$14)=0,"",C5/SUM('03_Analisis_global'!$E$5:$E$14))</f>
        <v/>
      </c>
      <c r="G5" s="18">
        <f>IF(ISNUMBER(SEARCH("extraordinari",A5)),"Sí","No")</f>
        <v/>
      </c>
    </row>
    <row r="6">
      <c r="A6" s="19" t="inlineStr">
        <is>
          <t>Gastos de administración</t>
        </is>
      </c>
      <c r="B6" s="35">
        <f>COUNTIF('03_Analisis_global'!$C$5:$C$14,A6)</f>
        <v/>
      </c>
      <c r="C6" s="21">
        <f>SUMIF('03_Analisis_global'!$C$5:$C$14,A6,'03_Analisis_global'!$E$5:$E$14)</f>
        <v/>
      </c>
      <c r="D6" s="21">
        <f>SUMIF('03_Analisis_global'!$C$5:$C$14,A6,'03_Analisis_global'!$F$5:$F$14)</f>
        <v/>
      </c>
      <c r="E6" s="21">
        <f>C6-D6</f>
        <v/>
      </c>
      <c r="F6" s="30">
        <f>IF(SUM('03_Analisis_global'!$E$5:$E$14)=0,"",C6/SUM('03_Analisis_global'!$E$5:$E$14))</f>
        <v/>
      </c>
      <c r="G6" s="19">
        <f>IF(ISNUMBER(SEARCH("extraordinari",A6)),"Sí","No")</f>
        <v/>
      </c>
    </row>
    <row r="7">
      <c r="A7" s="18" t="inlineStr">
        <is>
          <t>Gastos de ventas</t>
        </is>
      </c>
      <c r="B7" s="34">
        <f>COUNTIF('03_Analisis_global'!$C$5:$C$14,A7)</f>
        <v/>
      </c>
      <c r="C7" s="20">
        <f>SUMIF('03_Analisis_global'!$C$5:$C$14,A7,'03_Analisis_global'!$E$5:$E$14)</f>
        <v/>
      </c>
      <c r="D7" s="20">
        <f>SUMIF('03_Analisis_global'!$C$5:$C$14,A7,'03_Analisis_global'!$F$5:$F$14)</f>
        <v/>
      </c>
      <c r="E7" s="20">
        <f>C7-D7</f>
        <v/>
      </c>
      <c r="F7" s="29">
        <f>IF(SUM('03_Analisis_global'!$E$5:$E$14)=0,"",C7/SUM('03_Analisis_global'!$E$5:$E$14))</f>
        <v/>
      </c>
      <c r="G7" s="18">
        <f>IF(ISNUMBER(SEARCH("extraordinari",A7)),"Sí","No")</f>
        <v/>
      </c>
    </row>
    <row r="8">
      <c r="A8" s="19" t="inlineStr">
        <is>
          <t>Gastos financieros</t>
        </is>
      </c>
      <c r="B8" s="35">
        <f>COUNTIF('03_Analisis_global'!$C$5:$C$14,A8)</f>
        <v/>
      </c>
      <c r="C8" s="21">
        <f>SUMIF('03_Analisis_global'!$C$5:$C$14,A8,'03_Analisis_global'!$E$5:$E$14)</f>
        <v/>
      </c>
      <c r="D8" s="21">
        <f>SUMIF('03_Analisis_global'!$C$5:$C$14,A8,'03_Analisis_global'!$F$5:$F$14)</f>
        <v/>
      </c>
      <c r="E8" s="21">
        <f>C8-D8</f>
        <v/>
      </c>
      <c r="F8" s="30">
        <f>IF(SUM('03_Analisis_global'!$E$5:$E$14)=0,"",C8/SUM('03_Analisis_global'!$E$5:$E$14))</f>
        <v/>
      </c>
      <c r="G8" s="19">
        <f>IF(ISNUMBER(SEARCH("extraordinari",A8)),"Sí","No")</f>
        <v/>
      </c>
    </row>
    <row r="9">
      <c r="A9" s="18" t="inlineStr">
        <is>
          <t>Gastos extraordinarios</t>
        </is>
      </c>
      <c r="B9" s="34">
        <f>COUNTIF('03_Analisis_global'!$C$5:$C$14,A9)</f>
        <v/>
      </c>
      <c r="C9" s="20">
        <f>SUMIF('03_Analisis_global'!$C$5:$C$14,A9,'03_Analisis_global'!$E$5:$E$14)</f>
        <v/>
      </c>
      <c r="D9" s="20">
        <f>SUMIF('03_Analisis_global'!$C$5:$C$14,A9,'03_Analisis_global'!$F$5:$F$14)</f>
        <v/>
      </c>
      <c r="E9" s="20">
        <f>C9-D9</f>
        <v/>
      </c>
      <c r="F9" s="29">
        <f>IF(SUM('03_Analisis_global'!$E$5:$E$14)=0,"",C9/SUM('03_Analisis_global'!$E$5:$E$14))</f>
        <v/>
      </c>
      <c r="G9" s="18">
        <f>IF(ISNUMBER(SEARCH("extraordinari",A9)),"Sí","No")</f>
        <v/>
      </c>
    </row>
    <row r="10">
      <c r="A10" s="31" t="inlineStr">
        <is>
          <t>TOTAL</t>
        </is>
      </c>
      <c r="B10" s="36">
        <f>SUM(B5:B9)</f>
        <v/>
      </c>
      <c r="C10" s="32">
        <f>SUM(C5:C9)</f>
        <v/>
      </c>
      <c r="D10" s="32">
        <f>SUM(D5:D9)</f>
        <v/>
      </c>
      <c r="E10" s="32">
        <f>SUM(E5:E9)</f>
        <v/>
      </c>
      <c r="F10" s="33" t="n"/>
      <c r="G10" s="31" t="inlineStr"/>
    </row>
    <row r="12">
      <c r="A12" s="22" t="inlineStr">
        <is>
          <t>ⓘ  Cómo se calcula esta hoja</t>
        </is>
      </c>
    </row>
    <row r="13">
      <c r="A13" s="23" t="inlineStr">
        <is>
          <t>Columna</t>
        </is>
      </c>
      <c r="B13" s="23" t="inlineStr">
        <is>
          <t>Fórmula (Excel)</t>
        </is>
      </c>
      <c r="C13" s="23" t="inlineStr">
        <is>
          <t>Cómo se calcula (sencillo)</t>
        </is>
      </c>
      <c r="D13" s="23" t="inlineStr">
        <is>
          <t>Ejemplo con números reales</t>
        </is>
      </c>
      <c r="E13" s="23" t="inlineStr">
        <is>
          <t>De dónde viene</t>
        </is>
      </c>
      <c r="F13" s="23" t="inlineStr">
        <is>
          <t>Norma</t>
        </is>
      </c>
    </row>
    <row r="14">
      <c r="A14" s="24" t="inlineStr">
        <is>
          <t>Cuentas</t>
        </is>
      </c>
      <c r="B14" s="25" t="inlineStr">
        <is>
          <t>'=COUNTIF('03_Analisis_global'!$C$5:$C$14,A5)</t>
        </is>
      </c>
      <c r="C14" s="24" t="inlineStr">
        <is>
          <t>Cuenta cuántas cuentas de la hoja 03 (Análisis global) están asignadas a esta línea del estado de resultados.</t>
        </is>
      </c>
      <c r="D14" s="24" t="inlineStr">
        <is>
          <t>Fila 1: COUNTIF([«Línea del estado de resultados» de «Análisis global por cuenta (NIA 520)», 10 filas]; «Costo de ventas») → 1</t>
        </is>
      </c>
      <c r="E14" s="24" t="inlineStr">
        <is>
          <t>«Línea del estado de resultados» (esta hoja), hoja «Análisis global por cuenta (NIA 520)»</t>
        </is>
      </c>
      <c r="F14" s="24" t="inlineStr">
        <is>
          <t>—</t>
        </is>
      </c>
    </row>
    <row r="15">
      <c r="A15" s="24" t="inlineStr">
        <is>
          <t>Año actual</t>
        </is>
      </c>
      <c r="B15" s="25" t="inlineStr">
        <is>
          <t>'=SUMIF('03_Analisis_global'!$C$5:$C$14,A5,'03_Analisis_global'!$E$5:$E$14)</t>
        </is>
      </c>
      <c r="C15" s="24" t="inlineStr">
        <is>
          <t>Suma el saldo actual de las cuentas de la hoja 03 (Análisis global) asignadas a esta línea.</t>
        </is>
      </c>
      <c r="D15" s="24" t="inlineStr">
        <is>
          <t>Fila 1: SUMIF([«Línea del estado de resultados» de «Análisis global por cuenta (NIA 520)», 10 filas]; «Costo de ventas»; [«Saldo actual» de «Análisis global por cuenta (NIA 520)», 10 filas]) → 600.000,00</t>
        </is>
      </c>
      <c r="E15" s="24" t="inlineStr">
        <is>
          <t>«Línea del estado de resultados» (esta hoja), hoja «Análisis global por cuenta (NIA 520)»</t>
        </is>
      </c>
      <c r="F15" s="24" t="inlineStr">
        <is>
          <t>—</t>
        </is>
      </c>
    </row>
    <row r="16">
      <c r="A16" s="24" t="inlineStr">
        <is>
          <t>Año anterior</t>
        </is>
      </c>
      <c r="B16" s="25" t="inlineStr">
        <is>
          <t>'=SUMIF('03_Analisis_global'!$C$5:$C$14,A5,'03_Analisis_global'!$F$5:$F$14)</t>
        </is>
      </c>
      <c r="C16" s="24" t="inlineStr">
        <is>
          <t>Suma el saldo del año anterior de las cuentas de la hoja 03 (Análisis global) asignadas a esta línea.</t>
        </is>
      </c>
      <c r="D16" s="24" t="inlineStr">
        <is>
          <t>Fila 1: SUMIF([«Línea del estado de resultados» de «Análisis global por cuenta (NIA 520)», 10 filas]; «Costo de ventas»; [«Saldo anterior» de «Análisis global por cuenta (NIA 520)», 10 filas]) → 550.000,00</t>
        </is>
      </c>
      <c r="E16" s="24" t="inlineStr">
        <is>
          <t>«Línea del estado de resultados» (esta hoja), hoja «Análisis global por cuenta (NIA 520)»</t>
        </is>
      </c>
      <c r="F16" s="24" t="inlineStr">
        <is>
          <t>—</t>
        </is>
      </c>
    </row>
    <row r="17">
      <c r="A17" s="24" t="inlineStr">
        <is>
          <t>Variación</t>
        </is>
      </c>
      <c r="B17" s="25" t="inlineStr">
        <is>
          <t>'=C5-D5</t>
        </is>
      </c>
      <c r="C17" s="24" t="inlineStr">
        <is>
          <t>Resta el importe del año anterior al del año actual de esta línea del estado de resultados.</t>
        </is>
      </c>
      <c r="D17" s="24" t="inlineStr">
        <is>
          <t>Fila 1: 600.000,00-550.000,00 → 50.000,00</t>
        </is>
      </c>
      <c r="E17" s="24" t="inlineStr">
        <is>
          <t>«Año actual» (esta hoja), «Año anterior» (esta hoja)</t>
        </is>
      </c>
      <c r="F17" s="24" t="inlineStr">
        <is>
          <t>—</t>
        </is>
      </c>
    </row>
    <row r="18">
      <c r="A18" s="24" t="inlineStr">
        <is>
          <t>% del gasto total</t>
        </is>
      </c>
      <c r="B18" s="25" t="inlineStr">
        <is>
          <t>'=IF(SUM('03_Analisis_global'!$E$5:$E$14)=0,"",C5/SUM('03_Analisis_global'!$E$5:$E$14))</t>
        </is>
      </c>
      <c r="C18" s="24" t="inlineStr">
        <is>
          <t>Divide el gasto del año actual de la línea para el total de saldos actuales de la hoja 03 (Análisis global); en blanco si ese total es cero.</t>
        </is>
      </c>
      <c r="D18" s="24" t="inlineStr">
        <is>
          <t>Fila 1: IF(SUM([«Saldo actual» de «Análisis global por cuenta (NIA 520)», 10 filas])=0; ""; 600.000,00/SUM([«Saldo actual» de «Análisis global por cuenta (NIA 520)», 10 filas])) → 59,52 %</t>
        </is>
      </c>
      <c r="E18" s="24" t="inlineStr">
        <is>
          <t>«Año actual» (esta hoja), hoja «Análisis global por cuenta (NIA 520)»</t>
        </is>
      </c>
      <c r="F18" s="24" t="inlineStr">
        <is>
          <t>—</t>
        </is>
      </c>
    </row>
    <row r="19">
      <c r="A19" s="24" t="inlineStr">
        <is>
          <t>«Extraordinaria» (prohibido)</t>
        </is>
      </c>
      <c r="B19" s="25" t="inlineStr">
        <is>
          <t>'=IF(ISNUMBER(SEARCH("extraordinari",A5)),"Sí","No")</t>
        </is>
      </c>
      <c r="C19" s="24" t="inlineStr">
        <is>
          <t>Marca «Sí» si el nombre de la línea del estado de resultados contiene la palabra «extraordinario/a»; en otro caso, «No».</t>
        </is>
      </c>
      <c r="D19" s="24" t="inlineStr">
        <is>
          <t>Fila 1: IF(ISNUMBER(SEARCH("extraordinari"; «Costo de ventas»)); "Sí"; "No") → No</t>
        </is>
      </c>
      <c r="E19" s="24" t="inlineStr">
        <is>
          <t>«Línea del estado de resultados» (esta hoja)</t>
        </is>
      </c>
      <c r="F19" s="24" t="inlineStr">
        <is>
          <t>—</t>
        </is>
      </c>
    </row>
  </sheetData>
  <mergeCells count="3">
    <mergeCell ref="A2:F2"/>
    <mergeCell ref="A1:F1"/>
    <mergeCell ref="A12:F12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32" customWidth="1" min="8" max="8"/>
    <col width="12" customWidth="1" min="9" max="9"/>
    <col width="24" customWidth="1" min="10" max="10"/>
    <col width="18" customWidth="1" min="11" max="11"/>
    <col width="19" customWidth="1" min="12" max="12"/>
    <col width="29" customWidth="1" min="13" max="13"/>
    <col width="17" customWidth="1" min="14" max="14"/>
    <col width="12" customWidth="1" min="15" max="15"/>
    <col width="28" customWidth="1" min="16" max="16"/>
    <col width="25" customWidth="1" min="17" max="17"/>
  </cols>
  <sheetData>
    <row r="1">
      <c r="A1" s="3" t="inlineStr">
        <is>
          <t>Transacciones de la muestra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</row>
    <row r="4" ht="30" customHeight="1">
      <c r="A4" s="17" t="inlineStr">
        <is>
          <t>Comprobante</t>
        </is>
      </c>
      <c r="B4" s="17" t="inlineStr">
        <is>
          <t>Fecha documento</t>
        </is>
      </c>
      <c r="C4" s="17" t="inlineStr">
        <is>
          <t>Fecha registro</t>
        </is>
      </c>
      <c r="D4" s="17" t="inlineStr">
        <is>
          <t>Servicio desde</t>
        </is>
      </c>
      <c r="E4" s="17" t="inlineStr">
        <is>
          <t>Servicio hasta</t>
        </is>
      </c>
      <c r="F4" s="17" t="inlineStr">
        <is>
          <t>Importe</t>
        </is>
      </c>
      <c r="G4" s="17" t="inlineStr">
        <is>
          <t>Cuenta</t>
        </is>
      </c>
      <c r="H4" s="17" t="inlineStr">
        <is>
          <t>Proveedor</t>
        </is>
      </c>
      <c r="I4" s="17" t="inlineStr">
        <is>
          <t>Soporte</t>
        </is>
      </c>
      <c r="J4" s="17" t="inlineStr">
        <is>
          <t>Comprobante válido SRI</t>
        </is>
      </c>
      <c r="K4" s="17" t="inlineStr">
        <is>
          <t>Pagado por banco</t>
        </is>
      </c>
      <c r="L4" s="17" t="inlineStr">
        <is>
          <t>Parte relacionada</t>
        </is>
      </c>
      <c r="M4" s="17" t="inlineStr">
        <is>
          <t>Categoría parte relacionada</t>
        </is>
      </c>
      <c r="N4" s="17" t="inlineStr">
        <is>
          <t>Cuenta sugerida</t>
        </is>
      </c>
      <c r="O4" s="17" t="inlineStr">
        <is>
          <t>Inusual</t>
        </is>
      </c>
      <c r="P4" s="17" t="inlineStr">
        <is>
          <t>Registrado en el ejercicio</t>
        </is>
      </c>
      <c r="Q4" s="17" t="inlineStr">
        <is>
          <t>Con período de servicio</t>
        </is>
      </c>
    </row>
    <row r="5">
      <c r="A5" s="18" t="inlineStr">
        <is>
          <t>FC-101</t>
        </is>
      </c>
      <c r="B5" s="37" t="n">
        <v>45726</v>
      </c>
      <c r="C5" s="37" t="n">
        <v>45728</v>
      </c>
      <c r="D5" s="38" t="n"/>
      <c r="E5" s="38" t="n"/>
      <c r="F5" s="20" t="n">
        <v>12000</v>
      </c>
      <c r="G5" s="18" t="inlineStr">
        <is>
          <t>5202</t>
        </is>
      </c>
      <c r="H5" s="18" t="inlineStr">
        <is>
          <t>Estudio Jurídico Andrade</t>
        </is>
      </c>
      <c r="I5" s="18" t="inlineStr">
        <is>
          <t>Sí</t>
        </is>
      </c>
      <c r="J5" s="18" t="inlineStr">
        <is>
          <t>Sí</t>
        </is>
      </c>
      <c r="K5" s="18" t="inlineStr">
        <is>
          <t>Sí</t>
        </is>
      </c>
      <c r="L5" s="18" t="inlineStr">
        <is>
          <t>No</t>
        </is>
      </c>
      <c r="M5" s="18" t="n"/>
      <c r="N5" s="18" t="n"/>
      <c r="O5" s="18" t="inlineStr">
        <is>
          <t>No</t>
        </is>
      </c>
      <c r="P5" s="18">
        <f>IF(C5&lt;='02_Parametros'!$B$5,"Sí","No")</f>
        <v/>
      </c>
      <c r="Q5" s="18">
        <f>IF(AND(D5&lt;&gt;"",E5&lt;&gt;""),"Sí","No")</f>
        <v/>
      </c>
    </row>
    <row r="6">
      <c r="A6" s="19" t="inlineStr">
        <is>
          <t>FC-102</t>
        </is>
      </c>
      <c r="B6" s="39" t="n">
        <v>45823</v>
      </c>
      <c r="C6" s="39" t="n">
        <v>45824</v>
      </c>
      <c r="D6" s="40" t="n"/>
      <c r="E6" s="40" t="n"/>
      <c r="F6" s="21" t="n">
        <v>18000</v>
      </c>
      <c r="G6" s="19" t="inlineStr">
        <is>
          <t>5301</t>
        </is>
      </c>
      <c r="H6" s="19" t="inlineStr">
        <is>
          <t>Medios Creativos S.A.</t>
        </is>
      </c>
      <c r="I6" s="19" t="inlineStr">
        <is>
          <t>No</t>
        </is>
      </c>
      <c r="J6" s="19" t="inlineStr">
        <is>
          <t>Sí</t>
        </is>
      </c>
      <c r="K6" s="19" t="inlineStr">
        <is>
          <t>Sí</t>
        </is>
      </c>
      <c r="L6" s="19" t="inlineStr">
        <is>
          <t>No</t>
        </is>
      </c>
      <c r="M6" s="19" t="n"/>
      <c r="N6" s="19" t="n"/>
      <c r="O6" s="19" t="inlineStr">
        <is>
          <t>No</t>
        </is>
      </c>
      <c r="P6" s="19">
        <f>IF(C6&lt;='02_Parametros'!$B$5,"Sí","No")</f>
        <v/>
      </c>
      <c r="Q6" s="19">
        <f>IF(AND(D6&lt;&gt;"",E6&lt;&gt;""),"Sí","No")</f>
        <v/>
      </c>
    </row>
    <row r="7">
      <c r="A7" s="18" t="inlineStr">
        <is>
          <t>FC-103</t>
        </is>
      </c>
      <c r="B7" s="37" t="n">
        <v>45839</v>
      </c>
      <c r="C7" s="37" t="n">
        <v>45840</v>
      </c>
      <c r="D7" s="37" t="n">
        <v>45839</v>
      </c>
      <c r="E7" s="37" t="n">
        <v>46203</v>
      </c>
      <c r="F7" s="20" t="n">
        <v>7300</v>
      </c>
      <c r="G7" s="18" t="inlineStr">
        <is>
          <t>5401</t>
        </is>
      </c>
      <c r="H7" s="18" t="inlineStr">
        <is>
          <t>Aseguradora Sur</t>
        </is>
      </c>
      <c r="I7" s="18" t="inlineStr">
        <is>
          <t>Sí</t>
        </is>
      </c>
      <c r="J7" s="18" t="inlineStr">
        <is>
          <t>Sí</t>
        </is>
      </c>
      <c r="K7" s="18" t="inlineStr">
        <is>
          <t>Sí</t>
        </is>
      </c>
      <c r="L7" s="18" t="inlineStr">
        <is>
          <t>No</t>
        </is>
      </c>
      <c r="M7" s="18" t="n"/>
      <c r="N7" s="18" t="n"/>
      <c r="O7" s="18" t="inlineStr">
        <is>
          <t>No</t>
        </is>
      </c>
      <c r="P7" s="18">
        <f>IF(C7&lt;='02_Parametros'!$B$5,"Sí","No")</f>
        <v/>
      </c>
      <c r="Q7" s="18">
        <f>IF(AND(D7&lt;&gt;"",E7&lt;&gt;""),"Sí","No")</f>
        <v/>
      </c>
    </row>
    <row r="8">
      <c r="A8" s="19" t="inlineStr">
        <is>
          <t>FC-104</t>
        </is>
      </c>
      <c r="B8" s="39" t="n">
        <v>46011</v>
      </c>
      <c r="C8" s="39" t="n">
        <v>46030</v>
      </c>
      <c r="D8" s="40" t="n"/>
      <c r="E8" s="40" t="n"/>
      <c r="F8" s="21" t="n">
        <v>4500</v>
      </c>
      <c r="G8" s="19" t="inlineStr">
        <is>
          <t>5202</t>
        </is>
      </c>
      <c r="H8" s="19" t="inlineStr">
        <is>
          <t>Consultores Delta</t>
        </is>
      </c>
      <c r="I8" s="19" t="inlineStr">
        <is>
          <t>Sí</t>
        </is>
      </c>
      <c r="J8" s="19" t="inlineStr">
        <is>
          <t>Sí</t>
        </is>
      </c>
      <c r="K8" s="19" t="inlineStr">
        <is>
          <t>Sí</t>
        </is>
      </c>
      <c r="L8" s="19" t="inlineStr">
        <is>
          <t>No</t>
        </is>
      </c>
      <c r="M8" s="19" t="n"/>
      <c r="N8" s="19" t="n"/>
      <c r="O8" s="19" t="inlineStr">
        <is>
          <t>No</t>
        </is>
      </c>
      <c r="P8" s="19">
        <f>IF(C8&lt;='02_Parametros'!$B$5,"Sí","No")</f>
        <v/>
      </c>
      <c r="Q8" s="19">
        <f>IF(AND(D8&lt;&gt;"",E8&lt;&gt;""),"Sí","No")</f>
        <v/>
      </c>
    </row>
    <row r="9">
      <c r="A9" s="18" t="inlineStr">
        <is>
          <t>FC-105</t>
        </is>
      </c>
      <c r="B9" s="37" t="n">
        <v>46027</v>
      </c>
      <c r="C9" s="37" t="n">
        <v>46021</v>
      </c>
      <c r="D9" s="38" t="n"/>
      <c r="E9" s="38" t="n"/>
      <c r="F9" s="20" t="n">
        <v>3000</v>
      </c>
      <c r="G9" s="18" t="inlineStr">
        <is>
          <t>5302</t>
        </is>
      </c>
      <c r="H9" s="18" t="inlineStr">
        <is>
          <t>Comisionistas Unidos</t>
        </is>
      </c>
      <c r="I9" s="18" t="inlineStr">
        <is>
          <t>Sí</t>
        </is>
      </c>
      <c r="J9" s="18" t="inlineStr">
        <is>
          <t>Sí</t>
        </is>
      </c>
      <c r="K9" s="18" t="inlineStr">
        <is>
          <t>Sí</t>
        </is>
      </c>
      <c r="L9" s="18" t="inlineStr">
        <is>
          <t>No</t>
        </is>
      </c>
      <c r="M9" s="18" t="n"/>
      <c r="N9" s="18" t="n"/>
      <c r="O9" s="18" t="inlineStr">
        <is>
          <t>No</t>
        </is>
      </c>
      <c r="P9" s="18">
        <f>IF(C9&lt;='02_Parametros'!$B$5,"Sí","No")</f>
        <v/>
      </c>
      <c r="Q9" s="18">
        <f>IF(AND(D9&lt;&gt;"",E9&lt;&gt;""),"Sí","No")</f>
        <v/>
      </c>
    </row>
    <row r="10">
      <c r="A10" s="19" t="inlineStr">
        <is>
          <t>FC-106</t>
        </is>
      </c>
      <c r="B10" s="39" t="n">
        <v>46037</v>
      </c>
      <c r="C10" s="39" t="n">
        <v>46038</v>
      </c>
      <c r="D10" s="39" t="n">
        <v>45992</v>
      </c>
      <c r="E10" s="39" t="n">
        <v>46022</v>
      </c>
      <c r="F10" s="21" t="n">
        <v>3000</v>
      </c>
      <c r="G10" s="19" t="inlineStr">
        <is>
          <t>5203</t>
        </is>
      </c>
      <c r="H10" s="19" t="inlineStr">
        <is>
          <t>Inmobiliaria Norte</t>
        </is>
      </c>
      <c r="I10" s="19" t="inlineStr">
        <is>
          <t>Sí</t>
        </is>
      </c>
      <c r="J10" s="19" t="inlineStr">
        <is>
          <t>Sí</t>
        </is>
      </c>
      <c r="K10" s="19" t="inlineStr">
        <is>
          <t>Sí</t>
        </is>
      </c>
      <c r="L10" s="19" t="inlineStr">
        <is>
          <t>Sí</t>
        </is>
      </c>
      <c r="M10" s="19" t="inlineStr">
        <is>
          <t>Otra</t>
        </is>
      </c>
      <c r="N10" s="19" t="n"/>
      <c r="O10" s="19" t="inlineStr">
        <is>
          <t>No</t>
        </is>
      </c>
      <c r="P10" s="19">
        <f>IF(C10&lt;='02_Parametros'!$B$5,"Sí","No")</f>
        <v/>
      </c>
      <c r="Q10" s="19">
        <f>IF(AND(D10&lt;&gt;"",E10&lt;&gt;""),"Sí","No")</f>
        <v/>
      </c>
    </row>
    <row r="11">
      <c r="A11" s="18" t="inlineStr">
        <is>
          <t>FC-107</t>
        </is>
      </c>
      <c r="B11" s="37" t="n">
        <v>45962</v>
      </c>
      <c r="C11" s="37" t="n">
        <v>45964</v>
      </c>
      <c r="D11" s="37" t="n">
        <v>45962</v>
      </c>
      <c r="E11" s="37" t="n">
        <v>46142</v>
      </c>
      <c r="F11" s="20" t="n">
        <v>12000</v>
      </c>
      <c r="G11" s="18" t="inlineStr">
        <is>
          <t>5301</t>
        </is>
      </c>
      <c r="H11" s="18" t="inlineStr">
        <is>
          <t>Radio Andina</t>
        </is>
      </c>
      <c r="I11" s="18" t="inlineStr">
        <is>
          <t>Sí</t>
        </is>
      </c>
      <c r="J11" s="18" t="inlineStr">
        <is>
          <t>Sí</t>
        </is>
      </c>
      <c r="K11" s="18" t="inlineStr">
        <is>
          <t>Sí</t>
        </is>
      </c>
      <c r="L11" s="18" t="inlineStr">
        <is>
          <t>No</t>
        </is>
      </c>
      <c r="M11" s="18" t="n"/>
      <c r="N11" s="18" t="n"/>
      <c r="O11" s="18" t="inlineStr">
        <is>
          <t>No</t>
        </is>
      </c>
      <c r="P11" s="18">
        <f>IF(C11&lt;='02_Parametros'!$B$5,"Sí","No")</f>
        <v/>
      </c>
      <c r="Q11" s="18">
        <f>IF(AND(D11&lt;&gt;"",E11&lt;&gt;""),"Sí","No")</f>
        <v/>
      </c>
    </row>
    <row r="12">
      <c r="A12" s="19" t="inlineStr">
        <is>
          <t>FC-108</t>
        </is>
      </c>
      <c r="B12" s="39" t="n">
        <v>45910</v>
      </c>
      <c r="C12" s="39" t="n">
        <v>45912</v>
      </c>
      <c r="D12" s="40" t="n"/>
      <c r="E12" s="40" t="n"/>
      <c r="F12" s="21" t="n">
        <v>1500</v>
      </c>
      <c r="G12" s="19" t="inlineStr">
        <is>
          <t>5202</t>
        </is>
      </c>
      <c r="H12" s="19" t="inlineStr">
        <is>
          <t>Juan Pérez</t>
        </is>
      </c>
      <c r="I12" s="19" t="inlineStr">
        <is>
          <t>Sí</t>
        </is>
      </c>
      <c r="J12" s="19" t="inlineStr">
        <is>
          <t>No</t>
        </is>
      </c>
      <c r="K12" s="19" t="inlineStr">
        <is>
          <t>No</t>
        </is>
      </c>
      <c r="L12" s="19" t="inlineStr">
        <is>
          <t>No</t>
        </is>
      </c>
      <c r="M12" s="19" t="n"/>
      <c r="N12" s="19" t="n"/>
      <c r="O12" s="19" t="inlineStr">
        <is>
          <t>No</t>
        </is>
      </c>
      <c r="P12" s="19">
        <f>IF(C12&lt;='02_Parametros'!$B$5,"Sí","No")</f>
        <v/>
      </c>
      <c r="Q12" s="19">
        <f>IF(AND(D12&lt;&gt;"",E12&lt;&gt;""),"Sí","No")</f>
        <v/>
      </c>
    </row>
    <row r="13">
      <c r="A13" s="18" t="inlineStr">
        <is>
          <t>FC-109</t>
        </is>
      </c>
      <c r="B13" s="37" t="n">
        <v>45935</v>
      </c>
      <c r="C13" s="37" t="n">
        <v>45936</v>
      </c>
      <c r="D13" s="38" t="n"/>
      <c r="E13" s="38" t="n"/>
      <c r="F13" s="20" t="n">
        <v>2500</v>
      </c>
      <c r="G13" s="18" t="inlineStr">
        <is>
          <t>5301</t>
        </is>
      </c>
      <c r="H13" s="18" t="inlineStr">
        <is>
          <t>Publicistas XYZ</t>
        </is>
      </c>
      <c r="I13" s="18" t="inlineStr">
        <is>
          <t>Sí</t>
        </is>
      </c>
      <c r="J13" s="18" t="inlineStr">
        <is>
          <t>Sí</t>
        </is>
      </c>
      <c r="K13" s="18" t="inlineStr">
        <is>
          <t>No</t>
        </is>
      </c>
      <c r="L13" s="18" t="inlineStr">
        <is>
          <t>No</t>
        </is>
      </c>
      <c r="M13" s="18" t="n"/>
      <c r="N13" s="18" t="n"/>
      <c r="O13" s="18" t="inlineStr">
        <is>
          <t>No</t>
        </is>
      </c>
      <c r="P13" s="18">
        <f>IF(C13&lt;='02_Parametros'!$B$5,"Sí","No")</f>
        <v/>
      </c>
      <c r="Q13" s="18">
        <f>IF(AND(D13&lt;&gt;"",E13&lt;&gt;""),"Sí","No")</f>
        <v/>
      </c>
    </row>
    <row r="14">
      <c r="A14" s="19" t="inlineStr">
        <is>
          <t>FC-110</t>
        </is>
      </c>
      <c r="B14" s="39" t="n">
        <v>45889</v>
      </c>
      <c r="C14" s="39" t="n">
        <v>45890</v>
      </c>
      <c r="D14" s="40" t="n"/>
      <c r="E14" s="40" t="n"/>
      <c r="F14" s="21" t="n">
        <v>2200</v>
      </c>
      <c r="G14" s="19" t="inlineStr">
        <is>
          <t>5201</t>
        </is>
      </c>
      <c r="H14" s="19" t="inlineStr">
        <is>
          <t>Taller Mecánico Ruta</t>
        </is>
      </c>
      <c r="I14" s="19" t="inlineStr">
        <is>
          <t>Sí</t>
        </is>
      </c>
      <c r="J14" s="19" t="inlineStr">
        <is>
          <t>Sí</t>
        </is>
      </c>
      <c r="K14" s="19" t="inlineStr">
        <is>
          <t>Sí</t>
        </is>
      </c>
      <c r="L14" s="19" t="inlineStr">
        <is>
          <t>No</t>
        </is>
      </c>
      <c r="M14" s="19" t="n"/>
      <c r="N14" s="19" t="inlineStr">
        <is>
          <t>5302</t>
        </is>
      </c>
      <c r="O14" s="19" t="inlineStr">
        <is>
          <t>No</t>
        </is>
      </c>
      <c r="P14" s="19">
        <f>IF(C14&lt;='02_Parametros'!$B$5,"Sí","No")</f>
        <v/>
      </c>
      <c r="Q14" s="19">
        <f>IF(AND(D14&lt;&gt;"",E14&lt;&gt;""),"Sí","No")</f>
        <v/>
      </c>
    </row>
    <row r="15">
      <c r="A15" s="18" t="inlineStr">
        <is>
          <t>FC-111</t>
        </is>
      </c>
      <c r="B15" s="37" t="n">
        <v>45787</v>
      </c>
      <c r="C15" s="37" t="n">
        <v>45788</v>
      </c>
      <c r="D15" s="38" t="n"/>
      <c r="E15" s="38" t="n"/>
      <c r="F15" s="20" t="n">
        <v>9000</v>
      </c>
      <c r="G15" s="18" t="inlineStr">
        <is>
          <t>5202</t>
        </is>
      </c>
      <c r="H15" s="18" t="inlineStr">
        <is>
          <t>Holding Andes S.A.</t>
        </is>
      </c>
      <c r="I15" s="18" t="inlineStr">
        <is>
          <t>Sí</t>
        </is>
      </c>
      <c r="J15" s="18" t="inlineStr">
        <is>
          <t>Sí</t>
        </is>
      </c>
      <c r="K15" s="18" t="inlineStr">
        <is>
          <t>Sí</t>
        </is>
      </c>
      <c r="L15" s="18" t="inlineStr">
        <is>
          <t>Sí</t>
        </is>
      </c>
      <c r="M15" s="18" t="inlineStr">
        <is>
          <t>Dominante</t>
        </is>
      </c>
      <c r="N15" s="18" t="n"/>
      <c r="O15" s="18" t="inlineStr">
        <is>
          <t>No</t>
        </is>
      </c>
      <c r="P15" s="18">
        <f>IF(C15&lt;='02_Parametros'!$B$5,"Sí","No")</f>
        <v/>
      </c>
      <c r="Q15" s="18">
        <f>IF(AND(D15&lt;&gt;"",E15&lt;&gt;""),"Sí","No")</f>
        <v/>
      </c>
    </row>
    <row r="16">
      <c r="A16" s="19" t="inlineStr">
        <is>
          <t>FC-112</t>
        </is>
      </c>
      <c r="B16" s="39" t="n">
        <v>45749</v>
      </c>
      <c r="C16" s="39" t="n">
        <v>45750</v>
      </c>
      <c r="D16" s="40" t="n"/>
      <c r="E16" s="40" t="n"/>
      <c r="F16" s="21" t="n">
        <v>8000</v>
      </c>
      <c r="G16" s="19" t="inlineStr">
        <is>
          <t>5601</t>
        </is>
      </c>
      <c r="H16" s="19" t="inlineStr">
        <is>
          <t>Constructora Rápida</t>
        </is>
      </c>
      <c r="I16" s="19" t="inlineStr">
        <is>
          <t>Sí</t>
        </is>
      </c>
      <c r="J16" s="19" t="inlineStr">
        <is>
          <t>Sí</t>
        </is>
      </c>
      <c r="K16" s="19" t="inlineStr">
        <is>
          <t>Sí</t>
        </is>
      </c>
      <c r="L16" s="19" t="inlineStr">
        <is>
          <t>No</t>
        </is>
      </c>
      <c r="M16" s="19" t="n"/>
      <c r="N16" s="19" t="n"/>
      <c r="O16" s="19" t="inlineStr">
        <is>
          <t>Sí</t>
        </is>
      </c>
      <c r="P16" s="19">
        <f>IF(C16&lt;='02_Parametros'!$B$5,"Sí","No")</f>
        <v/>
      </c>
      <c r="Q16" s="19">
        <f>IF(AND(D16&lt;&gt;"",E16&lt;&gt;""),"Sí","No")</f>
        <v/>
      </c>
    </row>
    <row r="17">
      <c r="A17" s="18" t="inlineStr">
        <is>
          <t>FC-113</t>
        </is>
      </c>
      <c r="B17" s="37" t="n">
        <v>45981</v>
      </c>
      <c r="C17" s="37" t="n">
        <v>45982</v>
      </c>
      <c r="D17" s="38" t="n"/>
      <c r="E17" s="38" t="n"/>
      <c r="F17" s="20" t="n">
        <v>22000</v>
      </c>
      <c r="G17" s="18" t="inlineStr">
        <is>
          <t>5202</t>
        </is>
      </c>
      <c r="H17" s="18" t="inlineStr">
        <is>
          <t>Acuerdo judicial ex trabajador</t>
        </is>
      </c>
      <c r="I17" s="18" t="inlineStr">
        <is>
          <t>Sí</t>
        </is>
      </c>
      <c r="J17" s="18" t="inlineStr">
        <is>
          <t>Sí</t>
        </is>
      </c>
      <c r="K17" s="18" t="inlineStr">
        <is>
          <t>Sí</t>
        </is>
      </c>
      <c r="L17" s="18" t="inlineStr">
        <is>
          <t>No</t>
        </is>
      </c>
      <c r="M17" s="18" t="n"/>
      <c r="N17" s="18" t="n"/>
      <c r="O17" s="18" t="inlineStr">
        <is>
          <t>Sí</t>
        </is>
      </c>
      <c r="P17" s="18">
        <f>IF(C17&lt;='02_Parametros'!$B$5,"Sí","No")</f>
        <v/>
      </c>
      <c r="Q17" s="18">
        <f>IF(AND(D17&lt;&gt;"",E17&lt;&gt;""),"Sí","No")</f>
        <v/>
      </c>
    </row>
    <row r="18">
      <c r="A18" s="19" t="inlineStr">
        <is>
          <t>FC-114</t>
        </is>
      </c>
      <c r="B18" s="39" t="n">
        <v>45689</v>
      </c>
      <c r="C18" s="39" t="n">
        <v>45690</v>
      </c>
      <c r="D18" s="40" t="n"/>
      <c r="E18" s="40" t="n"/>
      <c r="F18" s="21" t="n">
        <v>3000</v>
      </c>
      <c r="G18" s="19" t="inlineStr">
        <is>
          <t>5201</t>
        </is>
      </c>
      <c r="H18" s="19" t="inlineStr">
        <is>
          <t>Gerente General</t>
        </is>
      </c>
      <c r="I18" s="19" t="n"/>
      <c r="J18" s="19" t="inlineStr">
        <is>
          <t>Sí</t>
        </is>
      </c>
      <c r="K18" s="19" t="inlineStr">
        <is>
          <t>Sí</t>
        </is>
      </c>
      <c r="L18" s="19" t="inlineStr">
        <is>
          <t>Sí</t>
        </is>
      </c>
      <c r="M18" s="19" t="inlineStr">
        <is>
          <t>Personal clave</t>
        </is>
      </c>
      <c r="N18" s="19" t="n"/>
      <c r="O18" s="19" t="inlineStr">
        <is>
          <t>No</t>
        </is>
      </c>
      <c r="P18" s="19">
        <f>IF(C18&lt;='02_Parametros'!$B$5,"Sí","No")</f>
        <v/>
      </c>
      <c r="Q18" s="19">
        <f>IF(AND(D18&lt;&gt;"",E18&lt;&gt;""),"Sí","No")</f>
        <v/>
      </c>
    </row>
    <row r="19">
      <c r="A19" s="18" t="inlineStr">
        <is>
          <t>FC-115</t>
        </is>
      </c>
      <c r="B19" s="37" t="n">
        <v>45838</v>
      </c>
      <c r="C19" s="37" t="n">
        <v>45839</v>
      </c>
      <c r="D19" s="38" t="n"/>
      <c r="E19" s="38" t="n"/>
      <c r="F19" s="20" t="n">
        <v>1200</v>
      </c>
      <c r="G19" s="18" t="inlineStr">
        <is>
          <t>5501</t>
        </is>
      </c>
      <c r="H19" s="18" t="inlineStr">
        <is>
          <t>Banco Relacionado S.A.</t>
        </is>
      </c>
      <c r="I19" s="18" t="inlineStr">
        <is>
          <t>Sí</t>
        </is>
      </c>
      <c r="J19" s="18" t="inlineStr">
        <is>
          <t>Sí</t>
        </is>
      </c>
      <c r="K19" s="18" t="inlineStr">
        <is>
          <t>Sí</t>
        </is>
      </c>
      <c r="L19" s="18" t="inlineStr">
        <is>
          <t>Sí</t>
        </is>
      </c>
      <c r="M19" s="18" t="n"/>
      <c r="N19" s="18" t="n"/>
      <c r="O19" s="18" t="inlineStr">
        <is>
          <t>No</t>
        </is>
      </c>
      <c r="P19" s="18">
        <f>IF(C19&lt;='02_Parametros'!$B$5,"Sí","No")</f>
        <v/>
      </c>
      <c r="Q19" s="18">
        <f>IF(AND(D19&lt;&gt;"",E19&lt;&gt;""),"Sí","No")</f>
        <v/>
      </c>
    </row>
    <row r="20">
      <c r="A20" s="31" t="inlineStr">
        <is>
          <t>TOTAL</t>
        </is>
      </c>
      <c r="B20" s="41" t="inlineStr"/>
      <c r="C20" s="41" t="inlineStr"/>
      <c r="D20" s="41" t="inlineStr"/>
      <c r="E20" s="41" t="inlineStr"/>
      <c r="F20" s="32">
        <f>SUM(F5:F19)</f>
        <v/>
      </c>
      <c r="G20" s="31" t="inlineStr"/>
      <c r="H20" s="31" t="inlineStr"/>
      <c r="I20" s="31" t="inlineStr"/>
      <c r="J20" s="31" t="inlineStr"/>
      <c r="K20" s="31" t="inlineStr"/>
      <c r="L20" s="31" t="inlineStr"/>
      <c r="M20" s="31" t="inlineStr"/>
      <c r="N20" s="31" t="inlineStr"/>
      <c r="O20" s="31" t="inlineStr"/>
      <c r="P20" s="31" t="inlineStr"/>
      <c r="Q20" s="31" t="inlineStr"/>
    </row>
    <row r="22">
      <c r="A22" s="22" t="inlineStr">
        <is>
          <t>ⓘ  Cómo se calcula esta hoja</t>
        </is>
      </c>
    </row>
    <row r="23">
      <c r="A23" s="23" t="inlineStr">
        <is>
          <t>Columna</t>
        </is>
      </c>
      <c r="B23" s="23" t="inlineStr">
        <is>
          <t>Fórmula (Excel)</t>
        </is>
      </c>
      <c r="C23" s="23" t="inlineStr">
        <is>
          <t>Cómo se calcula (sencillo)</t>
        </is>
      </c>
      <c r="D23" s="23" t="inlineStr">
        <is>
          <t>Ejemplo con números reales</t>
        </is>
      </c>
      <c r="E23" s="23" t="inlineStr">
        <is>
          <t>De dónde viene</t>
        </is>
      </c>
      <c r="F23" s="23" t="inlineStr">
        <is>
          <t>Norma</t>
        </is>
      </c>
    </row>
    <row r="24">
      <c r="A24" s="24" t="inlineStr">
        <is>
          <t>Registrado en el ejercicio</t>
        </is>
      </c>
      <c r="B24" s="25" t="inlineStr">
        <is>
          <t>'=IF(C5&lt;='02_Parametros'!$B$5,"Sí","No")</t>
        </is>
      </c>
      <c r="C24" s="24" t="inlineStr">
        <is>
          <t>Marca «Sí» si la fecha de registro del comprobante es igual o anterior a la fecha de corte de la hoja 02 (Parámetros).</t>
        </is>
      </c>
      <c r="D24" s="24" t="inlineStr">
        <is>
          <t>Fila 1: IF(«2025-03-12»&lt;=«2025-12-31»; "Sí"; "No") → Sí</t>
        </is>
      </c>
      <c r="E24" s="24" t="inlineStr">
        <is>
          <t>«Fecha registro» (esta hoja), hoja «Parámetros»</t>
        </is>
      </c>
      <c r="F24" s="24" t="inlineStr">
        <is>
          <t>—</t>
        </is>
      </c>
    </row>
    <row r="25">
      <c r="A25" s="24" t="inlineStr">
        <is>
          <t>Con período de servicio</t>
        </is>
      </c>
      <c r="B25" s="25" t="inlineStr">
        <is>
          <t>'=IF(AND(D5&lt;&gt;"",E5&lt;&gt;""),"Sí","No")</t>
        </is>
      </c>
      <c r="C25" s="24" t="inlineStr">
        <is>
          <t>Marca «Sí» cuando el comprobante tiene fechas de inicio y de fin del servicio; esas partidas se analizan por devengo en la hoja 08 y las demás por corte en la hoja 07.</t>
        </is>
      </c>
      <c r="D25" s="24" t="inlineStr">
        <is>
          <t>Fila 1: IF(AND((vacío)&lt;&gt;""; (vacío)&lt;&gt;""); "Sí"; "No") → No</t>
        </is>
      </c>
      <c r="E25" s="24" t="inlineStr">
        <is>
          <t>«Servicio desde» (esta hoja), «Servicio hasta» (esta hoja)</t>
        </is>
      </c>
      <c r="F25" s="24" t="inlineStr">
        <is>
          <t>—</t>
        </is>
      </c>
    </row>
  </sheetData>
  <mergeCells count="3">
    <mergeCell ref="A2:F2"/>
    <mergeCell ref="A22:F2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32" customWidth="1" min="4" max="4"/>
    <col width="12" customWidth="1" min="5" max="5"/>
    <col width="15" customWidth="1" min="6" max="6"/>
    <col width="20" customWidth="1" min="7" max="7"/>
    <col width="25" customWidth="1" min="8" max="8"/>
  </cols>
  <sheetData>
    <row r="1">
      <c r="A1" s="3" t="inlineStr">
        <is>
          <t>Verificación del soporte documental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Comprobante</t>
        </is>
      </c>
      <c r="B4" s="17" t="inlineStr">
        <is>
          <t>Fecha documento</t>
        </is>
      </c>
      <c r="C4" s="17" t="inlineStr">
        <is>
          <t>Cuenta</t>
        </is>
      </c>
      <c r="D4" s="17" t="inlineStr">
        <is>
          <t>Proveedor</t>
        </is>
      </c>
      <c r="E4" s="17" t="inlineStr">
        <is>
          <t>Importe</t>
        </is>
      </c>
      <c r="F4" s="17" t="inlineStr">
        <is>
          <t>Tiene soporte</t>
        </is>
      </c>
      <c r="G4" s="17" t="inlineStr">
        <is>
          <t>Gasto no soportado</t>
        </is>
      </c>
      <c r="H4" s="17" t="inlineStr">
        <is>
          <t>Resultado</t>
        </is>
      </c>
    </row>
    <row r="5">
      <c r="A5" s="18" t="inlineStr">
        <is>
          <t>FC-101</t>
        </is>
      </c>
      <c r="B5" s="37" t="n">
        <v>45726</v>
      </c>
      <c r="C5" s="18" t="inlineStr">
        <is>
          <t>5202</t>
        </is>
      </c>
      <c r="D5" s="18" t="inlineStr">
        <is>
          <t>Estudio Jurídico Andrade</t>
        </is>
      </c>
      <c r="E5" s="20">
        <f>'05_Transacciones'!F5</f>
        <v/>
      </c>
      <c r="F5" s="18" t="inlineStr">
        <is>
          <t>Sí</t>
        </is>
      </c>
      <c r="G5" s="20">
        <f>IF(F5="No",E5,0)</f>
        <v/>
      </c>
      <c r="H5" s="18">
        <f>IF(F5="Sí","Soportado",IF(F5="No","No soportado","Sin resultado informado"))</f>
        <v/>
      </c>
    </row>
    <row r="6">
      <c r="A6" s="19" t="inlineStr">
        <is>
          <t>FC-102</t>
        </is>
      </c>
      <c r="B6" s="39" t="n">
        <v>45823</v>
      </c>
      <c r="C6" s="19" t="inlineStr">
        <is>
          <t>5301</t>
        </is>
      </c>
      <c r="D6" s="19" t="inlineStr">
        <is>
          <t>Medios Creativos S.A.</t>
        </is>
      </c>
      <c r="E6" s="21">
        <f>'05_Transacciones'!F6</f>
        <v/>
      </c>
      <c r="F6" s="19" t="inlineStr">
        <is>
          <t>No</t>
        </is>
      </c>
      <c r="G6" s="21">
        <f>IF(F6="No",E6,0)</f>
        <v/>
      </c>
      <c r="H6" s="19">
        <f>IF(F6="Sí","Soportado",IF(F6="No","No soportado","Sin resultado informado"))</f>
        <v/>
      </c>
    </row>
    <row r="7">
      <c r="A7" s="18" t="inlineStr">
        <is>
          <t>FC-103</t>
        </is>
      </c>
      <c r="B7" s="37" t="n">
        <v>45839</v>
      </c>
      <c r="C7" s="18" t="inlineStr">
        <is>
          <t>5401</t>
        </is>
      </c>
      <c r="D7" s="18" t="inlineStr">
        <is>
          <t>Aseguradora Sur</t>
        </is>
      </c>
      <c r="E7" s="20">
        <f>'05_Transacciones'!F7</f>
        <v/>
      </c>
      <c r="F7" s="18" t="inlineStr">
        <is>
          <t>Sí</t>
        </is>
      </c>
      <c r="G7" s="20">
        <f>IF(F7="No",E7,0)</f>
        <v/>
      </c>
      <c r="H7" s="18">
        <f>IF(F7="Sí","Soportado",IF(F7="No","No soportado","Sin resultado informado"))</f>
        <v/>
      </c>
    </row>
    <row r="8">
      <c r="A8" s="19" t="inlineStr">
        <is>
          <t>FC-105</t>
        </is>
      </c>
      <c r="B8" s="39" t="n">
        <v>46027</v>
      </c>
      <c r="C8" s="19" t="inlineStr">
        <is>
          <t>5302</t>
        </is>
      </c>
      <c r="D8" s="19" t="inlineStr">
        <is>
          <t>Comisionistas Unidos</t>
        </is>
      </c>
      <c r="E8" s="21">
        <f>'05_Transacciones'!F9</f>
        <v/>
      </c>
      <c r="F8" s="19" t="inlineStr">
        <is>
          <t>Sí</t>
        </is>
      </c>
      <c r="G8" s="21">
        <f>IF(F8="No",E8,0)</f>
        <v/>
      </c>
      <c r="H8" s="19">
        <f>IF(F8="Sí","Soportado",IF(F8="No","No soportado","Sin resultado informado"))</f>
        <v/>
      </c>
    </row>
    <row r="9">
      <c r="A9" s="18" t="inlineStr">
        <is>
          <t>FC-107</t>
        </is>
      </c>
      <c r="B9" s="37" t="n">
        <v>45962</v>
      </c>
      <c r="C9" s="18" t="inlineStr">
        <is>
          <t>5301</t>
        </is>
      </c>
      <c r="D9" s="18" t="inlineStr">
        <is>
          <t>Radio Andina</t>
        </is>
      </c>
      <c r="E9" s="20">
        <f>'05_Transacciones'!F11</f>
        <v/>
      </c>
      <c r="F9" s="18" t="inlineStr">
        <is>
          <t>Sí</t>
        </is>
      </c>
      <c r="G9" s="20">
        <f>IF(F9="No",E9,0)</f>
        <v/>
      </c>
      <c r="H9" s="18">
        <f>IF(F9="Sí","Soportado",IF(F9="No","No soportado","Sin resultado informado"))</f>
        <v/>
      </c>
    </row>
    <row r="10">
      <c r="A10" s="19" t="inlineStr">
        <is>
          <t>FC-108</t>
        </is>
      </c>
      <c r="B10" s="39" t="n">
        <v>45910</v>
      </c>
      <c r="C10" s="19" t="inlineStr">
        <is>
          <t>5202</t>
        </is>
      </c>
      <c r="D10" s="19" t="inlineStr">
        <is>
          <t>Juan Pérez</t>
        </is>
      </c>
      <c r="E10" s="21">
        <f>'05_Transacciones'!F12</f>
        <v/>
      </c>
      <c r="F10" s="19" t="inlineStr">
        <is>
          <t>Sí</t>
        </is>
      </c>
      <c r="G10" s="21">
        <f>IF(F10="No",E10,0)</f>
        <v/>
      </c>
      <c r="H10" s="19">
        <f>IF(F10="Sí","Soportado",IF(F10="No","No soportado","Sin resultado informado"))</f>
        <v/>
      </c>
    </row>
    <row r="11">
      <c r="A11" s="18" t="inlineStr">
        <is>
          <t>FC-109</t>
        </is>
      </c>
      <c r="B11" s="37" t="n">
        <v>45935</v>
      </c>
      <c r="C11" s="18" t="inlineStr">
        <is>
          <t>5301</t>
        </is>
      </c>
      <c r="D11" s="18" t="inlineStr">
        <is>
          <t>Publicistas XYZ</t>
        </is>
      </c>
      <c r="E11" s="20">
        <f>'05_Transacciones'!F13</f>
        <v/>
      </c>
      <c r="F11" s="18" t="inlineStr">
        <is>
          <t>Sí</t>
        </is>
      </c>
      <c r="G11" s="20">
        <f>IF(F11="No",E11,0)</f>
        <v/>
      </c>
      <c r="H11" s="18">
        <f>IF(F11="Sí","Soportado",IF(F11="No","No soportado","Sin resultado informado"))</f>
        <v/>
      </c>
    </row>
    <row r="12">
      <c r="A12" s="19" t="inlineStr">
        <is>
          <t>FC-110</t>
        </is>
      </c>
      <c r="B12" s="39" t="n">
        <v>45889</v>
      </c>
      <c r="C12" s="19" t="inlineStr">
        <is>
          <t>5201</t>
        </is>
      </c>
      <c r="D12" s="19" t="inlineStr">
        <is>
          <t>Taller Mecánico Ruta</t>
        </is>
      </c>
      <c r="E12" s="21">
        <f>'05_Transacciones'!F14</f>
        <v/>
      </c>
      <c r="F12" s="19" t="inlineStr">
        <is>
          <t>Sí</t>
        </is>
      </c>
      <c r="G12" s="21">
        <f>IF(F12="No",E12,0)</f>
        <v/>
      </c>
      <c r="H12" s="19">
        <f>IF(F12="Sí","Soportado",IF(F12="No","No soportado","Sin resultado informado"))</f>
        <v/>
      </c>
    </row>
    <row r="13">
      <c r="A13" s="18" t="inlineStr">
        <is>
          <t>FC-111</t>
        </is>
      </c>
      <c r="B13" s="37" t="n">
        <v>45787</v>
      </c>
      <c r="C13" s="18" t="inlineStr">
        <is>
          <t>5202</t>
        </is>
      </c>
      <c r="D13" s="18" t="inlineStr">
        <is>
          <t>Holding Andes S.A.</t>
        </is>
      </c>
      <c r="E13" s="20">
        <f>'05_Transacciones'!F15</f>
        <v/>
      </c>
      <c r="F13" s="18" t="inlineStr">
        <is>
          <t>Sí</t>
        </is>
      </c>
      <c r="G13" s="20">
        <f>IF(F13="No",E13,0)</f>
        <v/>
      </c>
      <c r="H13" s="18">
        <f>IF(F13="Sí","Soportado",IF(F13="No","No soportado","Sin resultado informado"))</f>
        <v/>
      </c>
    </row>
    <row r="14">
      <c r="A14" s="19" t="inlineStr">
        <is>
          <t>FC-112</t>
        </is>
      </c>
      <c r="B14" s="39" t="n">
        <v>45749</v>
      </c>
      <c r="C14" s="19" t="inlineStr">
        <is>
          <t>5601</t>
        </is>
      </c>
      <c r="D14" s="19" t="inlineStr">
        <is>
          <t>Constructora Rápida</t>
        </is>
      </c>
      <c r="E14" s="21">
        <f>'05_Transacciones'!F16</f>
        <v/>
      </c>
      <c r="F14" s="19" t="inlineStr">
        <is>
          <t>Sí</t>
        </is>
      </c>
      <c r="G14" s="21">
        <f>IF(F14="No",E14,0)</f>
        <v/>
      </c>
      <c r="H14" s="19">
        <f>IF(F14="Sí","Soportado",IF(F14="No","No soportado","Sin resultado informado"))</f>
        <v/>
      </c>
    </row>
    <row r="15">
      <c r="A15" s="18" t="inlineStr">
        <is>
          <t>FC-113</t>
        </is>
      </c>
      <c r="B15" s="37" t="n">
        <v>45981</v>
      </c>
      <c r="C15" s="18" t="inlineStr">
        <is>
          <t>5202</t>
        </is>
      </c>
      <c r="D15" s="18" t="inlineStr">
        <is>
          <t>Acuerdo judicial ex trabajador</t>
        </is>
      </c>
      <c r="E15" s="20">
        <f>'05_Transacciones'!F17</f>
        <v/>
      </c>
      <c r="F15" s="18" t="inlineStr">
        <is>
          <t>Sí</t>
        </is>
      </c>
      <c r="G15" s="20">
        <f>IF(F15="No",E15,0)</f>
        <v/>
      </c>
      <c r="H15" s="18">
        <f>IF(F15="Sí","Soportado",IF(F15="No","No soportado","Sin resultado informado"))</f>
        <v/>
      </c>
    </row>
    <row r="16">
      <c r="A16" s="19" t="inlineStr">
        <is>
          <t>FC-114</t>
        </is>
      </c>
      <c r="B16" s="39" t="n">
        <v>45689</v>
      </c>
      <c r="C16" s="19" t="inlineStr">
        <is>
          <t>5201</t>
        </is>
      </c>
      <c r="D16" s="19" t="inlineStr">
        <is>
          <t>Gerente General</t>
        </is>
      </c>
      <c r="E16" s="21">
        <f>'05_Transacciones'!F18</f>
        <v/>
      </c>
      <c r="F16" s="19" t="n"/>
      <c r="G16" s="21">
        <f>IF(F16="No",E16,0)</f>
        <v/>
      </c>
      <c r="H16" s="19">
        <f>IF(F16="Sí","Soportado",IF(F16="No","No soportado","Sin resultado informado"))</f>
        <v/>
      </c>
    </row>
    <row r="17">
      <c r="A17" s="18" t="inlineStr">
        <is>
          <t>FC-115</t>
        </is>
      </c>
      <c r="B17" s="37" t="n">
        <v>45838</v>
      </c>
      <c r="C17" s="18" t="inlineStr">
        <is>
          <t>5501</t>
        </is>
      </c>
      <c r="D17" s="18" t="inlineStr">
        <is>
          <t>Banco Relacionado S.A.</t>
        </is>
      </c>
      <c r="E17" s="20">
        <f>'05_Transacciones'!F19</f>
        <v/>
      </c>
      <c r="F17" s="18" t="inlineStr">
        <is>
          <t>Sí</t>
        </is>
      </c>
      <c r="G17" s="20">
        <f>IF(F17="No",E17,0)</f>
        <v/>
      </c>
      <c r="H17" s="18">
        <f>IF(F17="Sí","Soportado",IF(F17="No","No soportado","Sin resultado informado"))</f>
        <v/>
      </c>
    </row>
    <row r="18">
      <c r="A18" s="31" t="inlineStr">
        <is>
          <t>TOTAL</t>
        </is>
      </c>
      <c r="B18" s="41" t="inlineStr"/>
      <c r="C18" s="31" t="inlineStr"/>
      <c r="D18" s="31" t="inlineStr"/>
      <c r="E18" s="32">
        <f>SUM(E5:E17)</f>
        <v/>
      </c>
      <c r="F18" s="31" t="inlineStr"/>
      <c r="G18" s="32">
        <f>SUM(G5:G17)</f>
        <v/>
      </c>
      <c r="H18" s="31" t="inlineStr"/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Importe</t>
        </is>
      </c>
      <c r="B22" s="25" t="inlineStr">
        <is>
          <t>'='05_Transacciones'!F5</t>
        </is>
      </c>
      <c r="C22" s="24" t="inlineStr">
        <is>
          <t>Trae el importe del comprobante desde la hoja 05 (Transacciones de la muestra); aquí solo aparecen los registrados en el ejercicio.</t>
        </is>
      </c>
      <c r="D22" s="24" t="inlineStr">
        <is>
          <t>Fila 1: 12.000,00 → 12.000,00</t>
        </is>
      </c>
      <c r="E22" s="24" t="inlineStr">
        <is>
          <t>hoja «Transacciones de la muestra»</t>
        </is>
      </c>
      <c r="F22" s="24" t="inlineStr">
        <is>
          <t>—</t>
        </is>
      </c>
    </row>
    <row r="23">
      <c r="A23" s="24" t="inlineStr">
        <is>
          <t>Gasto no soportado</t>
        </is>
      </c>
      <c r="B23" s="25" t="inlineStr">
        <is>
          <t>'=IF(F5="No",E5,0)</t>
        </is>
      </c>
      <c r="C23" s="24" t="inlineStr">
        <is>
          <t>Si la columna «Tiene soporte» dice «No», toma el importe completo del comprobante; si no, cero.</t>
        </is>
      </c>
      <c r="D23" s="24" t="inlineStr">
        <is>
          <t>Fila 1: IF(«Sí»="No"; 12.000,00; 0) → 0,00</t>
        </is>
      </c>
      <c r="E23" s="24" t="inlineStr">
        <is>
          <t>«Tiene soporte» (esta hoja), «Importe» (esta hoja)</t>
        </is>
      </c>
      <c r="F23" s="24" t="inlineStr">
        <is>
          <t>—</t>
        </is>
      </c>
    </row>
    <row r="24">
      <c r="A24" s="24" t="inlineStr">
        <is>
          <t>Resultado</t>
        </is>
      </c>
      <c r="B24" s="25" t="inlineStr">
        <is>
          <t>'=IF(F5="Sí","Soportado",IF(F5="No","No soportado","Sin resultado informado"))</t>
        </is>
      </c>
      <c r="C24" s="24" t="inlineStr">
        <is>
          <t>Traduce la columna «Tiene soporte»: «Sí» es «Soportado», «No» es «No soportado» y, si está vacía, «Sin resultado informado».</t>
        </is>
      </c>
      <c r="D24" s="24" t="inlineStr">
        <is>
          <t>Fila 1: IF(«Sí»="Sí"; "Soportado"; IF(«Sí»="No"; "No soportado"; "Sin resultado informado")) → Soportado</t>
        </is>
      </c>
      <c r="E24" s="24" t="inlineStr">
        <is>
          <t>«Tiene soporte» (esta hoja)</t>
        </is>
      </c>
      <c r="F24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2" customWidth="1" min="3" max="3"/>
    <col width="17" customWidth="1" min="4" max="4"/>
    <col width="16" customWidth="1" min="5" max="5"/>
    <col width="12" customWidth="1" min="6" max="6"/>
    <col width="25" customWidth="1" min="7" max="7"/>
    <col width="28" customWidth="1" min="8" max="8"/>
    <col width="34" customWidth="1" min="9" max="9"/>
    <col width="35" customWidth="1" min="10" max="10"/>
  </cols>
  <sheetData>
    <row r="1">
      <c r="A1" s="3" t="inlineStr">
        <is>
          <t>Corte de gastos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Comprobante</t>
        </is>
      </c>
      <c r="B4" s="17" t="inlineStr">
        <is>
          <t>Proveedor</t>
        </is>
      </c>
      <c r="C4" s="17" t="inlineStr">
        <is>
          <t>Cuenta</t>
        </is>
      </c>
      <c r="D4" s="17" t="inlineStr">
        <is>
          <t>Fecha documento</t>
        </is>
      </c>
      <c r="E4" s="17" t="inlineStr">
        <is>
          <t>Fecha registro</t>
        </is>
      </c>
      <c r="F4" s="17" t="inlineStr">
        <is>
          <t>Importe</t>
        </is>
      </c>
      <c r="G4" s="17" t="inlineStr">
        <is>
          <t>Documento del ejercicio</t>
        </is>
      </c>
      <c r="H4" s="17" t="inlineStr">
        <is>
          <t>Registrado en el ejercicio</t>
        </is>
      </c>
      <c r="I4" s="17" t="inlineStr">
        <is>
          <t>Gasto de otro período registrado</t>
        </is>
      </c>
      <c r="J4" s="17" t="inlineStr">
        <is>
          <t>Gasto del ejercicio no registrado</t>
        </is>
      </c>
    </row>
    <row r="5">
      <c r="A5" s="18" t="inlineStr">
        <is>
          <t>FC-101</t>
        </is>
      </c>
      <c r="B5" s="18" t="inlineStr">
        <is>
          <t>Estudio Jurídico Andrade</t>
        </is>
      </c>
      <c r="C5" s="18" t="inlineStr">
        <is>
          <t>5202</t>
        </is>
      </c>
      <c r="D5" s="37" t="n">
        <v>45726</v>
      </c>
      <c r="E5" s="37" t="n">
        <v>45728</v>
      </c>
      <c r="F5" s="20">
        <f>'05_Transacciones'!F5</f>
        <v/>
      </c>
      <c r="G5" s="18">
        <f>IF(D5&lt;='02_Parametros'!$B$5,"Sí","No")</f>
        <v/>
      </c>
      <c r="H5" s="18">
        <f>IF(E5&lt;='02_Parametros'!$B$5,"Sí","No")</f>
        <v/>
      </c>
      <c r="I5" s="20">
        <f>IF(AND(G5="No",H5="Sí"),F5,0)</f>
        <v/>
      </c>
      <c r="J5" s="20">
        <f>IF(AND(G5="Sí",H5="No"),F5,0)</f>
        <v/>
      </c>
    </row>
    <row r="6">
      <c r="A6" s="19" t="inlineStr">
        <is>
          <t>FC-102</t>
        </is>
      </c>
      <c r="B6" s="19" t="inlineStr">
        <is>
          <t>Medios Creativos S.A.</t>
        </is>
      </c>
      <c r="C6" s="19" t="inlineStr">
        <is>
          <t>5301</t>
        </is>
      </c>
      <c r="D6" s="39" t="n">
        <v>45823</v>
      </c>
      <c r="E6" s="39" t="n">
        <v>45824</v>
      </c>
      <c r="F6" s="21">
        <f>'05_Transacciones'!F6</f>
        <v/>
      </c>
      <c r="G6" s="19">
        <f>IF(D6&lt;='02_Parametros'!$B$5,"Sí","No")</f>
        <v/>
      </c>
      <c r="H6" s="19">
        <f>IF(E6&lt;='02_Parametros'!$B$5,"Sí","No")</f>
        <v/>
      </c>
      <c r="I6" s="21">
        <f>IF(AND(G6="No",H6="Sí"),F6,0)</f>
        <v/>
      </c>
      <c r="J6" s="21">
        <f>IF(AND(G6="Sí",H6="No"),F6,0)</f>
        <v/>
      </c>
    </row>
    <row r="7">
      <c r="A7" s="18" t="inlineStr">
        <is>
          <t>FC-104</t>
        </is>
      </c>
      <c r="B7" s="18" t="inlineStr">
        <is>
          <t>Consultores Delta</t>
        </is>
      </c>
      <c r="C7" s="18" t="inlineStr">
        <is>
          <t>5202</t>
        </is>
      </c>
      <c r="D7" s="37" t="n">
        <v>46011</v>
      </c>
      <c r="E7" s="37" t="n">
        <v>46030</v>
      </c>
      <c r="F7" s="20">
        <f>'05_Transacciones'!F8</f>
        <v/>
      </c>
      <c r="G7" s="18">
        <f>IF(D7&lt;='02_Parametros'!$B$5,"Sí","No")</f>
        <v/>
      </c>
      <c r="H7" s="18">
        <f>IF(E7&lt;='02_Parametros'!$B$5,"Sí","No")</f>
        <v/>
      </c>
      <c r="I7" s="20">
        <f>IF(AND(G7="No",H7="Sí"),F7,0)</f>
        <v/>
      </c>
      <c r="J7" s="20">
        <f>IF(AND(G7="Sí",H7="No"),F7,0)</f>
        <v/>
      </c>
    </row>
    <row r="8">
      <c r="A8" s="19" t="inlineStr">
        <is>
          <t>FC-105</t>
        </is>
      </c>
      <c r="B8" s="19" t="inlineStr">
        <is>
          <t>Comisionistas Unidos</t>
        </is>
      </c>
      <c r="C8" s="19" t="inlineStr">
        <is>
          <t>5302</t>
        </is>
      </c>
      <c r="D8" s="39" t="n">
        <v>46027</v>
      </c>
      <c r="E8" s="39" t="n">
        <v>46021</v>
      </c>
      <c r="F8" s="21">
        <f>'05_Transacciones'!F9</f>
        <v/>
      </c>
      <c r="G8" s="19">
        <f>IF(D8&lt;='02_Parametros'!$B$5,"Sí","No")</f>
        <v/>
      </c>
      <c r="H8" s="19">
        <f>IF(E8&lt;='02_Parametros'!$B$5,"Sí","No")</f>
        <v/>
      </c>
      <c r="I8" s="21">
        <f>IF(AND(G8="No",H8="Sí"),F8,0)</f>
        <v/>
      </c>
      <c r="J8" s="21">
        <f>IF(AND(G8="Sí",H8="No"),F8,0)</f>
        <v/>
      </c>
    </row>
    <row r="9">
      <c r="A9" s="18" t="inlineStr">
        <is>
          <t>FC-108</t>
        </is>
      </c>
      <c r="B9" s="18" t="inlineStr">
        <is>
          <t>Juan Pérez</t>
        </is>
      </c>
      <c r="C9" s="18" t="inlineStr">
        <is>
          <t>5202</t>
        </is>
      </c>
      <c r="D9" s="37" t="n">
        <v>45910</v>
      </c>
      <c r="E9" s="37" t="n">
        <v>45912</v>
      </c>
      <c r="F9" s="20">
        <f>'05_Transacciones'!F12</f>
        <v/>
      </c>
      <c r="G9" s="18">
        <f>IF(D9&lt;='02_Parametros'!$B$5,"Sí","No")</f>
        <v/>
      </c>
      <c r="H9" s="18">
        <f>IF(E9&lt;='02_Parametros'!$B$5,"Sí","No")</f>
        <v/>
      </c>
      <c r="I9" s="20">
        <f>IF(AND(G9="No",H9="Sí"),F9,0)</f>
        <v/>
      </c>
      <c r="J9" s="20">
        <f>IF(AND(G9="Sí",H9="No"),F9,0)</f>
        <v/>
      </c>
    </row>
    <row r="10">
      <c r="A10" s="19" t="inlineStr">
        <is>
          <t>FC-109</t>
        </is>
      </c>
      <c r="B10" s="19" t="inlineStr">
        <is>
          <t>Publicistas XYZ</t>
        </is>
      </c>
      <c r="C10" s="19" t="inlineStr">
        <is>
          <t>5301</t>
        </is>
      </c>
      <c r="D10" s="39" t="n">
        <v>45935</v>
      </c>
      <c r="E10" s="39" t="n">
        <v>45936</v>
      </c>
      <c r="F10" s="21">
        <f>'05_Transacciones'!F13</f>
        <v/>
      </c>
      <c r="G10" s="19">
        <f>IF(D10&lt;='02_Parametros'!$B$5,"Sí","No")</f>
        <v/>
      </c>
      <c r="H10" s="19">
        <f>IF(E10&lt;='02_Parametros'!$B$5,"Sí","No")</f>
        <v/>
      </c>
      <c r="I10" s="21">
        <f>IF(AND(G10="No",H10="Sí"),F10,0)</f>
        <v/>
      </c>
      <c r="J10" s="21">
        <f>IF(AND(G10="Sí",H10="No"),F10,0)</f>
        <v/>
      </c>
    </row>
    <row r="11">
      <c r="A11" s="18" t="inlineStr">
        <is>
          <t>FC-110</t>
        </is>
      </c>
      <c r="B11" s="18" t="inlineStr">
        <is>
          <t>Taller Mecánico Ruta</t>
        </is>
      </c>
      <c r="C11" s="18" t="inlineStr">
        <is>
          <t>5201</t>
        </is>
      </c>
      <c r="D11" s="37" t="n">
        <v>45889</v>
      </c>
      <c r="E11" s="37" t="n">
        <v>45890</v>
      </c>
      <c r="F11" s="20">
        <f>'05_Transacciones'!F14</f>
        <v/>
      </c>
      <c r="G11" s="18">
        <f>IF(D11&lt;='02_Parametros'!$B$5,"Sí","No")</f>
        <v/>
      </c>
      <c r="H11" s="18">
        <f>IF(E11&lt;='02_Parametros'!$B$5,"Sí","No")</f>
        <v/>
      </c>
      <c r="I11" s="20">
        <f>IF(AND(G11="No",H11="Sí"),F11,0)</f>
        <v/>
      </c>
      <c r="J11" s="20">
        <f>IF(AND(G11="Sí",H11="No"),F11,0)</f>
        <v/>
      </c>
    </row>
    <row r="12">
      <c r="A12" s="19" t="inlineStr">
        <is>
          <t>FC-111</t>
        </is>
      </c>
      <c r="B12" s="19" t="inlineStr">
        <is>
          <t>Holding Andes S.A.</t>
        </is>
      </c>
      <c r="C12" s="19" t="inlineStr">
        <is>
          <t>5202</t>
        </is>
      </c>
      <c r="D12" s="39" t="n">
        <v>45787</v>
      </c>
      <c r="E12" s="39" t="n">
        <v>45788</v>
      </c>
      <c r="F12" s="21">
        <f>'05_Transacciones'!F15</f>
        <v/>
      </c>
      <c r="G12" s="19">
        <f>IF(D12&lt;='02_Parametros'!$B$5,"Sí","No")</f>
        <v/>
      </c>
      <c r="H12" s="19">
        <f>IF(E12&lt;='02_Parametros'!$B$5,"Sí","No")</f>
        <v/>
      </c>
      <c r="I12" s="21">
        <f>IF(AND(G12="No",H12="Sí"),F12,0)</f>
        <v/>
      </c>
      <c r="J12" s="21">
        <f>IF(AND(G12="Sí",H12="No"),F12,0)</f>
        <v/>
      </c>
    </row>
    <row r="13">
      <c r="A13" s="18" t="inlineStr">
        <is>
          <t>FC-112</t>
        </is>
      </c>
      <c r="B13" s="18" t="inlineStr">
        <is>
          <t>Constructora Rápida</t>
        </is>
      </c>
      <c r="C13" s="18" t="inlineStr">
        <is>
          <t>5601</t>
        </is>
      </c>
      <c r="D13" s="37" t="n">
        <v>45749</v>
      </c>
      <c r="E13" s="37" t="n">
        <v>45750</v>
      </c>
      <c r="F13" s="20">
        <f>'05_Transacciones'!F16</f>
        <v/>
      </c>
      <c r="G13" s="18">
        <f>IF(D13&lt;='02_Parametros'!$B$5,"Sí","No")</f>
        <v/>
      </c>
      <c r="H13" s="18">
        <f>IF(E13&lt;='02_Parametros'!$B$5,"Sí","No")</f>
        <v/>
      </c>
      <c r="I13" s="20">
        <f>IF(AND(G13="No",H13="Sí"),F13,0)</f>
        <v/>
      </c>
      <c r="J13" s="20">
        <f>IF(AND(G13="Sí",H13="No"),F13,0)</f>
        <v/>
      </c>
    </row>
    <row r="14">
      <c r="A14" s="19" t="inlineStr">
        <is>
          <t>FC-113</t>
        </is>
      </c>
      <c r="B14" s="19" t="inlineStr">
        <is>
          <t>Acuerdo judicial ex trabajador</t>
        </is>
      </c>
      <c r="C14" s="19" t="inlineStr">
        <is>
          <t>5202</t>
        </is>
      </c>
      <c r="D14" s="39" t="n">
        <v>45981</v>
      </c>
      <c r="E14" s="39" t="n">
        <v>45982</v>
      </c>
      <c r="F14" s="21">
        <f>'05_Transacciones'!F17</f>
        <v/>
      </c>
      <c r="G14" s="19">
        <f>IF(D14&lt;='02_Parametros'!$B$5,"Sí","No")</f>
        <v/>
      </c>
      <c r="H14" s="19">
        <f>IF(E14&lt;='02_Parametros'!$B$5,"Sí","No")</f>
        <v/>
      </c>
      <c r="I14" s="21">
        <f>IF(AND(G14="No",H14="Sí"),F14,0)</f>
        <v/>
      </c>
      <c r="J14" s="21">
        <f>IF(AND(G14="Sí",H14="No"),F14,0)</f>
        <v/>
      </c>
    </row>
    <row r="15">
      <c r="A15" s="18" t="inlineStr">
        <is>
          <t>FC-114</t>
        </is>
      </c>
      <c r="B15" s="18" t="inlineStr">
        <is>
          <t>Gerente General</t>
        </is>
      </c>
      <c r="C15" s="18" t="inlineStr">
        <is>
          <t>5201</t>
        </is>
      </c>
      <c r="D15" s="37" t="n">
        <v>45689</v>
      </c>
      <c r="E15" s="37" t="n">
        <v>45690</v>
      </c>
      <c r="F15" s="20">
        <f>'05_Transacciones'!F18</f>
        <v/>
      </c>
      <c r="G15" s="18">
        <f>IF(D15&lt;='02_Parametros'!$B$5,"Sí","No")</f>
        <v/>
      </c>
      <c r="H15" s="18">
        <f>IF(E15&lt;='02_Parametros'!$B$5,"Sí","No")</f>
        <v/>
      </c>
      <c r="I15" s="20">
        <f>IF(AND(G15="No",H15="Sí"),F15,0)</f>
        <v/>
      </c>
      <c r="J15" s="20">
        <f>IF(AND(G15="Sí",H15="No"),F15,0)</f>
        <v/>
      </c>
    </row>
    <row r="16">
      <c r="A16" s="19" t="inlineStr">
        <is>
          <t>FC-115</t>
        </is>
      </c>
      <c r="B16" s="19" t="inlineStr">
        <is>
          <t>Banco Relacionado S.A.</t>
        </is>
      </c>
      <c r="C16" s="19" t="inlineStr">
        <is>
          <t>5501</t>
        </is>
      </c>
      <c r="D16" s="39" t="n">
        <v>45838</v>
      </c>
      <c r="E16" s="39" t="n">
        <v>45839</v>
      </c>
      <c r="F16" s="21">
        <f>'05_Transacciones'!F19</f>
        <v/>
      </c>
      <c r="G16" s="19">
        <f>IF(D16&lt;='02_Parametros'!$B$5,"Sí","No")</f>
        <v/>
      </c>
      <c r="H16" s="19">
        <f>IF(E16&lt;='02_Parametros'!$B$5,"Sí","No")</f>
        <v/>
      </c>
      <c r="I16" s="21">
        <f>IF(AND(G16="No",H16="Sí"),F16,0)</f>
        <v/>
      </c>
      <c r="J16" s="21">
        <f>IF(AND(G16="Sí",H16="No"),F16,0)</f>
        <v/>
      </c>
    </row>
    <row r="17">
      <c r="A17" s="31" t="inlineStr">
        <is>
          <t>TOTAL</t>
        </is>
      </c>
      <c r="B17" s="31" t="inlineStr"/>
      <c r="C17" s="31" t="inlineStr"/>
      <c r="D17" s="41" t="inlineStr"/>
      <c r="E17" s="41" t="inlineStr"/>
      <c r="F17" s="32">
        <f>SUM(F5:F16)</f>
        <v/>
      </c>
      <c r="G17" s="31" t="inlineStr"/>
      <c r="H17" s="31" t="inlineStr"/>
      <c r="I17" s="32">
        <f>SUM(I5:I16)</f>
        <v/>
      </c>
      <c r="J17" s="32">
        <f>SUM(J5:J16)</f>
        <v/>
      </c>
    </row>
    <row r="19">
      <c r="A19" s="22" t="inlineStr">
        <is>
          <t>ⓘ  Cómo se calcula esta hoja</t>
        </is>
      </c>
    </row>
    <row r="20">
      <c r="A20" s="23" t="inlineStr">
        <is>
          <t>Columna</t>
        </is>
      </c>
      <c r="B20" s="23" t="inlineStr">
        <is>
          <t>Fórmula (Excel)</t>
        </is>
      </c>
      <c r="C20" s="23" t="inlineStr">
        <is>
          <t>Cómo se calcula (sencillo)</t>
        </is>
      </c>
      <c r="D20" s="23" t="inlineStr">
        <is>
          <t>Ejemplo con números reales</t>
        </is>
      </c>
      <c r="E20" s="23" t="inlineStr">
        <is>
          <t>De dónde viene</t>
        </is>
      </c>
      <c r="F20" s="23" t="inlineStr">
        <is>
          <t>Norma</t>
        </is>
      </c>
    </row>
    <row r="21">
      <c r="A21" s="24" t="inlineStr">
        <is>
          <t>Importe</t>
        </is>
      </c>
      <c r="B21" s="25" t="inlineStr">
        <is>
          <t>'='05_Transacciones'!F5</t>
        </is>
      </c>
      <c r="C21" s="24" t="inlineStr">
        <is>
          <t>Trae el importe del comprobante desde la hoja 05 (Transacciones de la muestra); aquí solo aparecen los que no tienen período de servicio.</t>
        </is>
      </c>
      <c r="D21" s="24" t="inlineStr">
        <is>
          <t>Fila 1: 12.000,00 → 12.000,00</t>
        </is>
      </c>
      <c r="E21" s="24" t="inlineStr">
        <is>
          <t>hoja «Transacciones de la muestra»</t>
        </is>
      </c>
      <c r="F21" s="24" t="inlineStr">
        <is>
          <t>—</t>
        </is>
      </c>
    </row>
    <row r="22">
      <c r="A22" s="24" t="inlineStr">
        <is>
          <t>Documento del ejercicio</t>
        </is>
      </c>
      <c r="B22" s="25" t="inlineStr">
        <is>
          <t>'=IF(D5&lt;='02_Parametros'!$B$5,"Sí","No")</t>
        </is>
      </c>
      <c r="C22" s="24" t="inlineStr">
        <is>
          <t>Marca «Sí» si la fecha del documento es igual o anterior al corte de la hoja 02 (Parámetros).</t>
        </is>
      </c>
      <c r="D22" s="24" t="inlineStr">
        <is>
          <t>Fila 1: IF(«2025-03-10»&lt;=«2025-12-31»; "Sí"; "No") → Sí</t>
        </is>
      </c>
      <c r="E22" s="24" t="inlineStr">
        <is>
          <t>«Fecha documento» (esta hoja), hoja «Parámetros»</t>
        </is>
      </c>
      <c r="F22" s="24" t="inlineStr">
        <is>
          <t>—</t>
        </is>
      </c>
    </row>
    <row r="23">
      <c r="A23" s="24" t="inlineStr">
        <is>
          <t>Registrado en el ejercicio</t>
        </is>
      </c>
      <c r="B23" s="25" t="inlineStr">
        <is>
          <t>'=IF(E5&lt;='02_Parametros'!$B$5,"Sí","No")</t>
        </is>
      </c>
      <c r="C23" s="24" t="inlineStr">
        <is>
          <t>Marca «Sí» si la fecha de registro contable es igual o anterior al corte de la hoja 02 (Parámetros).</t>
        </is>
      </c>
      <c r="D23" s="24" t="inlineStr">
        <is>
          <t>Fila 1: IF(«2025-03-12»&lt;=«2025-12-31»; "Sí"; "No") → Sí</t>
        </is>
      </c>
      <c r="E23" s="24" t="inlineStr">
        <is>
          <t>«Fecha registro» (esta hoja), hoja «Parámetros»</t>
        </is>
      </c>
      <c r="F23" s="24" t="inlineStr">
        <is>
          <t>—</t>
        </is>
      </c>
    </row>
    <row r="24">
      <c r="A24" s="24" t="inlineStr">
        <is>
          <t>Gasto de otro período registrado</t>
        </is>
      </c>
      <c r="B24" s="25" t="inlineStr">
        <is>
          <t>'=IF(AND(G5="No",H5="Sí"),F5,0)</t>
        </is>
      </c>
      <c r="C24" s="24" t="inlineStr">
        <is>
          <t>Si el documento es posterior al corte pero se registró dentro del ejercicio, toma su importe: es gasto del año siguiente; si no, cero.</t>
        </is>
      </c>
      <c r="D24" s="24" t="inlineStr">
        <is>
          <t>Fila 1: IF(AND(«Sí»="No"; «Sí»="Sí"); 12.000,00; 0) → 0,00</t>
        </is>
      </c>
      <c r="E24" s="24" t="inlineStr">
        <is>
          <t>«Documento del ejercicio» (esta hoja), «Registrado en el ejercicio» (esta hoja), «Importe» (esta hoja)</t>
        </is>
      </c>
      <c r="F24" s="24" t="inlineStr">
        <is>
          <t>—</t>
        </is>
      </c>
    </row>
    <row r="25">
      <c r="A25" s="24" t="inlineStr">
        <is>
          <t>Gasto del ejercicio no registrado</t>
        </is>
      </c>
      <c r="B25" s="25" t="inlineStr">
        <is>
          <t>'=IF(AND(G5="Sí",H5="No"),F5,0)</t>
        </is>
      </c>
      <c r="C25" s="24" t="inlineStr">
        <is>
          <t>Si el documento es del ejercicio pero se registró después del corte, toma su importe: es gasto que faltó registrar; si no, cero.</t>
        </is>
      </c>
      <c r="D25" s="24" t="inlineStr">
        <is>
          <t>Fila 1: IF(AND(«Sí»="Sí"; «Sí»="No"); 12.000,00; 0) → 0,00</t>
        </is>
      </c>
      <c r="E25" s="24" t="inlineStr">
        <is>
          <t>«Documento del ejercicio» (esta hoja), «Registrado en el ejercicio» (esta hoja), «Importe» (esta hoja)</t>
        </is>
      </c>
      <c r="F25" s="24" t="inlineStr">
        <is>
          <t>—</t>
        </is>
      </c>
    </row>
  </sheetData>
  <mergeCells count="3">
    <mergeCell ref="A19:F19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6" customWidth="1" min="4" max="4"/>
    <col width="16" customWidth="1" min="5" max="5"/>
    <col width="16" customWidth="1" min="6" max="6"/>
    <col width="12" customWidth="1" min="7" max="7"/>
    <col width="19" customWidth="1" min="8" max="8"/>
    <col width="21" customWidth="1" min="9" max="9"/>
    <col width="18" customWidth="1" min="10" max="10"/>
    <col width="20" customWidth="1" min="11" max="11"/>
    <col width="28" customWidth="1" min="12" max="12"/>
    <col width="33" customWidth="1" min="13" max="13"/>
    <col width="25" customWidth="1" min="14" max="14"/>
  </cols>
  <sheetData>
    <row r="1">
      <c r="A1" s="3" t="inlineStr">
        <is>
          <t>Devengo y gastos anticipados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</row>
    <row r="4" ht="30" customHeight="1">
      <c r="A4" s="17" t="inlineStr">
        <is>
          <t>Comprobante</t>
        </is>
      </c>
      <c r="B4" s="17" t="inlineStr">
        <is>
          <t>Proveedor</t>
        </is>
      </c>
      <c r="C4" s="17" t="inlineStr">
        <is>
          <t>Cuenta</t>
        </is>
      </c>
      <c r="D4" s="17" t="inlineStr">
        <is>
          <t>Fecha registro</t>
        </is>
      </c>
      <c r="E4" s="17" t="inlineStr">
        <is>
          <t>Servicio desde</t>
        </is>
      </c>
      <c r="F4" s="17" t="inlineStr">
        <is>
          <t>Servicio hasta</t>
        </is>
      </c>
      <c r="G4" s="17" t="inlineStr">
        <is>
          <t>Importe</t>
        </is>
      </c>
      <c r="H4" s="17" t="inlineStr">
        <is>
          <t>Días del servicio</t>
        </is>
      </c>
      <c r="I4" s="17" t="inlineStr">
        <is>
          <t>Días hasta el corte</t>
        </is>
      </c>
      <c r="J4" s="17" t="inlineStr">
        <is>
          <t>Días posteriores</t>
        </is>
      </c>
      <c r="K4" s="17" t="inlineStr">
        <is>
          <t>Gasto del período</t>
        </is>
      </c>
      <c r="L4" s="17" t="inlineStr">
        <is>
          <t>Registrado en el ejercicio</t>
        </is>
      </c>
      <c r="M4" s="17" t="inlineStr">
        <is>
          <t>Anticipado llevado a resultados</t>
        </is>
      </c>
      <c r="N4" s="17" t="inlineStr">
        <is>
          <t>Devengado no registrado</t>
        </is>
      </c>
    </row>
    <row r="5">
      <c r="A5" s="18" t="inlineStr">
        <is>
          <t>FC-103</t>
        </is>
      </c>
      <c r="B5" s="18" t="inlineStr">
        <is>
          <t>Aseguradora Sur</t>
        </is>
      </c>
      <c r="C5" s="18" t="inlineStr">
        <is>
          <t>5401</t>
        </is>
      </c>
      <c r="D5" s="37" t="n">
        <v>45840</v>
      </c>
      <c r="E5" s="37" t="n">
        <v>45839</v>
      </c>
      <c r="F5" s="37" t="n">
        <v>46203</v>
      </c>
      <c r="G5" s="20">
        <f>'05_Transacciones'!F7</f>
        <v/>
      </c>
      <c r="H5" s="34">
        <f>F5-E5+1</f>
        <v/>
      </c>
      <c r="I5" s="34">
        <f>MAX(0,MIN(F5,'02_Parametros'!$B$5)-E5+1)</f>
        <v/>
      </c>
      <c r="J5" s="34">
        <f>H5-I5</f>
        <v/>
      </c>
      <c r="K5" s="20">
        <f>G5*I5/H5</f>
        <v/>
      </c>
      <c r="L5" s="18">
        <f>IF(D5&lt;='02_Parametros'!$B$5,"Sí","No")</f>
        <v/>
      </c>
      <c r="M5" s="20">
        <f>IF(L5="Sí",G5*J5/H5,0)</f>
        <v/>
      </c>
      <c r="N5" s="20">
        <f>IF(L5="No",K5,0)</f>
        <v/>
      </c>
    </row>
    <row r="6">
      <c r="A6" s="19" t="inlineStr">
        <is>
          <t>FC-106</t>
        </is>
      </c>
      <c r="B6" s="19" t="inlineStr">
        <is>
          <t>Inmobiliaria Norte</t>
        </is>
      </c>
      <c r="C6" s="19" t="inlineStr">
        <is>
          <t>5203</t>
        </is>
      </c>
      <c r="D6" s="39" t="n">
        <v>46038</v>
      </c>
      <c r="E6" s="39" t="n">
        <v>45992</v>
      </c>
      <c r="F6" s="39" t="n">
        <v>46022</v>
      </c>
      <c r="G6" s="21">
        <f>'05_Transacciones'!F10</f>
        <v/>
      </c>
      <c r="H6" s="35">
        <f>F6-E6+1</f>
        <v/>
      </c>
      <c r="I6" s="35">
        <f>MAX(0,MIN(F6,'02_Parametros'!$B$5)-E6+1)</f>
        <v/>
      </c>
      <c r="J6" s="35">
        <f>H6-I6</f>
        <v/>
      </c>
      <c r="K6" s="21">
        <f>G6*I6/H6</f>
        <v/>
      </c>
      <c r="L6" s="19">
        <f>IF(D6&lt;='02_Parametros'!$B$5,"Sí","No")</f>
        <v/>
      </c>
      <c r="M6" s="21">
        <f>IF(L6="Sí",G6*J6/H6,0)</f>
        <v/>
      </c>
      <c r="N6" s="21">
        <f>IF(L6="No",K6,0)</f>
        <v/>
      </c>
    </row>
    <row r="7">
      <c r="A7" s="18" t="inlineStr">
        <is>
          <t>FC-107</t>
        </is>
      </c>
      <c r="B7" s="18" t="inlineStr">
        <is>
          <t>Radio Andina</t>
        </is>
      </c>
      <c r="C7" s="18" t="inlineStr">
        <is>
          <t>5301</t>
        </is>
      </c>
      <c r="D7" s="37" t="n">
        <v>45964</v>
      </c>
      <c r="E7" s="37" t="n">
        <v>45962</v>
      </c>
      <c r="F7" s="37" t="n">
        <v>46142</v>
      </c>
      <c r="G7" s="20">
        <f>'05_Transacciones'!F11</f>
        <v/>
      </c>
      <c r="H7" s="34">
        <f>F7-E7+1</f>
        <v/>
      </c>
      <c r="I7" s="34">
        <f>MAX(0,MIN(F7,'02_Parametros'!$B$5)-E7+1)</f>
        <v/>
      </c>
      <c r="J7" s="34">
        <f>H7-I7</f>
        <v/>
      </c>
      <c r="K7" s="20">
        <f>G7*I7/H7</f>
        <v/>
      </c>
      <c r="L7" s="18">
        <f>IF(D7&lt;='02_Parametros'!$B$5,"Sí","No")</f>
        <v/>
      </c>
      <c r="M7" s="20">
        <f>IF(L7="Sí",G7*J7/H7,0)</f>
        <v/>
      </c>
      <c r="N7" s="20">
        <f>IF(L7="No",K7,0)</f>
        <v/>
      </c>
    </row>
    <row r="8">
      <c r="A8" s="31" t="inlineStr">
        <is>
          <t>TOTAL</t>
        </is>
      </c>
      <c r="B8" s="31" t="inlineStr"/>
      <c r="C8" s="31" t="inlineStr"/>
      <c r="D8" s="41" t="inlineStr"/>
      <c r="E8" s="41" t="inlineStr"/>
      <c r="F8" s="41" t="inlineStr"/>
      <c r="G8" s="32">
        <f>SUM(G5:G7)</f>
        <v/>
      </c>
      <c r="H8" s="36" t="n"/>
      <c r="I8" s="36" t="n"/>
      <c r="J8" s="36" t="n"/>
      <c r="K8" s="32">
        <f>SUM(K5:K7)</f>
        <v/>
      </c>
      <c r="L8" s="31" t="inlineStr"/>
      <c r="M8" s="32">
        <f>SUM(M5:M7)</f>
        <v/>
      </c>
      <c r="N8" s="32">
        <f>SUM(N5:N7)</f>
        <v/>
      </c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Importe</t>
        </is>
      </c>
      <c r="B12" s="25" t="inlineStr">
        <is>
          <t>'='05_Transacciones'!F7</t>
        </is>
      </c>
      <c r="C12" s="24" t="inlineStr">
        <is>
          <t>Trae el importe del comprobante desde la hoja 05 (Transacciones de la muestra); aquí solo aparecen los que tienen período de servicio.</t>
        </is>
      </c>
      <c r="D12" s="24" t="inlineStr">
        <is>
          <t>Fila 1: 7.300,00 → 7.300,00</t>
        </is>
      </c>
      <c r="E12" s="24" t="inlineStr">
        <is>
          <t>hoja «Transacciones de la muestra»</t>
        </is>
      </c>
      <c r="F12" s="24" t="inlineStr">
        <is>
          <t>—</t>
        </is>
      </c>
    </row>
    <row r="13">
      <c r="A13" s="24" t="inlineStr">
        <is>
          <t>Días del servicio</t>
        </is>
      </c>
      <c r="B13" s="25" t="inlineStr">
        <is>
          <t>'=F5-E5+1</t>
        </is>
      </c>
      <c r="C13" s="24" t="inlineStr">
        <is>
          <t>Cuenta los días del servicio, desde la fecha de inicio hasta la de fin, incluidos ambos días.</t>
        </is>
      </c>
      <c r="D13" s="24" t="inlineStr">
        <is>
          <t>Fila 1: «2026-06-30»-«2025-07-01»+1 → 365</t>
        </is>
      </c>
      <c r="E13" s="24" t="inlineStr">
        <is>
          <t>«Servicio hasta» (esta hoja), «Servicio desde» (esta hoja)</t>
        </is>
      </c>
      <c r="F13" s="24" t="inlineStr">
        <is>
          <t>—</t>
        </is>
      </c>
    </row>
    <row r="14">
      <c r="A14" s="24" t="inlineStr">
        <is>
          <t>Días hasta el corte</t>
        </is>
      </c>
      <c r="B14" s="25" t="inlineStr">
        <is>
          <t>'=MAX(0,MIN(F5,'02_Parametros'!$B$5)-E5+1)</t>
        </is>
      </c>
      <c r="C14" s="24" t="inlineStr">
        <is>
          <t>Cuenta los días del servicio desde su inicio hasta la fecha de fin o hasta el corte de la hoja 02 (Parámetros), lo que ocurra primero; nunca menos de cero.</t>
        </is>
      </c>
      <c r="D14" s="24" t="inlineStr">
        <is>
          <t>Fila 1: MAX(0; MIN(«2026-06-30»; «2025-12-31»)-«2025-07-01»+1) → 184</t>
        </is>
      </c>
      <c r="E14" s="24" t="inlineStr">
        <is>
          <t>«Servicio hasta» (esta hoja), «Servicio desde» (esta hoja), hoja «Parámetros»</t>
        </is>
      </c>
      <c r="F14" s="24" t="inlineStr">
        <is>
          <t>—</t>
        </is>
      </c>
    </row>
    <row r="15">
      <c r="A15" s="24" t="inlineStr">
        <is>
          <t>Días posteriores</t>
        </is>
      </c>
      <c r="B15" s="25" t="inlineStr">
        <is>
          <t>'=H5-I5</t>
        </is>
      </c>
      <c r="C15" s="24" t="inlineStr">
        <is>
          <t>Resta los días hasta el corte a los días totales del servicio: son los días que corresponden al año siguiente.</t>
        </is>
      </c>
      <c r="D15" s="24" t="inlineStr">
        <is>
          <t>Fila 1: 365-184 → 181</t>
        </is>
      </c>
      <c r="E15" s="24" t="inlineStr">
        <is>
          <t>«Días del servicio» (esta hoja), «Días hasta el corte» (esta hoja)</t>
        </is>
      </c>
      <c r="F15" s="24" t="inlineStr">
        <is>
          <t>—</t>
        </is>
      </c>
    </row>
    <row r="16">
      <c r="A16" s="24" t="inlineStr">
        <is>
          <t>Gasto del período</t>
        </is>
      </c>
      <c r="B16" s="25" t="inlineStr">
        <is>
          <t>'=G5*I5/H5</t>
        </is>
      </c>
      <c r="C16" s="24" t="inlineStr">
        <is>
          <t>Reparte el importe en proporción a los días: importe × días hasta el corte ÷ días del servicio.</t>
        </is>
      </c>
      <c r="D16" s="24" t="inlineStr">
        <is>
          <t>Fila 1: 7.300,00*184/365 → 3.680,00</t>
        </is>
      </c>
      <c r="E16" s="24" t="inlineStr">
        <is>
          <t>«Importe» (esta hoja), «Días hasta el corte» (esta hoja), «Días del servicio» (esta hoja)</t>
        </is>
      </c>
      <c r="F16" s="24" t="inlineStr">
        <is>
          <t>—</t>
        </is>
      </c>
    </row>
    <row r="17">
      <c r="A17" s="24" t="inlineStr">
        <is>
          <t>Registrado en el ejercicio</t>
        </is>
      </c>
      <c r="B17" s="25" t="inlineStr">
        <is>
          <t>'=IF(D5&lt;='02_Parametros'!$B$5,"Sí","No")</t>
        </is>
      </c>
      <c r="C17" s="24" t="inlineStr">
        <is>
          <t>Marca «Sí» si la fecha de registro es igual o anterior al corte de la hoja 02 (Parámetros).</t>
        </is>
      </c>
      <c r="D17" s="24" t="inlineStr">
        <is>
          <t>Fila 1: IF(«2025-07-02»&lt;=«2025-12-31»; "Sí"; "No") → Sí</t>
        </is>
      </c>
      <c r="E17" s="24" t="inlineStr">
        <is>
          <t>«Fecha registro» (esta hoja), hoja «Parámetros»</t>
        </is>
      </c>
      <c r="F17" s="24" t="inlineStr">
        <is>
          <t>—</t>
        </is>
      </c>
    </row>
    <row r="18">
      <c r="A18" s="24" t="inlineStr">
        <is>
          <t>Anticipado llevado a resultados</t>
        </is>
      </c>
      <c r="B18" s="25" t="inlineStr">
        <is>
          <t>'=IF(L5="Sí",G5*J5/H5,0)</t>
        </is>
      </c>
      <c r="C18" s="24" t="inlineStr">
        <is>
          <t>Si el comprobante se registró en el ejercicio, calcula la parte del importe de los días posteriores al corte (importe × días posteriores ÷ días del servicio): es gasto pagado por anticipado; si no, cero.</t>
        </is>
      </c>
      <c r="D18" s="24" t="inlineStr">
        <is>
          <t>Fila 1: IF(«Sí»="Sí"; 7.300,00*181/365; 0) → 3.620,00</t>
        </is>
      </c>
      <c r="E18" s="24" t="inlineStr">
        <is>
          <t>«Registrado en el ejercicio» (esta hoja), «Importe» (esta hoja), «Días posteriores» (esta hoja), «Días del servicio» (esta hoja)</t>
        </is>
      </c>
      <c r="F18" s="24" t="inlineStr">
        <is>
          <t>—</t>
        </is>
      </c>
    </row>
    <row r="19">
      <c r="A19" s="24" t="inlineStr">
        <is>
          <t>Devengado no registrado</t>
        </is>
      </c>
      <c r="B19" s="25" t="inlineStr">
        <is>
          <t>'=IF(L5="No",K5,0)</t>
        </is>
      </c>
      <c r="C19" s="24" t="inlineStr">
        <is>
          <t>Si el comprobante se registró después del corte, toma el gasto del período: es servicio consumido en el año que no llegó a registrarse; si no, cero.</t>
        </is>
      </c>
      <c r="D19" s="24" t="inlineStr">
        <is>
          <t>Fila 1: IF(«Sí»="No"; 3.680,00; 0) → 0,00</t>
        </is>
      </c>
      <c r="E19" s="24" t="inlineStr">
        <is>
          <t>«Registrado en el ejercicio» (esta hoja), «Gasto del período» (esta hoja)</t>
        </is>
      </c>
      <c r="F19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7" customWidth="1" min="4" max="4"/>
    <col width="12" customWidth="1" min="5" max="5"/>
    <col width="26" customWidth="1" min="6" max="6"/>
    <col width="18" customWidth="1" min="7" max="7"/>
    <col width="42" customWidth="1" min="8" max="8"/>
  </cols>
  <sheetData>
    <row r="1">
      <c r="A1" s="3" t="inlineStr">
        <is>
          <t>Reclasificaciones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Comprobante</t>
        </is>
      </c>
      <c r="B4" s="17" t="inlineStr">
        <is>
          <t>Proveedor</t>
        </is>
      </c>
      <c r="C4" s="17" t="inlineStr">
        <is>
          <t>Cuenta registrada</t>
        </is>
      </c>
      <c r="D4" s="17" t="inlineStr">
        <is>
          <t>Cuenta correcta</t>
        </is>
      </c>
      <c r="E4" s="17" t="inlineStr">
        <is>
          <t>Importe</t>
        </is>
      </c>
      <c r="F4" s="17" t="inlineStr">
        <is>
          <t>Línea registrada</t>
        </is>
      </c>
      <c r="G4" s="17" t="inlineStr">
        <is>
          <t>Línea correcta</t>
        </is>
      </c>
      <c r="H4" s="17" t="inlineStr">
        <is>
          <t>Cambia la línea del estado de resultados</t>
        </is>
      </c>
    </row>
    <row r="5">
      <c r="A5" s="18" t="inlineStr">
        <is>
          <t>FC-110</t>
        </is>
      </c>
      <c r="B5" s="18" t="inlineStr">
        <is>
          <t>Taller Mecánico Ruta</t>
        </is>
      </c>
      <c r="C5" s="18" t="inlineStr">
        <is>
          <t>5201</t>
        </is>
      </c>
      <c r="D5" s="18" t="inlineStr">
        <is>
          <t>5302</t>
        </is>
      </c>
      <c r="E5" s="20">
        <f>'05_Transacciones'!F14</f>
        <v/>
      </c>
      <c r="F5" s="18">
        <f>IFERROR(INDEX('03_Analisis_global'!$C$5:$C$14,MATCH(C5,'03_Analisis_global'!$A$5:$A$14,0)),"(no en la sumaria)")</f>
        <v/>
      </c>
      <c r="G5" s="18">
        <f>IFERROR(INDEX('03_Analisis_global'!$C$5:$C$14,MATCH(D5,'03_Analisis_global'!$A$5:$A$14,0)),"(no en la sumaria)")</f>
        <v/>
      </c>
      <c r="H5" s="18">
        <f>IF(F5&lt;&gt;G5,"Sí","No")</f>
        <v/>
      </c>
    </row>
    <row r="6">
      <c r="A6" s="31" t="inlineStr">
        <is>
          <t>TOTAL</t>
        </is>
      </c>
      <c r="B6" s="31" t="inlineStr"/>
      <c r="C6" s="31" t="inlineStr"/>
      <c r="D6" s="31" t="inlineStr"/>
      <c r="E6" s="32">
        <f>SUM(E5:E5)</f>
        <v/>
      </c>
      <c r="F6" s="31" t="inlineStr"/>
      <c r="G6" s="31" t="inlineStr"/>
      <c r="H6" s="31" t="inlineStr"/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Importe</t>
        </is>
      </c>
      <c r="B10" s="25" t="inlineStr">
        <is>
          <t>'='05_Transacciones'!F14</t>
        </is>
      </c>
      <c r="C10" s="24" t="inlineStr">
        <is>
          <t>Trae el importe del comprobante desde la hoja 05 (Transacciones de la muestra); aquí solo aparecen los registrados en una cuenta distinta de la cuenta sugerida.</t>
        </is>
      </c>
      <c r="D10" s="24" t="inlineStr">
        <is>
          <t>Fila 1: 2.200,00 → 2.200,00</t>
        </is>
      </c>
      <c r="E10" s="24" t="inlineStr">
        <is>
          <t>hoja «Transacciones de la muestra»</t>
        </is>
      </c>
      <c r="F10" s="24" t="inlineStr">
        <is>
          <t>—</t>
        </is>
      </c>
    </row>
    <row r="11">
      <c r="A11" s="24" t="inlineStr">
        <is>
          <t>Línea registrada</t>
        </is>
      </c>
      <c r="B11" s="25" t="inlineStr">
        <is>
          <t>'=IFERROR(INDEX('03_Analisis_global'!$C$5:$C$14,MATCH(C5,'03_Analisis_global'!$A$5:$A$14,0)),"(no en la sumaria)")</t>
        </is>
      </c>
      <c r="C11" s="24" t="inlineStr">
        <is>
          <t>Busca en la hoja 03 (Análisis global) la línea del estado de resultados de la cuenta donde se registró; si la cuenta no está en la sumaria, lo indica.</t>
        </is>
      </c>
      <c r="D11" s="24" t="inlineStr">
        <is>
          <t>Fila 1: IFERROR(INDEX([«Línea del estado de resultados» de «Análisis global por cuenta (NIA 520)», 10 filas]; MATCH(«5201»; [«Cuenta» de «Análisis global por cuenta (NIA 520)», 10 filas]; 0)); "(no en la sumaria)") → Gastos de administración</t>
        </is>
      </c>
      <c r="E11" s="24" t="inlineStr">
        <is>
          <t>«Cuenta registrada» (esta hoja), hoja «Análisis global por cuenta (NIA 520)»</t>
        </is>
      </c>
      <c r="F11" s="24" t="inlineStr">
        <is>
          <t>—</t>
        </is>
      </c>
    </row>
    <row r="12">
      <c r="A12" s="24" t="inlineStr">
        <is>
          <t>Línea correcta</t>
        </is>
      </c>
      <c r="B12" s="25" t="inlineStr">
        <is>
          <t>'=IFERROR(INDEX('03_Analisis_global'!$C$5:$C$14,MATCH(D5,'03_Analisis_global'!$A$5:$A$14,0)),"(no en la sumaria)")</t>
        </is>
      </c>
      <c r="C12" s="24" t="inlineStr">
        <is>
          <t>Busca en la hoja 03 (Análisis global) la línea del estado de resultados de la cuenta correcta; si no está en la sumaria, lo indica.</t>
        </is>
      </c>
      <c r="D12" s="24" t="inlineStr">
        <is>
          <t>Fila 1: IFERROR(INDEX([«Línea del estado de resultados» de «Análisis global por cuenta (NIA 520)», 10 filas]; MATCH(«5302»; [«Cuenta» de «Análisis global por cuenta (NIA 520)», 10 filas]; 0)); "(no en la sumaria)") → Gastos de ventas</t>
        </is>
      </c>
      <c r="E12" s="24" t="inlineStr">
        <is>
          <t>«Cuenta correcta» (esta hoja), hoja «Análisis global por cuenta (NIA 520)»</t>
        </is>
      </c>
      <c r="F12" s="24" t="inlineStr">
        <is>
          <t>—</t>
        </is>
      </c>
    </row>
    <row r="13">
      <c r="A13" s="24" t="inlineStr">
        <is>
          <t>Cambia la línea del estado de resultados</t>
        </is>
      </c>
      <c r="B13" s="25" t="inlineStr">
        <is>
          <t>'=IF(F5&lt;&gt;G5,"Sí","No")</t>
        </is>
      </c>
      <c r="C13" s="24" t="inlineStr">
        <is>
          <t>Marca «Sí» cuando la línea registrada y la correcta son distintas, es decir, cuando la reclasificación cambia la presentación en el estado de resultados.</t>
        </is>
      </c>
      <c r="D13" s="24" t="inlineStr">
        <is>
          <t>Fila 1: IF(«Gastos de administración»&lt;&gt;«Gastos de ventas»; "Sí"; "No") → Sí</t>
        </is>
      </c>
      <c r="E13" s="24" t="inlineStr">
        <is>
          <t>«Línea registrada» (esta hoja), «Línea correcta» (esta hoja)</t>
        </is>
      </c>
      <c r="F13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21" customWidth="1" min="3" max="3"/>
    <col width="45" customWidth="1" min="4" max="4"/>
  </cols>
  <sheetData>
    <row r="1">
      <c r="A1" s="3" t="inlineStr">
        <is>
          <t>Partes relacionadas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Transacciones</t>
        </is>
      </c>
      <c r="C4" s="17" t="inlineStr">
        <is>
          <t>Importe del período</t>
        </is>
      </c>
      <c r="D4" s="17" t="inlineStr">
        <is>
          <t>Referencia</t>
        </is>
      </c>
    </row>
    <row r="5">
      <c r="A5" s="18" t="inlineStr">
        <is>
          <t>Dominante</t>
        </is>
      </c>
      <c r="B5" s="34">
        <f>COUNTIFS('05_Transacciones'!$L$5:$L$19,"Sí",'05_Transacciones'!$P$5:$P$19,"Sí",'05_Transacciones'!$M$5:$M$19,A5)</f>
        <v/>
      </c>
      <c r="C5" s="20">
        <f>SUMIFS('05_Transacciones'!$F$5:$F$19,'05_Transacciones'!$L$5:$L$19,"Sí",'05_Transacciones'!$P$5:$P$19,"Sí",'05_Transacciones'!$M$5:$M$19,A5)</f>
        <v/>
      </c>
      <c r="D5" s="18" t="inlineStr">
        <is>
          <t>NIC 24 párr. 19</t>
        </is>
      </c>
    </row>
    <row r="6">
      <c r="A6" s="19" t="inlineStr">
        <is>
          <t>Control conjunto o influencia significativa</t>
        </is>
      </c>
      <c r="B6" s="35">
        <f>COUNTIFS('05_Transacciones'!$L$5:$L$19,"Sí",'05_Transacciones'!$P$5:$P$19,"Sí",'05_Transacciones'!$M$5:$M$19,A6)</f>
        <v/>
      </c>
      <c r="C6" s="21">
        <f>SUMIFS('05_Transacciones'!$F$5:$F$19,'05_Transacciones'!$L$5:$L$19,"Sí",'05_Transacciones'!$P$5:$P$19,"Sí",'05_Transacciones'!$M$5:$M$19,A6)</f>
        <v/>
      </c>
      <c r="D6" s="19" t="inlineStr">
        <is>
          <t>NIC 24 párr. 19</t>
        </is>
      </c>
    </row>
    <row r="7">
      <c r="A7" s="18" t="inlineStr">
        <is>
          <t>Dependiente</t>
        </is>
      </c>
      <c r="B7" s="34">
        <f>COUNTIFS('05_Transacciones'!$L$5:$L$19,"Sí",'05_Transacciones'!$P$5:$P$19,"Sí",'05_Transacciones'!$M$5:$M$19,A7)</f>
        <v/>
      </c>
      <c r="C7" s="20">
        <f>SUMIFS('05_Transacciones'!$F$5:$F$19,'05_Transacciones'!$L$5:$L$19,"Sí",'05_Transacciones'!$P$5:$P$19,"Sí",'05_Transacciones'!$M$5:$M$19,A7)</f>
        <v/>
      </c>
      <c r="D7" s="18" t="inlineStr">
        <is>
          <t>NIC 24 párr. 19</t>
        </is>
      </c>
    </row>
    <row r="8">
      <c r="A8" s="19" t="inlineStr">
        <is>
          <t>Asociada</t>
        </is>
      </c>
      <c r="B8" s="35">
        <f>COUNTIFS('05_Transacciones'!$L$5:$L$19,"Sí",'05_Transacciones'!$P$5:$P$19,"Sí",'05_Transacciones'!$M$5:$M$19,A8)</f>
        <v/>
      </c>
      <c r="C8" s="21">
        <f>SUMIFS('05_Transacciones'!$F$5:$F$19,'05_Transacciones'!$L$5:$L$19,"Sí",'05_Transacciones'!$P$5:$P$19,"Sí",'05_Transacciones'!$M$5:$M$19,A8)</f>
        <v/>
      </c>
      <c r="D8" s="19" t="inlineStr">
        <is>
          <t>NIC 24 párr. 19</t>
        </is>
      </c>
    </row>
    <row r="9">
      <c r="A9" s="18" t="inlineStr">
        <is>
          <t>Negocio conjunto</t>
        </is>
      </c>
      <c r="B9" s="34">
        <f>COUNTIFS('05_Transacciones'!$L$5:$L$19,"Sí",'05_Transacciones'!$P$5:$P$19,"Sí",'05_Transacciones'!$M$5:$M$19,A9)</f>
        <v/>
      </c>
      <c r="C9" s="20">
        <f>SUMIFS('05_Transacciones'!$F$5:$F$19,'05_Transacciones'!$L$5:$L$19,"Sí",'05_Transacciones'!$P$5:$P$19,"Sí",'05_Transacciones'!$M$5:$M$19,A9)</f>
        <v/>
      </c>
      <c r="D9" s="18" t="inlineStr">
        <is>
          <t>NIC 24 párr. 19</t>
        </is>
      </c>
    </row>
    <row r="10">
      <c r="A10" s="19" t="inlineStr">
        <is>
          <t>Personal clave</t>
        </is>
      </c>
      <c r="B10" s="35">
        <f>COUNTIFS('05_Transacciones'!$L$5:$L$19,"Sí",'05_Transacciones'!$P$5:$P$19,"Sí",'05_Transacciones'!$M$5:$M$19,A10)</f>
        <v/>
      </c>
      <c r="C10" s="21">
        <f>SUMIFS('05_Transacciones'!$F$5:$F$19,'05_Transacciones'!$L$5:$L$19,"Sí",'05_Transacciones'!$P$5:$P$19,"Sí",'05_Transacciones'!$M$5:$M$19,A10)</f>
        <v/>
      </c>
      <c r="D10" s="19" t="inlineStr">
        <is>
          <t>NIC 24 párr. 19</t>
        </is>
      </c>
    </row>
    <row r="11">
      <c r="A11" s="18" t="inlineStr">
        <is>
          <t>Otra</t>
        </is>
      </c>
      <c r="B11" s="34">
        <f>COUNTIFS('05_Transacciones'!$L$5:$L$19,"Sí",'05_Transacciones'!$P$5:$P$19,"Sí",'05_Transacciones'!$M$5:$M$19,A11)</f>
        <v/>
      </c>
      <c r="C11" s="20">
        <f>SUMIFS('05_Transacciones'!$F$5:$F$19,'05_Transacciones'!$L$5:$L$19,"Sí",'05_Transacciones'!$P$5:$P$19,"Sí",'05_Transacciones'!$M$5:$M$19,A11)</f>
        <v/>
      </c>
      <c r="D11" s="18" t="inlineStr">
        <is>
          <t>NIC 24 párr. 19</t>
        </is>
      </c>
    </row>
    <row r="12">
      <c r="A12" s="19" t="inlineStr">
        <is>
          <t>Sin categoría válida</t>
        </is>
      </c>
      <c r="B12" s="35">
        <f>COUNTIFS('05_Transacciones'!$L$5:$L$19,"Sí",'05_Transacciones'!$P$5:$P$19,"Sí")-SUM(B5:B11)</f>
        <v/>
      </c>
      <c r="C12" s="21">
        <f>SUMIFS('05_Transacciones'!$F$5:$F$19,'05_Transacciones'!$L$5:$L$19,"Sí",'05_Transacciones'!$P$5:$P$19,"Sí")-SUM(C5:C11)</f>
        <v/>
      </c>
      <c r="D12" s="19" t="inlineStr">
        <is>
          <t>Categoría vacía o no prevista para el marco</t>
        </is>
      </c>
    </row>
    <row r="13">
      <c r="A13" s="31" t="inlineStr">
        <is>
          <t>TOTAL</t>
        </is>
      </c>
      <c r="B13" s="36">
        <f>SUM(B5:B12)</f>
        <v/>
      </c>
      <c r="C13" s="32">
        <f>SUM(C5:C12)</f>
        <v/>
      </c>
      <c r="D13" s="31" t="inlineStr"/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Transacciones</t>
        </is>
      </c>
      <c r="B17" s="25" t="inlineStr">
        <is>
          <t>'=COUNTIFS('05_Transacciones'!$L$5:$L$19,"Sí",'05_Transacciones'!$P$5:$P$19,"Sí",'05_Transacciones'!$M$5:$M$19,A5)</t>
        </is>
      </c>
      <c r="C17" s="24" t="inlineStr">
        <is>
          <t>Cuenta las transacciones de la hoja 05 (Transacciones de la muestra) marcadas como parte relacionada, registradas en el ejercicio y con esta categoría; la fila «Sin categoría válida» cuenta las que quedan fuera de las categorías del marco.</t>
        </is>
      </c>
      <c r="D17" s="24" t="inlineStr">
        <is>
          <t>Fila 1: COUNTIFS([«Parte relacionada» de «Transacciones de la muestra», 15 filas]; "Sí"; [«Registrado en el ejercicio» de «Transacciones de la muestra», 15 filas]; "Sí"; [«Categoría parte relacionada» de «Transacciones de la muestra», 15 filas]; «Dominante») → 1</t>
        </is>
      </c>
      <c r="E17" s="24" t="inlineStr">
        <is>
          <t>«Categoría» (esta hoja), hoja «Transacciones de la muestra»</t>
        </is>
      </c>
      <c r="F17" s="24" t="inlineStr">
        <is>
          <t>—</t>
        </is>
      </c>
    </row>
    <row r="18">
      <c r="A18" s="24" t="inlineStr">
        <is>
          <t>Importe del período</t>
        </is>
      </c>
      <c r="B18" s="25" t="inlineStr">
        <is>
          <t>'=SUMIFS('05_Transacciones'!$F$5:$F$19,'05_Transacciones'!$L$5:$L$19,"Sí",'05_Transacciones'!$P$5:$P$19,"Sí",'05_Transacciones'!$M$5:$M$19,A5)</t>
        </is>
      </c>
      <c r="C18" s="24" t="inlineStr">
        <is>
          <t>Suma el importe de esas mismas transacciones de la hoja 05 por categoría; la fila «Sin categoría válida» es el total con partes relacionadas menos lo ya asignado a las categorías del marco.</t>
        </is>
      </c>
      <c r="D18" s="24" t="inlineStr">
        <is>
          <t>Fila 1: SUMIFS([«Importe» de «Transacciones de la muestra», 15 filas]; [«Parte relacionada» de «Transacciones de la muestra», 15 filas]; "Sí"; [«Registrado en el ejercicio» de «Transacciones de la muestra», 15 filas]; "Sí"; [«Categoría parte relacionada» de «Transacciones de la muestra», 15 filas]; «Dominante») → 9.000,00</t>
        </is>
      </c>
      <c r="E18" s="24" t="inlineStr">
        <is>
          <t>«Categoría» (esta hoja), hoja «Transacciones de la muestra»</t>
        </is>
      </c>
      <c r="F18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21" customWidth="1" min="5" max="5"/>
    <col width="32" customWidth="1" min="6" max="6"/>
    <col width="21" customWidth="1" min="7" max="7"/>
    <col width="29" customWidth="1" min="8" max="8"/>
    <col width="54" customWidth="1" min="9" max="9"/>
  </cols>
  <sheetData>
    <row r="1">
      <c r="A1" s="3" t="inlineStr">
        <is>
          <t>Integridad de la revelación de partes relacionadas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Comprobante</t>
        </is>
      </c>
      <c r="B4" s="17" t="inlineStr">
        <is>
          <t>Proveedor</t>
        </is>
      </c>
      <c r="C4" s="17" t="inlineStr">
        <is>
          <t>Cuenta</t>
        </is>
      </c>
      <c r="D4" s="17" t="inlineStr">
        <is>
          <t>Importe</t>
        </is>
      </c>
      <c r="E4" s="17" t="inlineStr">
        <is>
          <t>Categoría informada</t>
        </is>
      </c>
      <c r="F4" s="17" t="inlineStr">
        <is>
          <t>Categoría válida para el marco</t>
        </is>
      </c>
      <c r="G4" s="17" t="inlineStr">
        <is>
          <t>Incluida en la nota</t>
        </is>
      </c>
      <c r="H4" s="17" t="inlineStr">
        <is>
          <t>Importe no revelado (marca)</t>
        </is>
      </c>
      <c r="I4" s="17" t="inlineStr">
        <is>
          <t>Conclusión de integridad de la revelación</t>
        </is>
      </c>
    </row>
    <row r="5">
      <c r="A5" s="18" t="inlineStr">
        <is>
          <t>FC-111</t>
        </is>
      </c>
      <c r="B5" s="18" t="inlineStr">
        <is>
          <t>Holding Andes S.A.</t>
        </is>
      </c>
      <c r="C5" s="18" t="inlineStr">
        <is>
          <t>5202</t>
        </is>
      </c>
      <c r="D5" s="20">
        <f>'05_Transacciones'!F15</f>
        <v/>
      </c>
      <c r="E5" s="18" t="inlineStr">
        <is>
          <t>Dominante</t>
        </is>
      </c>
      <c r="F5" s="18">
        <f>IF(E5="","No",IF(COUNTIF('10_Partes_relacionadas'!$A$5:$A$11,E5)&gt;0,"Sí","No"))</f>
        <v/>
      </c>
      <c r="G5" s="18" t="inlineStr">
        <is>
          <t>Sí</t>
        </is>
      </c>
      <c r="H5" s="20">
        <f>IF(G5="No",D5,0)</f>
        <v/>
      </c>
      <c r="I5" s="18" t="inlineStr"/>
    </row>
    <row r="6">
      <c r="A6" s="19" t="inlineStr">
        <is>
          <t>FC-114</t>
        </is>
      </c>
      <c r="B6" s="19" t="inlineStr">
        <is>
          <t>Gerente General</t>
        </is>
      </c>
      <c r="C6" s="19" t="inlineStr">
        <is>
          <t>5201</t>
        </is>
      </c>
      <c r="D6" s="21">
        <f>'05_Transacciones'!F18</f>
        <v/>
      </c>
      <c r="E6" s="19" t="inlineStr">
        <is>
          <t>Personal clave</t>
        </is>
      </c>
      <c r="F6" s="19">
        <f>IF(E6="","No",IF(COUNTIF('10_Partes_relacionadas'!$A$5:$A$11,E6)&gt;0,"Sí","No"))</f>
        <v/>
      </c>
      <c r="G6" s="19" t="n"/>
      <c r="H6" s="21">
        <f>IF(G6="No",D6,0)</f>
        <v/>
      </c>
      <c r="I6" s="19" t="inlineStr"/>
    </row>
    <row r="7">
      <c r="A7" s="18" t="inlineStr">
        <is>
          <t>FC-115</t>
        </is>
      </c>
      <c r="B7" s="18" t="inlineStr">
        <is>
          <t>Banco Relacionado S.A.</t>
        </is>
      </c>
      <c r="C7" s="18" t="inlineStr">
        <is>
          <t>5501</t>
        </is>
      </c>
      <c r="D7" s="20">
        <f>'05_Transacciones'!F19</f>
        <v/>
      </c>
      <c r="E7" s="18" t="n"/>
      <c r="F7" s="18">
        <f>IF(E7="","No",IF(COUNTIF('10_Partes_relacionadas'!$A$5:$A$11,E7)&gt;0,"Sí","No"))</f>
        <v/>
      </c>
      <c r="G7" s="18" t="inlineStr">
        <is>
          <t>No</t>
        </is>
      </c>
      <c r="H7" s="20">
        <f>IF(G7="No",D7,0)</f>
        <v/>
      </c>
      <c r="I7" s="18" t="inlineStr"/>
    </row>
    <row r="8">
      <c r="A8" s="31" t="inlineStr">
        <is>
          <t>TOTAL</t>
        </is>
      </c>
      <c r="B8" s="31" t="inlineStr"/>
      <c r="C8" s="31" t="inlineStr"/>
      <c r="D8" s="32">
        <f>SUM(D5:D7)</f>
        <v/>
      </c>
      <c r="E8" s="31" t="inlineStr"/>
      <c r="F8" s="31" t="inlineStr"/>
      <c r="G8" s="31" t="inlineStr"/>
      <c r="H8" s="32">
        <f>SUM(H5:H7)</f>
        <v/>
      </c>
      <c r="I8" s="31">
        <f>IF('02_Parametros'!$B$16="","No concluida por falta de evidencia de población completa",IF(D8=0,"Sin transacciones con partes relacionadas en la muestra",IF('02_Parametros'!$B$15="","No concluida: falta el importe revelado en notas",IF(OR(MAX(D8-'02_Parametros'!$B$15,0)&gt;0.005,H8&gt;0.005),"Revelación incompleta: hay transacciones sin revelar","Revelación completa según la evidencia examinada"))))</f>
        <v/>
      </c>
    </row>
    <row r="10">
      <c r="A10" s="22" t="inlineStr">
        <is>
          <t>ⓘ  Cómo se calcula esta hoja</t>
        </is>
      </c>
    </row>
    <row r="11">
      <c r="A11" s="23" t="inlineStr">
        <is>
          <t>Columna</t>
        </is>
      </c>
      <c r="B11" s="23" t="inlineStr">
        <is>
          <t>Fórmula (Excel)</t>
        </is>
      </c>
      <c r="C11" s="23" t="inlineStr">
        <is>
          <t>Cómo se calcula (sencillo)</t>
        </is>
      </c>
      <c r="D11" s="23" t="inlineStr">
        <is>
          <t>Ejemplo con números reales</t>
        </is>
      </c>
      <c r="E11" s="23" t="inlineStr">
        <is>
          <t>De dónde viene</t>
        </is>
      </c>
      <c r="F11" s="23" t="inlineStr">
        <is>
          <t>Norma</t>
        </is>
      </c>
    </row>
    <row r="12">
      <c r="A12" s="24" t="inlineStr">
        <is>
          <t>Importe</t>
        </is>
      </c>
      <c r="B12" s="25" t="inlineStr">
        <is>
          <t>'='05_Transacciones'!F15</t>
        </is>
      </c>
      <c r="C12" s="24" t="inlineStr">
        <is>
          <t>Trae el importe del comprobante desde la hoja 05 (Transacciones de la muestra); aquí solo aparecen las transacciones con partes relacionadas registradas en el ejercicio.</t>
        </is>
      </c>
      <c r="D12" s="24" t="inlineStr">
        <is>
          <t>Fila 1: 9.000,00 → 9.000,00</t>
        </is>
      </c>
      <c r="E12" s="24" t="inlineStr">
        <is>
          <t>hoja «Transacciones de la muestra»</t>
        </is>
      </c>
      <c r="F12" s="24" t="inlineStr">
        <is>
          <t>—</t>
        </is>
      </c>
    </row>
    <row r="13">
      <c r="A13" s="24" t="inlineStr">
        <is>
          <t>Categoría válida para el marco</t>
        </is>
      </c>
      <c r="B13" s="25" t="inlineStr">
        <is>
          <t>'=IF(E5="","No",IF(COUNTIF('10_Partes_relacionadas'!$A$5:$A$11,E5)&gt;0,"Sí","No"))</t>
        </is>
      </c>
      <c r="C13" s="24" t="inlineStr">
        <is>
          <t>Marca «Sí» si la categoría informada está entre las categorías del marco listadas en la hoja 10 (Partes relacionadas); si está vacía o no coincide, «No».</t>
        </is>
      </c>
      <c r="D13" s="24" t="inlineStr">
        <is>
          <t>Fila 1: IF(«Dominante»=""; "No"; IF(COUNTIF([«Categoría» de «Partes relacionadas», 7 filas]; «Dominante»)&gt;0; "Sí"; "No")) → Sí</t>
        </is>
      </c>
      <c r="E13" s="24" t="inlineStr">
        <is>
          <t>«Categoría informada» (esta hoja), hoja «Partes relacionadas»</t>
        </is>
      </c>
      <c r="F13" s="24" t="inlineStr">
        <is>
          <t>—</t>
        </is>
      </c>
    </row>
    <row r="14">
      <c r="A14" s="24" t="inlineStr">
        <is>
          <t>Importe no revelado (marca)</t>
        </is>
      </c>
      <c r="B14" s="25" t="inlineStr">
        <is>
          <t>'=IF(G5="No",D5,0)</t>
        </is>
      </c>
      <c r="C14" s="24" t="inlineStr">
        <is>
          <t>Si la transacción está marcada como no incluida en la nota, toma su importe; si no, cero.</t>
        </is>
      </c>
      <c r="D14" s="24" t="inlineStr">
        <is>
          <t>Fila 1: IF(«Sí»="No"; 9.000,00; 0) → 0,00</t>
        </is>
      </c>
      <c r="E14" s="24" t="inlineStr">
        <is>
          <t>«Incluida en la nota» (esta hoja), «Importe» (esta hoja)</t>
        </is>
      </c>
      <c r="F14" s="24" t="inlineStr">
        <is>
          <t>—</t>
        </is>
      </c>
    </row>
  </sheetData>
  <mergeCells count="3">
    <mergeCell ref="A2:F2"/>
    <mergeCell ref="A1:F1"/>
    <mergeCell ref="A10:F10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32" customWidth="1" min="4" max="4"/>
    <col width="12" customWidth="1" min="5" max="5"/>
    <col width="39" customWidth="1" min="6" max="6"/>
  </cols>
  <sheetData>
    <row r="1">
      <c r="A1" s="3" t="inlineStr">
        <is>
          <t>Partidas inusuales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Comprobante</t>
        </is>
      </c>
      <c r="B4" s="17" t="inlineStr">
        <is>
          <t>Fecha documento</t>
        </is>
      </c>
      <c r="C4" s="17" t="inlineStr">
        <is>
          <t>Cuenta</t>
        </is>
      </c>
      <c r="D4" s="17" t="inlineStr">
        <is>
          <t>Proveedor</t>
        </is>
      </c>
      <c r="E4" s="17" t="inlineStr">
        <is>
          <t>Importe</t>
        </is>
      </c>
      <c r="F4" s="17" t="inlineStr">
        <is>
          <t>Revelar por separado (≥ materialidad)</t>
        </is>
      </c>
    </row>
    <row r="5">
      <c r="A5" s="18" t="inlineStr">
        <is>
          <t>FC-112</t>
        </is>
      </c>
      <c r="B5" s="37" t="n">
        <v>45749</v>
      </c>
      <c r="C5" s="18" t="inlineStr">
        <is>
          <t>5601</t>
        </is>
      </c>
      <c r="D5" s="18" t="inlineStr">
        <is>
          <t>Constructora Rápida</t>
        </is>
      </c>
      <c r="E5" s="20">
        <f>'05_Transacciones'!F16</f>
        <v/>
      </c>
      <c r="F5" s="18">
        <f>IF('02_Parametros'!$B$11="","",IF(E5&gt;='02_Parametros'!$B$11,"Sí","No"))</f>
        <v/>
      </c>
    </row>
    <row r="6">
      <c r="A6" s="19" t="inlineStr">
        <is>
          <t>FC-113</t>
        </is>
      </c>
      <c r="B6" s="39" t="n">
        <v>45981</v>
      </c>
      <c r="C6" s="19" t="inlineStr">
        <is>
          <t>5202</t>
        </is>
      </c>
      <c r="D6" s="19" t="inlineStr">
        <is>
          <t>Acuerdo judicial ex trabajador</t>
        </is>
      </c>
      <c r="E6" s="21">
        <f>'05_Transacciones'!F17</f>
        <v/>
      </c>
      <c r="F6" s="19">
        <f>IF('02_Parametros'!$B$11="","",IF(E6&gt;='02_Parametros'!$B$11,"Sí","No"))</f>
        <v/>
      </c>
    </row>
    <row r="7">
      <c r="A7" s="31" t="inlineStr">
        <is>
          <t>TOTAL</t>
        </is>
      </c>
      <c r="B7" s="41" t="inlineStr"/>
      <c r="C7" s="31" t="inlineStr"/>
      <c r="D7" s="31" t="inlineStr"/>
      <c r="E7" s="32">
        <f>SUM(E5:E6)</f>
        <v/>
      </c>
      <c r="F7" s="31" t="inlineStr"/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Importe</t>
        </is>
      </c>
      <c r="B11" s="25" t="inlineStr">
        <is>
          <t>'='05_Transacciones'!F16</t>
        </is>
      </c>
      <c r="C11" s="24" t="inlineStr">
        <is>
          <t>Trae el importe del comprobante desde la hoja 05 (Transacciones de la muestra); aquí solo aparecen las partidas marcadas como inusuales y registradas en el ejercicio.</t>
        </is>
      </c>
      <c r="D11" s="24" t="inlineStr">
        <is>
          <t>Fila 1: 8.000,00 → 8.000,00</t>
        </is>
      </c>
      <c r="E11" s="24" t="inlineStr">
        <is>
          <t>hoja «Transacciones de la muestra»</t>
        </is>
      </c>
      <c r="F11" s="24" t="inlineStr">
        <is>
          <t>—</t>
        </is>
      </c>
    </row>
    <row r="12">
      <c r="A12" s="24" t="inlineStr">
        <is>
          <t>Revelar por separado (≥ materialidad)</t>
        </is>
      </c>
      <c r="B12" s="25" t="inlineStr">
        <is>
          <t>'=IF('02_Parametros'!$B$11="","",IF(E5&gt;='02_Parametros'!$B$11,"Sí","No"))</t>
        </is>
      </c>
      <c r="C12" s="24" t="inlineStr">
        <is>
          <t>Marca «Sí» si el importe iguala o supera la materialidad de ejecución de la hoja 02 (Parámetros); si no hay materialidad informada, queda en blanco.</t>
        </is>
      </c>
      <c r="D12" s="24" t="inlineStr">
        <is>
          <t>Fila 1: IF(20.000,00=""; ""; IF(8.000,00&gt;=20.000,00; "Sí"; "No")) → No</t>
        </is>
      </c>
      <c r="E12" s="24" t="inlineStr">
        <is>
          <t>«Importe» (esta hoja), hoja «Parámetros»</t>
        </is>
      </c>
      <c r="F12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2" customWidth="1" min="3" max="3"/>
    <col width="20" customWidth="1" min="4" max="4"/>
    <col width="18" customWidth="1" min="5" max="5"/>
    <col width="35" customWidth="1" min="6" max="6"/>
    <col width="27" customWidth="1" min="7" max="7"/>
    <col width="29" customWidth="1" min="8" max="8"/>
    <col width="20" customWidth="1" min="9" max="9"/>
  </cols>
  <sheetData>
    <row r="1">
      <c r="A1" s="3" t="inlineStr">
        <is>
          <t>Referencia tributaria (Ecuador)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Comprobante</t>
        </is>
      </c>
      <c r="B4" s="17" t="inlineStr">
        <is>
          <t>Proveedor</t>
        </is>
      </c>
      <c r="C4" s="17" t="inlineStr">
        <is>
          <t>Importe</t>
        </is>
      </c>
      <c r="D4" s="17" t="inlineStr">
        <is>
          <t>Comprobante válido</t>
        </is>
      </c>
      <c r="E4" s="17" t="inlineStr">
        <is>
          <t>Pagado por banco</t>
        </is>
      </c>
      <c r="F4" s="17" t="inlineStr">
        <is>
          <t>Supera el umbral de bancarización</t>
        </is>
      </c>
      <c r="G4" s="17" t="inlineStr">
        <is>
          <t>No deducible: comprobante</t>
        </is>
      </c>
      <c r="H4" s="17" t="inlineStr">
        <is>
          <t>No deducible: bancarización</t>
        </is>
      </c>
      <c r="I4" s="17" t="inlineStr">
        <is>
          <t>No deducible total</t>
        </is>
      </c>
    </row>
    <row r="5">
      <c r="A5" s="18" t="inlineStr">
        <is>
          <t>FC-101</t>
        </is>
      </c>
      <c r="B5" s="18" t="inlineStr">
        <is>
          <t>Estudio Jurídico Andrade</t>
        </is>
      </c>
      <c r="C5" s="20">
        <f>'05_Transacciones'!F5</f>
        <v/>
      </c>
      <c r="D5" s="18" t="inlineStr">
        <is>
          <t>Sí</t>
        </is>
      </c>
      <c r="E5" s="18" t="inlineStr">
        <is>
          <t>Sí</t>
        </is>
      </c>
      <c r="F5" s="18">
        <f>IF(C5&gt;'02_Parametros'!$B$13,"Sí","No")</f>
        <v/>
      </c>
      <c r="G5" s="20">
        <f>IF(D5="No",C5,0)</f>
        <v/>
      </c>
      <c r="H5" s="20">
        <f>IF(AND(F5="Sí",E5="No",D5&lt;&gt;"No"),C5,0)</f>
        <v/>
      </c>
      <c r="I5" s="20">
        <f>G5+H5</f>
        <v/>
      </c>
    </row>
    <row r="6">
      <c r="A6" s="19" t="inlineStr">
        <is>
          <t>FC-102</t>
        </is>
      </c>
      <c r="B6" s="19" t="inlineStr">
        <is>
          <t>Medios Creativos S.A.</t>
        </is>
      </c>
      <c r="C6" s="21">
        <f>'05_Transacciones'!F6</f>
        <v/>
      </c>
      <c r="D6" s="19" t="inlineStr">
        <is>
          <t>Sí</t>
        </is>
      </c>
      <c r="E6" s="19" t="inlineStr">
        <is>
          <t>Sí</t>
        </is>
      </c>
      <c r="F6" s="19">
        <f>IF(C6&gt;'02_Parametros'!$B$13,"Sí","No")</f>
        <v/>
      </c>
      <c r="G6" s="21">
        <f>IF(D6="No",C6,0)</f>
        <v/>
      </c>
      <c r="H6" s="21">
        <f>IF(AND(F6="Sí",E6="No",D6&lt;&gt;"No"),C6,0)</f>
        <v/>
      </c>
      <c r="I6" s="21">
        <f>G6+H6</f>
        <v/>
      </c>
    </row>
    <row r="7">
      <c r="A7" s="18" t="inlineStr">
        <is>
          <t>FC-103</t>
        </is>
      </c>
      <c r="B7" s="18" t="inlineStr">
        <is>
          <t>Aseguradora Sur</t>
        </is>
      </c>
      <c r="C7" s="20">
        <f>'05_Transacciones'!F7</f>
        <v/>
      </c>
      <c r="D7" s="18" t="inlineStr">
        <is>
          <t>Sí</t>
        </is>
      </c>
      <c r="E7" s="18" t="inlineStr">
        <is>
          <t>Sí</t>
        </is>
      </c>
      <c r="F7" s="18">
        <f>IF(C7&gt;'02_Parametros'!$B$13,"Sí","No")</f>
        <v/>
      </c>
      <c r="G7" s="20">
        <f>IF(D7="No",C7,0)</f>
        <v/>
      </c>
      <c r="H7" s="20">
        <f>IF(AND(F7="Sí",E7="No",D7&lt;&gt;"No"),C7,0)</f>
        <v/>
      </c>
      <c r="I7" s="20">
        <f>G7+H7</f>
        <v/>
      </c>
    </row>
    <row r="8">
      <c r="A8" s="19" t="inlineStr">
        <is>
          <t>FC-105</t>
        </is>
      </c>
      <c r="B8" s="19" t="inlineStr">
        <is>
          <t>Comisionistas Unidos</t>
        </is>
      </c>
      <c r="C8" s="21">
        <f>'05_Transacciones'!F9</f>
        <v/>
      </c>
      <c r="D8" s="19" t="inlineStr">
        <is>
          <t>Sí</t>
        </is>
      </c>
      <c r="E8" s="19" t="inlineStr">
        <is>
          <t>Sí</t>
        </is>
      </c>
      <c r="F8" s="19">
        <f>IF(C8&gt;'02_Parametros'!$B$13,"Sí","No")</f>
        <v/>
      </c>
      <c r="G8" s="21">
        <f>IF(D8="No",C8,0)</f>
        <v/>
      </c>
      <c r="H8" s="21">
        <f>IF(AND(F8="Sí",E8="No",D8&lt;&gt;"No"),C8,0)</f>
        <v/>
      </c>
      <c r="I8" s="21">
        <f>G8+H8</f>
        <v/>
      </c>
    </row>
    <row r="9">
      <c r="A9" s="18" t="inlineStr">
        <is>
          <t>FC-107</t>
        </is>
      </c>
      <c r="B9" s="18" t="inlineStr">
        <is>
          <t>Radio Andina</t>
        </is>
      </c>
      <c r="C9" s="20">
        <f>'05_Transacciones'!F11</f>
        <v/>
      </c>
      <c r="D9" s="18" t="inlineStr">
        <is>
          <t>Sí</t>
        </is>
      </c>
      <c r="E9" s="18" t="inlineStr">
        <is>
          <t>Sí</t>
        </is>
      </c>
      <c r="F9" s="18">
        <f>IF(C9&gt;'02_Parametros'!$B$13,"Sí","No")</f>
        <v/>
      </c>
      <c r="G9" s="20">
        <f>IF(D9="No",C9,0)</f>
        <v/>
      </c>
      <c r="H9" s="20">
        <f>IF(AND(F9="Sí",E9="No",D9&lt;&gt;"No"),C9,0)</f>
        <v/>
      </c>
      <c r="I9" s="20">
        <f>G9+H9</f>
        <v/>
      </c>
    </row>
    <row r="10">
      <c r="A10" s="19" t="inlineStr">
        <is>
          <t>FC-108</t>
        </is>
      </c>
      <c r="B10" s="19" t="inlineStr">
        <is>
          <t>Juan Pérez</t>
        </is>
      </c>
      <c r="C10" s="21">
        <f>'05_Transacciones'!F12</f>
        <v/>
      </c>
      <c r="D10" s="19" t="inlineStr">
        <is>
          <t>No</t>
        </is>
      </c>
      <c r="E10" s="19" t="inlineStr">
        <is>
          <t>No</t>
        </is>
      </c>
      <c r="F10" s="19">
        <f>IF(C10&gt;'02_Parametros'!$B$13,"Sí","No")</f>
        <v/>
      </c>
      <c r="G10" s="21">
        <f>IF(D10="No",C10,0)</f>
        <v/>
      </c>
      <c r="H10" s="21">
        <f>IF(AND(F10="Sí",E10="No",D10&lt;&gt;"No"),C10,0)</f>
        <v/>
      </c>
      <c r="I10" s="21">
        <f>G10+H10</f>
        <v/>
      </c>
    </row>
    <row r="11">
      <c r="A11" s="18" t="inlineStr">
        <is>
          <t>FC-109</t>
        </is>
      </c>
      <c r="B11" s="18" t="inlineStr">
        <is>
          <t>Publicistas XYZ</t>
        </is>
      </c>
      <c r="C11" s="20">
        <f>'05_Transacciones'!F13</f>
        <v/>
      </c>
      <c r="D11" s="18" t="inlineStr">
        <is>
          <t>Sí</t>
        </is>
      </c>
      <c r="E11" s="18" t="inlineStr">
        <is>
          <t>No</t>
        </is>
      </c>
      <c r="F11" s="18">
        <f>IF(C11&gt;'02_Parametros'!$B$13,"Sí","No")</f>
        <v/>
      </c>
      <c r="G11" s="20">
        <f>IF(D11="No",C11,0)</f>
        <v/>
      </c>
      <c r="H11" s="20">
        <f>IF(AND(F11="Sí",E11="No",D11&lt;&gt;"No"),C11,0)</f>
        <v/>
      </c>
      <c r="I11" s="20">
        <f>G11+H11</f>
        <v/>
      </c>
    </row>
    <row r="12">
      <c r="A12" s="19" t="inlineStr">
        <is>
          <t>FC-110</t>
        </is>
      </c>
      <c r="B12" s="19" t="inlineStr">
        <is>
          <t>Taller Mecánico Ruta</t>
        </is>
      </c>
      <c r="C12" s="21">
        <f>'05_Transacciones'!F14</f>
        <v/>
      </c>
      <c r="D12" s="19" t="inlineStr">
        <is>
          <t>Sí</t>
        </is>
      </c>
      <c r="E12" s="19" t="inlineStr">
        <is>
          <t>Sí</t>
        </is>
      </c>
      <c r="F12" s="19">
        <f>IF(C12&gt;'02_Parametros'!$B$13,"Sí","No")</f>
        <v/>
      </c>
      <c r="G12" s="21">
        <f>IF(D12="No",C12,0)</f>
        <v/>
      </c>
      <c r="H12" s="21">
        <f>IF(AND(F12="Sí",E12="No",D12&lt;&gt;"No"),C12,0)</f>
        <v/>
      </c>
      <c r="I12" s="21">
        <f>G12+H12</f>
        <v/>
      </c>
    </row>
    <row r="13">
      <c r="A13" s="18" t="inlineStr">
        <is>
          <t>FC-111</t>
        </is>
      </c>
      <c r="B13" s="18" t="inlineStr">
        <is>
          <t>Holding Andes S.A.</t>
        </is>
      </c>
      <c r="C13" s="20">
        <f>'05_Transacciones'!F15</f>
        <v/>
      </c>
      <c r="D13" s="18" t="inlineStr">
        <is>
          <t>Sí</t>
        </is>
      </c>
      <c r="E13" s="18" t="inlineStr">
        <is>
          <t>Sí</t>
        </is>
      </c>
      <c r="F13" s="18">
        <f>IF(C13&gt;'02_Parametros'!$B$13,"Sí","No")</f>
        <v/>
      </c>
      <c r="G13" s="20">
        <f>IF(D13="No",C13,0)</f>
        <v/>
      </c>
      <c r="H13" s="20">
        <f>IF(AND(F13="Sí",E13="No",D13&lt;&gt;"No"),C13,0)</f>
        <v/>
      </c>
      <c r="I13" s="20">
        <f>G13+H13</f>
        <v/>
      </c>
    </row>
    <row r="14">
      <c r="A14" s="19" t="inlineStr">
        <is>
          <t>FC-112</t>
        </is>
      </c>
      <c r="B14" s="19" t="inlineStr">
        <is>
          <t>Constructora Rápida</t>
        </is>
      </c>
      <c r="C14" s="21">
        <f>'05_Transacciones'!F16</f>
        <v/>
      </c>
      <c r="D14" s="19" t="inlineStr">
        <is>
          <t>Sí</t>
        </is>
      </c>
      <c r="E14" s="19" t="inlineStr">
        <is>
          <t>Sí</t>
        </is>
      </c>
      <c r="F14" s="19">
        <f>IF(C14&gt;'02_Parametros'!$B$13,"Sí","No")</f>
        <v/>
      </c>
      <c r="G14" s="21">
        <f>IF(D14="No",C14,0)</f>
        <v/>
      </c>
      <c r="H14" s="21">
        <f>IF(AND(F14="Sí",E14="No",D14&lt;&gt;"No"),C14,0)</f>
        <v/>
      </c>
      <c r="I14" s="21">
        <f>G14+H14</f>
        <v/>
      </c>
    </row>
    <row r="15">
      <c r="A15" s="18" t="inlineStr">
        <is>
          <t>FC-113</t>
        </is>
      </c>
      <c r="B15" s="18" t="inlineStr">
        <is>
          <t>Acuerdo judicial ex trabajador</t>
        </is>
      </c>
      <c r="C15" s="20">
        <f>'05_Transacciones'!F17</f>
        <v/>
      </c>
      <c r="D15" s="18" t="inlineStr">
        <is>
          <t>Sí</t>
        </is>
      </c>
      <c r="E15" s="18" t="inlineStr">
        <is>
          <t>Sí</t>
        </is>
      </c>
      <c r="F15" s="18">
        <f>IF(C15&gt;'02_Parametros'!$B$13,"Sí","No")</f>
        <v/>
      </c>
      <c r="G15" s="20">
        <f>IF(D15="No",C15,0)</f>
        <v/>
      </c>
      <c r="H15" s="20">
        <f>IF(AND(F15="Sí",E15="No",D15&lt;&gt;"No"),C15,0)</f>
        <v/>
      </c>
      <c r="I15" s="20">
        <f>G15+H15</f>
        <v/>
      </c>
    </row>
    <row r="16">
      <c r="A16" s="19" t="inlineStr">
        <is>
          <t>FC-114</t>
        </is>
      </c>
      <c r="B16" s="19" t="inlineStr">
        <is>
          <t>Gerente General</t>
        </is>
      </c>
      <c r="C16" s="21">
        <f>'05_Transacciones'!F18</f>
        <v/>
      </c>
      <c r="D16" s="19" t="inlineStr">
        <is>
          <t>Sí</t>
        </is>
      </c>
      <c r="E16" s="19" t="inlineStr">
        <is>
          <t>Sí</t>
        </is>
      </c>
      <c r="F16" s="19">
        <f>IF(C16&gt;'02_Parametros'!$B$13,"Sí","No")</f>
        <v/>
      </c>
      <c r="G16" s="21">
        <f>IF(D16="No",C16,0)</f>
        <v/>
      </c>
      <c r="H16" s="21">
        <f>IF(AND(F16="Sí",E16="No",D16&lt;&gt;"No"),C16,0)</f>
        <v/>
      </c>
      <c r="I16" s="21">
        <f>G16+H16</f>
        <v/>
      </c>
    </row>
    <row r="17">
      <c r="A17" s="18" t="inlineStr">
        <is>
          <t>FC-115</t>
        </is>
      </c>
      <c r="B17" s="18" t="inlineStr">
        <is>
          <t>Banco Relacionado S.A.</t>
        </is>
      </c>
      <c r="C17" s="20">
        <f>'05_Transacciones'!F19</f>
        <v/>
      </c>
      <c r="D17" s="18" t="inlineStr">
        <is>
          <t>Sí</t>
        </is>
      </c>
      <c r="E17" s="18" t="inlineStr">
        <is>
          <t>Sí</t>
        </is>
      </c>
      <c r="F17" s="18">
        <f>IF(C17&gt;'02_Parametros'!$B$13,"Sí","No")</f>
        <v/>
      </c>
      <c r="G17" s="20">
        <f>IF(D17="No",C17,0)</f>
        <v/>
      </c>
      <c r="H17" s="20">
        <f>IF(AND(F17="Sí",E17="No",D17&lt;&gt;"No"),C17,0)</f>
        <v/>
      </c>
      <c r="I17" s="20">
        <f>G17+H17</f>
        <v/>
      </c>
    </row>
    <row r="18">
      <c r="A18" s="31" t="inlineStr">
        <is>
          <t>TOTAL</t>
        </is>
      </c>
      <c r="B18" s="31" t="inlineStr"/>
      <c r="C18" s="32">
        <f>SUM(C5:C17)</f>
        <v/>
      </c>
      <c r="D18" s="31" t="inlineStr"/>
      <c r="E18" s="31" t="inlineStr"/>
      <c r="F18" s="31" t="inlineStr"/>
      <c r="G18" s="32">
        <f>SUM(G5:G17)</f>
        <v/>
      </c>
      <c r="H18" s="32">
        <f>SUM(H5:H17)</f>
        <v/>
      </c>
      <c r="I18" s="32">
        <f>SUM(I5:I17)</f>
        <v/>
      </c>
    </row>
    <row r="20">
      <c r="A20" s="22" t="inlineStr">
        <is>
          <t>ⓘ  Cómo se calcula esta hoja</t>
        </is>
      </c>
    </row>
    <row r="21">
      <c r="A21" s="23" t="inlineStr">
        <is>
          <t>Columna</t>
        </is>
      </c>
      <c r="B21" s="23" t="inlineStr">
        <is>
          <t>Fórmula (Excel)</t>
        </is>
      </c>
      <c r="C21" s="23" t="inlineStr">
        <is>
          <t>Cómo se calcula (sencillo)</t>
        </is>
      </c>
      <c r="D21" s="23" t="inlineStr">
        <is>
          <t>Ejemplo con números reales</t>
        </is>
      </c>
      <c r="E21" s="23" t="inlineStr">
        <is>
          <t>De dónde viene</t>
        </is>
      </c>
      <c r="F21" s="23" t="inlineStr">
        <is>
          <t>Norma</t>
        </is>
      </c>
    </row>
    <row r="22">
      <c r="A22" s="24" t="inlineStr">
        <is>
          <t>Importe</t>
        </is>
      </c>
      <c r="B22" s="25" t="inlineStr">
        <is>
          <t>'='05_Transacciones'!F5</t>
        </is>
      </c>
      <c r="C22" s="24" t="inlineStr">
        <is>
          <t>Trae el importe del comprobante desde la hoja 05 (Transacciones de la muestra); aquí aparecen todos los registrados en el ejercicio.</t>
        </is>
      </c>
      <c r="D22" s="24" t="inlineStr">
        <is>
          <t>Fila 1: 12.000,00 → 12.000,00</t>
        </is>
      </c>
      <c r="E22" s="24" t="inlineStr">
        <is>
          <t>hoja «Transacciones de la muestra»</t>
        </is>
      </c>
      <c r="F22" s="24" t="inlineStr">
        <is>
          <t>—</t>
        </is>
      </c>
    </row>
    <row r="23">
      <c r="A23" s="24" t="inlineStr">
        <is>
          <t>Supera el umbral de bancarización</t>
        </is>
      </c>
      <c r="B23" s="25" t="inlineStr">
        <is>
          <t>'=IF(C5&gt;'02_Parametros'!$B$13,"Sí","No")</t>
        </is>
      </c>
      <c r="C23" s="24" t="inlineStr">
        <is>
          <t>Marca «Sí» si el importe es mayor que el umbral de bancarización de la hoja 02 (Parámetros).</t>
        </is>
      </c>
      <c r="D23" s="24" t="inlineStr">
        <is>
          <t>Fila 1: IF(12.000,00&gt;500,00; "Sí"; "No") → Sí</t>
        </is>
      </c>
      <c r="E23" s="24" t="inlineStr">
        <is>
          <t>«Importe» (esta hoja), hoja «Parámetros»</t>
        </is>
      </c>
      <c r="F23" s="24" t="inlineStr">
        <is>
          <t>—</t>
        </is>
      </c>
    </row>
    <row r="24">
      <c r="A24" s="24" t="inlineStr">
        <is>
          <t>No deducible: comprobante</t>
        </is>
      </c>
      <c r="B24" s="25" t="inlineStr">
        <is>
          <t>'=IF(D5="No",C5,0)</t>
        </is>
      </c>
      <c r="C24" s="24" t="inlineStr">
        <is>
          <t>Si el comprobante no es válido, todo su importe queda como no deducible; si no, cero.</t>
        </is>
      </c>
      <c r="D24" s="24" t="inlineStr">
        <is>
          <t>Fila 1: IF(«Sí»="No"; 12.000,00; 0) → 0,00</t>
        </is>
      </c>
      <c r="E24" s="24" t="inlineStr">
        <is>
          <t>«Comprobante válido» (esta hoja), «Importe» (esta hoja)</t>
        </is>
      </c>
      <c r="F24" s="24" t="inlineStr">
        <is>
          <t>—</t>
        </is>
      </c>
    </row>
    <row r="25">
      <c r="A25" s="24" t="inlineStr">
        <is>
          <t>No deducible: bancarización</t>
        </is>
      </c>
      <c r="B25" s="25" t="inlineStr">
        <is>
          <t>'=IF(AND(F5="Sí",E5="No",D5&lt;&gt;"No"),C5,0)</t>
        </is>
      </c>
      <c r="C25" s="24" t="inlineStr">
        <is>
          <t>Si el pago supera el umbral de bancarización, no se pagó por banco y el comprobante no está marcado como inválido, su importe queda como no deducible; si no, cero (así no se cuenta dos veces).</t>
        </is>
      </c>
      <c r="D25" s="24" t="inlineStr">
        <is>
          <t>Fila 1: IF(AND(«Sí»="Sí"; «Sí»="No"; «Sí»&lt;&gt;"No"); 12.000,00; 0) → 0,00</t>
        </is>
      </c>
      <c r="E25" s="24" t="inlineStr">
        <is>
          <t>«Supera el umbral de bancarización» (esta hoja), «Pagado por banco» (esta hoja), «Comprobante válido» (esta hoja), «Importe» (esta hoja)</t>
        </is>
      </c>
      <c r="F25" s="24" t="inlineStr">
        <is>
          <t>—</t>
        </is>
      </c>
    </row>
    <row r="26">
      <c r="A26" s="24" t="inlineStr">
        <is>
          <t>No deducible total</t>
        </is>
      </c>
      <c r="B26" s="25" t="inlineStr">
        <is>
          <t>'=G5+H5</t>
        </is>
      </c>
      <c r="C26" s="24" t="inlineStr">
        <is>
          <t>Suma lo no deducible por comprobante y lo no deducible por bancarización del mismo pago.</t>
        </is>
      </c>
      <c r="D26" s="24" t="inlineStr">
        <is>
          <t>Fila 1: 0,00+0,00 → 0,00</t>
        </is>
      </c>
      <c r="E26" s="24" t="inlineStr">
        <is>
          <t>«No deducible: comprobante» (esta hoja), «No deducible: bancarización» (esta hoja)</t>
        </is>
      </c>
      <c r="F26" s="24" t="inlineStr">
        <is>
          <t>—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</cols>
  <sheetData>
    <row r="1">
      <c r="A1" s="3" t="inlineStr">
        <is>
          <t>Ajustes y conciliación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  <c r="C4" s="17" t="inlineStr">
        <is>
          <t>Referencia</t>
        </is>
      </c>
    </row>
    <row r="5">
      <c r="A5" s="18" t="inlineStr">
        <is>
          <t>Gastos del ejercicio no registrados (corte)</t>
        </is>
      </c>
      <c r="B5" s="20">
        <f>'07_Corte'!J17</f>
        <v/>
      </c>
      <c r="C5" s="18" t="inlineStr">
        <is>
          <t>07_Corte</t>
        </is>
      </c>
    </row>
    <row r="6">
      <c r="A6" s="19" t="inlineStr">
        <is>
          <t>Gastos devengados no registrados</t>
        </is>
      </c>
      <c r="B6" s="21">
        <f>'08_Devengo'!N8</f>
        <v/>
      </c>
      <c r="C6" s="19" t="inlineStr">
        <is>
          <t>08_Devengo</t>
        </is>
      </c>
    </row>
    <row r="7">
      <c r="A7" s="18" t="inlineStr">
        <is>
          <t>Gastos de otro período registrados (corte)</t>
        </is>
      </c>
      <c r="B7" s="20">
        <f>'07_Corte'!I17</f>
        <v/>
      </c>
      <c r="C7" s="18" t="inlineStr">
        <is>
          <t>07_Corte</t>
        </is>
      </c>
    </row>
    <row r="8">
      <c r="A8" s="19" t="inlineStr">
        <is>
          <t>Gastos anticipados llevados a resultados</t>
        </is>
      </c>
      <c r="B8" s="21">
        <f>'08_Devengo'!M8</f>
        <v/>
      </c>
      <c r="C8" s="19" t="inlineStr">
        <is>
          <t>08_Devengo</t>
        </is>
      </c>
    </row>
    <row r="9">
      <c r="A9" s="18" t="inlineStr">
        <is>
          <t>Ajuste propuesto al gasto (neto)</t>
        </is>
      </c>
      <c r="B9" s="20">
        <f>B5+B6-B7-B8</f>
        <v/>
      </c>
      <c r="C9" s="18" t="inlineStr">
        <is>
          <t>Positivo: falta gasto; negativo: exceso de gasto</t>
        </is>
      </c>
    </row>
    <row r="10">
      <c r="A10" s="19" t="inlineStr">
        <is>
          <t>Gastos no soportados</t>
        </is>
      </c>
      <c r="B10" s="21">
        <f>'06_Vouching'!G18</f>
        <v/>
      </c>
      <c r="C10" s="19" t="inlineStr">
        <is>
          <t>06_Vouching — posible incorrección (NIA 450)</t>
        </is>
      </c>
    </row>
    <row r="11">
      <c r="A11" s="18" t="inlineStr">
        <is>
          <t>Reclasificaciones entre cuentas</t>
        </is>
      </c>
      <c r="B11" s="20">
        <f>'09_Reclasificaciones'!E6</f>
        <v/>
      </c>
      <c r="C11" s="18" t="inlineStr">
        <is>
          <t>09_Reclasificaciones</t>
        </is>
      </c>
    </row>
    <row r="12">
      <c r="A12" s="19" t="inlineStr">
        <is>
          <t>Transacciones con partes relacionadas</t>
        </is>
      </c>
      <c r="B12" s="21">
        <f>'10_Partes_relacionadas'!C13</f>
        <v/>
      </c>
      <c r="C12" s="19" t="inlineStr">
        <is>
          <t>10_Partes_relacionadas</t>
        </is>
      </c>
    </row>
    <row r="13">
      <c r="A13" s="18" t="inlineStr">
        <is>
          <t>Partes relacionadas reveladas en notas</t>
        </is>
      </c>
      <c r="B13" s="20">
        <f>'02_Parametros'!$B$15</f>
        <v/>
      </c>
      <c r="C13" s="18" t="inlineStr">
        <is>
          <t>Parámetros</t>
        </is>
      </c>
    </row>
    <row r="14">
      <c r="A14" s="19" t="inlineStr">
        <is>
          <t>Partes relacionadas no reveladas</t>
        </is>
      </c>
      <c r="B14" s="21">
        <f>MAX(B12-B13,0)</f>
        <v/>
      </c>
      <c r="C14" s="19" t="inlineStr">
        <is>
          <t>NIC 24 párr. 18 / PYMES 33.9</t>
        </is>
      </c>
    </row>
    <row r="15">
      <c r="A15" s="18" t="inlineStr">
        <is>
          <t>Gastos según la sumaria</t>
        </is>
      </c>
      <c r="B15" s="20">
        <f>SUM('03_Analisis_global'!$E$5:$E$14)</f>
        <v/>
      </c>
      <c r="C15" s="18" t="inlineStr">
        <is>
          <t>03_Analisis_global</t>
        </is>
      </c>
    </row>
    <row r="16">
      <c r="A16" s="19" t="inlineStr">
        <is>
          <t>Gastos según el estado de resultados / mayor</t>
        </is>
      </c>
      <c r="B16" s="21">
        <f>IF('02_Parametros'!$B$14="","",'02_Parametros'!$B$14)</f>
        <v/>
      </c>
      <c r="C16" s="19" t="inlineStr">
        <is>
          <t>Parámetros</t>
        </is>
      </c>
    </row>
    <row r="17">
      <c r="A17" s="18" t="inlineStr">
        <is>
          <t>Diferencia sumaria vs estado de resultados</t>
        </is>
      </c>
      <c r="B17" s="20">
        <f>IF(B16="","",B15-B16)</f>
        <v/>
      </c>
      <c r="C17" s="18" t="inlineStr">
        <is>
          <t>Conciliación (NIA 500)</t>
        </is>
      </c>
    </row>
    <row r="18">
      <c r="A18" s="19" t="inlineStr">
        <is>
          <t>No deducible (referencia tributaria)</t>
        </is>
      </c>
      <c r="B18" s="21">
        <f>'13_Tributario'!I18</f>
        <v/>
      </c>
      <c r="C18" s="19" t="inlineStr">
        <is>
          <t>13_Tributario</t>
        </is>
      </c>
    </row>
    <row r="19">
      <c r="A19" s="18" t="inlineStr">
        <is>
          <t>Partidas inusuales</t>
        </is>
      </c>
      <c r="B19" s="20">
        <f>'12_Inusuales'!E7</f>
        <v/>
      </c>
      <c r="C19" s="18" t="inlineStr">
        <is>
          <t>12_Inusuales</t>
        </is>
      </c>
    </row>
    <row r="21">
      <c r="A21" s="22" t="inlineStr">
        <is>
          <t>ⓘ  Cómo se calcula esta hoja</t>
        </is>
      </c>
    </row>
    <row r="22">
      <c r="A22" s="23" t="inlineStr">
        <is>
          <t>Columna</t>
        </is>
      </c>
      <c r="B22" s="23" t="inlineStr">
        <is>
          <t>Fórmula (Excel)</t>
        </is>
      </c>
      <c r="C22" s="23" t="inlineStr">
        <is>
          <t>Cómo se calcula (sencillo)</t>
        </is>
      </c>
      <c r="D22" s="23" t="inlineStr">
        <is>
          <t>Ejemplo con números reales</t>
        </is>
      </c>
      <c r="E22" s="23" t="inlineStr">
        <is>
          <t>De dónde viene</t>
        </is>
      </c>
      <c r="F22" s="23" t="inlineStr">
        <is>
          <t>Norma</t>
        </is>
      </c>
    </row>
    <row r="23">
      <c r="A23" s="24" t="inlineStr">
        <is>
          <t>Importe</t>
        </is>
      </c>
      <c r="B23" s="25" t="inlineStr">
        <is>
          <t>'='07_Corte'!J17</t>
        </is>
      </c>
      <c r="C23" s="24" t="inlineStr">
        <is>
          <t>Trae cada importe del total de su hoja de origen (06, 07, 08, 09, 10, 12 y 13) o de la hoja 02 (Parámetros); el ajuste neto = no registrados + devengados no registrados − otro período − anticipados; las partes relacionadas no reveladas = identificadas − reveladas (nunca negativo); la diferencia = gastos de la sumaria (hoja 03) − estado de resultados.</t>
        </is>
      </c>
      <c r="D23" s="24" t="inlineStr">
        <is>
          <t>Fila 1: 4.500,00 → 4.500,00</t>
        </is>
      </c>
      <c r="E23" s="24" t="inlineStr">
        <is>
          <t>hoja «Corte de gastos»</t>
        </is>
      </c>
      <c r="F23" s="24" t="inlineStr">
        <is>
          <t>—</t>
        </is>
      </c>
    </row>
  </sheetData>
  <mergeCells count="3">
    <mergeCell ref="A2:F2"/>
    <mergeCell ref="A21:F21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47" customWidth="1" min="2" max="2"/>
    <col width="12" customWidth="1" min="3" max="3"/>
    <col width="12" customWidth="1" min="4" max="4"/>
  </cols>
  <sheetData>
    <row r="1">
      <c r="A1" s="3" t="inlineStr">
        <is>
          <t>Asientos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Asiento</t>
        </is>
      </c>
      <c r="B4" s="17" t="inlineStr">
        <is>
          <t>Cuenta</t>
        </is>
      </c>
      <c r="C4" s="17" t="inlineStr">
        <is>
          <t>Debe</t>
        </is>
      </c>
      <c r="D4" s="17" t="inlineStr">
        <is>
          <t>Haber</t>
        </is>
      </c>
    </row>
    <row r="5">
      <c r="A5" s="18" t="inlineStr">
        <is>
          <t>1 · Gastos del período no registrados</t>
        </is>
      </c>
      <c r="B5" s="18" t="inlineStr">
        <is>
          <t>Gasto (cuentas de la muestra)</t>
        </is>
      </c>
      <c r="C5" s="20">
        <f>'14_Ajustes'!B5+'14_Ajustes'!B6</f>
        <v/>
      </c>
      <c r="D5" s="20" t="n"/>
    </row>
    <row r="6">
      <c r="A6" s="19" t="inlineStr"/>
      <c r="B6" s="19" t="inlineStr">
        <is>
          <t>Gastos acumulados por pagar (pasivo)</t>
        </is>
      </c>
      <c r="C6" s="21" t="n"/>
      <c r="D6" s="21">
        <f>'14_Ajustes'!B5+'14_Ajustes'!B6</f>
        <v/>
      </c>
    </row>
    <row r="7">
      <c r="A7" s="18" t="inlineStr">
        <is>
          <t>2 · Gastos pagados por anticipado</t>
        </is>
      </c>
      <c r="B7" s="18" t="inlineStr">
        <is>
          <t>Gastos pagados por anticipado (activo)</t>
        </is>
      </c>
      <c r="C7" s="20">
        <f>'14_Ajustes'!B8</f>
        <v/>
      </c>
      <c r="D7" s="20" t="n"/>
    </row>
    <row r="8">
      <c r="A8" s="19" t="inlineStr"/>
      <c r="B8" s="19" t="inlineStr">
        <is>
          <t>Gasto (cuentas de la muestra)</t>
        </is>
      </c>
      <c r="C8" s="21" t="n"/>
      <c r="D8" s="21">
        <f>'14_Ajustes'!B8</f>
        <v/>
      </c>
    </row>
    <row r="9">
      <c r="A9" s="18" t="inlineStr">
        <is>
          <t>3 · Gastos de otro período</t>
        </is>
      </c>
      <c r="B9" s="18" t="inlineStr">
        <is>
          <t>Cuentas por pagar / anticipos (según el caso)</t>
        </is>
      </c>
      <c r="C9" s="20">
        <f>'14_Ajustes'!B7</f>
        <v/>
      </c>
      <c r="D9" s="20" t="n"/>
    </row>
    <row r="10">
      <c r="A10" s="19" t="inlineStr"/>
      <c r="B10" s="19" t="inlineStr">
        <is>
          <t>Gasto (cuentas de la muestra)</t>
        </is>
      </c>
      <c r="C10" s="21" t="n"/>
      <c r="D10" s="21">
        <f>'14_Ajustes'!B7</f>
        <v/>
      </c>
    </row>
    <row r="11">
      <c r="A11" s="18" t="inlineStr">
        <is>
          <t>4 · Reclasificación FC-110</t>
        </is>
      </c>
      <c r="B11" s="18" t="inlineStr">
        <is>
          <t>5302 (Gastos de ventas)</t>
        </is>
      </c>
      <c r="C11" s="20">
        <f>'09_Reclasificaciones'!E5</f>
        <v/>
      </c>
      <c r="D11" s="20" t="n"/>
    </row>
    <row r="12">
      <c r="A12" s="19" t="inlineStr"/>
      <c r="B12" s="19" t="inlineStr">
        <is>
          <t>5201 (Gastos de administración)</t>
        </is>
      </c>
      <c r="C12" s="21" t="n"/>
      <c r="D12" s="21">
        <f>'09_Reclasificaciones'!E5</f>
        <v/>
      </c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Debe</t>
        </is>
      </c>
      <c r="B16" s="25" t="inlineStr">
        <is>
          <t>'='14_Ajustes'!B5+'14_Ajustes'!B6</t>
        </is>
      </c>
      <c r="C16" s="24" t="inlineStr">
        <is>
          <t>Trae de la hoja 14 (Ajustes y conciliación) el importe de cada ajuste —o de la hoja 09 (Reclasificaciones) en las reclasificaciones— para la cuenta que se debita.</t>
        </is>
      </c>
      <c r="D16" s="24" t="inlineStr">
        <is>
          <t>Fila 1: 4.500,00+3.000,00 → 7.500,00</t>
        </is>
      </c>
      <c r="E16" s="24" t="inlineStr">
        <is>
          <t>hoja «Ajustes y conciliación»</t>
        </is>
      </c>
      <c r="F16" s="24" t="inlineStr">
        <is>
          <t>—</t>
        </is>
      </c>
    </row>
    <row r="17">
      <c r="A17" s="24" t="inlineStr">
        <is>
          <t>Haber</t>
        </is>
      </c>
      <c r="B17" s="25" t="inlineStr">
        <is>
          <t>'='14_Ajustes'!B5+'14_Ajustes'!B6</t>
        </is>
      </c>
      <c r="C17" s="24" t="inlineStr">
        <is>
          <t>Trae el mismo importe del ajuste de la hoja 14 (Ajustes y conciliación) o de la hoja 09 (Reclasificaciones) para la cuenta que se acredita, de modo que el asiento cuadra.</t>
        </is>
      </c>
      <c r="D17" s="24" t="inlineStr">
        <is>
          <t>Fila 2: 4.500,00+3.000,00 → 7.500,00</t>
        </is>
      </c>
      <c r="E17" s="24" t="inlineStr">
        <is>
          <t>hoja «Ajustes y conciliación»</t>
        </is>
      </c>
      <c r="F17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VARIACION_SIN_EXPLICAR</t>
        </is>
      </c>
      <c r="B5" s="18" t="inlineStr">
        <is>
          <t>5201 Sueldos y beneficios administración: variación sobre el umbral sin explicación (30.000,00). Obtenga y corrobore la explicación (NIA 520 párr. 7).</t>
        </is>
      </c>
      <c r="C5" s="20" t="n">
        <v>30000</v>
      </c>
    </row>
    <row r="6">
      <c r="A6" s="19" t="inlineStr">
        <is>
          <t>VARIACION_SIN_EXPLICAR</t>
        </is>
      </c>
      <c r="B6" s="19" t="inlineStr">
        <is>
          <t>5301 Publicidad: variación sobre el umbral sin explicación (20.000,00). Obtenga y corrobore la explicación (NIA 520 párr. 7).</t>
        </is>
      </c>
      <c r="C6" s="21" t="n">
        <v>20000</v>
      </c>
    </row>
    <row r="7">
      <c r="A7" s="18" t="inlineStr">
        <is>
          <t>PARTIDA_EXTRAORDINARIA</t>
        </is>
      </c>
      <c r="B7" s="18" t="inlineStr">
        <is>
          <t>5601 Pérdida por siniestro (Gastos extraordinarios): presentada como «extraordinaria»; prohibido por la NIC 1 párr. 87. Presente la partida por su naturaleza o función y, si es material, revélela por separado.</t>
        </is>
      </c>
      <c r="C7" s="20" t="n">
        <v>8000</v>
      </c>
    </row>
    <row r="8">
      <c r="A8" s="19" t="inlineStr">
        <is>
          <t>NATURALEZA_NO_REVELADA</t>
        </is>
      </c>
      <c r="B8" s="19" t="inlineStr">
        <is>
          <t>2 cuentas sin naturaleza del gasto: 5202, 5601. Con el método por función la NIC 1 párr. 104 exige información por naturaleza (incluidas amortización y retribuciones a los empleados).</t>
        </is>
      </c>
      <c r="C8" s="21" t="n">
        <v>53000</v>
      </c>
    </row>
    <row r="9">
      <c r="A9" s="18" t="inlineStr">
        <is>
          <t>DIF_CONCILIACION</t>
        </is>
      </c>
      <c r="B9" s="18" t="inlineStr">
        <is>
          <t>La sumaria (1.008.000,00) no concilia con el estado de resultados (1.005.000,00): diferencia 3.000,00.</t>
        </is>
      </c>
      <c r="C9" s="20" t="n">
        <v>3000</v>
      </c>
    </row>
    <row r="10">
      <c r="A10" s="19" t="inlineStr">
        <is>
          <t>GASTO_NO_SOPORTADO</t>
        </is>
      </c>
      <c r="B10" s="19" t="inlineStr">
        <is>
          <t>FC-102 Medios Creativos S.A.: gasto registrado sin soporte (NIA 500).</t>
        </is>
      </c>
      <c r="C10" s="21" t="n">
        <v>18000</v>
      </c>
    </row>
    <row r="11">
      <c r="A11" s="18" t="inlineStr">
        <is>
          <t>DATO_VOUCHING_FALTANTE</t>
        </is>
      </c>
      <c r="B11" s="18" t="inlineStr">
        <is>
          <t>1 transacción(es) sin resultado de la verificación del soporte: FC-114. Complete la columna «Tiene soporte».</t>
        </is>
      </c>
      <c r="C11" s="20" t="n">
        <v>3000</v>
      </c>
    </row>
    <row r="12">
      <c r="A12" s="19" t="inlineStr">
        <is>
          <t>CORTE_NO_REGISTRADO</t>
        </is>
      </c>
      <c r="B12" s="19" t="inlineStr">
        <is>
          <t>FC-104 Consultores Delta: documento del ejercicio registrado después del corte (gasto y pasivo no registrados).</t>
        </is>
      </c>
      <c r="C12" s="21" t="n">
        <v>4500</v>
      </c>
    </row>
    <row r="13">
      <c r="A13" s="18" t="inlineStr">
        <is>
          <t>CORTE_OTRO_PERIODO</t>
        </is>
      </c>
      <c r="B13" s="18" t="inlineStr">
        <is>
          <t>FC-105 Comisionistas Unidos: documento posterior al corte registrado en el ejercicio (gasto de otro período; NIC 1 párr. 27–28).</t>
        </is>
      </c>
      <c r="C13" s="20" t="n">
        <v>3000</v>
      </c>
    </row>
    <row r="14">
      <c r="A14" s="19" t="inlineStr">
        <is>
          <t>GASTO_ANTICIPADO_EN_RESULTADOS</t>
        </is>
      </c>
      <c r="B14" s="19" t="inlineStr">
        <is>
          <t>FC-103 Aseguradora Sur: 181 de 365 días del servicio son posteriores al corte; 3.620,00 es gasto pagado por anticipado, no gasto del período (NIC 1 párr. 27–28).</t>
        </is>
      </c>
      <c r="C14" s="21" t="n">
        <v>3620</v>
      </c>
    </row>
    <row r="15">
      <c r="A15" s="18" t="inlineStr">
        <is>
          <t>DEVENGADO_NO_REGISTRADO</t>
        </is>
      </c>
      <c r="B15" s="18" t="inlineStr">
        <is>
          <t>FC-106 Inmobiliaria Norte: servicio del período (31 de 31 días) registrado después del corte; 3.000,00 de gasto por devengar no registrado.</t>
        </is>
      </c>
      <c r="C15" s="20" t="n">
        <v>3000</v>
      </c>
    </row>
    <row r="16">
      <c r="A16" s="19" t="inlineStr">
        <is>
          <t>GASTO_ANTICIPADO_EN_RESULTADOS</t>
        </is>
      </c>
      <c r="B16" s="19" t="inlineStr">
        <is>
          <t>FC-107 Radio Andina: 120 de 181 días del servicio son posteriores al corte; 7.955,80 es gasto pagado por anticipado, no gasto del período (NIC 1 párr. 27–28).</t>
        </is>
      </c>
      <c r="C16" s="21" t="n">
        <v>7955.8</v>
      </c>
    </row>
    <row r="17">
      <c r="A17" s="18" t="inlineStr">
        <is>
          <t>CLASIFICACION_INCORRECTA</t>
        </is>
      </c>
      <c r="B17" s="18" t="inlineStr">
        <is>
          <t>FC-110 Taller Mecánico Ruta: registrado en 5201 (Gastos de administración); corresponde a 5302 (Gastos de ventas).</t>
        </is>
      </c>
      <c r="C17" s="20" t="n">
        <v>2200</v>
      </c>
    </row>
    <row r="18">
      <c r="A18" s="19" t="inlineStr">
        <is>
          <t>RP_NO_REVELADAS</t>
        </is>
      </c>
      <c r="B18" s="19" t="inlineStr">
        <is>
          <t>Transacciones con partes relacionadas 13.200,00 frente a 10.000,00 reveladas: 3.200,00 sin revelar (NIC 24 párr. 18–19).</t>
        </is>
      </c>
      <c r="C18" s="21" t="n">
        <v>3200</v>
      </c>
    </row>
    <row r="19">
      <c r="A19" s="18" t="inlineStr">
        <is>
          <t>RP_SIN_CATEGORIA</t>
        </is>
      </c>
      <c r="B19" s="18" t="inlineStr">
        <is>
          <t>1 transacción(es) con partes relacionadas sin categoría válida para NIIF completas (NIC 24 párr. 19): FC-115. Use: Dominante; Control conjunto o influencia significativa; Dependiente; Asociada; Negocio conjunto; Personal clave; Otra.</t>
        </is>
      </c>
      <c r="C19" s="20" t="n">
        <v>1200</v>
      </c>
    </row>
    <row r="20">
      <c r="A20" s="19" t="inlineStr">
        <is>
          <t>RP_TRANSACCION_NO_REVELADA</t>
        </is>
      </c>
      <c r="B20" s="19" t="inlineStr">
        <is>
          <t>FC-115 Banco Relacionado S.A.: transacción con parte relacionada marcada como no incluida en la nota; revélela con la naturaleza de la relación y el importe (NIC 24 párr. 18–19).</t>
        </is>
      </c>
      <c r="C20" s="21" t="n">
        <v>1200</v>
      </c>
    </row>
    <row r="21">
      <c r="A21" s="18" t="inlineStr">
        <is>
          <t>DATO_RP_REVELADA_FALTANTE</t>
        </is>
      </c>
      <c r="B21" s="18" t="inlineStr">
        <is>
          <t>1 transacción(es) con partes relacionadas sin indicar si están en la nota: FC-114. Complete la columna «Incluida en la nota de partes relacionadas».</t>
        </is>
      </c>
      <c r="C21" s="20" t="n">
        <v>3000</v>
      </c>
    </row>
    <row r="22">
      <c r="A22" s="19" t="inlineStr">
        <is>
          <t>PARTIDA_INUSUAL</t>
        </is>
      </c>
      <c r="B22" s="19" t="inlineStr">
        <is>
          <t>FC-112 Constructora Rápida: partida inusual; evalúe su naturaleza y si requiere revelación separada.</t>
        </is>
      </c>
      <c r="C22" s="21" t="n">
        <v>8000</v>
      </c>
    </row>
    <row r="23">
      <c r="A23" s="18" t="inlineStr">
        <is>
          <t>PARTIDA_INUSUAL</t>
        </is>
      </c>
      <c r="B23" s="18" t="inlineStr">
        <is>
          <t>FC-113 Acuerdo judicial ex trabajador: partida inusual; iguala o supera la materialidad: revele su naturaleza e importe por separado (NIC 1 párr. 97; se usa la materialidad de ejecución como aproximación (NIC 1.97 se refiere a la importancia relativa)).</t>
        </is>
      </c>
      <c r="C23" s="20" t="n">
        <v>22000</v>
      </c>
    </row>
    <row r="24">
      <c r="A24" s="19" t="inlineStr">
        <is>
          <t>SIN_COMPROBANTE_VALIDO</t>
        </is>
      </c>
      <c r="B24" s="19" t="inlineStr">
        <is>
          <t>FC-108 Juan Pérez: sin comprobante de venta válido; no deducible (LRTI art. 10 num. 1, texto oficial del SRI vigente hasta el 2-7-2021: confirmar reformas posteriores).</t>
        </is>
      </c>
      <c r="C24" s="21" t="n">
        <v>1500</v>
      </c>
    </row>
    <row r="25">
      <c r="A25" s="18" t="inlineStr">
        <is>
          <t>SIN_BANCARIZACION</t>
        </is>
      </c>
      <c r="B25" s="18" t="inlineStr">
        <is>
          <t>FC-109 Publicistas XYZ: pago mayor a 500,00 sin bancarización; no deducible (Reglamento LRTI art. 27, por caso entendido; confirmar que el umbral sigue vigente al corte).</t>
        </is>
      </c>
      <c r="C25" s="20" t="n">
        <v>2500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Gastos · análisis global, verificación del soporte, corte, devengo, clasificación y partes relacionadas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2026-09-24T04:20:24Z</dcterms:created>
  <dcterms:modified xmlns:dcterms="http://purl.org/dc/terms/" xmlns:xsi="http://www.w3.org/2001/XMLSchema-instance" xsi:type="dcterms:W3CDTF">2026-09-24T04:20:24Z</dcterms:modified>
</cp:coreProperties>
</file>