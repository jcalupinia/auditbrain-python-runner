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icio" sheetId="1" state="visible" r:id="rId1"/>
    <sheet xmlns:r="http://schemas.openxmlformats.org/officeDocument/2006/relationships" name="00_Caratula" sheetId="2" state="visible" r:id="rId2"/>
    <sheet xmlns:r="http://schemas.openxmlformats.org/officeDocument/2006/relationships" name="00_Programa" sheetId="3" state="visible" r:id="rId3"/>
    <sheet xmlns:r="http://schemas.openxmlformats.org/officeDocument/2006/relationships" name="00_Fuentes" sheetId="4" state="visible" r:id="rId4"/>
    <sheet xmlns:r="http://schemas.openxmlformats.org/officeDocument/2006/relationships" name="01_Resumen" sheetId="5" state="visible" r:id="rId5"/>
    <sheet xmlns:r="http://schemas.openxmlformats.org/officeDocument/2006/relationships" name="02_Parametros" sheetId="6" state="visible" r:id="rId6"/>
    <sheet xmlns:r="http://schemas.openxmlformats.org/officeDocument/2006/relationships" name="03_Conciliacion" sheetId="7" state="visible" r:id="rId7"/>
    <sheet xmlns:r="http://schemas.openxmlformats.org/officeDocument/2006/relationships" name="04_Partidas" sheetId="8" state="visible" r:id="rId8"/>
    <sheet xmlns:r="http://schemas.openxmlformats.org/officeDocument/2006/relationships" name="05_Antiguedad" sheetId="9" state="visible" r:id="rId9"/>
    <sheet xmlns:r="http://schemas.openxmlformats.org/officeDocument/2006/relationships" name="06_Confirmaciones" sheetId="10" state="visible" r:id="rId10"/>
    <sheet xmlns:r="http://schemas.openxmlformats.org/officeDocument/2006/relationships" name="07_Corte" sheetId="11" state="visible" r:id="rId11"/>
    <sheet xmlns:r="http://schemas.openxmlformats.org/officeDocument/2006/relationships" name="08_Restringido" sheetId="12" state="visible" r:id="rId12"/>
    <sheet xmlns:r="http://schemas.openxmlformats.org/officeDocument/2006/relationships" name="09_Equivalentes" sheetId="13" state="visible" r:id="rId13"/>
    <sheet xmlns:r="http://schemas.openxmlformats.org/officeDocument/2006/relationships" name="10_Efectivo_auditado" sheetId="14" state="visible" r:id="rId14"/>
    <sheet xmlns:r="http://schemas.openxmlformats.org/officeDocument/2006/relationships" name="11_Asientos" sheetId="15" state="visible" r:id="rId15"/>
    <sheet xmlns:r="http://schemas.openxmlformats.org/officeDocument/2006/relationships" name="12_Problemas" sheetId="16" state="visible" r:id="rId16"/>
    <sheet xmlns:r="http://schemas.openxmlformats.org/officeDocument/2006/relationships" name="13_Conclusion" sheetId="17" state="visible" r:id="rId17"/>
    <sheet xmlns:r="http://schemas.openxmlformats.org/officeDocument/2006/relationships" name="14_Control_Revision" sheetId="18" state="visible" r:id="rId18"/>
  </sheets>
  <definedNames>
    <definedName name="_xlnm.Print_Area" localSheetId="0">'00_Inicio'!$A$1:$L$65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4">
    <font>
      <name val="Calibri"/>
      <family val="2"/>
      <color theme="1"/>
      <sz val="11"/>
      <scheme val="minor"/>
    </font>
    <font>
      <name val="Montserrat"/>
      <b val="1"/>
      <color rgb="00FFFFFF"/>
      <sz val="16"/>
    </font>
    <font>
      <name val="Montserrat"/>
      <b val="1"/>
      <color rgb="000A2342"/>
      <sz val="15"/>
    </font>
    <font>
      <name val="Montserrat"/>
      <b val="1"/>
      <color rgb="000D7377"/>
      <sz val="9"/>
    </font>
    <font>
      <name val="Calibri"/>
      <color rgb="001A1A1A"/>
      <sz val="9"/>
    </font>
    <font>
      <name val="Montserrat"/>
      <b val="1"/>
      <color rgb="00C7A83C"/>
      <sz val="10"/>
    </font>
    <font>
      <name val="Consolas"/>
      <b val="1"/>
      <color rgb="000A2342"/>
      <sz val="18"/>
    </font>
    <font>
      <name val="Consolas"/>
      <b val="1"/>
      <color rgb="00C0392B"/>
      <sz val="18"/>
    </font>
    <font>
      <name val="Montserrat"/>
      <b val="1"/>
      <color rgb="00FFFFFF"/>
      <sz val="10"/>
    </font>
    <font>
      <name val="Calibri"/>
      <i val="1"/>
      <color rgb="006B7280"/>
      <sz val="8"/>
    </font>
    <font>
      <name val="Calibri"/>
      <color rgb="008A94A6"/>
      <sz val="8"/>
    </font>
    <font>
      <name val="Montserrat"/>
      <b val="1"/>
      <color rgb="000A2342"/>
      <sz val="9"/>
    </font>
    <font>
      <name val="Consolas"/>
      <color rgb="001A1A1A"/>
      <sz val="9"/>
    </font>
    <font>
      <name val="Consolas"/>
      <b val="1"/>
      <color rgb="000A2342"/>
      <sz val="10"/>
    </font>
  </fonts>
  <fills count="8">
    <fill>
      <patternFill/>
    </fill>
    <fill>
      <patternFill patternType="gray125"/>
    </fill>
    <fill>
      <patternFill patternType="solid">
        <fgColor rgb="000A2342"/>
      </patternFill>
    </fill>
    <fill>
      <patternFill patternType="solid">
        <fgColor rgb="00F4F6F9"/>
      </patternFill>
    </fill>
    <fill>
      <patternFill patternType="solid">
        <fgColor rgb="000D7377"/>
      </patternFill>
    </fill>
    <fill>
      <patternFill patternType="solid">
        <fgColor rgb="00DCE6F1"/>
      </patternFill>
    </fill>
    <fill>
      <patternFill patternType="solid">
        <fgColor rgb="00F7F9FC"/>
      </patternFill>
    </fill>
    <fill>
      <patternFill patternType="solid">
        <fgColor rgb="00C7A83C"/>
      </patternFill>
    </fill>
  </fills>
  <borders count="5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bottom style="medium">
        <color rgb="00C7A83C"/>
      </bottom>
    </border>
    <border>
      <bottom style="thin">
        <color rgb="00E3E8EF"/>
      </bottom>
    </border>
    <border>
      <left style="thin">
        <color rgb="00B7C0CC"/>
      </left>
      <right style="thin">
        <color rgb="00B7C0CC"/>
      </right>
      <top style="double">
        <color rgb="000A2342"/>
      </top>
      <bottom style="double">
        <color rgb="000A2342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vertical="bottom" wrapText="1"/>
    </xf>
    <xf numFmtId="4" fontId="6" fillId="3" borderId="1" pivotButton="0" quotePrefix="0" xfId="0"/>
    <xf numFmtId="3" fontId="7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4" fontId="10" fillId="0" borderId="0" pivotButton="0" quotePrefix="0" xfId="0"/>
    <xf numFmtId="0" fontId="11" fillId="5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pivotButton="0" quotePrefix="0" xfId="0"/>
    <xf numFmtId="0" fontId="8" fillId="2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top" wrapText="1"/>
    </xf>
    <xf numFmtId="0" fontId="4" fillId="6" borderId="3" applyAlignment="1" pivotButton="0" quotePrefix="0" xfId="0">
      <alignment horizontal="left" vertical="top" wrapText="1"/>
    </xf>
    <xf numFmtId="4" fontId="12" fillId="0" borderId="3" applyAlignment="1" pivotButton="0" quotePrefix="0" xfId="0">
      <alignment horizontal="right" vertical="center"/>
    </xf>
    <xf numFmtId="4" fontId="12" fillId="6" borderId="3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165" fontId="4" fillId="0" borderId="3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right" vertical="center"/>
    </xf>
    <xf numFmtId="0" fontId="12" fillId="0" borderId="3" applyAlignment="1" pivotButton="0" quotePrefix="0" xfId="0">
      <alignment horizontal="right" vertical="center"/>
    </xf>
    <xf numFmtId="165" fontId="4" fillId="6" borderId="3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left" vertical="top" wrapText="1"/>
    </xf>
    <xf numFmtId="4" fontId="13" fillId="5" borderId="4" applyAlignment="1" pivotButton="0" quotePrefix="0" xfId="0">
      <alignment horizontal="right" vertical="center"/>
    </xf>
    <xf numFmtId="165" fontId="12" fillId="0" borderId="3" applyAlignment="1" pivotButton="0" quotePrefix="0" xfId="0">
      <alignment horizontal="center" vertical="center" wrapText="1"/>
    </xf>
    <xf numFmtId="3" fontId="12" fillId="0" borderId="3" applyAlignment="1" pivotButton="0" quotePrefix="0" xfId="0">
      <alignment horizontal="right" vertical="center"/>
    </xf>
    <xf numFmtId="165" fontId="12" fillId="6" borderId="3" applyAlignment="1" pivotButton="0" quotePrefix="0" xfId="0">
      <alignment horizontal="center" vertical="center" wrapText="1"/>
    </xf>
    <xf numFmtId="3" fontId="12" fillId="6" borderId="3" applyAlignment="1" pivotButton="0" quotePrefix="0" xfId="0">
      <alignment horizontal="right" vertical="center"/>
    </xf>
    <xf numFmtId="165" fontId="12" fillId="0" borderId="3" applyAlignment="1" pivotButton="0" quotePrefix="0" xfId="0">
      <alignment horizontal="right" vertical="center"/>
    </xf>
    <xf numFmtId="165" fontId="13" fillId="5" borderId="4" applyAlignment="1" pivotButton="0" quotePrefix="0" xfId="0">
      <alignment horizontal="right" vertical="center"/>
    </xf>
    <xf numFmtId="3" fontId="13" fillId="5" borderId="4" applyAlignment="1" pivotButton="0" quotePrefix="0" xfId="0">
      <alignment horizontal="right" vertical="center"/>
    </xf>
    <xf numFmtId="165" fontId="12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Cifras del resumen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'00_Inicio'!O23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'00_Inicio'!$N$24:$N$33</f>
            </numRef>
          </cat>
          <val>
            <numRef>
              <f>'00_Inicio'!$O$24:$O$33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Hallazgos de mayor impacto (USD)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'00_Inicio'!O35</f>
            </strRef>
          </tx>
          <spPr>
            <a:solidFill xmlns:a="http://schemas.openxmlformats.org/drawingml/2006/main">
              <a:srgbClr val="0093A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'00_Inicio'!$N$36:$N$43</f>
            </numRef>
          </cat>
          <val>
            <numRef>
              <f>'00_Inicio'!$O$36:$O$43</f>
            </numRef>
          </val>
        </ser>
        <dLbls>
          <numFmt formatCode="#,##0.00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7740000" cy="367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45</row>
      <rowOff>0</rowOff>
    </from>
    <ext cx="7740000" cy="31536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_Caratula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0_Fuentes'!A1" TargetMode="External" Id="rId3"/><Relationship Type="http://schemas.openxmlformats.org/officeDocument/2006/relationships/hyperlink" Target="#'01_Resumen'!A1" TargetMode="External" Id="rId4"/><Relationship Type="http://schemas.openxmlformats.org/officeDocument/2006/relationships/hyperlink" Target="#'02_Parametros'!A1" TargetMode="External" Id="rId5"/><Relationship Type="http://schemas.openxmlformats.org/officeDocument/2006/relationships/hyperlink" Target="#'03_Conciliacion'!A1" TargetMode="External" Id="rId6"/><Relationship Type="http://schemas.openxmlformats.org/officeDocument/2006/relationships/hyperlink" Target="#'04_Partidas'!A1" TargetMode="External" Id="rId7"/><Relationship Type="http://schemas.openxmlformats.org/officeDocument/2006/relationships/hyperlink" Target="#'05_Antiguedad'!A1" TargetMode="External" Id="rId8"/><Relationship Type="http://schemas.openxmlformats.org/officeDocument/2006/relationships/hyperlink" Target="#'06_Confirmaciones'!A1" TargetMode="External" Id="rId9"/><Relationship Type="http://schemas.openxmlformats.org/officeDocument/2006/relationships/hyperlink" Target="#'07_Corte'!A1" TargetMode="External" Id="rId10"/><Relationship Type="http://schemas.openxmlformats.org/officeDocument/2006/relationships/hyperlink" Target="#'08_Restringido'!A1" TargetMode="External" Id="rId11"/><Relationship Type="http://schemas.openxmlformats.org/officeDocument/2006/relationships/hyperlink" Target="#'09_Equivalentes'!A1" TargetMode="External" Id="rId12"/><Relationship Type="http://schemas.openxmlformats.org/officeDocument/2006/relationships/hyperlink" Target="#'10_Efectivo_auditado'!A1" TargetMode="External" Id="rId13"/><Relationship Type="http://schemas.openxmlformats.org/officeDocument/2006/relationships/hyperlink" Target="#'11_Asientos'!A1" TargetMode="External" Id="rId14"/><Relationship Type="http://schemas.openxmlformats.org/officeDocument/2006/relationships/hyperlink" Target="#'12_Problemas'!A1" TargetMode="External" Id="rId15"/><Relationship Type="http://schemas.openxmlformats.org/officeDocument/2006/relationships/hyperlink" Target="#'13_Conclusion'!A1" TargetMode="External" Id="rId16"/><Relationship Type="http://schemas.openxmlformats.org/officeDocument/2006/relationships/hyperlink" Target="#'14_Control_Revision'!A1" TargetMode="External" Id="rId17"/><Relationship Type="http://schemas.openxmlformats.org/officeDocument/2006/relationships/drawing" Target="/xl/drawings/drawing1.xml" Id="rId18"/></Relationships>
</file>

<file path=xl/worksheets/_rels/sheet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Caratula'!A1" TargetMode="External" Id="rId2"/><Relationship Type="http://schemas.openxmlformats.org/officeDocument/2006/relationships/hyperlink" Target="#'00_Fuentes'!A1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Programa'!A1" TargetMode="External" Id="rId2"/><Relationship Type="http://schemas.openxmlformats.org/officeDocument/2006/relationships/hyperlink" Target="#'01_Resumen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0_Fuentes'!A1" TargetMode="External" Id="rId2"/><Relationship Type="http://schemas.openxmlformats.org/officeDocument/2006/relationships/hyperlink" Target="#'02_Parametros'!A1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1_Resumen'!A1" TargetMode="External" Id="rId2"/><Relationship Type="http://schemas.openxmlformats.org/officeDocument/2006/relationships/hyperlink" Target="#'03_Conciliacion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2_Parametros'!A1" TargetMode="External" Id="rId2"/><Relationship Type="http://schemas.openxmlformats.org/officeDocument/2006/relationships/hyperlink" Target="#'04_Partidas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3_Conciliacion'!A1" TargetMode="External" Id="rId2"/><Relationship Type="http://schemas.openxmlformats.org/officeDocument/2006/relationships/hyperlink" Target="#'05_Antiguedad'!A1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4_Partidas'!A1" TargetMode="External" Id="rId2"/><Relationship Type="http://schemas.openxmlformats.org/officeDocument/2006/relationships/hyperlink" Target="#'06_Confirmaciones'!A1" TargetMode="External" Id="rId3"/></Relationships>
</file>

<file path=xl/worksheets/_rels/sheet10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5_Antiguedad'!A1" TargetMode="External" Id="rId2"/><Relationship Type="http://schemas.openxmlformats.org/officeDocument/2006/relationships/hyperlink" Target="#'07_Corte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6_Confirmaciones'!A1" TargetMode="External" Id="rId2"/><Relationship Type="http://schemas.openxmlformats.org/officeDocument/2006/relationships/hyperlink" Target="#'08_Restringido'!A1" TargetMode="External" Id="rId3"/></Relationships>
</file>

<file path=xl/worksheets/_rels/sheet12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7_Corte'!A1" TargetMode="External" Id="rId2"/><Relationship Type="http://schemas.openxmlformats.org/officeDocument/2006/relationships/hyperlink" Target="#'09_Equivalentes'!A1" TargetMode="External" Id="rId3"/></Relationships>
</file>

<file path=xl/worksheets/_rels/sheet13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8_Restringido'!A1" TargetMode="External" Id="rId2"/><Relationship Type="http://schemas.openxmlformats.org/officeDocument/2006/relationships/hyperlink" Target="#'10_Efectivo_auditado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09_Equivalentes'!A1" TargetMode="External" Id="rId2"/><Relationship Type="http://schemas.openxmlformats.org/officeDocument/2006/relationships/hyperlink" Target="#'11_Asientos'!A1" TargetMode="External" Id="rId3"/></Relationships>
</file>

<file path=xl/worksheets/_rels/sheet15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0_Efectivo_auditado'!A1" TargetMode="External" Id="rId2"/><Relationship Type="http://schemas.openxmlformats.org/officeDocument/2006/relationships/hyperlink" Target="#'12_Problemas'!A1" TargetMode="External" Id="rId3"/></Relationships>
</file>

<file path=xl/worksheets/_rels/sheet16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1_Asientos'!A1" TargetMode="External" Id="rId2"/><Relationship Type="http://schemas.openxmlformats.org/officeDocument/2006/relationships/hyperlink" Target="#'13_Conclusion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2_Problemas'!A1" TargetMode="External" Id="rId2"/><Relationship Type="http://schemas.openxmlformats.org/officeDocument/2006/relationships/hyperlink" Target="#'14_Control_Revision'!A1" TargetMode="External" Id="rId3"/></Relationships>
</file>

<file path=xl/worksheets/_rels/sheet18.xml.rels><Relationships xmlns="http://schemas.openxmlformats.org/package/2006/relationships"><Relationship Type="http://schemas.openxmlformats.org/officeDocument/2006/relationships/hyperlink" Target="#'00_Inicio'!A1" TargetMode="External" Id="rId1"/><Relationship Type="http://schemas.openxmlformats.org/officeDocument/2006/relationships/hyperlink" Target="#'13_Conclusion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34" customWidth="1" min="14" max="14"/>
    <col width="16" customWidth="1" min="15" max="15"/>
  </cols>
  <sheetData>
    <row r="2">
      <c r="B2" s="1" t="inlineStr">
        <is>
          <t>AuditConsulting Auditores Cía. Ltda.  ·  AUDIT-IA</t>
        </is>
      </c>
      <c r="C2" s="2" t="n"/>
      <c r="D2" s="2" t="n"/>
      <c r="E2" s="2" t="n"/>
      <c r="F2" s="2" t="n"/>
    </row>
    <row r="3">
      <c r="B3" s="2" t="n"/>
      <c r="C3" s="2" t="n"/>
      <c r="D3" s="2" t="n"/>
      <c r="E3" s="2" t="n"/>
      <c r="F3" s="2" t="n"/>
    </row>
    <row r="4">
      <c r="B4" s="3" t="inlineStr">
        <is>
          <t>Efectivo y equivalentes de efectivo</t>
        </is>
      </c>
    </row>
    <row r="6">
      <c r="B6" s="4" t="inlineStr">
        <is>
          <t>Cliente</t>
        </is>
      </c>
      <c r="C6" s="5" t="inlineStr">
        <is>
          <t>Cliente de muestra S.A.</t>
        </is>
      </c>
      <c r="D6" s="4" t="inlineStr">
        <is>
          <t>RUC</t>
        </is>
      </c>
      <c r="E6" s="5" t="inlineStr">
        <is>
          <t>1790000000001</t>
        </is>
      </c>
    </row>
    <row r="7">
      <c r="B7" s="4" t="inlineStr">
        <is>
          <t>Marco contable</t>
        </is>
      </c>
      <c r="C7" s="5" t="inlineStr">
        <is>
          <t>NIIF completas</t>
        </is>
      </c>
      <c r="D7" s="4" t="inlineStr">
        <is>
          <t>Fecha de corte</t>
        </is>
      </c>
      <c r="E7" s="5" t="inlineStr">
        <is>
          <t>2025-12-31</t>
        </is>
      </c>
    </row>
    <row r="8">
      <c r="B8" s="4" t="inlineStr">
        <is>
          <t>Preparó</t>
        </is>
      </c>
      <c r="C8" s="5" t="inlineStr">
        <is>
          <t>Ejercicio modelo</t>
        </is>
      </c>
      <c r="D8" s="4" t="inlineStr">
        <is>
          <t>Revisó</t>
        </is>
      </c>
      <c r="E8" s="5" t="inlineStr">
        <is>
          <t>Pendiente</t>
        </is>
      </c>
    </row>
    <row r="10">
      <c r="B10" s="6" t="inlineStr">
        <is>
          <t>INDICADORES CLAVE</t>
        </is>
      </c>
    </row>
    <row r="11" ht="30" customHeight="1">
      <c r="B11" s="7" t="inlineStr">
        <is>
          <t>Ajuste propuesto (auditado − libros)</t>
        </is>
      </c>
      <c r="C11" s="7" t="inlineStr">
        <is>
          <t>Problemas encontrados</t>
        </is>
      </c>
    </row>
    <row r="12">
      <c r="B12" s="8" t="n">
        <v>-39820</v>
      </c>
      <c r="C12" s="9" t="n">
        <v>17</v>
      </c>
    </row>
    <row r="15">
      <c r="B15" s="6" t="inlineStr">
        <is>
          <t>IR A LA CÉDULA</t>
        </is>
      </c>
    </row>
    <row r="16" ht="32" customHeight="1">
      <c r="B16" s="10" t="inlineStr">
        <is>
          <t>Carátula</t>
        </is>
      </c>
      <c r="C16" s="10" t="inlineStr">
        <is>
          <t>Programa</t>
        </is>
      </c>
      <c r="D16" s="10" t="inlineStr">
        <is>
          <t>Base técnica</t>
        </is>
      </c>
      <c r="E16" s="10" t="inlineStr">
        <is>
          <t>Resumen</t>
        </is>
      </c>
    </row>
    <row r="17" ht="32" customHeight="1">
      <c r="B17" s="10" t="inlineStr">
        <is>
          <t>Parámetros</t>
        </is>
      </c>
      <c r="C17" s="10" t="inlineStr">
        <is>
          <t>Conciliación bancaria por cuenta</t>
        </is>
      </c>
      <c r="D17" s="10" t="inlineStr">
        <is>
          <t>Partidas conciliatorias</t>
        </is>
      </c>
      <c r="E17" s="10" t="inlineStr">
        <is>
          <t>Antigüedad de partidas</t>
        </is>
      </c>
    </row>
    <row r="18" ht="32" customHeight="1">
      <c r="B18" s="10" t="inlineStr">
        <is>
          <t>Confirmación bancaria</t>
        </is>
      </c>
      <c r="C18" s="10" t="inlineStr">
        <is>
          <t>Prueba de corte</t>
        </is>
      </c>
      <c r="D18" s="10" t="inlineStr">
        <is>
          <t>Efectivo restringido</t>
        </is>
      </c>
      <c r="E18" s="10" t="inlineStr">
        <is>
          <t>Equivalentes de efectivo (definición)</t>
        </is>
      </c>
    </row>
    <row r="19" ht="32" customHeight="1">
      <c r="B19" s="10" t="inlineStr">
        <is>
          <t>Efectivo auditado y ajuste</t>
        </is>
      </c>
      <c r="C19" s="10" t="inlineStr">
        <is>
          <t>Asientos propuestos</t>
        </is>
      </c>
      <c r="D19" s="10" t="inlineStr">
        <is>
          <t>Problemas encontrados</t>
        </is>
      </c>
      <c r="E19" s="10" t="inlineStr">
        <is>
          <t>Conclusión</t>
        </is>
      </c>
    </row>
    <row r="20" ht="32" customHeight="1">
      <c r="B20" s="10" t="inlineStr">
        <is>
          <t>Control de revisión</t>
        </is>
      </c>
    </row>
    <row r="22">
      <c r="B22" s="6" t="inlineStr">
        <is>
          <t>PANORAMA</t>
        </is>
      </c>
      <c r="N22" s="11" t="inlineStr">
        <is>
          <t>Datos de los gráficos (fórmulas a las cédulas)</t>
        </is>
      </c>
    </row>
    <row r="23">
      <c r="N23" s="12" t="inlineStr">
        <is>
          <t>Cifras del resumen</t>
        </is>
      </c>
      <c r="O23" s="12" t="inlineStr">
        <is>
          <t>Importe (USD)</t>
        </is>
      </c>
    </row>
    <row r="24">
      <c r="N24" s="12">
        <f>'01_Resumen'!A5</f>
        <v/>
      </c>
      <c r="O24" s="13">
        <f>'01_Resumen'!B5</f>
        <v/>
      </c>
    </row>
    <row r="25">
      <c r="N25" s="12">
        <f>'01_Resumen'!A6</f>
        <v/>
      </c>
      <c r="O25" s="13">
        <f>'01_Resumen'!B6</f>
        <v/>
      </c>
    </row>
    <row r="26">
      <c r="N26" s="12">
        <f>'01_Resumen'!A7</f>
        <v/>
      </c>
      <c r="O26" s="13">
        <f>'01_Resumen'!B7</f>
        <v/>
      </c>
    </row>
    <row r="27">
      <c r="N27" s="12">
        <f>'01_Resumen'!A8</f>
        <v/>
      </c>
      <c r="O27" s="13">
        <f>'01_Resumen'!B8</f>
        <v/>
      </c>
    </row>
    <row r="28">
      <c r="N28" s="12">
        <f>'01_Resumen'!A9</f>
        <v/>
      </c>
      <c r="O28" s="13">
        <f>'01_Resumen'!B9</f>
        <v/>
      </c>
    </row>
    <row r="29">
      <c r="N29" s="12">
        <f>'01_Resumen'!A10</f>
        <v/>
      </c>
      <c r="O29" s="13">
        <f>'01_Resumen'!B10</f>
        <v/>
      </c>
    </row>
    <row r="30">
      <c r="N30" s="12">
        <f>'01_Resumen'!A11</f>
        <v/>
      </c>
      <c r="O30" s="13">
        <f>'01_Resumen'!B11</f>
        <v/>
      </c>
    </row>
    <row r="31">
      <c r="N31" s="12">
        <f>'01_Resumen'!A12</f>
        <v/>
      </c>
      <c r="O31" s="13">
        <f>'01_Resumen'!B12</f>
        <v/>
      </c>
    </row>
    <row r="32">
      <c r="N32" s="12">
        <f>'01_Resumen'!A13</f>
        <v/>
      </c>
      <c r="O32" s="13">
        <f>'01_Resumen'!B13</f>
        <v/>
      </c>
    </row>
    <row r="33">
      <c r="N33" s="12">
        <f>'01_Resumen'!A14</f>
        <v/>
      </c>
      <c r="O33" s="13">
        <f>'01_Resumen'!B14</f>
        <v/>
      </c>
    </row>
    <row r="35">
      <c r="N35" s="12" t="inlineStr">
        <is>
          <t>Hallazgos de mayor impacto</t>
        </is>
      </c>
      <c r="O35" s="12" t="inlineStr">
        <is>
          <t>Importe (USD)</t>
        </is>
      </c>
    </row>
    <row r="36">
      <c r="N36" s="12" t="inlineStr">
        <is>
          <t>Equivalente presuncion</t>
        </is>
      </c>
      <c r="O36" s="13">
        <f>SUMIFS('12_Problemas'!$C$5:$C$21,'12_Problemas'!$A$5:$A$21,"EQUIVALENTE_PRESUNCION",'12_Problemas'!$C$5:$C$21,"&gt;0")-SUMIFS('12_Problemas'!$C$5:$C$21,'12_Problemas'!$A$5:$A$21,"EQUIVALENTE_PRESUNCION",'12_Problemas'!$C$5:$C$21,"&lt;0")</f>
        <v/>
      </c>
    </row>
    <row r="37">
      <c r="N37" s="12" t="inlineStr">
        <is>
          <t>No es equivalente</t>
        </is>
      </c>
      <c r="O37" s="13">
        <f>SUMIFS('12_Problemas'!$C$5:$C$21,'12_Problemas'!$A$5:$A$21,"NO_ES_EQUIVALENTE",'12_Problemas'!$C$5:$C$21,"&gt;0")-SUMIFS('12_Problemas'!$C$5:$C$21,'12_Problemas'!$A$5:$A$21,"NO_ES_EQUIVALENTE",'12_Problemas'!$C$5:$C$21,"&lt;0")</f>
        <v/>
      </c>
    </row>
    <row r="38">
      <c r="N38" s="12" t="inlineStr">
        <is>
          <t>Restringido revelar (×2)</t>
        </is>
      </c>
      <c r="O38" s="13">
        <f>SUMIFS('12_Problemas'!$C$5:$C$21,'12_Problemas'!$A$5:$A$21,"RESTRINGIDO_REVELAR",'12_Problemas'!$C$5:$C$21,"&gt;0")-SUMIFS('12_Problemas'!$C$5:$C$21,'12_Problemas'!$A$5:$A$21,"RESTRINGIDO_REVELAR",'12_Problemas'!$C$5:$C$21,"&lt;0")</f>
        <v/>
      </c>
    </row>
    <row r="39">
      <c r="N39" s="12" t="inlineStr">
        <is>
          <t>Restringido como disponible</t>
        </is>
      </c>
      <c r="O39" s="13">
        <f>SUMIFS('12_Problemas'!$C$5:$C$21,'12_Problemas'!$A$5:$A$21,"RESTRINGIDO_COMO_DISPONIBLE",'12_Problemas'!$C$5:$C$21,"&gt;0")-SUMIFS('12_Problemas'!$C$5:$C$21,'12_Problemas'!$A$5:$A$21,"RESTRINGIDO_COMO_DISPONIBLE",'12_Problemas'!$C$5:$C$21,"&lt;0")</f>
        <v/>
      </c>
    </row>
    <row r="40">
      <c r="N40" s="12" t="inlineStr">
        <is>
          <t>Saldo acreedor</t>
        </is>
      </c>
      <c r="O40" s="13">
        <f>SUMIFS('12_Problemas'!$C$5:$C$21,'12_Problemas'!$A$5:$A$21,"SALDO_ACREEDOR",'12_Problemas'!$C$5:$C$21,"&gt;0")-SUMIFS('12_Problemas'!$C$5:$C$21,'12_Problemas'!$A$5:$A$21,"SALDO_ACREEDOR",'12_Problemas'!$C$5:$C$21,"&lt;0")</f>
        <v/>
      </c>
    </row>
    <row r="41">
      <c r="N41" s="12" t="inlineStr">
        <is>
          <t>Partida antigua (×2)</t>
        </is>
      </c>
      <c r="O41" s="13">
        <f>SUMIFS('12_Problemas'!$C$5:$C$21,'12_Problemas'!$A$5:$A$21,"PARTIDA_ANTIGUA",'12_Problemas'!$C$5:$C$21,"&gt;0")-SUMIFS('12_Problemas'!$C$5:$C$21,'12_Problemas'!$A$5:$A$21,"PARTIDA_ANTIGUA",'12_Problemas'!$C$5:$C$21,"&lt;0")</f>
        <v/>
      </c>
    </row>
    <row r="42">
      <c r="N42" s="12" t="inlineStr">
        <is>
          <t>Partida no depurada (×2)</t>
        </is>
      </c>
      <c r="O42" s="13">
        <f>SUMIFS('12_Problemas'!$C$5:$C$21,'12_Problemas'!$A$5:$A$21,"PARTIDA_NO_DEPURADA",'12_Problemas'!$C$5:$C$21,"&gt;0")-SUMIFS('12_Problemas'!$C$5:$C$21,'12_Problemas'!$A$5:$A$21,"PARTIDA_NO_DEPURADA",'12_Problemas'!$C$5:$C$21,"&lt;0")</f>
        <v/>
      </c>
    </row>
    <row r="43">
      <c r="N43" s="12" t="inlineStr">
        <is>
          <t>Otros (7 tipos)</t>
        </is>
      </c>
      <c r="O43" s="13">
        <f>SUMIF('12_Problemas'!$C$5:$C$21,"&gt;0")-SUMIF('12_Problemas'!$C$5:$C$21,"&lt;0")-((SUMIFS('12_Problemas'!$C$5:$C$21,'12_Problemas'!$A$5:$A$21,"EQUIVALENTE_PRESUNCION",'12_Problemas'!$C$5:$C$21,"&gt;0")-SUMIFS('12_Problemas'!$C$5:$C$21,'12_Problemas'!$A$5:$A$21,"EQUIVALENTE_PRESUNCION",'12_Problemas'!$C$5:$C$21,"&lt;0"))+(SUMIFS('12_Problemas'!$C$5:$C$21,'12_Problemas'!$A$5:$A$21,"NO_ES_EQUIVALENTE",'12_Problemas'!$C$5:$C$21,"&gt;0")-SUMIFS('12_Problemas'!$C$5:$C$21,'12_Problemas'!$A$5:$A$21,"NO_ES_EQUIVALENTE",'12_Problemas'!$C$5:$C$21,"&lt;0"))+(SUMIFS('12_Problemas'!$C$5:$C$21,'12_Problemas'!$A$5:$A$21,"RESTRINGIDO_REVELAR",'12_Problemas'!$C$5:$C$21,"&gt;0")-SUMIFS('12_Problemas'!$C$5:$C$21,'12_Problemas'!$A$5:$A$21,"RESTRINGIDO_REVELAR",'12_Problemas'!$C$5:$C$21,"&lt;0"))+(SUMIFS('12_Problemas'!$C$5:$C$21,'12_Problemas'!$A$5:$A$21,"RESTRINGIDO_COMO_DISPONIBLE",'12_Problemas'!$C$5:$C$21,"&gt;0")-SUMIFS('12_Problemas'!$C$5:$C$21,'12_Problemas'!$A$5:$A$21,"RESTRINGIDO_COMO_DISPONIBLE",'12_Problemas'!$C$5:$C$21,"&lt;0"))+(SUMIFS('12_Problemas'!$C$5:$C$21,'12_Problemas'!$A$5:$A$21,"SALDO_ACREEDOR",'12_Problemas'!$C$5:$C$21,"&gt;0")-SUMIFS('12_Problemas'!$C$5:$C$21,'12_Problemas'!$A$5:$A$21,"SALDO_ACREEDOR",'12_Problemas'!$C$5:$C$21,"&lt;0"))+(SUMIFS('12_Problemas'!$C$5:$C$21,'12_Problemas'!$A$5:$A$21,"PARTIDA_ANTIGUA",'12_Problemas'!$C$5:$C$21,"&gt;0")-SUMIFS('12_Problemas'!$C$5:$C$21,'12_Problemas'!$A$5:$A$21,"PARTIDA_ANTIGUA",'12_Problemas'!$C$5:$C$21,"&lt;0"))+(SUMIFS('12_Problemas'!$C$5:$C$21,'12_Problemas'!$A$5:$A$21,"PARTIDA_NO_DEPURADA",'12_Problemas'!$C$5:$C$21,"&gt;0")-SUMIFS('12_Problemas'!$C$5:$C$21,'12_Problemas'!$A$5:$A$21,"PARTIDA_NO_DEPURADA",'12_Problemas'!$C$5:$C$21,"&lt;0")))</f>
        <v/>
      </c>
    </row>
  </sheetData>
  <mergeCells count="2">
    <mergeCell ref="B4:F4"/>
    <mergeCell ref="B2:F3"/>
  </mergeCells>
  <hyperlinks>
    <hyperlink xmlns:r="http://schemas.openxmlformats.org/officeDocument/2006/relationships" ref="B16" r:id="rId1"/>
    <hyperlink xmlns:r="http://schemas.openxmlformats.org/officeDocument/2006/relationships" ref="C16" r:id="rId2"/>
    <hyperlink xmlns:r="http://schemas.openxmlformats.org/officeDocument/2006/relationships" ref="D16" r:id="rId3"/>
    <hyperlink xmlns:r="http://schemas.openxmlformats.org/officeDocument/2006/relationships" ref="E16" r:id="rId4"/>
    <hyperlink xmlns:r="http://schemas.openxmlformats.org/officeDocument/2006/relationships" ref="B17" r:id="rId5"/>
    <hyperlink xmlns:r="http://schemas.openxmlformats.org/officeDocument/2006/relationships" ref="C17" r:id="rId6"/>
    <hyperlink xmlns:r="http://schemas.openxmlformats.org/officeDocument/2006/relationships" ref="D17" r:id="rId7"/>
    <hyperlink xmlns:r="http://schemas.openxmlformats.org/officeDocument/2006/relationships" ref="E17" r:id="rId8"/>
    <hyperlink xmlns:r="http://schemas.openxmlformats.org/officeDocument/2006/relationships" ref="B18" r:id="rId9"/>
    <hyperlink xmlns:r="http://schemas.openxmlformats.org/officeDocument/2006/relationships" ref="C18" r:id="rId10"/>
    <hyperlink xmlns:r="http://schemas.openxmlformats.org/officeDocument/2006/relationships" ref="D18" r:id="rId11"/>
    <hyperlink xmlns:r="http://schemas.openxmlformats.org/officeDocument/2006/relationships" ref="E18" r:id="rId12"/>
    <hyperlink xmlns:r="http://schemas.openxmlformats.org/officeDocument/2006/relationships" ref="B19" r:id="rId13"/>
    <hyperlink xmlns:r="http://schemas.openxmlformats.org/officeDocument/2006/relationships" ref="C19" r:id="rId14"/>
    <hyperlink xmlns:r="http://schemas.openxmlformats.org/officeDocument/2006/relationships" ref="D19" r:id="rId15"/>
    <hyperlink xmlns:r="http://schemas.openxmlformats.org/officeDocument/2006/relationships" ref="E19" r:id="rId16"/>
    <hyperlink xmlns:r="http://schemas.openxmlformats.org/officeDocument/2006/relationships" ref="B20" r:id="rId17"/>
  </hyperlinks>
  <printOptions horizontalCentered="1"/>
  <pageMargins left="0.75" right="0.75" top="1" bottom="1" header="0.5" footer="0.5"/>
  <pageSetup orientation="landscape" fitToHeight="0" fitToWidth="1"/>
  <headerFooter>
    <oddHeader/>
    <oddFooter>&amp;LAuditConsulting Auditores Cía. Ltda.&amp;CCliente de muestra S.A.&amp;RPágina &amp;P de &amp;N</oddFooter>
    <evenHeader/>
    <evenFooter/>
    <firstHeader/>
    <firstFooter/>
  </headerFooter>
  <drawing xmlns:r="http://schemas.openxmlformats.org/officeDocument/2006/relationships" r:id="rId1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</cols>
  <sheetData>
    <row r="1">
      <c r="A1" s="3" t="inlineStr">
        <is>
          <t>Carátula</t>
        </is>
      </c>
      <c r="H1" s="14" t="inlineStr">
        <is>
          <t>⟵ Inicio</t>
        </is>
      </c>
      <c r="J1" s="14" t="inlineStr">
        <is>
          <t>Siguiente ▶</t>
        </is>
      </c>
    </row>
    <row r="2">
      <c r="A2" s="15" t="inlineStr">
        <is>
          <t>Efectivo y equivalentes de efectivo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Firma</t>
        </is>
      </c>
      <c r="B5" s="18" t="inlineStr">
        <is>
          <t>AuditConsulting Auditores Cía. Ltda.</t>
        </is>
      </c>
    </row>
    <row r="6">
      <c r="A6" s="19" t="inlineStr">
        <is>
          <t>Cliente</t>
        </is>
      </c>
      <c r="B6" s="19" t="inlineStr">
        <is>
          <t>Cliente de muestra S.A.</t>
        </is>
      </c>
    </row>
    <row r="7">
      <c r="A7" s="18" t="inlineStr">
        <is>
          <t>RUC</t>
        </is>
      </c>
      <c r="B7" s="18" t="inlineStr">
        <is>
          <t>1790000000001</t>
        </is>
      </c>
    </row>
    <row r="8">
      <c r="A8" s="19" t="inlineStr">
        <is>
          <t>Ejercicio</t>
        </is>
      </c>
      <c r="B8" s="19" t="inlineStr">
        <is>
          <t>2025</t>
        </is>
      </c>
    </row>
    <row r="9">
      <c r="A9" s="18" t="inlineStr">
        <is>
          <t>Fecha de corte</t>
        </is>
      </c>
      <c r="B9" s="18" t="inlineStr">
        <is>
          <t>2025-12-31</t>
        </is>
      </c>
    </row>
    <row r="10">
      <c r="A10" s="19" t="inlineStr">
        <is>
          <t>Marco contable</t>
        </is>
      </c>
      <c r="B10" s="19" t="inlineStr">
        <is>
          <t>NIIF completas</t>
        </is>
      </c>
    </row>
    <row r="11">
      <c r="A11" s="18" t="inlineStr">
        <is>
          <t>Herramienta</t>
        </is>
      </c>
      <c r="B11" s="18" t="inlineStr">
        <is>
          <t>Efectivo y equivalentes de efectivo</t>
        </is>
      </c>
    </row>
    <row r="12">
      <c r="A12" s="19" t="inlineStr">
        <is>
          <t>Rubro</t>
        </is>
      </c>
      <c r="B12" s="19" t="inlineStr">
        <is>
          <t>Caja y bancos</t>
        </is>
      </c>
    </row>
    <row r="13">
      <c r="A13" s="18" t="inlineStr">
        <is>
          <t>Motor</t>
        </is>
      </c>
      <c r="B13" s="18" t="inlineStr">
        <is>
          <t>efectivo_equivalentes 1.0</t>
        </is>
      </c>
    </row>
    <row r="14">
      <c r="A14" s="19" t="inlineStr">
        <is>
          <t>Versión del papel</t>
        </is>
      </c>
      <c r="B14" s="19" t="inlineStr">
        <is>
          <t>v1</t>
        </is>
      </c>
    </row>
    <row r="15">
      <c r="A15" s="18" t="inlineStr">
        <is>
          <t>Estado</t>
        </is>
      </c>
      <c r="B15" s="18" t="inlineStr">
        <is>
          <t>MUESTRA</t>
        </is>
      </c>
    </row>
    <row r="16">
      <c r="A16" s="19" t="inlineStr">
        <is>
          <t>Preparó</t>
        </is>
      </c>
      <c r="B16" s="19" t="inlineStr">
        <is>
          <t>Ejercicio modelo</t>
        </is>
      </c>
    </row>
    <row r="17">
      <c r="A17" s="18" t="inlineStr">
        <is>
          <t>Revisó</t>
        </is>
      </c>
      <c r="B17" s="18" t="inlineStr">
        <is>
          <t>Pendiente</t>
        </is>
      </c>
    </row>
    <row r="18">
      <c r="A18" s="19" t="inlineStr">
        <is>
          <t>Aprobó</t>
        </is>
      </c>
      <c r="B18" s="19" t="inlineStr"/>
    </row>
    <row r="19">
      <c r="A19" s="18" t="inlineStr">
        <is>
          <t>Fecha de aprobación</t>
        </is>
      </c>
      <c r="B19" s="18" t="inlineStr"/>
    </row>
    <row r="20">
      <c r="A20" s="19" t="inlineStr">
        <is>
          <t>Huella de la ejecución (SHA-256)</t>
        </is>
      </c>
      <c r="B20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J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3" customWidth="1" min="3" max="3"/>
    <col width="60" customWidth="1" min="4" max="4"/>
    <col width="55" customWidth="1" min="5" max="5"/>
    <col width="60" customWidth="1" min="6" max="6"/>
    <col width="60" customWidth="1" min="7" max="7"/>
  </cols>
  <sheetData>
    <row r="1">
      <c r="A1" s="3" t="inlineStr">
        <is>
          <t>Programa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Efectivo y equivalentes de efectivo · Cliente de muestra S.A. · corte 2025-12-31</t>
        </is>
      </c>
      <c r="B2" s="16" t="n"/>
      <c r="C2" s="16" t="n"/>
      <c r="D2" s="16" t="n"/>
      <c r="E2" s="16" t="n"/>
      <c r="F2" s="16" t="n"/>
      <c r="G2" s="16" t="n"/>
    </row>
    <row r="4" ht="30" customHeight="1">
      <c r="A4" s="17" t="inlineStr">
        <is>
          <t>Código</t>
        </is>
      </c>
      <c r="B4" s="17" t="inlineStr">
        <is>
          <t>Objetivo</t>
        </is>
      </c>
      <c r="C4" s="17" t="inlineStr">
        <is>
          <t>Afirmación</t>
        </is>
      </c>
      <c r="D4" s="17" t="inlineStr">
        <is>
          <t>Procedimiento</t>
        </is>
      </c>
      <c r="E4" s="17" t="inlineStr">
        <is>
          <t>Evidencia</t>
        </is>
      </c>
      <c r="F4" s="17" t="inlineStr">
        <is>
          <t>Criterio</t>
        </is>
      </c>
      <c r="G4" s="17" t="inlineStr">
        <is>
          <t>Referencia</t>
        </is>
      </c>
    </row>
    <row r="5">
      <c r="A5" s="18" t="inlineStr">
        <is>
          <t>CAJ-01</t>
        </is>
      </c>
      <c r="B5" s="18" t="inlineStr">
        <is>
          <t>Integridad y exactitud del saldo</t>
        </is>
      </c>
      <c r="C5" s="18" t="inlineStr">
        <is>
          <t>Integridad</t>
        </is>
      </c>
      <c r="D5" s="18" t="inlineStr">
        <is>
          <t>Conciliar el anexo de cuentas con el mayor y el balance de comprobación</t>
        </is>
      </c>
      <c r="E5" s="18" t="inlineStr">
        <is>
          <t>Anexo de cuentas, mayor, balance</t>
        </is>
      </c>
      <c r="F5" s="18" t="inlineStr">
        <is>
          <t>Diferencia dentro de tolerancia</t>
        </is>
      </c>
      <c r="G5" s="18" t="inlineStr">
        <is>
          <t>NIA 500 párr. 9 · NIC 7.45</t>
        </is>
      </c>
    </row>
    <row r="6">
      <c r="A6" s="19" t="inlineStr">
        <is>
          <t>CAJ-02</t>
        </is>
      </c>
      <c r="B6" s="19" t="inlineStr">
        <is>
          <t>Conciliación bancaria</t>
        </is>
      </c>
      <c r="C6" s="19" t="inlineStr">
        <is>
          <t>Existencia</t>
        </is>
      </c>
      <c r="D6" s="19" t="inlineStr">
        <is>
          <t>Reejecutar la conciliación de cada cuenta con el estado bancario y las partidas conciliatorias</t>
        </is>
      </c>
      <c r="E6" s="19" t="inlineStr">
        <is>
          <t>Conciliaciones y estados bancarios del mes de corte</t>
        </is>
      </c>
      <c r="F6" s="19" t="inlineStr">
        <is>
          <t>Diferencia no explicada = 0</t>
        </is>
      </c>
      <c r="G6" s="19" t="inlineStr">
        <is>
          <t>NIA 500 · NIA 330</t>
        </is>
      </c>
    </row>
    <row r="7">
      <c r="A7" s="18" t="inlineStr">
        <is>
          <t>CAJ-03</t>
        </is>
      </c>
      <c r="B7" s="18" t="inlineStr">
        <is>
          <t>Partidas conciliatorias y antigüedad</t>
        </is>
      </c>
      <c r="C7" s="18" t="inlineStr">
        <is>
          <t>Existencia</t>
        </is>
      </c>
      <c r="D7" s="18" t="inlineStr">
        <is>
          <t>Cotejar cada partida con su liquidación en el estado bancario posterior y medir su antigüedad</t>
        </is>
      </c>
      <c r="E7" s="18" t="inlineStr">
        <is>
          <t>Estados bancarios posteriores al corte</t>
        </is>
      </c>
      <c r="F7" s="18" t="inlineStr">
        <is>
          <t>Partidas liquidadas y no antiguas</t>
        </is>
      </c>
      <c r="G7" s="18" t="inlineStr">
        <is>
          <t>NIA 500 párr. 6 · NIA 330 párr. 18 (NIA 560 párr. 6 solo si la partida revela un hecho posterior)</t>
        </is>
      </c>
    </row>
    <row r="8">
      <c r="A8" s="19" t="inlineStr">
        <is>
          <t>CAJ-04</t>
        </is>
      </c>
      <c r="B8" s="19" t="inlineStr">
        <is>
          <t>Confirmación bancaria</t>
        </is>
      </c>
      <c r="C8" s="19" t="inlineStr">
        <is>
          <t>Existencia / Derechos</t>
        </is>
      </c>
      <c r="D8" s="19" t="inlineStr">
        <is>
          <t>Confirmar saldos, restricciones y garantías con cada banco bajo control del auditor</t>
        </is>
      </c>
      <c r="E8" s="19" t="inlineStr">
        <is>
          <t>Respuestas de los bancos</t>
        </is>
      </c>
      <c r="F8" s="19" t="inlineStr">
        <is>
          <t>Confirmado = estado bancario</t>
        </is>
      </c>
      <c r="G8" s="19" t="inlineStr">
        <is>
          <t>NIA 505</t>
        </is>
      </c>
    </row>
    <row r="9">
      <c r="A9" s="18" t="inlineStr">
        <is>
          <t>CAJ-05</t>
        </is>
      </c>
      <c r="B9" s="18" t="inlineStr">
        <is>
          <t>Corte</t>
        </is>
      </c>
      <c r="C9" s="18" t="inlineStr">
        <is>
          <t>Corte</t>
        </is>
      </c>
      <c r="D9" s="18" t="inlineStr">
        <is>
          <t>Comparar fechas en libros y en el banco de depósitos en tránsito y cheques alrededor del cierre</t>
        </is>
      </c>
      <c r="E9" s="18" t="inlineStr">
        <is>
          <t>Libro bancos y estados bancarios de diciembre y enero</t>
        </is>
      </c>
      <c r="F9" s="18" t="inlineStr">
        <is>
          <t>Acreditación dentro de la ventana</t>
        </is>
      </c>
      <c r="G9" s="18" t="inlineStr">
        <is>
          <t>NIA 240 párr. 31 y Anexo 2 · NIA 330</t>
        </is>
      </c>
    </row>
    <row r="10">
      <c r="A10" s="19" t="inlineStr">
        <is>
          <t>CAJ-06</t>
        </is>
      </c>
      <c r="B10" s="19" t="inlineStr">
        <is>
          <t>Efectivo restringido</t>
        </is>
      </c>
      <c r="C10" s="19" t="inlineStr">
        <is>
          <t>Presentación</t>
        </is>
      </c>
      <c r="D10" s="19" t="inlineStr">
        <is>
          <t>Identificar restricciones, garantías y embargos; clasificar y revelar</t>
        </is>
      </c>
      <c r="E10" s="19" t="inlineStr">
        <is>
          <t>Contratos, respuestas bancarias, actas</t>
        </is>
      </c>
      <c r="F10" s="19" t="inlineStr">
        <is>
          <t>Restringido revelado; no corriente el de al menos doce meses</t>
        </is>
      </c>
      <c r="G10" s="19" t="inlineStr">
        <is>
          <t>NIC 7.48 · NIC 1.66 d) · PYMES 7.21 y 4.5 d)</t>
        </is>
      </c>
    </row>
    <row r="11">
      <c r="A11" s="18" t="inlineStr">
        <is>
          <t>CAJ-07</t>
        </is>
      </c>
      <c r="B11" s="18" t="inlineStr">
        <is>
          <t>Definición de equivalentes</t>
        </is>
      </c>
      <c r="C11" s="18" t="inlineStr">
        <is>
          <t>Clasificación</t>
        </is>
      </c>
      <c r="D11" s="18" t="inlineStr">
        <is>
          <t>Evaluar plazo desde la adquisición, liquidez y riesgo de cada inversión</t>
        </is>
      </c>
      <c r="E11" s="18" t="inlineStr">
        <is>
          <t>Certificados y contratos de inversión</t>
        </is>
      </c>
      <c r="F11" s="18" t="inlineStr">
        <is>
          <t>Vence en tres meses o menos desde la adquisición, con gran liquidez y riesgo poco significativo; si no, reclasificar</t>
        </is>
      </c>
      <c r="G11" s="18" t="inlineStr">
        <is>
          <t>NIC 7.6–7.7 · PYMES 7.2</t>
        </is>
      </c>
    </row>
    <row r="12">
      <c r="A12" s="19" t="inlineStr">
        <is>
          <t>CAJ-08</t>
        </is>
      </c>
      <c r="B12" s="19" t="inlineStr">
        <is>
          <t>Presentación y revelación</t>
        </is>
      </c>
      <c r="C12" s="19" t="inlineStr">
        <is>
          <t>Presentación</t>
        </is>
      </c>
      <c r="D12" s="19" t="inlineStr">
        <is>
          <t>Cotejar la nota de efectivo con la composición auditada y la política de composición</t>
        </is>
      </c>
      <c r="E12" s="19" t="inlineStr">
        <is>
          <t>Estados financieros y nota</t>
        </is>
      </c>
      <c r="F12" s="19" t="inlineStr">
        <is>
          <t>Nota completa</t>
        </is>
      </c>
      <c r="G12" s="19" t="inlineStr">
        <is>
          <t>NIC 7.45–7.46 · PYMES 7.20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32" customWidth="1" min="3" max="3"/>
    <col width="12" customWidth="1" min="4" max="4"/>
    <col width="12" customWidth="1" min="5" max="5"/>
  </cols>
  <sheetData>
    <row r="1">
      <c r="A1" s="3" t="inlineStr">
        <is>
          <t>Base técnica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Efectivo y equivalentes de efectivo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Categoría</t>
        </is>
      </c>
      <c r="B4" s="17" t="inlineStr">
        <is>
          <t>Documento</t>
        </is>
      </c>
      <c r="C4" s="17" t="inlineStr">
        <is>
          <t>Párrafos</t>
        </is>
      </c>
      <c r="D4" s="17" t="inlineStr">
        <is>
          <t>URL</t>
        </is>
      </c>
      <c r="E4" s="17" t="inlineStr">
        <is>
          <t>Verificada</t>
        </is>
      </c>
    </row>
    <row r="5">
      <c r="A5" s="18" t="inlineStr">
        <is>
          <t>NIA · NIA 505</t>
        </is>
      </c>
      <c r="B5" s="18" t="inlineStr">
        <is>
          <t>Confirmación bancaria bajo control del auditor; sin respuesta, procedimientos alternativos.</t>
        </is>
      </c>
      <c r="C5" s="18" t="inlineStr">
        <is>
          <t>párr. 7 y 12</t>
        </is>
      </c>
      <c r="D5" s="18" t="inlineStr"/>
      <c r="E5" s="18" t="inlineStr"/>
    </row>
    <row r="6">
      <c r="A6" s="19" t="inlineStr">
        <is>
          <t>NIA · NIA 500</t>
        </is>
      </c>
      <c r="B6" s="19" t="inlineStr">
        <is>
          <t>Exactitud e integridad de la información del cliente (conciliaciones y anexos).</t>
        </is>
      </c>
      <c r="C6" s="19" t="inlineStr">
        <is>
          <t>párr. 9</t>
        </is>
      </c>
      <c r="D6" s="19" t="inlineStr"/>
      <c r="E6" s="19" t="inlineStr"/>
    </row>
    <row r="7">
      <c r="A7" s="18" t="inlineStr">
        <is>
          <t>NIA · NIA 330</t>
        </is>
      </c>
      <c r="B7" s="18" t="inlineStr">
        <is>
          <t>Conciliar los estados financieros con los registros contables.</t>
        </is>
      </c>
      <c r="C7" s="18" t="inlineStr">
        <is>
          <t>párr. 20 a)</t>
        </is>
      </c>
      <c r="D7" s="18" t="inlineStr"/>
      <c r="E7" s="18" t="inlineStr"/>
    </row>
    <row r="8">
      <c r="A8" s="19" t="inlineStr">
        <is>
          <t>NIA · NIA 240</t>
        </is>
      </c>
      <c r="B8" s="19" t="inlineStr">
        <is>
          <t>Corte y movimientos alrededor del cierre como riesgo de fraude (numeración del Manual IAASB 2023-2024; la NIA 240 revisada de 2025 cambia la numeración).</t>
        </is>
      </c>
      <c r="C8" s="19" t="inlineStr">
        <is>
          <t>párr. 27, 31 y Anexo 2 (corte)</t>
        </is>
      </c>
      <c r="D8" s="19" t="inlineStr"/>
      <c r="E8" s="19" t="inlineStr"/>
    </row>
    <row r="9">
      <c r="A9" s="18" t="inlineStr">
        <is>
          <t>NIA · NIA 450</t>
        </is>
      </c>
      <c r="B9" s="18" t="inlineStr">
        <is>
          <t>Acumular y evaluar las diferencias no explicadas y los ajustes.</t>
        </is>
      </c>
      <c r="C9" s="18" t="inlineStr">
        <is>
          <t>párr. 5 y 11</t>
        </is>
      </c>
      <c r="D9" s="18" t="inlineStr"/>
      <c r="E9" s="18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7" customWidth="1" min="1" max="1"/>
    <col width="12" customWidth="1" min="2" max="2"/>
  </cols>
  <sheetData>
    <row r="1">
      <c r="A1" s="3" t="inlineStr">
        <is>
          <t>Resumen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Efectivo y equivalentes de efectivo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</row>
    <row r="5">
      <c r="A5" s="18" t="inlineStr">
        <is>
          <t>Efectivo y equivalentes según libros</t>
        </is>
      </c>
      <c r="B5" s="20">
        <f>'10_Efectivo_auditado'!B5</f>
        <v/>
      </c>
    </row>
    <row r="6">
      <c r="A6" s="19" t="inlineStr">
        <is>
          <t>Notas bancarias no registradas (crédito − débito)</t>
        </is>
      </c>
      <c r="B6" s="21">
        <f>'10_Efectivo_auditado'!B8</f>
        <v/>
      </c>
    </row>
    <row r="7">
      <c r="A7" s="18" t="inlineStr">
        <is>
          <t>Reclasificación a no corriente (restricción ≥ 12 meses)</t>
        </is>
      </c>
      <c r="B7" s="20">
        <f>'10_Efectivo_auditado'!B9</f>
        <v/>
      </c>
    </row>
    <row r="8">
      <c r="A8" s="19" t="inlineStr">
        <is>
          <t>Reclasificación de inversiones que no son equivalentes</t>
        </is>
      </c>
      <c r="B8" s="21">
        <f>'10_Efectivo_auditado'!B11</f>
        <v/>
      </c>
    </row>
    <row r="9">
      <c r="A9" s="18" t="inlineStr">
        <is>
          <t>Efectivo y equivalentes auditado</t>
        </is>
      </c>
      <c r="B9" s="20">
        <f>'10_Efectivo_auditado'!B12</f>
        <v/>
      </c>
    </row>
    <row r="10">
      <c r="A10" s="19" t="inlineStr">
        <is>
          <t>Ajuste propuesto (auditado − libros)</t>
        </is>
      </c>
      <c r="B10" s="21">
        <f>'10_Efectivo_auditado'!B13</f>
        <v/>
      </c>
    </row>
    <row r="11">
      <c r="A11" s="18" t="inlineStr">
        <is>
          <t>Diferencias de conciliación no explicadas (absolutas)</t>
        </is>
      </c>
      <c r="B11" s="20">
        <f>'10_Efectivo_auditado'!B17</f>
        <v/>
      </c>
    </row>
    <row r="12">
      <c r="A12" s="19" t="inlineStr">
        <is>
          <t>Diferencias de confirmación (absolutas)</t>
        </is>
      </c>
      <c r="B12" s="21">
        <f>'10_Efectivo_auditado'!B18</f>
        <v/>
      </c>
    </row>
    <row r="13">
      <c r="A13" s="18" t="inlineStr">
        <is>
          <t>Partidas conciliatorias antiguas</t>
        </is>
      </c>
      <c r="B13" s="20">
        <f>'10_Efectivo_auditado'!B19</f>
        <v/>
      </c>
    </row>
    <row r="14">
      <c r="A14" s="19" t="inlineStr">
        <is>
          <t>Partidas no depuradas después del corte</t>
        </is>
      </c>
      <c r="B14" s="21">
        <f>'10_Efectivo_auditado'!B20</f>
        <v/>
      </c>
    </row>
    <row r="16">
      <c r="A16" s="22" t="inlineStr">
        <is>
          <t>ⓘ  Cómo se calcula esta hoja</t>
        </is>
      </c>
    </row>
    <row r="17">
      <c r="A17" s="23" t="inlineStr">
        <is>
          <t>Columna</t>
        </is>
      </c>
      <c r="B17" s="23" t="inlineStr">
        <is>
          <t>Fórmula (Excel)</t>
        </is>
      </c>
      <c r="C17" s="23" t="inlineStr">
        <is>
          <t>Cómo se calcula (sencillo)</t>
        </is>
      </c>
      <c r="D17" s="23" t="inlineStr">
        <is>
          <t>Ejemplo con números reales</t>
        </is>
      </c>
      <c r="E17" s="23" t="inlineStr">
        <is>
          <t>De dónde viene</t>
        </is>
      </c>
      <c r="F17" s="23" t="inlineStr">
        <is>
          <t>Norma</t>
        </is>
      </c>
    </row>
    <row r="18">
      <c r="A18" s="24" t="inlineStr">
        <is>
          <t>Importe</t>
        </is>
      </c>
      <c r="B18" s="25" t="inlineStr">
        <is>
          <t>'='10_Efectivo_auditado'!B5</t>
        </is>
      </c>
      <c r="C18" s="24" t="inlineStr">
        <is>
          <t>Trae cada importe, concepto por concepto, de la hoja 10 (Efectivo auditado y ajuste), donde se calcula el efectivo auditado, las reclasificaciones y las diferencias encontradas.</t>
        </is>
      </c>
      <c r="D18" s="24" t="inlineStr">
        <is>
          <t>Fila 1: 274.630,50 → 274.630,50</t>
        </is>
      </c>
      <c r="E18" s="24" t="inlineStr">
        <is>
          <t>hoja «Efectivo auditado y ajuste»</t>
        </is>
      </c>
      <c r="F18" s="24" t="inlineStr">
        <is>
          <t>—</t>
        </is>
      </c>
    </row>
  </sheetData>
  <mergeCells count="3">
    <mergeCell ref="A2:F2"/>
    <mergeCell ref="A16:F16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7" customWidth="1" min="1" max="1"/>
    <col width="16" customWidth="1" min="2" max="2"/>
    <col width="60" customWidth="1" min="3" max="3"/>
  </cols>
  <sheetData>
    <row r="1">
      <c r="A1" s="3" t="inlineStr">
        <is>
          <t>Parámetros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Efectivo y equivalentes de efectivo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Parámetro</t>
        </is>
      </c>
      <c r="B4" s="17" t="inlineStr">
        <is>
          <t>Valor</t>
        </is>
      </c>
      <c r="C4" s="17" t="inlineStr">
        <is>
          <t>Sustento</t>
        </is>
      </c>
    </row>
    <row r="5">
      <c r="A5" s="18" t="inlineStr">
        <is>
          <t>Fecha de corte</t>
        </is>
      </c>
      <c r="B5" s="26" t="n">
        <v>46022</v>
      </c>
      <c r="C5" s="18" t="inlineStr">
        <is>
          <t>Ficha del encargo</t>
        </is>
      </c>
    </row>
    <row r="6">
      <c r="A6" s="19" t="inlineStr">
        <is>
          <t>Partida antigua desde (días al corte)</t>
        </is>
      </c>
      <c r="B6" s="27" t="n">
        <v>90</v>
      </c>
      <c r="C6" s="19" t="inlineStr">
        <is>
          <t>Juicio del auditor (antigüedad de partidas conciliatorias)</t>
        </is>
      </c>
    </row>
    <row r="7">
      <c r="A7" s="18" t="inlineStr">
        <is>
          <t>Días para que el banco acredite un depósito en tránsito</t>
        </is>
      </c>
      <c r="B7" s="28" t="n">
        <v>5</v>
      </c>
      <c r="C7" s="18" t="inlineStr">
        <is>
          <t>Juicio del auditor (prueba de corte, NIA 240 párr. 31 y Anexo 2)</t>
        </is>
      </c>
    </row>
    <row r="8">
      <c r="A8" s="19" t="inlineStr">
        <is>
          <t>Plazo de un equivalente (meses desde la adquisición)</t>
        </is>
      </c>
      <c r="B8" s="27" t="n">
        <v>3</v>
      </c>
      <c r="C8" s="19" t="inlineStr">
        <is>
          <t>NIC 7.6–7.7: «tres meses o menos desde la fecha de adquisición» (presunción: la definición exige además gran liquidez y riesgo poco significativo de cambios de valor)</t>
        </is>
      </c>
    </row>
    <row r="9">
      <c r="A9" s="18" t="inlineStr">
        <is>
          <t>Meses de restricción que la hacen no corriente</t>
        </is>
      </c>
      <c r="B9" s="28" t="n">
        <v>12</v>
      </c>
      <c r="C9" s="18" t="inlineStr">
        <is>
          <t>NIC 7.48 y NIC 1.66 d) (al corte 2025 aplica la NIC 1; la NIIF 18 rige para ejercicios desde el 1-1-2027; desde 2027 el requisito pasa a NIIF 18 párr. 99 d))</t>
        </is>
      </c>
    </row>
    <row r="10">
      <c r="A10" s="19" t="inlineStr">
        <is>
          <t>Tolerancia de diferencias (USD)</t>
        </is>
      </c>
      <c r="B10" s="27" t="n">
        <v>0</v>
      </c>
      <c r="C10" s="19" t="inlineStr">
        <is>
          <t>Juicio del auditor; 0 = toda diferencia se reporta</t>
        </is>
      </c>
    </row>
    <row r="11">
      <c r="A11" s="18" t="inlineStr">
        <is>
          <t>Marco del encargo</t>
        </is>
      </c>
      <c r="B11" s="18" t="inlineStr">
        <is>
          <t>NIIF completas</t>
        </is>
      </c>
      <c r="C11" s="18" t="inlineStr">
        <is>
          <t>El cálculo es el mismo en ambos marcos; cambian las referencias citadas</t>
        </is>
      </c>
    </row>
    <row r="12">
      <c r="A12" s="19" t="inlineStr">
        <is>
          <t>Definición de equivalentes</t>
        </is>
      </c>
      <c r="B12" s="19" t="inlineStr">
        <is>
          <t>NIC 7.6–7.7</t>
        </is>
      </c>
      <c r="C12" s="19" t="inlineStr">
        <is>
          <t>Inversión a corto plazo, gran liquidez, riesgo poco significativo de cambios de valor</t>
        </is>
      </c>
    </row>
    <row r="13">
      <c r="A13" s="18" t="inlineStr">
        <is>
          <t>Composición y conciliación con el estado de situación</t>
        </is>
      </c>
      <c r="B13" s="18" t="inlineStr">
        <is>
          <t>NIC 7.45–7.46</t>
        </is>
      </c>
      <c r="C13" s="18" t="inlineStr">
        <is>
          <t>Revelar componentes y política de composición</t>
        </is>
      </c>
    </row>
    <row r="14">
      <c r="A14" s="19" t="inlineStr">
        <is>
          <t>Límite de la restricción (corte + meses)</t>
        </is>
      </c>
      <c r="B14" s="29" t="n">
        <v>46387</v>
      </c>
      <c r="C14" s="19" t="inlineStr">
        <is>
          <t>EDATE(corte; meses): después de esta fecha → no corriente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32" customWidth="1" min="4" max="4"/>
    <col width="27" customWidth="1" min="5" max="5"/>
    <col width="24" customWidth="1" min="6" max="6"/>
    <col width="37" customWidth="1" min="7" max="7"/>
    <col width="36" customWidth="1" min="8" max="8"/>
    <col width="20" customWidth="1" min="9" max="9"/>
    <col width="35" customWidth="1" min="10" max="10"/>
    <col width="20" customWidth="1" min="11" max="11"/>
    <col width="25" customWidth="1" min="12" max="12"/>
    <col width="26" customWidth="1" min="13" max="13"/>
    <col width="19" customWidth="1" min="14" max="14"/>
  </cols>
  <sheetData>
    <row r="1">
      <c r="A1" s="3" t="inlineStr">
        <is>
          <t>Conciliación bancaria por cuenta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Efectivo y equivalentes de efectivo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</row>
    <row r="4" ht="30" customHeight="1">
      <c r="A4" s="17" t="inlineStr">
        <is>
          <t>Cuenta</t>
        </is>
      </c>
      <c r="B4" s="17" t="inlineStr">
        <is>
          <t>Banco / caja</t>
        </is>
      </c>
      <c r="C4" s="17" t="inlineStr">
        <is>
          <t>Tipo</t>
        </is>
      </c>
      <c r="D4" s="17" t="inlineStr">
        <is>
          <t>Saldo estado bancario / arqueo</t>
        </is>
      </c>
      <c r="E4" s="17" t="inlineStr">
        <is>
          <t>(+) Depósitos en tránsito</t>
        </is>
      </c>
      <c r="F4" s="17" t="inlineStr">
        <is>
          <t>(−) Cheques pendientes</t>
        </is>
      </c>
      <c r="G4" s="17" t="inlineStr">
        <is>
          <t>(−) Notas de crédito no registradas</t>
        </is>
      </c>
      <c r="H4" s="17" t="inlineStr">
        <is>
          <t>(+) Notas de débito no registradas</t>
        </is>
      </c>
      <c r="I4" s="17" t="inlineStr">
        <is>
          <t>(±) Otras partidas</t>
        </is>
      </c>
      <c r="J4" s="17" t="inlineStr">
        <is>
          <t>Saldo que explica la conciliación</t>
        </is>
      </c>
      <c r="K4" s="17" t="inlineStr">
        <is>
          <t>Saldo según libros</t>
        </is>
      </c>
      <c r="L4" s="17" t="inlineStr">
        <is>
          <t>Diferencia no explicada</t>
        </is>
      </c>
      <c r="M4" s="17" t="inlineStr">
        <is>
          <t>Saldo ajustado de libros</t>
        </is>
      </c>
      <c r="N4" s="17" t="inlineStr">
        <is>
          <t>Efectivo auditado</t>
        </is>
      </c>
    </row>
    <row r="5">
      <c r="A5" s="18" t="inlineStr">
        <is>
          <t>1.1.01.01</t>
        </is>
      </c>
      <c r="B5" s="18" t="inlineStr">
        <is>
          <t>Caja general</t>
        </is>
      </c>
      <c r="C5" s="18" t="inlineStr">
        <is>
          <t>Caja</t>
        </is>
      </c>
      <c r="D5" s="20" t="n">
        <v>500</v>
      </c>
      <c r="E5" s="20">
        <f>SUMIFS('04_Partidas'!$F$5:$F$13,'04_Partidas'!$B$5:$B$13,A5,'04_Partidas'!$C$5:$C$13,"Depósito en tránsito")</f>
        <v/>
      </c>
      <c r="F5" s="20">
        <f>SUMIFS('04_Partidas'!$F$5:$F$13,'04_Partidas'!$B$5:$B$13,A5,'04_Partidas'!$C$5:$C$13,"Cheque pendiente")</f>
        <v/>
      </c>
      <c r="G5" s="20">
        <f>SUMIFS('04_Partidas'!$F$5:$F$13,'04_Partidas'!$B$5:$B$13,A5,'04_Partidas'!$C$5:$C$13,"Nota de crédito")</f>
        <v/>
      </c>
      <c r="H5" s="20">
        <f>SUMIFS('04_Partidas'!$F$5:$F$13,'04_Partidas'!$B$5:$B$13,A5,'04_Partidas'!$C$5:$C$13,"Nota de débito")</f>
        <v/>
      </c>
      <c r="I5" s="20">
        <f>SUMIFS('04_Partidas'!$F$5:$F$13,'04_Partidas'!$B$5:$B$13,A5,'04_Partidas'!$C$5:$C$13,"Otra partida")</f>
        <v/>
      </c>
      <c r="J5" s="20">
        <f>IF(D5="","",D5+E5-F5-G5+H5+I5)</f>
        <v/>
      </c>
      <c r="K5" s="20" t="n">
        <v>500</v>
      </c>
      <c r="L5" s="20">
        <f>IF(J5="","",ROUND(K5-J5,2))</f>
        <v/>
      </c>
      <c r="M5" s="20">
        <f>K5+G5-H5</f>
        <v/>
      </c>
      <c r="N5" s="20">
        <f>M5-SUMIF('08_Restringido'!$A$5:$A$6,A5,'08_Restringido'!$I$5:$I$6)-SUMIF('09_Equivalentes'!$A$5:$A$6,A5,'09_Equivalentes'!$I$5:$I$6)</f>
        <v/>
      </c>
    </row>
    <row r="6">
      <c r="A6" s="19" t="inlineStr">
        <is>
          <t>1.1.01.02</t>
        </is>
      </c>
      <c r="B6" s="19" t="inlineStr">
        <is>
          <t>Caja chica</t>
        </is>
      </c>
      <c r="C6" s="19" t="inlineStr">
        <is>
          <t>Caja</t>
        </is>
      </c>
      <c r="D6" s="21" t="n">
        <v>300</v>
      </c>
      <c r="E6" s="21">
        <f>SUMIFS('04_Partidas'!$F$5:$F$13,'04_Partidas'!$B$5:$B$13,A6,'04_Partidas'!$C$5:$C$13,"Depósito en tránsito")</f>
        <v/>
      </c>
      <c r="F6" s="21">
        <f>SUMIFS('04_Partidas'!$F$5:$F$13,'04_Partidas'!$B$5:$B$13,A6,'04_Partidas'!$C$5:$C$13,"Cheque pendiente")</f>
        <v/>
      </c>
      <c r="G6" s="21">
        <f>SUMIFS('04_Partidas'!$F$5:$F$13,'04_Partidas'!$B$5:$B$13,A6,'04_Partidas'!$C$5:$C$13,"Nota de crédito")</f>
        <v/>
      </c>
      <c r="H6" s="21">
        <f>SUMIFS('04_Partidas'!$F$5:$F$13,'04_Partidas'!$B$5:$B$13,A6,'04_Partidas'!$C$5:$C$13,"Nota de débito")</f>
        <v/>
      </c>
      <c r="I6" s="21">
        <f>SUMIFS('04_Partidas'!$F$5:$F$13,'04_Partidas'!$B$5:$B$13,A6,'04_Partidas'!$C$5:$C$13,"Otra partida")</f>
        <v/>
      </c>
      <c r="J6" s="21">
        <f>IF(D6="","",D6+E6-F6-G6+H6+I6)</f>
        <v/>
      </c>
      <c r="K6" s="21" t="n">
        <v>300</v>
      </c>
      <c r="L6" s="21">
        <f>IF(J6="","",ROUND(K6-J6,2))</f>
        <v/>
      </c>
      <c r="M6" s="21">
        <f>K6+G6-H6</f>
        <v/>
      </c>
      <c r="N6" s="21">
        <f>M6-SUMIF('08_Restringido'!$A$5:$A$6,A6,'08_Restringido'!$I$5:$I$6)-SUMIF('09_Equivalentes'!$A$5:$A$6,A6,'09_Equivalentes'!$I$5:$I$6)</f>
        <v/>
      </c>
    </row>
    <row r="7">
      <c r="A7" s="18" t="inlineStr">
        <is>
          <t>1.1.02.01</t>
        </is>
      </c>
      <c r="B7" s="18" t="inlineStr">
        <is>
          <t>Banco Pichincha Cte. ***4521</t>
        </is>
      </c>
      <c r="C7" s="18" t="inlineStr">
        <is>
          <t>Banco</t>
        </is>
      </c>
      <c r="D7" s="20" t="n">
        <v>131210.5</v>
      </c>
      <c r="E7" s="20">
        <f>SUMIFS('04_Partidas'!$F$5:$F$13,'04_Partidas'!$B$5:$B$13,A7,'04_Partidas'!$C$5:$C$13,"Depósito en tránsito")</f>
        <v/>
      </c>
      <c r="F7" s="20">
        <f>SUMIFS('04_Partidas'!$F$5:$F$13,'04_Partidas'!$B$5:$B$13,A7,'04_Partidas'!$C$5:$C$13,"Cheque pendiente")</f>
        <v/>
      </c>
      <c r="G7" s="20">
        <f>SUMIFS('04_Partidas'!$F$5:$F$13,'04_Partidas'!$B$5:$B$13,A7,'04_Partidas'!$C$5:$C$13,"Nota de crédito")</f>
        <v/>
      </c>
      <c r="H7" s="20">
        <f>SUMIFS('04_Partidas'!$F$5:$F$13,'04_Partidas'!$B$5:$B$13,A7,'04_Partidas'!$C$5:$C$13,"Nota de débito")</f>
        <v/>
      </c>
      <c r="I7" s="20">
        <f>SUMIFS('04_Partidas'!$F$5:$F$13,'04_Partidas'!$B$5:$B$13,A7,'04_Partidas'!$C$5:$C$13,"Otra partida")</f>
        <v/>
      </c>
      <c r="J7" s="20">
        <f>IF(D7="","",D7+E7-F7-G7+H7+I7)</f>
        <v/>
      </c>
      <c r="K7" s="20" t="n">
        <v>125680.5</v>
      </c>
      <c r="L7" s="20">
        <f>IF(J7="","",ROUND(K7-J7,2))</f>
        <v/>
      </c>
      <c r="M7" s="20">
        <f>K7+G7-H7</f>
        <v/>
      </c>
      <c r="N7" s="20">
        <f>M7-SUMIF('08_Restringido'!$A$5:$A$6,A7,'08_Restringido'!$I$5:$I$6)-SUMIF('09_Equivalentes'!$A$5:$A$6,A7,'09_Equivalentes'!$I$5:$I$6)</f>
        <v/>
      </c>
    </row>
    <row r="8">
      <c r="A8" s="19" t="inlineStr">
        <is>
          <t>1.1.02.02</t>
        </is>
      </c>
      <c r="B8" s="19" t="inlineStr">
        <is>
          <t>Banco Guayaquil Aho. ***7788</t>
        </is>
      </c>
      <c r="C8" s="19" t="inlineStr">
        <is>
          <t>Banco</t>
        </is>
      </c>
      <c r="D8" s="21" t="n">
        <v>45900</v>
      </c>
      <c r="E8" s="21">
        <f>SUMIFS('04_Partidas'!$F$5:$F$13,'04_Partidas'!$B$5:$B$13,A8,'04_Partidas'!$C$5:$C$13,"Depósito en tránsito")</f>
        <v/>
      </c>
      <c r="F8" s="21">
        <f>SUMIFS('04_Partidas'!$F$5:$F$13,'04_Partidas'!$B$5:$B$13,A8,'04_Partidas'!$C$5:$C$13,"Cheque pendiente")</f>
        <v/>
      </c>
      <c r="G8" s="21">
        <f>SUMIFS('04_Partidas'!$F$5:$F$13,'04_Partidas'!$B$5:$B$13,A8,'04_Partidas'!$C$5:$C$13,"Nota de crédito")</f>
        <v/>
      </c>
      <c r="H8" s="21">
        <f>SUMIFS('04_Partidas'!$F$5:$F$13,'04_Partidas'!$B$5:$B$13,A8,'04_Partidas'!$C$5:$C$13,"Nota de débito")</f>
        <v/>
      </c>
      <c r="I8" s="21">
        <f>SUMIFS('04_Partidas'!$F$5:$F$13,'04_Partidas'!$B$5:$B$13,A8,'04_Partidas'!$C$5:$C$13,"Otra partida")</f>
        <v/>
      </c>
      <c r="J8" s="21">
        <f>IF(D8="","",D8+E8-F8-G8+H8+I8)</f>
        <v/>
      </c>
      <c r="K8" s="21" t="n">
        <v>47700</v>
      </c>
      <c r="L8" s="21">
        <f>IF(J8="","",ROUND(K8-J8,2))</f>
        <v/>
      </c>
      <c r="M8" s="21">
        <f>K8+G8-H8</f>
        <v/>
      </c>
      <c r="N8" s="21">
        <f>M8-SUMIF('08_Restringido'!$A$5:$A$6,A8,'08_Restringido'!$I$5:$I$6)-SUMIF('09_Equivalentes'!$A$5:$A$6,A8,'09_Equivalentes'!$I$5:$I$6)</f>
        <v/>
      </c>
    </row>
    <row r="9">
      <c r="A9" s="18" t="inlineStr">
        <is>
          <t>1.1.02.03</t>
        </is>
      </c>
      <c r="B9" s="18" t="inlineStr">
        <is>
          <t>Produbanco Cte. ***3390</t>
        </is>
      </c>
      <c r="C9" s="18" t="inlineStr">
        <is>
          <t>Banco</t>
        </is>
      </c>
      <c r="D9" s="20" t="n">
        <v>22000</v>
      </c>
      <c r="E9" s="20">
        <f>SUMIFS('04_Partidas'!$F$5:$F$13,'04_Partidas'!$B$5:$B$13,A9,'04_Partidas'!$C$5:$C$13,"Depósito en tránsito")</f>
        <v/>
      </c>
      <c r="F9" s="20">
        <f>SUMIFS('04_Partidas'!$F$5:$F$13,'04_Partidas'!$B$5:$B$13,A9,'04_Partidas'!$C$5:$C$13,"Cheque pendiente")</f>
        <v/>
      </c>
      <c r="G9" s="20">
        <f>SUMIFS('04_Partidas'!$F$5:$F$13,'04_Partidas'!$B$5:$B$13,A9,'04_Partidas'!$C$5:$C$13,"Nota de crédito")</f>
        <v/>
      </c>
      <c r="H9" s="20">
        <f>SUMIFS('04_Partidas'!$F$5:$F$13,'04_Partidas'!$B$5:$B$13,A9,'04_Partidas'!$C$5:$C$13,"Nota de débito")</f>
        <v/>
      </c>
      <c r="I9" s="20">
        <f>SUMIFS('04_Partidas'!$F$5:$F$13,'04_Partidas'!$B$5:$B$13,A9,'04_Partidas'!$C$5:$C$13,"Otra partida")</f>
        <v/>
      </c>
      <c r="J9" s="20">
        <f>IF(D9="","",D9+E9-F9-G9+H9+I9)</f>
        <v/>
      </c>
      <c r="K9" s="20" t="n">
        <v>22000</v>
      </c>
      <c r="L9" s="20">
        <f>IF(J9="","",ROUND(K9-J9,2))</f>
        <v/>
      </c>
      <c r="M9" s="20">
        <f>K9+G9-H9</f>
        <v/>
      </c>
      <c r="N9" s="20">
        <f>M9-SUMIF('08_Restringido'!$A$5:$A$6,A9,'08_Restringido'!$I$5:$I$6)-SUMIF('09_Equivalentes'!$A$5:$A$6,A9,'09_Equivalentes'!$I$5:$I$6)</f>
        <v/>
      </c>
    </row>
    <row r="10">
      <c r="A10" s="19" t="inlineStr">
        <is>
          <t>1.1.02.04</t>
        </is>
      </c>
      <c r="B10" s="19" t="inlineStr">
        <is>
          <t>Banco Internacional Cte. ***1102</t>
        </is>
      </c>
      <c r="C10" s="19" t="inlineStr">
        <is>
          <t>Banco</t>
        </is>
      </c>
      <c r="D10" s="21" t="n">
        <v>1200</v>
      </c>
      <c r="E10" s="21">
        <f>SUMIFS('04_Partidas'!$F$5:$F$13,'04_Partidas'!$B$5:$B$13,A10,'04_Partidas'!$C$5:$C$13,"Depósito en tránsito")</f>
        <v/>
      </c>
      <c r="F10" s="21">
        <f>SUMIFS('04_Partidas'!$F$5:$F$13,'04_Partidas'!$B$5:$B$13,A10,'04_Partidas'!$C$5:$C$13,"Cheque pendiente")</f>
        <v/>
      </c>
      <c r="G10" s="21">
        <f>SUMIFS('04_Partidas'!$F$5:$F$13,'04_Partidas'!$B$5:$B$13,A10,'04_Partidas'!$C$5:$C$13,"Nota de crédito")</f>
        <v/>
      </c>
      <c r="H10" s="21">
        <f>SUMIFS('04_Partidas'!$F$5:$F$13,'04_Partidas'!$B$5:$B$13,A10,'04_Partidas'!$C$5:$C$13,"Nota de débito")</f>
        <v/>
      </c>
      <c r="I10" s="21">
        <f>SUMIFS('04_Partidas'!$F$5:$F$13,'04_Partidas'!$B$5:$B$13,A10,'04_Partidas'!$C$5:$C$13,"Otra partida")</f>
        <v/>
      </c>
      <c r="J10" s="21">
        <f>IF(D10="","",D10+E10-F10-G10+H10+I10)</f>
        <v/>
      </c>
      <c r="K10" s="21" t="n">
        <v>1650</v>
      </c>
      <c r="L10" s="21">
        <f>IF(J10="","",ROUND(K10-J10,2))</f>
        <v/>
      </c>
      <c r="M10" s="21">
        <f>K10+G10-H10</f>
        <v/>
      </c>
      <c r="N10" s="21">
        <f>M10-SUMIF('08_Restringido'!$A$5:$A$6,A10,'08_Restringido'!$I$5:$I$6)-SUMIF('09_Equivalentes'!$A$5:$A$6,A10,'09_Equivalentes'!$I$5:$I$6)</f>
        <v/>
      </c>
    </row>
    <row r="11">
      <c r="A11" s="18" t="inlineStr">
        <is>
          <t>1.1.02.05</t>
        </is>
      </c>
      <c r="B11" s="18" t="inlineStr">
        <is>
          <t>Banco Bolivariano Cte. ***5566</t>
        </is>
      </c>
      <c r="C11" s="18" t="inlineStr">
        <is>
          <t>Banco</t>
        </is>
      </c>
      <c r="D11" s="20" t="n">
        <v>-3200</v>
      </c>
      <c r="E11" s="20">
        <f>SUMIFS('04_Partidas'!$F$5:$F$13,'04_Partidas'!$B$5:$B$13,A11,'04_Partidas'!$C$5:$C$13,"Depósito en tránsito")</f>
        <v/>
      </c>
      <c r="F11" s="20">
        <f>SUMIFS('04_Partidas'!$F$5:$F$13,'04_Partidas'!$B$5:$B$13,A11,'04_Partidas'!$C$5:$C$13,"Cheque pendiente")</f>
        <v/>
      </c>
      <c r="G11" s="20">
        <f>SUMIFS('04_Partidas'!$F$5:$F$13,'04_Partidas'!$B$5:$B$13,A11,'04_Partidas'!$C$5:$C$13,"Nota de crédito")</f>
        <v/>
      </c>
      <c r="H11" s="20">
        <f>SUMIFS('04_Partidas'!$F$5:$F$13,'04_Partidas'!$B$5:$B$13,A11,'04_Partidas'!$C$5:$C$13,"Nota de débito")</f>
        <v/>
      </c>
      <c r="I11" s="20">
        <f>SUMIFS('04_Partidas'!$F$5:$F$13,'04_Partidas'!$B$5:$B$13,A11,'04_Partidas'!$C$5:$C$13,"Otra partida")</f>
        <v/>
      </c>
      <c r="J11" s="20">
        <f>IF(D11="","",D11+E11-F11-G11+H11+I11)</f>
        <v/>
      </c>
      <c r="K11" s="20" t="n">
        <v>-3200</v>
      </c>
      <c r="L11" s="20">
        <f>IF(J11="","",ROUND(K11-J11,2))</f>
        <v/>
      </c>
      <c r="M11" s="20">
        <f>K11+G11-H11</f>
        <v/>
      </c>
      <c r="N11" s="20">
        <f>M11-SUMIF('08_Restringido'!$A$5:$A$6,A11,'08_Restringido'!$I$5:$I$6)-SUMIF('09_Equivalentes'!$A$5:$A$6,A11,'09_Equivalentes'!$I$5:$I$6)</f>
        <v/>
      </c>
    </row>
    <row r="12">
      <c r="A12" s="19" t="inlineStr">
        <is>
          <t>1.1.03.01</t>
        </is>
      </c>
      <c r="B12" s="19" t="inlineStr">
        <is>
          <t>Póliza de acumulación Pichincha 60 días</t>
        </is>
      </c>
      <c r="C12" s="19" t="inlineStr">
        <is>
          <t>Inversión</t>
        </is>
      </c>
      <c r="D12" s="21" t="n">
        <v>50000</v>
      </c>
      <c r="E12" s="21">
        <f>SUMIFS('04_Partidas'!$F$5:$F$13,'04_Partidas'!$B$5:$B$13,A12,'04_Partidas'!$C$5:$C$13,"Depósito en tránsito")</f>
        <v/>
      </c>
      <c r="F12" s="21">
        <f>SUMIFS('04_Partidas'!$F$5:$F$13,'04_Partidas'!$B$5:$B$13,A12,'04_Partidas'!$C$5:$C$13,"Cheque pendiente")</f>
        <v/>
      </c>
      <c r="G12" s="21">
        <f>SUMIFS('04_Partidas'!$F$5:$F$13,'04_Partidas'!$B$5:$B$13,A12,'04_Partidas'!$C$5:$C$13,"Nota de crédito")</f>
        <v/>
      </c>
      <c r="H12" s="21">
        <f>SUMIFS('04_Partidas'!$F$5:$F$13,'04_Partidas'!$B$5:$B$13,A12,'04_Partidas'!$C$5:$C$13,"Nota de débito")</f>
        <v/>
      </c>
      <c r="I12" s="21">
        <f>SUMIFS('04_Partidas'!$F$5:$F$13,'04_Partidas'!$B$5:$B$13,A12,'04_Partidas'!$C$5:$C$13,"Otra partida")</f>
        <v/>
      </c>
      <c r="J12" s="21">
        <f>IF(D12="","",D12+E12-F12-G12+H12+I12)</f>
        <v/>
      </c>
      <c r="K12" s="21" t="n">
        <v>50000</v>
      </c>
      <c r="L12" s="21">
        <f>IF(J12="","",ROUND(K12-J12,2))</f>
        <v/>
      </c>
      <c r="M12" s="21">
        <f>K12+G12-H12</f>
        <v/>
      </c>
      <c r="N12" s="21">
        <f>M12-SUMIF('08_Restringido'!$A$5:$A$6,A12,'08_Restringido'!$I$5:$I$6)-SUMIF('09_Equivalentes'!$A$5:$A$6,A12,'09_Equivalentes'!$I$5:$I$6)</f>
        <v/>
      </c>
    </row>
    <row r="13">
      <c r="A13" s="18" t="inlineStr">
        <is>
          <t>1.1.03.02</t>
        </is>
      </c>
      <c r="B13" s="18" t="inlineStr">
        <is>
          <t>Certificado de depósito Produbanco 180 días</t>
        </is>
      </c>
      <c r="C13" s="18" t="inlineStr">
        <is>
          <t>Inversión</t>
        </is>
      </c>
      <c r="D13" s="20" t="n">
        <v>30000</v>
      </c>
      <c r="E13" s="20">
        <f>SUMIFS('04_Partidas'!$F$5:$F$13,'04_Partidas'!$B$5:$B$13,A13,'04_Partidas'!$C$5:$C$13,"Depósito en tránsito")</f>
        <v/>
      </c>
      <c r="F13" s="20">
        <f>SUMIFS('04_Partidas'!$F$5:$F$13,'04_Partidas'!$B$5:$B$13,A13,'04_Partidas'!$C$5:$C$13,"Cheque pendiente")</f>
        <v/>
      </c>
      <c r="G13" s="20">
        <f>SUMIFS('04_Partidas'!$F$5:$F$13,'04_Partidas'!$B$5:$B$13,A13,'04_Partidas'!$C$5:$C$13,"Nota de crédito")</f>
        <v/>
      </c>
      <c r="H13" s="20">
        <f>SUMIFS('04_Partidas'!$F$5:$F$13,'04_Partidas'!$B$5:$B$13,A13,'04_Partidas'!$C$5:$C$13,"Nota de débito")</f>
        <v/>
      </c>
      <c r="I13" s="20">
        <f>SUMIFS('04_Partidas'!$F$5:$F$13,'04_Partidas'!$B$5:$B$13,A13,'04_Partidas'!$C$5:$C$13,"Otra partida")</f>
        <v/>
      </c>
      <c r="J13" s="20">
        <f>IF(D13="","",D13+E13-F13-G13+H13+I13)</f>
        <v/>
      </c>
      <c r="K13" s="20" t="n">
        <v>30000</v>
      </c>
      <c r="L13" s="20">
        <f>IF(J13="","",ROUND(K13-J13,2))</f>
        <v/>
      </c>
      <c r="M13" s="20">
        <f>K13+G13-H13</f>
        <v/>
      </c>
      <c r="N13" s="20">
        <f>M13-SUMIF('08_Restringido'!$A$5:$A$6,A13,'08_Restringido'!$I$5:$I$6)-SUMIF('09_Equivalentes'!$A$5:$A$6,A13,'09_Equivalentes'!$I$5:$I$6)</f>
        <v/>
      </c>
    </row>
    <row r="14">
      <c r="A14" s="30" t="inlineStr">
        <is>
          <t>TOTAL</t>
        </is>
      </c>
      <c r="B14" s="30" t="inlineStr"/>
      <c r="C14" s="30" t="inlineStr"/>
      <c r="D14" s="31" t="n"/>
      <c r="E14" s="31">
        <f>SUM(E5:E13)</f>
        <v/>
      </c>
      <c r="F14" s="31">
        <f>SUM(F5:F13)</f>
        <v/>
      </c>
      <c r="G14" s="31">
        <f>SUM(G5:G13)</f>
        <v/>
      </c>
      <c r="H14" s="31">
        <f>SUM(H5:H13)</f>
        <v/>
      </c>
      <c r="I14" s="31">
        <f>SUM(I5:I13)</f>
        <v/>
      </c>
      <c r="J14" s="31" t="n"/>
      <c r="K14" s="31">
        <f>SUM(K5:K13)</f>
        <v/>
      </c>
      <c r="L14" s="31" t="n"/>
      <c r="M14" s="31">
        <f>SUM(M5:M13)</f>
        <v/>
      </c>
      <c r="N14" s="31">
        <f>SUM(N5:N13)</f>
        <v/>
      </c>
    </row>
    <row r="16">
      <c r="A16" s="22" t="inlineStr">
        <is>
          <t>ⓘ  Cómo se calcula esta hoja</t>
        </is>
      </c>
    </row>
    <row r="17">
      <c r="A17" s="23" t="inlineStr">
        <is>
          <t>Columna</t>
        </is>
      </c>
      <c r="B17" s="23" t="inlineStr">
        <is>
          <t>Fórmula (Excel)</t>
        </is>
      </c>
      <c r="C17" s="23" t="inlineStr">
        <is>
          <t>Cómo se calcula (sencillo)</t>
        </is>
      </c>
      <c r="D17" s="23" t="inlineStr">
        <is>
          <t>Ejemplo con números reales</t>
        </is>
      </c>
      <c r="E17" s="23" t="inlineStr">
        <is>
          <t>De dónde viene</t>
        </is>
      </c>
      <c r="F17" s="23" t="inlineStr">
        <is>
          <t>Norma</t>
        </is>
      </c>
    </row>
    <row r="18">
      <c r="A18" s="24" t="inlineStr">
        <is>
          <t>(+) Depósitos en tránsito</t>
        </is>
      </c>
      <c r="B18" s="25" t="inlineStr">
        <is>
          <t>'=SUMIFS('04_Partidas'!$F$5:$F$13,'04_Partidas'!$B$5:$B$13,A5,'04_Partidas'!$C$5:$C$13,"Depósito en tránsito")</t>
        </is>
      </c>
      <c r="C18" s="24" t="inlineStr">
        <is>
          <t>Suma el importe de las partidas conciliatorias de esta cuenta que en la hoja 04 (Partidas conciliatorias) están clasificadas como «Depósito en tránsito».</t>
        </is>
      </c>
      <c r="D18" s="24" t="inlineStr">
        <is>
          <t>Fila 1: SUMIFS([«Importe» de «Partidas conciliatorias», 9 filas]; [«Cuenta» de «Partidas conciliatorias», 9 filas]; «1.1.01.01»; [«Tipo» de «Partidas conciliatorias», 9 filas]; "Depósito en tránsito") → 0,00</t>
        </is>
      </c>
      <c r="E18" s="24" t="inlineStr">
        <is>
          <t>«Cuenta» (esta hoja), hoja «Partidas conciliatorias»</t>
        </is>
      </c>
      <c r="F18" s="24" t="inlineStr">
        <is>
          <t>—</t>
        </is>
      </c>
    </row>
    <row r="19">
      <c r="A19" s="24" t="inlineStr">
        <is>
          <t>(−) Cheques pendientes</t>
        </is>
      </c>
      <c r="B19" s="25" t="inlineStr">
        <is>
          <t>'=SUMIFS('04_Partidas'!$F$5:$F$13,'04_Partidas'!$B$5:$B$13,A5,'04_Partidas'!$C$5:$C$13,"Cheque pendiente")</t>
        </is>
      </c>
      <c r="C19" s="24" t="inlineStr">
        <is>
          <t>Suma el importe de las partidas conciliatorias de esta cuenta que en la hoja 04 (Partidas conciliatorias) están clasificadas como «Cheque pendiente».</t>
        </is>
      </c>
      <c r="D19" s="24" t="inlineStr">
        <is>
          <t>Fila 1: SUMIFS([«Importe» de «Partidas conciliatorias», 9 filas]; [«Cuenta» de «Partidas conciliatorias», 9 filas]; «1.1.01.01»; [«Tipo» de «Partidas conciliatorias», 9 filas]; "Cheque pendiente") → 0,00</t>
        </is>
      </c>
      <c r="E19" s="24" t="inlineStr">
        <is>
          <t>«Cuenta» (esta hoja), hoja «Partidas conciliatorias»</t>
        </is>
      </c>
      <c r="F19" s="24" t="inlineStr">
        <is>
          <t>—</t>
        </is>
      </c>
    </row>
    <row r="20">
      <c r="A20" s="24" t="inlineStr">
        <is>
          <t>(−) Notas de crédito no registradas</t>
        </is>
      </c>
      <c r="B20" s="25" t="inlineStr">
        <is>
          <t>'=SUMIFS('04_Partidas'!$F$5:$F$13,'04_Partidas'!$B$5:$B$13,A5,'04_Partidas'!$C$5:$C$13,"Nota de crédito")</t>
        </is>
      </c>
      <c r="C20" s="24" t="inlineStr">
        <is>
          <t>Suma el importe de las partidas conciliatorias de esta cuenta que en la hoja 04 (Partidas conciliatorias) están clasificadas como «Nota de crédito».</t>
        </is>
      </c>
      <c r="D20" s="24" t="inlineStr">
        <is>
          <t>Fila 1: SUMIFS([«Importe» de «Partidas conciliatorias», 9 filas]; [«Cuenta» de «Partidas conciliatorias», 9 filas]; «1.1.01.01»; [«Tipo» de «Partidas conciliatorias», 9 filas]; "Nota de crédito") → 0,00</t>
        </is>
      </c>
      <c r="E20" s="24" t="inlineStr">
        <is>
          <t>«Cuenta» (esta hoja), hoja «Partidas conciliatorias»</t>
        </is>
      </c>
      <c r="F20" s="24" t="inlineStr">
        <is>
          <t>—</t>
        </is>
      </c>
    </row>
    <row r="21">
      <c r="A21" s="24" t="inlineStr">
        <is>
          <t>(+) Notas de débito no registradas</t>
        </is>
      </c>
      <c r="B21" s="25" t="inlineStr">
        <is>
          <t>'=SUMIFS('04_Partidas'!$F$5:$F$13,'04_Partidas'!$B$5:$B$13,A5,'04_Partidas'!$C$5:$C$13,"Nota de débito")</t>
        </is>
      </c>
      <c r="C21" s="24" t="inlineStr">
        <is>
          <t>Suma el importe de las partidas conciliatorias de esta cuenta que en la hoja 04 (Partidas conciliatorias) están clasificadas como «Nota de débito».</t>
        </is>
      </c>
      <c r="D21" s="24" t="inlineStr">
        <is>
          <t>Fila 1: SUMIFS([«Importe» de «Partidas conciliatorias», 9 filas]; [«Cuenta» de «Partidas conciliatorias», 9 filas]; «1.1.01.01»; [«Tipo» de «Partidas conciliatorias», 9 filas]; "Nota de débito") → 0,00</t>
        </is>
      </c>
      <c r="E21" s="24" t="inlineStr">
        <is>
          <t>«Cuenta» (esta hoja), hoja «Partidas conciliatorias»</t>
        </is>
      </c>
      <c r="F21" s="24" t="inlineStr">
        <is>
          <t>—</t>
        </is>
      </c>
    </row>
    <row r="22">
      <c r="A22" s="24" t="inlineStr">
        <is>
          <t>(±) Otras partidas</t>
        </is>
      </c>
      <c r="B22" s="25" t="inlineStr">
        <is>
          <t>'=SUMIFS('04_Partidas'!$F$5:$F$13,'04_Partidas'!$B$5:$B$13,A5,'04_Partidas'!$C$5:$C$13,"Otra partida")</t>
        </is>
      </c>
      <c r="C22" s="24" t="inlineStr">
        <is>
          <t>Suma el importe de las partidas conciliatorias de esta cuenta que en la hoja 04 (Partidas conciliatorias) están clasificadas como «Otra partida».</t>
        </is>
      </c>
      <c r="D22" s="24" t="inlineStr">
        <is>
          <t>Fila 1: SUMIFS([«Importe» de «Partidas conciliatorias», 9 filas]; [«Cuenta» de «Partidas conciliatorias», 9 filas]; «1.1.01.01»; [«Tipo» de «Partidas conciliatorias», 9 filas]; "Otra partida") → 0,00</t>
        </is>
      </c>
      <c r="E22" s="24" t="inlineStr">
        <is>
          <t>«Cuenta» (esta hoja), hoja «Partidas conciliatorias»</t>
        </is>
      </c>
      <c r="F22" s="24" t="inlineStr">
        <is>
          <t>—</t>
        </is>
      </c>
    </row>
    <row r="23">
      <c r="A23" s="24" t="inlineStr">
        <is>
          <t>Saldo que explica la conciliación</t>
        </is>
      </c>
      <c r="B23" s="25" t="inlineStr">
        <is>
          <t>'=IF(D5="","",D5+E5-F5-G5+H5+I5)</t>
        </is>
      </c>
      <c r="C23" s="24" t="inlineStr">
        <is>
          <t>Parte del saldo del estado bancario o arqueo, suma los depósitos en tránsito, resta los cheques pendientes y las notas de crédito, y suma las notas de débito y otras partidas. Sin saldo bancario, queda en blanco.</t>
        </is>
      </c>
      <c r="D23" s="24" t="inlineStr">
        <is>
          <t>Fila 1: IF(500,00=""; ""; 500,00+0,00-0,00-0,00+0,00+0,00) → 500,00</t>
        </is>
      </c>
      <c r="E23" s="24" t="inlineStr">
        <is>
          <t>«Saldo estado bancario / arqueo» (esta hoja), «(+) Depósitos en tránsito» (esta hoja), «(−) Cheques pendientes» (esta hoja), «(−) Notas de crédito no registradas» (esta hoja), «(+) Notas de débito no registradas» (esta hoja), «(±) Otras partidas» (esta hoja)</t>
        </is>
      </c>
      <c r="F23" s="24" t="inlineStr">
        <is>
          <t>—</t>
        </is>
      </c>
    </row>
    <row r="24">
      <c r="A24" s="24" t="inlineStr">
        <is>
          <t>Diferencia no explicada</t>
        </is>
      </c>
      <c r="B24" s="25" t="inlineStr">
        <is>
          <t>'=IF(J5="","",ROUND(K5-J5,2))</t>
        </is>
      </c>
      <c r="C24" s="24" t="inlineStr">
        <is>
          <t>Resta al saldo según libros el saldo que explica la conciliación, redondeado a centavos: lo que la conciliación no alcanza a justificar. Sin saldo bancario, queda en blanco.</t>
        </is>
      </c>
      <c r="D24" s="24" t="inlineStr">
        <is>
          <t>Fila 1: IF(500,00=""; ""; ROUND(500,00-500,00; 2)) → 0,00</t>
        </is>
      </c>
      <c r="E24" s="24" t="inlineStr">
        <is>
          <t>«Saldo que explica la conciliación» (esta hoja), «Saldo según libros» (esta hoja)</t>
        </is>
      </c>
      <c r="F24" s="24" t="inlineStr">
        <is>
          <t>—</t>
        </is>
      </c>
    </row>
    <row r="25">
      <c r="A25" s="24" t="inlineStr">
        <is>
          <t>Saldo ajustado de libros</t>
        </is>
      </c>
      <c r="B25" s="25" t="inlineStr">
        <is>
          <t>'=K5+G5-H5</t>
        </is>
      </c>
      <c r="C25" s="24" t="inlineStr">
        <is>
          <t>Parte del saldo según libros, suma las notas de crédito y resta las notas de débito que el banco registró y los libros todavía no.</t>
        </is>
      </c>
      <c r="D25" s="24" t="inlineStr">
        <is>
          <t>Fila 1: 500,00+0,00-0,00 → 500,00</t>
        </is>
      </c>
      <c r="E25" s="24" t="inlineStr">
        <is>
          <t>«Saldo según libros» (esta hoja), «(−) Notas de crédito no registradas» (esta hoja), «(+) Notas de débito no registradas» (esta hoja)</t>
        </is>
      </c>
      <c r="F25" s="24" t="inlineStr">
        <is>
          <t>—</t>
        </is>
      </c>
    </row>
    <row r="26">
      <c r="A26" s="24" t="inlineStr">
        <is>
          <t>Efectivo auditado</t>
        </is>
      </c>
      <c r="B26" s="25" t="inlineStr">
        <is>
          <t>'=M5-SUMIF('08_Restringido'!$A$5:$A$6,A5,'08_Restringido'!$I$5:$I$6)-SUMIF('09_Equivalentes'!$A$5:$A$6,A5,'09_Equivalentes'!$I$5:$I$6)</t>
        </is>
      </c>
      <c r="C26" s="24" t="inlineStr">
        <is>
          <t>Al saldo ajustado de libros le resta lo que se reclasifica por restricción (hoja 08, Efectivo restringido) y por inversiones que no son equivalentes (hoja 09) para esta cuenta.</t>
        </is>
      </c>
      <c r="D26" s="24" t="inlineStr">
        <is>
          <t>Fila 1: 500,00-SUMIF([«Cuenta» de «Efectivo restringido», 2 filas]; «1.1.01.01»; [«Reclasificación propuesta» de «Efectivo restringido», 2 filas])-SUMIF([«Cuenta» de «Equivalentes de efectivo (definición)», 2 filas]; «1.1.01.01»; [«Reclasificación propuesta» de «Equivalentes de efectivo (definición)», 2 filas]) → 500,00</t>
        </is>
      </c>
      <c r="E26" s="24" t="inlineStr">
        <is>
          <t>«Saldo ajustado de libros» (esta hoja), «Cuenta» (esta hoja), hoja «Efectivo restringido», hoja «Equivalentes de efectivo (definición)»</t>
        </is>
      </c>
      <c r="F26" s="24" t="inlineStr">
        <is>
          <t>—</t>
        </is>
      </c>
    </row>
  </sheetData>
  <mergeCells count="3">
    <mergeCell ref="A2:F2"/>
    <mergeCell ref="A16:F16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34" customWidth="1" min="4" max="4"/>
    <col width="17" customWidth="1" min="5" max="5"/>
    <col width="12" customWidth="1" min="6" max="6"/>
    <col width="23" customWidth="1" min="7" max="7"/>
    <col width="15" customWidth="1" min="8" max="8"/>
    <col width="27" customWidth="1" min="9" max="9"/>
    <col width="12" customWidth="1" min="10" max="10"/>
    <col width="12" customWidth="1" min="11" max="11"/>
    <col width="20" customWidth="1" min="12" max="12"/>
  </cols>
  <sheetData>
    <row r="1">
      <c r="A1" s="3" t="inlineStr">
        <is>
          <t>Partidas conciliatorias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Efectivo y equivalentes de efectivo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4" ht="30" customHeight="1">
      <c r="A4" s="17" t="inlineStr">
        <is>
          <t>Partida</t>
        </is>
      </c>
      <c r="B4" s="17" t="inlineStr">
        <is>
          <t>Cuenta</t>
        </is>
      </c>
      <c r="C4" s="17" t="inlineStr">
        <is>
          <t>Tipo</t>
        </is>
      </c>
      <c r="D4" s="17" t="inlineStr">
        <is>
          <t>Referencia</t>
        </is>
      </c>
      <c r="E4" s="17" t="inlineStr">
        <is>
          <t>Fecha de origen</t>
        </is>
      </c>
      <c r="F4" s="17" t="inlineStr">
        <is>
          <t>Importe</t>
        </is>
      </c>
      <c r="G4" s="17" t="inlineStr">
        <is>
          <t>Liquidación posterior</t>
        </is>
      </c>
      <c r="H4" s="17" t="inlineStr">
        <is>
          <t>Días al corte</t>
        </is>
      </c>
      <c r="I4" s="17" t="inlineStr">
        <is>
          <t>Días hasta la liquidación</t>
        </is>
      </c>
      <c r="J4" s="17" t="inlineStr">
        <is>
          <t>Antigua</t>
        </is>
      </c>
      <c r="K4" s="17" t="inlineStr">
        <is>
          <t>Depurada</t>
        </is>
      </c>
      <c r="L4" s="17" t="inlineStr">
        <is>
          <t>Cuenta en el anexo</t>
        </is>
      </c>
    </row>
    <row r="5">
      <c r="A5" s="18" t="inlineStr">
        <is>
          <t>P-01</t>
        </is>
      </c>
      <c r="B5" s="18" t="inlineStr">
        <is>
          <t>1.1.02.01</t>
        </is>
      </c>
      <c r="C5" s="18" t="inlineStr">
        <is>
          <t>Depósito en tránsito</t>
        </is>
      </c>
      <c r="D5" s="18" t="inlineStr">
        <is>
          <t>Depósito cobranza clientes</t>
        </is>
      </c>
      <c r="E5" s="32" t="n">
        <v>46021</v>
      </c>
      <c r="F5" s="20" t="n">
        <v>8500</v>
      </c>
      <c r="G5" s="32" t="n">
        <v>46024</v>
      </c>
      <c r="H5" s="33">
        <f>IF(E5="","",'02_Parametros'!$B$5-E5)</f>
        <v/>
      </c>
      <c r="I5" s="33">
        <f>IF(OR(G5="",E5=""),"",G5-E5)</f>
        <v/>
      </c>
      <c r="J5" s="18">
        <f>IF(H5="","No",IF(H5&gt;'02_Parametros'!$B$6,"Sí","No"))</f>
        <v/>
      </c>
      <c r="K5" s="18">
        <f>IF(G5="","No","Sí")</f>
        <v/>
      </c>
      <c r="L5" s="18">
        <f>IF(COUNTIF('03_Conciliacion'!$A$5:$A$13,B5)&gt;0,"Sí","No")</f>
        <v/>
      </c>
    </row>
    <row r="6">
      <c r="A6" s="19" t="inlineStr">
        <is>
          <t>P-02</t>
        </is>
      </c>
      <c r="B6" s="19" t="inlineStr">
        <is>
          <t>1.1.02.01</t>
        </is>
      </c>
      <c r="C6" s="19" t="inlineStr">
        <is>
          <t>Cheque pendiente</t>
        </is>
      </c>
      <c r="D6" s="19" t="inlineStr">
        <is>
          <t>Cheque 1520 proveedor</t>
        </is>
      </c>
      <c r="E6" s="34" t="n">
        <v>46019</v>
      </c>
      <c r="F6" s="21" t="n">
        <v>12000</v>
      </c>
      <c r="G6" s="34" t="n">
        <v>46027</v>
      </c>
      <c r="H6" s="35">
        <f>IF(E6="","",'02_Parametros'!$B$5-E6)</f>
        <v/>
      </c>
      <c r="I6" s="35">
        <f>IF(OR(G6="",E6=""),"",G6-E6)</f>
        <v/>
      </c>
      <c r="J6" s="19">
        <f>IF(H6="","No",IF(H6&gt;'02_Parametros'!$B$6,"Sí","No"))</f>
        <v/>
      </c>
      <c r="K6" s="19">
        <f>IF(G6="","No","Sí")</f>
        <v/>
      </c>
      <c r="L6" s="19">
        <f>IF(COUNTIF('03_Conciliacion'!$A$5:$A$13,B6)&gt;0,"Sí","No")</f>
        <v/>
      </c>
    </row>
    <row r="7">
      <c r="A7" s="18" t="inlineStr">
        <is>
          <t>P-03</t>
        </is>
      </c>
      <c r="B7" s="18" t="inlineStr">
        <is>
          <t>1.1.02.01</t>
        </is>
      </c>
      <c r="C7" s="18" t="inlineStr">
        <is>
          <t>Cheque pendiente</t>
        </is>
      </c>
      <c r="D7" s="18" t="inlineStr">
        <is>
          <t>Cheque 1311 anulado sin reversar</t>
        </is>
      </c>
      <c r="E7" s="32" t="n">
        <v>45884</v>
      </c>
      <c r="F7" s="20" t="n">
        <v>1850</v>
      </c>
      <c r="G7" s="36" t="n"/>
      <c r="H7" s="33">
        <f>IF(E7="","",'02_Parametros'!$B$5-E7)</f>
        <v/>
      </c>
      <c r="I7" s="33">
        <f>IF(OR(G7="",E7=""),"",G7-E7)</f>
        <v/>
      </c>
      <c r="J7" s="18">
        <f>IF(H7="","No",IF(H7&gt;'02_Parametros'!$B$6,"Sí","No"))</f>
        <v/>
      </c>
      <c r="K7" s="18">
        <f>IF(G7="","No","Sí")</f>
        <v/>
      </c>
      <c r="L7" s="18">
        <f>IF(COUNTIF('03_Conciliacion'!$A$5:$A$13,B7)&gt;0,"Sí","No")</f>
        <v/>
      </c>
    </row>
    <row r="8">
      <c r="A8" s="19" t="inlineStr">
        <is>
          <t>P-04</t>
        </is>
      </c>
      <c r="B8" s="19" t="inlineStr">
        <is>
          <t>1.1.02.01</t>
        </is>
      </c>
      <c r="C8" s="19" t="inlineStr">
        <is>
          <t>Nota de débito</t>
        </is>
      </c>
      <c r="D8" s="19" t="inlineStr">
        <is>
          <t>Comisiones bancarias diciembre</t>
        </is>
      </c>
      <c r="E8" s="34" t="n">
        <v>46022</v>
      </c>
      <c r="F8" s="21" t="n">
        <v>120</v>
      </c>
      <c r="G8" s="34" t="n">
        <v>46032</v>
      </c>
      <c r="H8" s="35">
        <f>IF(E8="","",'02_Parametros'!$B$5-E8)</f>
        <v/>
      </c>
      <c r="I8" s="35">
        <f>IF(OR(G8="",E8=""),"",G8-E8)</f>
        <v/>
      </c>
      <c r="J8" s="19">
        <f>IF(H8="","No",IF(H8&gt;'02_Parametros'!$B$6,"Sí","No"))</f>
        <v/>
      </c>
      <c r="K8" s="19">
        <f>IF(G8="","No","Sí")</f>
        <v/>
      </c>
      <c r="L8" s="19">
        <f>IF(COUNTIF('03_Conciliacion'!$A$5:$A$13,B8)&gt;0,"Sí","No")</f>
        <v/>
      </c>
    </row>
    <row r="9">
      <c r="A9" s="18" t="inlineStr">
        <is>
          <t>P-05</t>
        </is>
      </c>
      <c r="B9" s="18" t="inlineStr">
        <is>
          <t>1.1.02.01</t>
        </is>
      </c>
      <c r="C9" s="18" t="inlineStr">
        <is>
          <t>Nota de crédito</t>
        </is>
      </c>
      <c r="D9" s="18" t="inlineStr">
        <is>
          <t>Intereses ganados diciembre</t>
        </is>
      </c>
      <c r="E9" s="32" t="n">
        <v>46022</v>
      </c>
      <c r="F9" s="20" t="n">
        <v>300</v>
      </c>
      <c r="G9" s="32" t="n">
        <v>46032</v>
      </c>
      <c r="H9" s="33">
        <f>IF(E9="","",'02_Parametros'!$B$5-E9)</f>
        <v/>
      </c>
      <c r="I9" s="33">
        <f>IF(OR(G9="",E9=""),"",G9-E9)</f>
        <v/>
      </c>
      <c r="J9" s="18">
        <f>IF(H9="","No",IF(H9&gt;'02_Parametros'!$B$6,"Sí","No"))</f>
        <v/>
      </c>
      <c r="K9" s="18">
        <f>IF(G9="","No","Sí")</f>
        <v/>
      </c>
      <c r="L9" s="18">
        <f>IF(COUNTIF('03_Conciliacion'!$A$5:$A$13,B9)&gt;0,"Sí","No")</f>
        <v/>
      </c>
    </row>
    <row r="10">
      <c r="A10" s="19" t="inlineStr">
        <is>
          <t>P-06</t>
        </is>
      </c>
      <c r="B10" s="19" t="inlineStr">
        <is>
          <t>1.1.02.02</t>
        </is>
      </c>
      <c r="C10" s="19" t="inlineStr">
        <is>
          <t>Depósito en tránsito</t>
        </is>
      </c>
      <c r="D10" s="19" t="inlineStr">
        <is>
          <t>Depósito en efectivo</t>
        </is>
      </c>
      <c r="E10" s="34" t="n">
        <v>46022</v>
      </c>
      <c r="F10" s="21" t="n">
        <v>2100</v>
      </c>
      <c r="G10" s="34" t="n">
        <v>46034</v>
      </c>
      <c r="H10" s="35">
        <f>IF(E10="","",'02_Parametros'!$B$5-E10)</f>
        <v/>
      </c>
      <c r="I10" s="35">
        <f>IF(OR(G10="",E10=""),"",G10-E10)</f>
        <v/>
      </c>
      <c r="J10" s="19">
        <f>IF(H10="","No",IF(H10&gt;'02_Parametros'!$B$6,"Sí","No"))</f>
        <v/>
      </c>
      <c r="K10" s="19">
        <f>IF(G10="","No","Sí")</f>
        <v/>
      </c>
      <c r="L10" s="19">
        <f>IF(COUNTIF('03_Conciliacion'!$A$5:$A$13,B10)&gt;0,"Sí","No")</f>
        <v/>
      </c>
    </row>
    <row r="11">
      <c r="A11" s="18" t="inlineStr">
        <is>
          <t>P-07</t>
        </is>
      </c>
      <c r="B11" s="18" t="inlineStr">
        <is>
          <t>1.1.02.02</t>
        </is>
      </c>
      <c r="C11" s="18" t="inlineStr">
        <is>
          <t>Cheque pendiente</t>
        </is>
      </c>
      <c r="D11" s="18" t="inlineStr">
        <is>
          <t>Cheque 0870</t>
        </is>
      </c>
      <c r="E11" s="32" t="n">
        <v>46011</v>
      </c>
      <c r="F11" s="20" t="n">
        <v>300</v>
      </c>
      <c r="G11" s="32" t="n">
        <v>46025</v>
      </c>
      <c r="H11" s="33">
        <f>IF(E11="","",'02_Parametros'!$B$5-E11)</f>
        <v/>
      </c>
      <c r="I11" s="33">
        <f>IF(OR(G11="",E11=""),"",G11-E11)</f>
        <v/>
      </c>
      <c r="J11" s="18">
        <f>IF(H11="","No",IF(H11&gt;'02_Parametros'!$B$6,"Sí","No"))</f>
        <v/>
      </c>
      <c r="K11" s="18">
        <f>IF(G11="","No","Sí")</f>
        <v/>
      </c>
      <c r="L11" s="18">
        <f>IF(COUNTIF('03_Conciliacion'!$A$5:$A$13,B11)&gt;0,"Sí","No")</f>
        <v/>
      </c>
    </row>
    <row r="12">
      <c r="A12" s="19" t="inlineStr">
        <is>
          <t>P-08</t>
        </is>
      </c>
      <c r="B12" s="19" t="inlineStr">
        <is>
          <t>1.1.02.02</t>
        </is>
      </c>
      <c r="C12" s="19" t="inlineStr">
        <is>
          <t>Cheque pendiente</t>
        </is>
      </c>
      <c r="D12" s="19" t="inlineStr">
        <is>
          <t>Cheque 0876 fechado en enero</t>
        </is>
      </c>
      <c r="E12" s="34" t="n">
        <v>46024</v>
      </c>
      <c r="F12" s="21" t="n">
        <v>550</v>
      </c>
      <c r="G12" s="34" t="n">
        <v>46028</v>
      </c>
      <c r="H12" s="35">
        <f>IF(E12="","",'02_Parametros'!$B$5-E12)</f>
        <v/>
      </c>
      <c r="I12" s="35">
        <f>IF(OR(G12="",E12=""),"",G12-E12)</f>
        <v/>
      </c>
      <c r="J12" s="19">
        <f>IF(H12="","No",IF(H12&gt;'02_Parametros'!$B$6,"Sí","No"))</f>
        <v/>
      </c>
      <c r="K12" s="19">
        <f>IF(G12="","No","Sí")</f>
        <v/>
      </c>
      <c r="L12" s="19">
        <f>IF(COUNTIF('03_Conciliacion'!$A$5:$A$13,B12)&gt;0,"Sí","No")</f>
        <v/>
      </c>
    </row>
    <row r="13">
      <c r="A13" s="18" t="inlineStr">
        <is>
          <t>P-09</t>
        </is>
      </c>
      <c r="B13" s="18" t="inlineStr">
        <is>
          <t>1.1.02.04</t>
        </is>
      </c>
      <c r="C13" s="18" t="inlineStr">
        <is>
          <t>Depósito en tránsito</t>
        </is>
      </c>
      <c r="D13" s="18" t="inlineStr">
        <is>
          <t>Depósito no acreditado</t>
        </is>
      </c>
      <c r="E13" s="32" t="n">
        <v>45910</v>
      </c>
      <c r="F13" s="20" t="n">
        <v>450</v>
      </c>
      <c r="G13" s="36" t="n"/>
      <c r="H13" s="33">
        <f>IF(E13="","",'02_Parametros'!$B$5-E13)</f>
        <v/>
      </c>
      <c r="I13" s="33">
        <f>IF(OR(G13="",E13=""),"",G13-E13)</f>
        <v/>
      </c>
      <c r="J13" s="18">
        <f>IF(H13="","No",IF(H13&gt;'02_Parametros'!$B$6,"Sí","No"))</f>
        <v/>
      </c>
      <c r="K13" s="18">
        <f>IF(G13="","No","Sí")</f>
        <v/>
      </c>
      <c r="L13" s="18">
        <f>IF(COUNTIF('03_Conciliacion'!$A$5:$A$13,B13)&gt;0,"Sí","No")</f>
        <v/>
      </c>
    </row>
    <row r="14">
      <c r="A14" s="30" t="inlineStr">
        <is>
          <t>TOTAL</t>
        </is>
      </c>
      <c r="B14" s="30" t="inlineStr"/>
      <c r="C14" s="30" t="inlineStr"/>
      <c r="D14" s="30" t="inlineStr"/>
      <c r="E14" s="37" t="n"/>
      <c r="F14" s="31">
        <f>SUM(F5:F13)</f>
        <v/>
      </c>
      <c r="G14" s="37" t="n"/>
      <c r="H14" s="38" t="n"/>
      <c r="I14" s="38" t="n"/>
      <c r="J14" s="30" t="inlineStr"/>
      <c r="K14" s="30" t="inlineStr"/>
      <c r="L14" s="30" t="inlineStr"/>
    </row>
    <row r="16">
      <c r="A16" s="22" t="inlineStr">
        <is>
          <t>ⓘ  Cómo se calcula esta hoja</t>
        </is>
      </c>
    </row>
    <row r="17">
      <c r="A17" s="23" t="inlineStr">
        <is>
          <t>Columna</t>
        </is>
      </c>
      <c r="B17" s="23" t="inlineStr">
        <is>
          <t>Fórmula (Excel)</t>
        </is>
      </c>
      <c r="C17" s="23" t="inlineStr">
        <is>
          <t>Cómo se calcula (sencillo)</t>
        </is>
      </c>
      <c r="D17" s="23" t="inlineStr">
        <is>
          <t>Ejemplo con números reales</t>
        </is>
      </c>
      <c r="E17" s="23" t="inlineStr">
        <is>
          <t>De dónde viene</t>
        </is>
      </c>
      <c r="F17" s="23" t="inlineStr">
        <is>
          <t>Norma</t>
        </is>
      </c>
    </row>
    <row r="18">
      <c r="A18" s="24" t="inlineStr">
        <is>
          <t>Días al corte</t>
        </is>
      </c>
      <c r="B18" s="25" t="inlineStr">
        <is>
          <t>'=IF(E5="","",'02_Parametros'!$B$5-E5)</t>
        </is>
      </c>
      <c r="C18" s="24" t="inlineStr">
        <is>
          <t>Resta la fecha de origen de la partida de la fecha de corte de la hoja 02 (Parámetros). Negativo significa que se originó después del corte; sin fecha de origen, queda en blanco.</t>
        </is>
      </c>
      <c r="D18" s="24" t="inlineStr">
        <is>
          <t>Fila 1: IF(«2025-12-30»=""; ""; «2025-12-31»-«2025-12-30») → 1</t>
        </is>
      </c>
      <c r="E18" s="24" t="inlineStr">
        <is>
          <t>«Fecha de origen» (esta hoja), hoja «Parámetros»</t>
        </is>
      </c>
      <c r="F18" s="24" t="inlineStr">
        <is>
          <t>—</t>
        </is>
      </c>
    </row>
    <row r="19">
      <c r="A19" s="24" t="inlineStr">
        <is>
          <t>Días hasta la liquidación</t>
        </is>
      </c>
      <c r="B19" s="25" t="inlineStr">
        <is>
          <t>'=IF(OR(G5="",E5=""),"",G5-E5)</t>
        </is>
      </c>
      <c r="C19" s="24" t="inlineStr">
        <is>
          <t>Cuenta los días entre la fecha de origen y la liquidación posterior de la partida; si falta cualquiera de las dos fechas, queda en blanco.</t>
        </is>
      </c>
      <c r="D19" s="24" t="inlineStr">
        <is>
          <t>Fila 1: IF(OR(«2026-01-02»=""; «2025-12-30»=""); ""; «2026-01-02»-«2025-12-30») → 3</t>
        </is>
      </c>
      <c r="E19" s="24" t="inlineStr">
        <is>
          <t>«Liquidación posterior» (esta hoja), «Fecha de origen» (esta hoja)</t>
        </is>
      </c>
      <c r="F19" s="24" t="inlineStr">
        <is>
          <t>—</t>
        </is>
      </c>
    </row>
    <row r="20">
      <c r="A20" s="24" t="inlineStr">
        <is>
          <t>Antigua</t>
        </is>
      </c>
      <c r="B20" s="25" t="inlineStr">
        <is>
          <t>'=IF(H5="","No",IF(H5&gt;'02_Parametros'!$B$6,"Sí","No"))</t>
        </is>
      </c>
      <c r="C20" s="24" t="inlineStr">
        <is>
          <t>Marca «Sí» si los días al corte superan el umbral de antigüedad de la hoja 02 (Parámetros); sin días al corte, o dentro del umbral, marca «No».</t>
        </is>
      </c>
      <c r="D20" s="24" t="inlineStr">
        <is>
          <t>Fila 1: IF(1=""; "No"; IF(1&gt;90,00; "Sí"; "No")) → No</t>
        </is>
      </c>
      <c r="E20" s="24" t="inlineStr">
        <is>
          <t>«Días al corte» (esta hoja), hoja «Parámetros»</t>
        </is>
      </c>
      <c r="F20" s="24" t="inlineStr">
        <is>
          <t>—</t>
        </is>
      </c>
    </row>
    <row r="21">
      <c r="A21" s="24" t="inlineStr">
        <is>
          <t>Depurada</t>
        </is>
      </c>
      <c r="B21" s="25" t="inlineStr">
        <is>
          <t>'=IF(G5="","No","Sí")</t>
        </is>
      </c>
      <c r="C21" s="24" t="inlineStr">
        <is>
          <t>Marca «Sí» si la partida tiene fecha de liquidación posterior al corte y «No» si todavía no se ha liquidado.</t>
        </is>
      </c>
      <c r="D21" s="24" t="inlineStr">
        <is>
          <t>Fila 1: IF(«2026-01-02»=""; "No"; "Sí") → Sí</t>
        </is>
      </c>
      <c r="E21" s="24" t="inlineStr">
        <is>
          <t>«Liquidación posterior» (esta hoja)</t>
        </is>
      </c>
      <c r="F21" s="24" t="inlineStr">
        <is>
          <t>—</t>
        </is>
      </c>
    </row>
    <row r="22">
      <c r="A22" s="24" t="inlineStr">
        <is>
          <t>Cuenta en el anexo</t>
        </is>
      </c>
      <c r="B22" s="25" t="inlineStr">
        <is>
          <t>'=IF(COUNTIF('03_Conciliacion'!$A$5:$A$13,B5)&gt;0,"Sí","No")</t>
        </is>
      </c>
      <c r="C22" s="24" t="inlineStr">
        <is>
          <t>Marca «Sí» si la cuenta de la partida figura en la hoja 03 (Conciliación bancaria por cuenta) y «No» si no está en el anexo de cuentas.</t>
        </is>
      </c>
      <c r="D22" s="24" t="inlineStr">
        <is>
          <t>Fila 1: IF(COUNTIF([«Cuenta» de «Conciliación bancaria por cuenta», 9 filas]; «1.1.02.01»)&gt;0; "Sí"; "No") → Sí</t>
        </is>
      </c>
      <c r="E22" s="24" t="inlineStr">
        <is>
          <t>«Cuenta» (esta hoja), hoja «Conciliación bancaria por cuenta»</t>
        </is>
      </c>
      <c r="F22" s="24" t="inlineStr">
        <is>
          <t>—</t>
        </is>
      </c>
    </row>
  </sheetData>
  <mergeCells count="3">
    <mergeCell ref="A2:F2"/>
    <mergeCell ref="A16:F16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3" customWidth="1" min="4" max="4"/>
  </cols>
  <sheetData>
    <row r="1">
      <c r="A1" s="3" t="inlineStr">
        <is>
          <t>Antigüedad de partidas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Efectivo y equivalentes de efectivo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Tramo (días al corte)</t>
        </is>
      </c>
      <c r="B4" s="17" t="inlineStr">
        <is>
          <t>Partidas</t>
        </is>
      </c>
      <c r="C4" s="17" t="inlineStr">
        <is>
          <t>Importe</t>
        </is>
      </c>
      <c r="D4" s="17" t="inlineStr">
        <is>
          <t>No depurado</t>
        </is>
      </c>
    </row>
    <row r="5">
      <c r="A5" s="18" t="inlineStr">
        <is>
          <t>Posterior al corte</t>
        </is>
      </c>
      <c r="B5" s="33">
        <f>COUNTIFS('04_Partidas'!$H$5:$H$13,"&lt;0")</f>
        <v/>
      </c>
      <c r="C5" s="20">
        <f>SUMIFS('04_Partidas'!$F$5:$F$13,'04_Partidas'!$H$5:$H$13,"&lt;0")</f>
        <v/>
      </c>
      <c r="D5" s="20">
        <f>SUMIFS('04_Partidas'!$F$5:$F$13,'04_Partidas'!$H$5:$H$13,"&lt;0",'04_Partidas'!$K$5:$K$13,"No")</f>
        <v/>
      </c>
    </row>
    <row r="6">
      <c r="A6" s="19" t="inlineStr">
        <is>
          <t>0 a 30 días</t>
        </is>
      </c>
      <c r="B6" s="35">
        <f>COUNTIFS('04_Partidas'!$H$5:$H$13,"&gt;=0",'04_Partidas'!$H$5:$H$13,"&lt;=30")</f>
        <v/>
      </c>
      <c r="C6" s="21">
        <f>SUMIFS('04_Partidas'!$F$5:$F$13,'04_Partidas'!$H$5:$H$13,"&gt;=0",'04_Partidas'!$H$5:$H$13,"&lt;=30")</f>
        <v/>
      </c>
      <c r="D6" s="21">
        <f>SUMIFS('04_Partidas'!$F$5:$F$13,'04_Partidas'!$H$5:$H$13,"&gt;=0",'04_Partidas'!$H$5:$H$13,"&lt;=30",'04_Partidas'!$K$5:$K$13,"No")</f>
        <v/>
      </c>
    </row>
    <row r="7">
      <c r="A7" s="18" t="inlineStr">
        <is>
          <t>31 a 60 días</t>
        </is>
      </c>
      <c r="B7" s="33">
        <f>COUNTIFS('04_Partidas'!$H$5:$H$13,"&gt;=31",'04_Partidas'!$H$5:$H$13,"&lt;=60")</f>
        <v/>
      </c>
      <c r="C7" s="20">
        <f>SUMIFS('04_Partidas'!$F$5:$F$13,'04_Partidas'!$H$5:$H$13,"&gt;=31",'04_Partidas'!$H$5:$H$13,"&lt;=60")</f>
        <v/>
      </c>
      <c r="D7" s="20">
        <f>SUMIFS('04_Partidas'!$F$5:$F$13,'04_Partidas'!$H$5:$H$13,"&gt;=31",'04_Partidas'!$H$5:$H$13,"&lt;=60",'04_Partidas'!$K$5:$K$13,"No")</f>
        <v/>
      </c>
    </row>
    <row r="8">
      <c r="A8" s="19" t="inlineStr">
        <is>
          <t>61 a 90 días</t>
        </is>
      </c>
      <c r="B8" s="35">
        <f>COUNTIFS('04_Partidas'!$H$5:$H$13,"&gt;=61",'04_Partidas'!$H$5:$H$13,"&lt;=90")</f>
        <v/>
      </c>
      <c r="C8" s="21">
        <f>SUMIFS('04_Partidas'!$F$5:$F$13,'04_Partidas'!$H$5:$H$13,"&gt;=61",'04_Partidas'!$H$5:$H$13,"&lt;=90")</f>
        <v/>
      </c>
      <c r="D8" s="21">
        <f>SUMIFS('04_Partidas'!$F$5:$F$13,'04_Partidas'!$H$5:$H$13,"&gt;=61",'04_Partidas'!$H$5:$H$13,"&lt;=90",'04_Partidas'!$K$5:$K$13,"No")</f>
        <v/>
      </c>
    </row>
    <row r="9">
      <c r="A9" s="18" t="inlineStr">
        <is>
          <t>91 a 180 días</t>
        </is>
      </c>
      <c r="B9" s="33">
        <f>COUNTIFS('04_Partidas'!$H$5:$H$13,"&gt;=91",'04_Partidas'!$H$5:$H$13,"&lt;=180")</f>
        <v/>
      </c>
      <c r="C9" s="20">
        <f>SUMIFS('04_Partidas'!$F$5:$F$13,'04_Partidas'!$H$5:$H$13,"&gt;=91",'04_Partidas'!$H$5:$H$13,"&lt;=180")</f>
        <v/>
      </c>
      <c r="D9" s="20">
        <f>SUMIFS('04_Partidas'!$F$5:$F$13,'04_Partidas'!$H$5:$H$13,"&gt;=91",'04_Partidas'!$H$5:$H$13,"&lt;=180",'04_Partidas'!$K$5:$K$13,"No")</f>
        <v/>
      </c>
    </row>
    <row r="10">
      <c r="A10" s="19" t="inlineStr">
        <is>
          <t>Más de 180 días</t>
        </is>
      </c>
      <c r="B10" s="35">
        <f>COUNTIFS('04_Partidas'!$H$5:$H$13,"&gt;180")</f>
        <v/>
      </c>
      <c r="C10" s="21">
        <f>SUMIFS('04_Partidas'!$F$5:$F$13,'04_Partidas'!$H$5:$H$13,"&gt;180")</f>
        <v/>
      </c>
      <c r="D10" s="21">
        <f>SUMIFS('04_Partidas'!$F$5:$F$13,'04_Partidas'!$H$5:$H$13,"&gt;180",'04_Partidas'!$K$5:$K$13,"No")</f>
        <v/>
      </c>
    </row>
    <row r="11">
      <c r="A11" s="30" t="inlineStr">
        <is>
          <t>TOTAL</t>
        </is>
      </c>
      <c r="B11" s="38">
        <f>SUM(B5:B10)</f>
        <v/>
      </c>
      <c r="C11" s="31">
        <f>SUM(C5:C10)</f>
        <v/>
      </c>
      <c r="D11" s="31">
        <f>SUM(D5:D10)</f>
        <v/>
      </c>
    </row>
    <row r="13">
      <c r="A13" s="22" t="inlineStr">
        <is>
          <t>ⓘ  Cómo se calcula esta hoja</t>
        </is>
      </c>
    </row>
    <row r="14">
      <c r="A14" s="23" t="inlineStr">
        <is>
          <t>Columna</t>
        </is>
      </c>
      <c r="B14" s="23" t="inlineStr">
        <is>
          <t>Fórmula (Excel)</t>
        </is>
      </c>
      <c r="C14" s="23" t="inlineStr">
        <is>
          <t>Cómo se calcula (sencillo)</t>
        </is>
      </c>
      <c r="D14" s="23" t="inlineStr">
        <is>
          <t>Ejemplo con números reales</t>
        </is>
      </c>
      <c r="E14" s="23" t="inlineStr">
        <is>
          <t>De dónde viene</t>
        </is>
      </c>
      <c r="F14" s="23" t="inlineStr">
        <is>
          <t>Norma</t>
        </is>
      </c>
    </row>
    <row r="15">
      <c r="A15" s="24" t="inlineStr">
        <is>
          <t>Partidas</t>
        </is>
      </c>
      <c r="B15" s="25" t="inlineStr">
        <is>
          <t>'=COUNTIFS('04_Partidas'!$H$5:$H$13,"&lt;0")</t>
        </is>
      </c>
      <c r="C15" s="24" t="inlineStr">
        <is>
          <t>Cuenta cuántas partidas de la hoja 04 (Partidas conciliatorias) tienen días al corte dentro de este tramo; «Posterior al corte» son las de días negativos.</t>
        </is>
      </c>
      <c r="D15" s="24" t="inlineStr">
        <is>
          <t>Fila 1: COUNTIFS([«Días al corte» de «Partidas conciliatorias», 9 filas]; "&lt;0") → 1</t>
        </is>
      </c>
      <c r="E15" s="24" t="inlineStr">
        <is>
          <t>hoja «Partidas conciliatorias»</t>
        </is>
      </c>
      <c r="F15" s="24" t="inlineStr">
        <is>
          <t>—</t>
        </is>
      </c>
    </row>
    <row r="16">
      <c r="A16" s="24" t="inlineStr">
        <is>
          <t>Importe</t>
        </is>
      </c>
      <c r="B16" s="25" t="inlineStr">
        <is>
          <t>'=SUMIFS('04_Partidas'!$F$5:$F$13,'04_Partidas'!$H$5:$H$13,"&lt;0")</t>
        </is>
      </c>
      <c r="C16" s="24" t="inlineStr">
        <is>
          <t>Suma el importe de las partidas de la hoja 04 (Partidas conciliatorias) cuyos días al corte caen en este tramo.</t>
        </is>
      </c>
      <c r="D16" s="24" t="inlineStr">
        <is>
          <t>Fila 1: SUMIFS([«Importe» de «Partidas conciliatorias», 9 filas]; [«Días al corte» de «Partidas conciliatorias», 9 filas]; "&lt;0") → 550,00</t>
        </is>
      </c>
      <c r="E16" s="24" t="inlineStr">
        <is>
          <t>hoja «Partidas conciliatorias»</t>
        </is>
      </c>
      <c r="F16" s="24" t="inlineStr">
        <is>
          <t>—</t>
        </is>
      </c>
    </row>
    <row r="17">
      <c r="A17" s="24" t="inlineStr">
        <is>
          <t>No depurado</t>
        </is>
      </c>
      <c r="B17" s="25" t="inlineStr">
        <is>
          <t>'=SUMIFS('04_Partidas'!$F$5:$F$13,'04_Partidas'!$H$5:$H$13,"&lt;0",'04_Partidas'!$K$5:$K$13,"No")</t>
        </is>
      </c>
      <c r="C17" s="24" t="inlineStr">
        <is>
          <t>Suma solo el importe de las partidas de este tramo que en la hoja 04 siguen marcadas como no depuradas (sin liquidación posterior).</t>
        </is>
      </c>
      <c r="D17" s="24" t="inlineStr">
        <is>
          <t>Fila 1: SUMIFS([«Importe» de «Partidas conciliatorias», 9 filas]; [«Días al corte» de «Partidas conciliatorias», 9 filas]; "&lt;0"; [«Depurada» de «Partidas conciliatorias», 9 filas]; "No") → 0,00</t>
        </is>
      </c>
      <c r="E17" s="24" t="inlineStr">
        <is>
          <t>hoja «Partidas conciliatorias»</t>
        </is>
      </c>
      <c r="F17" s="24" t="inlineStr">
        <is>
          <t>—</t>
        </is>
      </c>
    </row>
  </sheetData>
  <mergeCells count="3">
    <mergeCell ref="A13:F13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9" customWidth="1" min="3" max="3"/>
    <col width="31" customWidth="1" min="4" max="4"/>
    <col width="34" customWidth="1" min="5" max="5"/>
    <col width="42" customWidth="1" min="6" max="6"/>
  </cols>
  <sheetData>
    <row r="1">
      <c r="A1" s="3" t="inlineStr">
        <is>
          <t>Confirmación bancaria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Efectivo y equivalentes de efectivo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Cuenta</t>
        </is>
      </c>
      <c r="B4" s="17" t="inlineStr">
        <is>
          <t>Banco</t>
        </is>
      </c>
      <c r="C4" s="17" t="inlineStr">
        <is>
          <t>Saldo según estado bancario</t>
        </is>
      </c>
      <c r="D4" s="17" t="inlineStr">
        <is>
          <t>Saldo confirmado por el banco</t>
        </is>
      </c>
      <c r="E4" s="17" t="inlineStr">
        <is>
          <t>Diferencia (confirmado − estado)</t>
        </is>
      </c>
      <c r="F4" s="17" t="inlineStr">
        <is>
          <t>Resultado</t>
        </is>
      </c>
    </row>
    <row r="5">
      <c r="A5" s="18" t="inlineStr">
        <is>
          <t>1.1.02.01</t>
        </is>
      </c>
      <c r="B5" s="18" t="inlineStr">
        <is>
          <t>Banco Pichincha Cte. ***4521</t>
        </is>
      </c>
      <c r="C5" s="20">
        <f>IF('03_Conciliacion'!D7="","",'03_Conciliacion'!D7)</f>
        <v/>
      </c>
      <c r="D5" s="20" t="n">
        <v>131210.5</v>
      </c>
      <c r="E5" s="20">
        <f>IF(OR(C5="",D5=""),"",ROUND(D5-C5,2))</f>
        <v/>
      </c>
      <c r="F5" s="18">
        <f>IF(D5="","Sin respuesta: procedimiento alternativo",IF(E5="","Sin estado bancario",IF(ABS(E5)&lt;='02_Parametros'!$B$10,"Coincide","No coincide")))</f>
        <v/>
      </c>
    </row>
    <row r="6">
      <c r="A6" s="19" t="inlineStr">
        <is>
          <t>1.1.02.02</t>
        </is>
      </c>
      <c r="B6" s="19" t="inlineStr">
        <is>
          <t>Banco Guayaquil Aho. ***7788</t>
        </is>
      </c>
      <c r="C6" s="21">
        <f>IF('03_Conciliacion'!D8="","",'03_Conciliacion'!D8)</f>
        <v/>
      </c>
      <c r="D6" s="21" t="n">
        <v>45900</v>
      </c>
      <c r="E6" s="21">
        <f>IF(OR(C6="",D6=""),"",ROUND(D6-C6,2))</f>
        <v/>
      </c>
      <c r="F6" s="19">
        <f>IF(D6="","Sin respuesta: procedimiento alternativo",IF(E6="","Sin estado bancario",IF(ABS(E6)&lt;='02_Parametros'!$B$10,"Coincide","No coincide")))</f>
        <v/>
      </c>
    </row>
    <row r="7">
      <c r="A7" s="18" t="inlineStr">
        <is>
          <t>1.1.02.03</t>
        </is>
      </c>
      <c r="B7" s="18" t="inlineStr">
        <is>
          <t>Produbanco Cte. ***3390</t>
        </is>
      </c>
      <c r="C7" s="20">
        <f>IF('03_Conciliacion'!D9="","",'03_Conciliacion'!D9)</f>
        <v/>
      </c>
      <c r="D7" s="20" t="n">
        <v>21500</v>
      </c>
      <c r="E7" s="20">
        <f>IF(OR(C7="",D7=""),"",ROUND(D7-C7,2))</f>
        <v/>
      </c>
      <c r="F7" s="18">
        <f>IF(D7="","Sin respuesta: procedimiento alternativo",IF(E7="","Sin estado bancario",IF(ABS(E7)&lt;='02_Parametros'!$B$10,"Coincide","No coincide")))</f>
        <v/>
      </c>
    </row>
    <row r="8">
      <c r="A8" s="19" t="inlineStr">
        <is>
          <t>1.1.02.04</t>
        </is>
      </c>
      <c r="B8" s="19" t="inlineStr">
        <is>
          <t>Banco Internacional Cte. ***1102</t>
        </is>
      </c>
      <c r="C8" s="21">
        <f>IF('03_Conciliacion'!D10="","",'03_Conciliacion'!D10)</f>
        <v/>
      </c>
      <c r="D8" s="21" t="n"/>
      <c r="E8" s="21">
        <f>IF(OR(C8="",D8=""),"",ROUND(D8-C8,2))</f>
        <v/>
      </c>
      <c r="F8" s="19">
        <f>IF(D8="","Sin respuesta: procedimiento alternativo",IF(E8="","Sin estado bancario",IF(ABS(E8)&lt;='02_Parametros'!$B$10,"Coincide","No coincide")))</f>
        <v/>
      </c>
    </row>
    <row r="9">
      <c r="A9" s="18" t="inlineStr">
        <is>
          <t>1.1.02.05</t>
        </is>
      </c>
      <c r="B9" s="18" t="inlineStr">
        <is>
          <t>Banco Bolivariano Cte. ***5566</t>
        </is>
      </c>
      <c r="C9" s="20">
        <f>IF('03_Conciliacion'!D11="","",'03_Conciliacion'!D11)</f>
        <v/>
      </c>
      <c r="D9" s="20" t="n">
        <v>-3200</v>
      </c>
      <c r="E9" s="20">
        <f>IF(OR(C9="",D9=""),"",ROUND(D9-C9,2))</f>
        <v/>
      </c>
      <c r="F9" s="18">
        <f>IF(D9="","Sin respuesta: procedimiento alternativo",IF(E9="","Sin estado bancario",IF(ABS(E9)&lt;='02_Parametros'!$B$10,"Coincide","No coincide")))</f>
        <v/>
      </c>
    </row>
    <row r="10">
      <c r="A10" s="19" t="inlineStr">
        <is>
          <t>1.1.03.01</t>
        </is>
      </c>
      <c r="B10" s="19" t="inlineStr">
        <is>
          <t>Póliza de acumulación Pichincha 60 días</t>
        </is>
      </c>
      <c r="C10" s="21">
        <f>IF('03_Conciliacion'!D12="","",'03_Conciliacion'!D12)</f>
        <v/>
      </c>
      <c r="D10" s="21" t="n">
        <v>50000</v>
      </c>
      <c r="E10" s="21">
        <f>IF(OR(C10="",D10=""),"",ROUND(D10-C10,2))</f>
        <v/>
      </c>
      <c r="F10" s="19">
        <f>IF(D10="","Sin respuesta: procedimiento alternativo",IF(E10="","Sin estado bancario",IF(ABS(E10)&lt;='02_Parametros'!$B$10,"Coincide","No coincide")))</f>
        <v/>
      </c>
    </row>
    <row r="11">
      <c r="A11" s="18" t="inlineStr">
        <is>
          <t>1.1.03.02</t>
        </is>
      </c>
      <c r="B11" s="18" t="inlineStr">
        <is>
          <t>Certificado de depósito Produbanco 180 días</t>
        </is>
      </c>
      <c r="C11" s="20">
        <f>IF('03_Conciliacion'!D13="","",'03_Conciliacion'!D13)</f>
        <v/>
      </c>
      <c r="D11" s="20" t="n">
        <v>30000</v>
      </c>
      <c r="E11" s="20">
        <f>IF(OR(C11="",D11=""),"",ROUND(D11-C11,2))</f>
        <v/>
      </c>
      <c r="F11" s="18">
        <f>IF(D11="","Sin respuesta: procedimiento alternativo",IF(E11="","Sin estado bancario",IF(ABS(E11)&lt;='02_Parametros'!$B$10,"Coincide","No coincide")))</f>
        <v/>
      </c>
    </row>
    <row r="13">
      <c r="A13" s="22" t="inlineStr">
        <is>
          <t>ⓘ  Cómo se calcula esta hoja</t>
        </is>
      </c>
    </row>
    <row r="14">
      <c r="A14" s="23" t="inlineStr">
        <is>
          <t>Columna</t>
        </is>
      </c>
      <c r="B14" s="23" t="inlineStr">
        <is>
          <t>Fórmula (Excel)</t>
        </is>
      </c>
      <c r="C14" s="23" t="inlineStr">
        <is>
          <t>Cómo se calcula (sencillo)</t>
        </is>
      </c>
      <c r="D14" s="23" t="inlineStr">
        <is>
          <t>Ejemplo con números reales</t>
        </is>
      </c>
      <c r="E14" s="23" t="inlineStr">
        <is>
          <t>De dónde viene</t>
        </is>
      </c>
      <c r="F14" s="23" t="inlineStr">
        <is>
          <t>Norma</t>
        </is>
      </c>
    </row>
    <row r="15">
      <c r="A15" s="24" t="inlineStr">
        <is>
          <t>Saldo según estado bancario</t>
        </is>
      </c>
      <c r="B15" s="25" t="inlineStr">
        <is>
          <t>'=IF('03_Conciliacion'!D7="","",'03_Conciliacion'!D7)</t>
        </is>
      </c>
      <c r="C15" s="24" t="inlineStr">
        <is>
          <t>Trae el saldo del estado bancario de la misma cuenta desde la hoja 03 (Conciliación bancaria por cuenta); si no hay, queda en blanco.</t>
        </is>
      </c>
      <c r="D15" s="24" t="inlineStr">
        <is>
          <t>Fila 1: IF(131.210,50=""; ""; 131.210,50) → 131.210,50</t>
        </is>
      </c>
      <c r="E15" s="24" t="inlineStr">
        <is>
          <t>hoja «Conciliación bancaria por cuenta»</t>
        </is>
      </c>
      <c r="F15" s="24" t="inlineStr">
        <is>
          <t>—</t>
        </is>
      </c>
    </row>
    <row r="16">
      <c r="A16" s="24" t="inlineStr">
        <is>
          <t>Diferencia (confirmado − estado)</t>
        </is>
      </c>
      <c r="B16" s="25" t="inlineStr">
        <is>
          <t>'=IF(OR(C5="",D5=""),"",ROUND(D5-C5,2))</t>
        </is>
      </c>
      <c r="C16" s="24" t="inlineStr">
        <is>
          <t>Resta al saldo que confirmó el banco el saldo del estado bancario, redondeado a centavos; si falta cualquiera de los dos, queda en blanco.</t>
        </is>
      </c>
      <c r="D16" s="24" t="inlineStr">
        <is>
          <t>Fila 1: IF(OR(131.210,50=""; 131.210,50=""); ""; ROUND(131.210,50-131.210,50; 2)) → 0,00</t>
        </is>
      </c>
      <c r="E16" s="24" t="inlineStr">
        <is>
          <t>«Saldo según estado bancario» (esta hoja), «Saldo confirmado por el banco» (esta hoja)</t>
        </is>
      </c>
      <c r="F16" s="24" t="inlineStr">
        <is>
          <t>—</t>
        </is>
      </c>
    </row>
    <row r="17">
      <c r="A17" s="24" t="inlineStr">
        <is>
          <t>Resultado</t>
        </is>
      </c>
      <c r="B17" s="25" t="inlineStr">
        <is>
          <t>'=IF(D5="","Sin respuesta: procedimiento alternativo",IF(E5="","Sin estado bancario",IF(ABS(E5)&lt;='02_Parametros'!$B$10,"Coincide","No coincide")))</t>
        </is>
      </c>
      <c r="C17" s="24" t="inlineStr">
        <is>
          <t>Sin respuesta del banco indica aplicar un procedimiento alternativo; sin estado bancario lo avisa; si la diferencia está dentro de la tolerancia de la hoja 02 (Parámetros) dice «Coincide» y, si no, «No coincide».</t>
        </is>
      </c>
      <c r="D17" s="24" t="inlineStr">
        <is>
          <t>Fila 1: IF(131.210,50=""; "Sin respuesta: procedimiento alternativo"; IF(0,00=""; "Sin estado bancario"; IF(ABS(0,00)&lt;=0,00; "Coincide"; "No coincide"))) → Coincide</t>
        </is>
      </c>
      <c r="E17" s="24" t="inlineStr">
        <is>
          <t>«Saldo confirmado por el banco» (esta hoja), «Diferencia (confirmado − estado)» (esta hoja), hoja «Parámetros»</t>
        </is>
      </c>
      <c r="F17" s="24" t="inlineStr">
        <is>
          <t>—</t>
        </is>
      </c>
    </row>
  </sheetData>
  <mergeCells count="3">
    <mergeCell ref="A13:F13"/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7" customWidth="1" min="4" max="4"/>
    <col width="19" customWidth="1" min="5" max="5"/>
    <col width="24" customWidth="1" min="6" max="6"/>
    <col width="30" customWidth="1" min="7" max="7"/>
    <col width="12" customWidth="1" min="8" max="8"/>
  </cols>
  <sheetData>
    <row r="1">
      <c r="A1" s="3" t="inlineStr">
        <is>
          <t>Prueba de corte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Efectivo y equivalentes de efectivo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</row>
    <row r="4" ht="30" customHeight="1">
      <c r="A4" s="17" t="inlineStr">
        <is>
          <t>Partida</t>
        </is>
      </c>
      <c r="B4" s="17" t="inlineStr">
        <is>
          <t>Cuenta</t>
        </is>
      </c>
      <c r="C4" s="17" t="inlineStr">
        <is>
          <t>Tipo</t>
        </is>
      </c>
      <c r="D4" s="17" t="inlineStr">
        <is>
          <t>Fecha en libros</t>
        </is>
      </c>
      <c r="E4" s="17" t="inlineStr">
        <is>
          <t>Fecha en el banco</t>
        </is>
      </c>
      <c r="F4" s="17" t="inlineStr">
        <is>
          <t>Días después del corte</t>
        </is>
      </c>
      <c r="G4" s="17" t="inlineStr">
        <is>
          <t>Resultado</t>
        </is>
      </c>
      <c r="H4" s="17" t="inlineStr">
        <is>
          <t>Importe</t>
        </is>
      </c>
    </row>
    <row r="5">
      <c r="A5" s="18" t="inlineStr">
        <is>
          <t>P-01</t>
        </is>
      </c>
      <c r="B5" s="18" t="inlineStr">
        <is>
          <t>1.1.02.01</t>
        </is>
      </c>
      <c r="C5" s="18" t="inlineStr">
        <is>
          <t>Depósito en tránsito</t>
        </is>
      </c>
      <c r="D5" s="32" t="n">
        <v>46021</v>
      </c>
      <c r="E5" s="32" t="n">
        <v>46024</v>
      </c>
      <c r="F5" s="33">
        <f>IF(E5="","",E5-'02_Parametros'!$B$5)</f>
        <v/>
      </c>
      <c r="G5" s="18">
        <f>IF(AND(D5&lt;&gt;"",D5&gt;'02_Parametros'!$B$5),"Registrada después del corte",IF(E5="","Sin liquidación posterior",IF(AND(C5="Depósito en tránsito",F5&gt;'02_Parametros'!$B$7),"Depósito acreditado tarde","Correcto")))</f>
        <v/>
      </c>
      <c r="H5" s="20">
        <f>'04_Partidas'!F5</f>
        <v/>
      </c>
    </row>
    <row r="6">
      <c r="A6" s="19" t="inlineStr">
        <is>
          <t>P-02</t>
        </is>
      </c>
      <c r="B6" s="19" t="inlineStr">
        <is>
          <t>1.1.02.01</t>
        </is>
      </c>
      <c r="C6" s="19" t="inlineStr">
        <is>
          <t>Cheque pendiente</t>
        </is>
      </c>
      <c r="D6" s="34" t="n">
        <v>46019</v>
      </c>
      <c r="E6" s="34" t="n">
        <v>46027</v>
      </c>
      <c r="F6" s="35">
        <f>IF(E6="","",E6-'02_Parametros'!$B$5)</f>
        <v/>
      </c>
      <c r="G6" s="19">
        <f>IF(AND(D6&lt;&gt;"",D6&gt;'02_Parametros'!$B$5),"Registrada después del corte",IF(E6="","Sin liquidación posterior",IF(AND(C6="Depósito en tránsito",F6&gt;'02_Parametros'!$B$7),"Depósito acreditado tarde","Correcto")))</f>
        <v/>
      </c>
      <c r="H6" s="21">
        <f>'04_Partidas'!F6</f>
        <v/>
      </c>
    </row>
    <row r="7">
      <c r="A7" s="18" t="inlineStr">
        <is>
          <t>P-03</t>
        </is>
      </c>
      <c r="B7" s="18" t="inlineStr">
        <is>
          <t>1.1.02.01</t>
        </is>
      </c>
      <c r="C7" s="18" t="inlineStr">
        <is>
          <t>Cheque pendiente</t>
        </is>
      </c>
      <c r="D7" s="32" t="n">
        <v>45884</v>
      </c>
      <c r="E7" s="36" t="n"/>
      <c r="F7" s="33">
        <f>IF(E7="","",E7-'02_Parametros'!$B$5)</f>
        <v/>
      </c>
      <c r="G7" s="18">
        <f>IF(AND(D7&lt;&gt;"",D7&gt;'02_Parametros'!$B$5),"Registrada después del corte",IF(E7="","Sin liquidación posterior",IF(AND(C7="Depósito en tránsito",F7&gt;'02_Parametros'!$B$7),"Depósito acreditado tarde","Correcto")))</f>
        <v/>
      </c>
      <c r="H7" s="20">
        <f>'04_Partidas'!F7</f>
        <v/>
      </c>
    </row>
    <row r="8">
      <c r="A8" s="19" t="inlineStr">
        <is>
          <t>P-06</t>
        </is>
      </c>
      <c r="B8" s="19" t="inlineStr">
        <is>
          <t>1.1.02.02</t>
        </is>
      </c>
      <c r="C8" s="19" t="inlineStr">
        <is>
          <t>Depósito en tránsito</t>
        </is>
      </c>
      <c r="D8" s="34" t="n">
        <v>46022</v>
      </c>
      <c r="E8" s="34" t="n">
        <v>46034</v>
      </c>
      <c r="F8" s="35">
        <f>IF(E8="","",E8-'02_Parametros'!$B$5)</f>
        <v/>
      </c>
      <c r="G8" s="19">
        <f>IF(AND(D8&lt;&gt;"",D8&gt;'02_Parametros'!$B$5),"Registrada después del corte",IF(E8="","Sin liquidación posterior",IF(AND(C8="Depósito en tránsito",F8&gt;'02_Parametros'!$B$7),"Depósito acreditado tarde","Correcto")))</f>
        <v/>
      </c>
      <c r="H8" s="21">
        <f>'04_Partidas'!F10</f>
        <v/>
      </c>
    </row>
    <row r="9">
      <c r="A9" s="18" t="inlineStr">
        <is>
          <t>P-07</t>
        </is>
      </c>
      <c r="B9" s="18" t="inlineStr">
        <is>
          <t>1.1.02.02</t>
        </is>
      </c>
      <c r="C9" s="18" t="inlineStr">
        <is>
          <t>Cheque pendiente</t>
        </is>
      </c>
      <c r="D9" s="32" t="n">
        <v>46011</v>
      </c>
      <c r="E9" s="32" t="n">
        <v>46025</v>
      </c>
      <c r="F9" s="33">
        <f>IF(E9="","",E9-'02_Parametros'!$B$5)</f>
        <v/>
      </c>
      <c r="G9" s="18">
        <f>IF(AND(D9&lt;&gt;"",D9&gt;'02_Parametros'!$B$5),"Registrada después del corte",IF(E9="","Sin liquidación posterior",IF(AND(C9="Depósito en tránsito",F9&gt;'02_Parametros'!$B$7),"Depósito acreditado tarde","Correcto")))</f>
        <v/>
      </c>
      <c r="H9" s="20">
        <f>'04_Partidas'!F11</f>
        <v/>
      </c>
    </row>
    <row r="10">
      <c r="A10" s="19" t="inlineStr">
        <is>
          <t>P-08</t>
        </is>
      </c>
      <c r="B10" s="19" t="inlineStr">
        <is>
          <t>1.1.02.02</t>
        </is>
      </c>
      <c r="C10" s="19" t="inlineStr">
        <is>
          <t>Cheque pendiente</t>
        </is>
      </c>
      <c r="D10" s="34" t="n">
        <v>46024</v>
      </c>
      <c r="E10" s="34" t="n">
        <v>46028</v>
      </c>
      <c r="F10" s="35">
        <f>IF(E10="","",E10-'02_Parametros'!$B$5)</f>
        <v/>
      </c>
      <c r="G10" s="19">
        <f>IF(AND(D10&lt;&gt;"",D10&gt;'02_Parametros'!$B$5),"Registrada después del corte",IF(E10="","Sin liquidación posterior",IF(AND(C10="Depósito en tránsito",F10&gt;'02_Parametros'!$B$7),"Depósito acreditado tarde","Correcto")))</f>
        <v/>
      </c>
      <c r="H10" s="21">
        <f>'04_Partidas'!F12</f>
        <v/>
      </c>
    </row>
    <row r="11">
      <c r="A11" s="18" t="inlineStr">
        <is>
          <t>P-09</t>
        </is>
      </c>
      <c r="B11" s="18" t="inlineStr">
        <is>
          <t>1.1.02.04</t>
        </is>
      </c>
      <c r="C11" s="18" t="inlineStr">
        <is>
          <t>Depósito en tránsito</t>
        </is>
      </c>
      <c r="D11" s="32" t="n">
        <v>45910</v>
      </c>
      <c r="E11" s="36" t="n"/>
      <c r="F11" s="33">
        <f>IF(E11="","",E11-'02_Parametros'!$B$5)</f>
        <v/>
      </c>
      <c r="G11" s="18">
        <f>IF(AND(D11&lt;&gt;"",D11&gt;'02_Parametros'!$B$5),"Registrada después del corte",IF(E11="","Sin liquidación posterior",IF(AND(C11="Depósito en tránsito",F11&gt;'02_Parametros'!$B$7),"Depósito acreditado tarde","Correcto")))</f>
        <v/>
      </c>
      <c r="H11" s="20">
        <f>'04_Partidas'!F13</f>
        <v/>
      </c>
    </row>
    <row r="12">
      <c r="A12" s="30" t="inlineStr">
        <is>
          <t>TOTAL</t>
        </is>
      </c>
      <c r="B12" s="30" t="inlineStr"/>
      <c r="C12" s="30" t="inlineStr"/>
      <c r="D12" s="37" t="n"/>
      <c r="E12" s="37" t="n"/>
      <c r="F12" s="38" t="n"/>
      <c r="G12" s="30" t="inlineStr"/>
      <c r="H12" s="31">
        <f>SUM(H5:H11)</f>
        <v/>
      </c>
    </row>
    <row r="14">
      <c r="A14" s="22" t="inlineStr">
        <is>
          <t>ⓘ  Cómo se calcula esta hoja</t>
        </is>
      </c>
    </row>
    <row r="15">
      <c r="A15" s="23" t="inlineStr">
        <is>
          <t>Columna</t>
        </is>
      </c>
      <c r="B15" s="23" t="inlineStr">
        <is>
          <t>Fórmula (Excel)</t>
        </is>
      </c>
      <c r="C15" s="23" t="inlineStr">
        <is>
          <t>Cómo se calcula (sencillo)</t>
        </is>
      </c>
      <c r="D15" s="23" t="inlineStr">
        <is>
          <t>Ejemplo con números reales</t>
        </is>
      </c>
      <c r="E15" s="23" t="inlineStr">
        <is>
          <t>De dónde viene</t>
        </is>
      </c>
      <c r="F15" s="23" t="inlineStr">
        <is>
          <t>Norma</t>
        </is>
      </c>
    </row>
    <row r="16">
      <c r="A16" s="24" t="inlineStr">
        <is>
          <t>Días después del corte</t>
        </is>
      </c>
      <c r="B16" s="25" t="inlineStr">
        <is>
          <t>'=IF(E5="","",E5-'02_Parametros'!$B$5)</t>
        </is>
      </c>
      <c r="C16" s="24" t="inlineStr">
        <is>
          <t>Resta la fecha de corte de la hoja 02 (Parámetros) de la fecha en que el banco registró la partida; sin fecha en el banco, queda en blanco.</t>
        </is>
      </c>
      <c r="D16" s="24" t="inlineStr">
        <is>
          <t>Fila 1: IF(«2026-01-02»=""; ""; «2026-01-02»-«2025-12-31») → 2</t>
        </is>
      </c>
      <c r="E16" s="24" t="inlineStr">
        <is>
          <t>«Fecha en el banco» (esta hoja), hoja «Parámetros»</t>
        </is>
      </c>
      <c r="F16" s="24" t="inlineStr">
        <is>
          <t>—</t>
        </is>
      </c>
    </row>
    <row r="17">
      <c r="A17" s="24" t="inlineStr">
        <is>
          <t>Resultado</t>
        </is>
      </c>
      <c r="B17" s="25" t="inlineStr">
        <is>
          <t>'=IF(AND(D5&lt;&gt;"",D5&gt;'02_Parametros'!$B$5),"Registrada después del corte",IF(E5="","Sin liquidación posterior",IF(AND(C5="Depósito en tránsito",F5&gt;'02_Parametros'!$B$7),"Depósito acreditado tarde","Correcto")))</t>
        </is>
      </c>
      <c r="C17" s="24" t="inlineStr">
        <is>
          <t>Si la partida se registró en libros después del corte lo marca; si el banco no la registró después, dice «Sin liquidación posterior»; un depósito en tránsito acreditado después de los días permitidos en la hoja 02 es «Depósito acreditado tarde»; lo demás es «Correcto».</t>
        </is>
      </c>
      <c r="D17" s="24" t="inlineStr">
        <is>
          <t>Fila 1: IF(AND(«2025-12-30»&lt;&gt;""; «2025-12-30»&gt;«2025-12-31»); "Registrada después del corte"; IF(«2026-01-02»=""; "Sin liquidación posterior"; IF(AND(«Depósito en tránsito»="Depósito en tránsito"; 2&gt;5,00); "Depósito acreditado tarde"; "Correcto"))) → Correcto</t>
        </is>
      </c>
      <c r="E17" s="24" t="inlineStr">
        <is>
          <t>«Fecha en libros» (esta hoja), «Fecha en el banco» (esta hoja), «Tipo» (esta hoja), «Días después del corte» (esta hoja), hoja «Parámetros»</t>
        </is>
      </c>
      <c r="F17" s="24" t="inlineStr">
        <is>
          <t>—</t>
        </is>
      </c>
    </row>
    <row r="18">
      <c r="A18" s="24" t="inlineStr">
        <is>
          <t>Importe</t>
        </is>
      </c>
      <c r="B18" s="25" t="inlineStr">
        <is>
          <t>'='04_Partidas'!F5</t>
        </is>
      </c>
      <c r="C18" s="24" t="inlineStr">
        <is>
          <t>Trae el importe de la misma partida desde la hoja 04 (Partidas conciliatorias).</t>
        </is>
      </c>
      <c r="D18" s="24" t="inlineStr">
        <is>
          <t>Fila 1: 8.500,00 → 8.500,00</t>
        </is>
      </c>
      <c r="E18" s="24" t="inlineStr">
        <is>
          <t>hoja «Partidas conciliatorias»</t>
        </is>
      </c>
      <c r="F18" s="24" t="inlineStr">
        <is>
          <t>—</t>
        </is>
      </c>
    </row>
  </sheetData>
  <mergeCells count="3">
    <mergeCell ref="A2:F2"/>
    <mergeCell ref="A14:F14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9" customWidth="1" min="4" max="4"/>
    <col width="36" customWidth="1" min="5" max="5"/>
    <col width="23" customWidth="1" min="6" max="6"/>
    <col width="38" customWidth="1" min="7" max="7"/>
    <col width="22" customWidth="1" min="8" max="8"/>
    <col width="27" customWidth="1" min="9" max="9"/>
  </cols>
  <sheetData>
    <row r="1">
      <c r="A1" s="3" t="inlineStr">
        <is>
          <t>Efectivo restringido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Efectivo y equivalentes de efectivo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</row>
    <row r="4" ht="30" customHeight="1">
      <c r="A4" s="17" t="inlineStr">
        <is>
          <t>Cuenta</t>
        </is>
      </c>
      <c r="B4" s="17" t="inlineStr">
        <is>
          <t>Banco</t>
        </is>
      </c>
      <c r="C4" s="17" t="inlineStr">
        <is>
          <t>Saldo ajustado</t>
        </is>
      </c>
      <c r="D4" s="17" t="inlineStr">
        <is>
          <t>Monto restringido</t>
        </is>
      </c>
      <c r="E4" s="17" t="inlineStr">
        <is>
          <t>Motivo</t>
        </is>
      </c>
      <c r="F4" s="17" t="inlineStr">
        <is>
          <t>Fin de la restricción</t>
        </is>
      </c>
      <c r="G4" s="17" t="inlineStr">
        <is>
          <t>Clasificación</t>
        </is>
      </c>
      <c r="H4" s="17" t="inlineStr">
        <is>
          <t>Ya presentado aparte</t>
        </is>
      </c>
      <c r="I4" s="17" t="inlineStr">
        <is>
          <t>Reclasificación propuesta</t>
        </is>
      </c>
    </row>
    <row r="5">
      <c r="A5" s="18" t="inlineStr">
        <is>
          <t>1.1.02.02</t>
        </is>
      </c>
      <c r="B5" s="18" t="inlineStr">
        <is>
          <t>Banco Guayaquil Aho. ***7788</t>
        </is>
      </c>
      <c r="C5" s="20">
        <f>'03_Conciliacion'!M8</f>
        <v/>
      </c>
      <c r="D5" s="20" t="n">
        <v>10000</v>
      </c>
      <c r="E5" s="18" t="inlineStr">
        <is>
          <t>Garantía de préstamo (pignoración)</t>
        </is>
      </c>
      <c r="F5" s="32" t="n">
        <v>46568</v>
      </c>
      <c r="G5" s="18">
        <f>IF(F5="","Sin fecha de fin: revisar el soporte",IF(F5&gt;=EDATE('02_Parametros'!$B$5,'02_Parametros'!$B$9),"No corriente","Corriente"))</f>
        <v/>
      </c>
      <c r="H5" s="18" t="inlineStr">
        <is>
          <t>No</t>
        </is>
      </c>
      <c r="I5" s="20">
        <f>IF(OR(H5="Sí",G5&lt;&gt;"No corriente"),0,IF(D5="","",D5))</f>
        <v/>
      </c>
    </row>
    <row r="6">
      <c r="A6" s="19" t="inlineStr">
        <is>
          <t>1.1.02.04</t>
        </is>
      </c>
      <c r="B6" s="19" t="inlineStr">
        <is>
          <t>Banco Internacional Cte. ***1102</t>
        </is>
      </c>
      <c r="C6" s="21">
        <f>'03_Conciliacion'!M10</f>
        <v/>
      </c>
      <c r="D6" s="21" t="n">
        <v>1650</v>
      </c>
      <c r="E6" s="19" t="inlineStr">
        <is>
          <t>Embargo judicial</t>
        </is>
      </c>
      <c r="F6" s="39" t="n"/>
      <c r="G6" s="19">
        <f>IF(F6="","Sin fecha de fin: revisar el soporte",IF(F6&gt;=EDATE('02_Parametros'!$B$5,'02_Parametros'!$B$9),"No corriente","Corriente"))</f>
        <v/>
      </c>
      <c r="H6" s="19" t="inlineStr">
        <is>
          <t>No</t>
        </is>
      </c>
      <c r="I6" s="21">
        <f>IF(OR(H6="Sí",G6&lt;&gt;"No corriente"),0,IF(D6="","",D6))</f>
        <v/>
      </c>
    </row>
    <row r="7">
      <c r="A7" s="30" t="inlineStr">
        <is>
          <t>TOTAL</t>
        </is>
      </c>
      <c r="B7" s="30" t="inlineStr"/>
      <c r="C7" s="31" t="n"/>
      <c r="D7" s="31" t="n"/>
      <c r="E7" s="30" t="inlineStr"/>
      <c r="F7" s="37" t="n"/>
      <c r="G7" s="30" t="inlineStr"/>
      <c r="H7" s="30" t="inlineStr"/>
      <c r="I7" s="31">
        <f>SUM(I5:I6)</f>
        <v/>
      </c>
    </row>
    <row r="9">
      <c r="A9" s="22" t="inlineStr">
        <is>
          <t>ⓘ  Cómo se calcula esta hoja</t>
        </is>
      </c>
    </row>
    <row r="10">
      <c r="A10" s="23" t="inlineStr">
        <is>
          <t>Columna</t>
        </is>
      </c>
      <c r="B10" s="23" t="inlineStr">
        <is>
          <t>Fórmula (Excel)</t>
        </is>
      </c>
      <c r="C10" s="23" t="inlineStr">
        <is>
          <t>Cómo se calcula (sencillo)</t>
        </is>
      </c>
      <c r="D10" s="23" t="inlineStr">
        <is>
          <t>Ejemplo con números reales</t>
        </is>
      </c>
      <c r="E10" s="23" t="inlineStr">
        <is>
          <t>De dónde viene</t>
        </is>
      </c>
      <c r="F10" s="23" t="inlineStr">
        <is>
          <t>Norma</t>
        </is>
      </c>
    </row>
    <row r="11">
      <c r="A11" s="24" t="inlineStr">
        <is>
          <t>Saldo ajustado</t>
        </is>
      </c>
      <c r="B11" s="25" t="inlineStr">
        <is>
          <t>'='03_Conciliacion'!M8</t>
        </is>
      </c>
      <c r="C11" s="24" t="inlineStr">
        <is>
          <t>Trae el saldo ajustado de libros de la misma cuenta desde la hoja 03 (Conciliación bancaria por cuenta).</t>
        </is>
      </c>
      <c r="D11" s="24" t="inlineStr">
        <is>
          <t>Fila 1: 47.700,00 → 47.700,00</t>
        </is>
      </c>
      <c r="E11" s="24" t="inlineStr">
        <is>
          <t>hoja «Conciliación bancaria por cuenta»</t>
        </is>
      </c>
      <c r="F11" s="24" t="inlineStr">
        <is>
          <t>—</t>
        </is>
      </c>
    </row>
    <row r="12">
      <c r="A12" s="24" t="inlineStr">
        <is>
          <t>Clasificación</t>
        </is>
      </c>
      <c r="B12" s="25" t="inlineStr">
        <is>
          <t>'=IF(F5="","Sin fecha de fin: revisar el soporte",IF(F5&gt;=EDATE('02_Parametros'!$B$5,'02_Parametros'!$B$9),"No corriente","Corriente"))</t>
        </is>
      </c>
      <c r="C12" s="24" t="inlineStr">
        <is>
          <t>Sin fecha de fin pide revisar el soporte; si la restricción termina en la fecha límite (corte más los meses de la hoja 02, Parámetros) o después, es «No corriente»; si termina antes, «Corriente».</t>
        </is>
      </c>
      <c r="D12" s="24" t="inlineStr">
        <is>
          <t>Fila 1: IF(«2027-06-30»=""; "Sin fecha de fin: revisar el soporte"; IF(«2027-06-30»&gt;=EDATE(«2025-12-31»; 12,00); "No corriente"; "Corriente")) → No corriente</t>
        </is>
      </c>
      <c r="E12" s="24" t="inlineStr">
        <is>
          <t>«Fin de la restricción» (esta hoja), hoja «Parámetros»</t>
        </is>
      </c>
      <c r="F12" s="24" t="inlineStr">
        <is>
          <t>—</t>
        </is>
      </c>
    </row>
    <row r="13">
      <c r="A13" s="24" t="inlineStr">
        <is>
          <t>Reclasificación propuesta</t>
        </is>
      </c>
      <c r="B13" s="25" t="inlineStr">
        <is>
          <t>'=IF(OR(H5="Sí",G5&lt;&gt;"No corriente"),0,IF(D5="","",D5))</t>
        </is>
      </c>
      <c r="C13" s="24" t="inlineStr">
        <is>
          <t>Propone reclasificar el monto restringido solo si es no corriente y todavía no se presenta aparte; en los demás casos es cero.</t>
        </is>
      </c>
      <c r="D13" s="24" t="inlineStr">
        <is>
          <t>Fila 1: IF(OR(«No»="Sí"; «No corriente»&lt;&gt;"No corriente"); 0; IF(10.000,00=""; ""; 10.000,00)) → 10.000,00</t>
        </is>
      </c>
      <c r="E13" s="24" t="inlineStr">
        <is>
          <t>«Ya presentado aparte» (esta hoja), «Clasificación» (esta hoja), «Monto restringido» (esta hoja)</t>
        </is>
      </c>
      <c r="F13" s="24" t="inlineStr">
        <is>
          <t>—</t>
        </is>
      </c>
    </row>
  </sheetData>
  <mergeCells count="3">
    <mergeCell ref="A2:F2"/>
    <mergeCell ref="A1:F1"/>
    <mergeCell ref="A9:F9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3" customWidth="1" min="3" max="3"/>
    <col width="13" customWidth="1" min="4" max="4"/>
    <col width="23" customWidth="1" min="5" max="5"/>
    <col width="42" customWidth="1" min="6" max="6"/>
    <col width="16" customWidth="1" min="7" max="7"/>
    <col width="34" customWidth="1" min="8" max="8"/>
    <col width="27" customWidth="1" min="9" max="9"/>
  </cols>
  <sheetData>
    <row r="1">
      <c r="A1" s="3" t="inlineStr">
        <is>
          <t>Equivalentes de efectivo (definición)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Efectivo y equivalentes de efectivo · Cliente de muestra S.A. · corte 2025-12-31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</row>
    <row r="4" ht="30" customHeight="1">
      <c r="A4" s="17" t="inlineStr">
        <is>
          <t>Cuenta</t>
        </is>
      </c>
      <c r="B4" s="17" t="inlineStr">
        <is>
          <t>Instrumento</t>
        </is>
      </c>
      <c r="C4" s="17" t="inlineStr">
        <is>
          <t>Adquisición</t>
        </is>
      </c>
      <c r="D4" s="17" t="inlineStr">
        <is>
          <t>Vencimiento</t>
        </is>
      </c>
      <c r="E4" s="17" t="inlineStr">
        <is>
          <t>Plazo original (días)</t>
        </is>
      </c>
      <c r="F4" s="17" t="inlineStr">
        <is>
          <t>Vence en tres meses o menos (presunción)</t>
        </is>
      </c>
      <c r="G4" s="17" t="inlineStr">
        <is>
          <t>Saldo ajustado</t>
        </is>
      </c>
      <c r="H4" s="17" t="inlineStr">
        <is>
          <t>Ya reclasificado por restricción</t>
        </is>
      </c>
      <c r="I4" s="17" t="inlineStr">
        <is>
          <t>Reclasificación propuesta</t>
        </is>
      </c>
    </row>
    <row r="5">
      <c r="A5" s="18" t="inlineStr">
        <is>
          <t>1.1.03.01</t>
        </is>
      </c>
      <c r="B5" s="18" t="inlineStr">
        <is>
          <t>Póliza de acumulación Pichincha 60 días</t>
        </is>
      </c>
      <c r="C5" s="32" t="n">
        <v>45976</v>
      </c>
      <c r="D5" s="32" t="n">
        <v>46036</v>
      </c>
      <c r="E5" s="33">
        <f>IF(OR(C5="",D5=""),"",D5-C5)</f>
        <v/>
      </c>
      <c r="F5" s="18">
        <f>IF(OR(C5="",D5=""),"Sin fechas: revisar el soporte",IF(D5&lt;=EDATE(C5,'02_Parametros'!$B$8),"Sí","No"))</f>
        <v/>
      </c>
      <c r="G5" s="20">
        <f>'03_Conciliacion'!M12</f>
        <v/>
      </c>
      <c r="H5" s="20">
        <f>SUMIF('08_Restringido'!$A$5:$A$6,A5,'08_Restringido'!$I$5:$I$6)</f>
        <v/>
      </c>
      <c r="I5" s="20">
        <f>IF(F5="No",MAX(G5-H5,0),0)</f>
        <v/>
      </c>
    </row>
    <row r="6">
      <c r="A6" s="19" t="inlineStr">
        <is>
          <t>1.1.03.02</t>
        </is>
      </c>
      <c r="B6" s="19" t="inlineStr">
        <is>
          <t>Certificado de depósito Produbanco 180 días</t>
        </is>
      </c>
      <c r="C6" s="34" t="n">
        <v>45931</v>
      </c>
      <c r="D6" s="34" t="n">
        <v>46111</v>
      </c>
      <c r="E6" s="35">
        <f>IF(OR(C6="",D6=""),"",D6-C6)</f>
        <v/>
      </c>
      <c r="F6" s="19">
        <f>IF(OR(C6="",D6=""),"Sin fechas: revisar el soporte",IF(D6&lt;=EDATE(C6,'02_Parametros'!$B$8),"Sí","No"))</f>
        <v/>
      </c>
      <c r="G6" s="21">
        <f>'03_Conciliacion'!M13</f>
        <v/>
      </c>
      <c r="H6" s="21">
        <f>SUMIF('08_Restringido'!$A$5:$A$6,A6,'08_Restringido'!$I$5:$I$6)</f>
        <v/>
      </c>
      <c r="I6" s="21">
        <f>IF(F6="No",MAX(G6-H6,0),0)</f>
        <v/>
      </c>
    </row>
    <row r="7">
      <c r="A7" s="30" t="inlineStr">
        <is>
          <t>TOTAL</t>
        </is>
      </c>
      <c r="B7" s="30" t="inlineStr"/>
      <c r="C7" s="37" t="n"/>
      <c r="D7" s="37" t="n"/>
      <c r="E7" s="38" t="n"/>
      <c r="F7" s="30" t="inlineStr"/>
      <c r="G7" s="31">
        <f>SUM(G5:G6)</f>
        <v/>
      </c>
      <c r="H7" s="31" t="n"/>
      <c r="I7" s="31">
        <f>SUM(I5:I6)</f>
        <v/>
      </c>
    </row>
    <row r="9">
      <c r="A9" s="22" t="inlineStr">
        <is>
          <t>ⓘ  Cómo se calcula esta hoja</t>
        </is>
      </c>
    </row>
    <row r="10">
      <c r="A10" s="23" t="inlineStr">
        <is>
          <t>Columna</t>
        </is>
      </c>
      <c r="B10" s="23" t="inlineStr">
        <is>
          <t>Fórmula (Excel)</t>
        </is>
      </c>
      <c r="C10" s="23" t="inlineStr">
        <is>
          <t>Cómo se calcula (sencillo)</t>
        </is>
      </c>
      <c r="D10" s="23" t="inlineStr">
        <is>
          <t>Ejemplo con números reales</t>
        </is>
      </c>
      <c r="E10" s="23" t="inlineStr">
        <is>
          <t>De dónde viene</t>
        </is>
      </c>
      <c r="F10" s="23" t="inlineStr">
        <is>
          <t>Norma</t>
        </is>
      </c>
    </row>
    <row r="11">
      <c r="A11" s="24" t="inlineStr">
        <is>
          <t>Plazo original (días)</t>
        </is>
      </c>
      <c r="B11" s="25" t="inlineStr">
        <is>
          <t>'=IF(OR(C5="",D5=""),"",D5-C5)</t>
        </is>
      </c>
      <c r="C11" s="24" t="inlineStr">
        <is>
          <t>Cuenta los días entre la adquisición y el vencimiento de la inversión; si falta alguna de las dos fechas, queda en blanco.</t>
        </is>
      </c>
      <c r="D11" s="24" t="inlineStr">
        <is>
          <t>Fila 1: IF(OR(«2025-11-15»=""; «2026-01-14»=""); ""; «2026-01-14»-«2025-11-15») → 60</t>
        </is>
      </c>
      <c r="E11" s="24" t="inlineStr">
        <is>
          <t>«Adquisición» (esta hoja), «Vencimiento» (esta hoja)</t>
        </is>
      </c>
      <c r="F11" s="24" t="inlineStr">
        <is>
          <t>—</t>
        </is>
      </c>
    </row>
    <row r="12">
      <c r="A12" s="24" t="inlineStr">
        <is>
          <t>Vence en tres meses o menos (presunción)</t>
        </is>
      </c>
      <c r="B12" s="25" t="inlineStr">
        <is>
          <t>'=IF(OR(C5="",D5=""),"Sin fechas: revisar el soporte",IF(D5&lt;=EDATE(C5,'02_Parametros'!$B$8),"Sí","No"))</t>
        </is>
      </c>
      <c r="C12" s="24" t="inlineStr">
        <is>
          <t>Marca «Sí» si el vencimiento no pasa de los meses de la hoja 02 (Parámetros) contados desde la adquisición y «No» si pasa; sin fechas, pide revisar el soporte.</t>
        </is>
      </c>
      <c r="D12" s="24" t="inlineStr">
        <is>
          <t>Fila 1: IF(OR(«2025-11-15»=""; «2026-01-14»=""); "Sin fechas: revisar el soporte"; IF(«2026-01-14»&lt;=EDATE(«2025-11-15»; 3,00); "Sí"; "No")) → Sí</t>
        </is>
      </c>
      <c r="E12" s="24" t="inlineStr">
        <is>
          <t>«Adquisición» (esta hoja), «Vencimiento» (esta hoja), hoja «Parámetros»</t>
        </is>
      </c>
      <c r="F12" s="24" t="inlineStr">
        <is>
          <t>—</t>
        </is>
      </c>
    </row>
    <row r="13">
      <c r="A13" s="24" t="inlineStr">
        <is>
          <t>Saldo ajustado</t>
        </is>
      </c>
      <c r="B13" s="25" t="inlineStr">
        <is>
          <t>'='03_Conciliacion'!M12</t>
        </is>
      </c>
      <c r="C13" s="24" t="inlineStr">
        <is>
          <t>Trae el saldo ajustado de libros de la misma inversión desde la hoja 03 (Conciliación bancaria por cuenta).</t>
        </is>
      </c>
      <c r="D13" s="24" t="inlineStr">
        <is>
          <t>Fila 1: 50.000,00 → 50.000,00</t>
        </is>
      </c>
      <c r="E13" s="24" t="inlineStr">
        <is>
          <t>hoja «Conciliación bancaria por cuenta»</t>
        </is>
      </c>
      <c r="F13" s="24" t="inlineStr">
        <is>
          <t>—</t>
        </is>
      </c>
    </row>
    <row r="14">
      <c r="A14" s="24" t="inlineStr">
        <is>
          <t>Ya reclasificado por restricción</t>
        </is>
      </c>
      <c r="B14" s="25" t="inlineStr">
        <is>
          <t>'=SUMIF('08_Restringido'!$A$5:$A$6,A5,'08_Restringido'!$I$5:$I$6)</t>
        </is>
      </c>
      <c r="C14" s="24" t="inlineStr">
        <is>
          <t>Suma lo que la hoja 08 (Efectivo restringido) ya propone reclasificar para esta misma cuenta, para no reclasificarlo dos veces.</t>
        </is>
      </c>
      <c r="D14" s="24" t="inlineStr">
        <is>
          <t>Fila 1: SUMIF([«Cuenta» de «Efectivo restringido», 2 filas]; «1.1.03.01»; [«Reclasificación propuesta» de «Efectivo restringido», 2 filas]) → 0,00</t>
        </is>
      </c>
      <c r="E14" s="24" t="inlineStr">
        <is>
          <t>«Cuenta» (esta hoja), hoja «Efectivo restringido»</t>
        </is>
      </c>
      <c r="F14" s="24" t="inlineStr">
        <is>
          <t>—</t>
        </is>
      </c>
    </row>
    <row r="15">
      <c r="A15" s="24" t="inlineStr">
        <is>
          <t>Reclasificación propuesta</t>
        </is>
      </c>
      <c r="B15" s="25" t="inlineStr">
        <is>
          <t>'=IF(F5="No",MAX(G5-H5,0),0)</t>
        </is>
      </c>
      <c r="C15" s="24" t="inlineStr">
        <is>
          <t>Si la inversión no vence dentro del plazo, propone reclasificar su saldo ajustado menos lo ya reclasificado por restricción (nunca negativo); si califica, es cero.</t>
        </is>
      </c>
      <c r="D15" s="24" t="inlineStr">
        <is>
          <t>Fila 1: IF(«Sí»="No"; MAX(50.000,00-0,00; 0); 0) → 0,00</t>
        </is>
      </c>
      <c r="E15" s="24" t="inlineStr">
        <is>
          <t>«Vence en tres meses o menos (presunción)» (esta hoja), «Saldo ajustado» (esta hoja), «Ya reclasificado por restricción» (esta hoja)</t>
        </is>
      </c>
      <c r="F15" s="24" t="inlineStr">
        <is>
          <t>—</t>
        </is>
      </c>
    </row>
  </sheetData>
  <mergeCells count="3">
    <mergeCell ref="A2:F2"/>
    <mergeCell ref="A1:F1"/>
    <mergeCell ref="A9:F9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3" t="inlineStr">
        <is>
          <t>Efectivo auditado y ajuste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Efectivo y equivalentes de efectivo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Importe</t>
        </is>
      </c>
    </row>
    <row r="5">
      <c r="A5" s="18" t="inlineStr">
        <is>
          <t>Efectivo y equivalentes según libros</t>
        </is>
      </c>
      <c r="B5" s="20">
        <f>SUM('03_Conciliacion'!$K$5:$K$13)</f>
        <v/>
      </c>
    </row>
    <row r="6">
      <c r="A6" s="19" t="inlineStr">
        <is>
          <t>Notas de crédito no registradas en libros</t>
        </is>
      </c>
      <c r="B6" s="21">
        <f>SUM('03_Conciliacion'!$G$5:$G$13)</f>
        <v/>
      </c>
    </row>
    <row r="7">
      <c r="A7" s="18" t="inlineStr">
        <is>
          <t>Notas de débito no registradas en libros</t>
        </is>
      </c>
      <c r="B7" s="20">
        <f>SUM('03_Conciliacion'!$H$5:$H$13)</f>
        <v/>
      </c>
    </row>
    <row r="8">
      <c r="A8" s="19" t="inlineStr">
        <is>
          <t>Ajuste por notas bancarias (crédito − débito)</t>
        </is>
      </c>
      <c r="B8" s="21">
        <f>'10_Efectivo_auditado'!$B$6-'10_Efectivo_auditado'!$B$7</f>
        <v/>
      </c>
    </row>
    <row r="9">
      <c r="A9" s="18" t="inlineStr">
        <is>
          <t>(−) Reclasificación a no corriente (restricción ≥ 12 meses) (NIC 7.48 y NIC 1.66 d))</t>
        </is>
      </c>
      <c r="B9" s="20">
        <f>SUM('08_Restringido'!$I$5:$I$6)</f>
        <v/>
      </c>
    </row>
    <row r="10">
      <c r="A10" s="19" t="inlineStr">
        <is>
          <t xml:space="preserve">    de lo cual, no corriente</t>
        </is>
      </c>
      <c r="B10" s="21">
        <f>SUMIF('08_Restringido'!$G$5:$G$6,"No corriente",'08_Restringido'!$I$5:$I$6)</f>
        <v/>
      </c>
    </row>
    <row r="11">
      <c r="A11" s="18" t="inlineStr">
        <is>
          <t>(−) Inversiones que no cumplen el plazo de tres meses (NIC 7.6–7.7)</t>
        </is>
      </c>
      <c r="B11" s="20">
        <f>SUM('09_Equivalentes'!$I$5:$I$6)</f>
        <v/>
      </c>
    </row>
    <row r="12">
      <c r="A12" s="19" t="inlineStr">
        <is>
          <t>Efectivo y equivalentes auditado</t>
        </is>
      </c>
      <c r="B12" s="21">
        <f>'10_Efectivo_auditado'!$B$5+'10_Efectivo_auditado'!$B$8-'10_Efectivo_auditado'!$B$9-'10_Efectivo_auditado'!$B$11</f>
        <v/>
      </c>
    </row>
    <row r="13">
      <c r="A13" s="18" t="inlineStr">
        <is>
          <t>Ajuste propuesto (auditado − libros)</t>
        </is>
      </c>
      <c r="B13" s="20">
        <f>'10_Efectivo_auditado'!$B$12-'10_Efectivo_auditado'!$B$5</f>
        <v/>
      </c>
    </row>
    <row r="14">
      <c r="A14" s="19" t="inlineStr">
        <is>
          <t>Composición (NIC 7.45–7.46): caja</t>
        </is>
      </c>
      <c r="B14" s="21">
        <f>SUMIF('03_Conciliacion'!$C$5:$C$13,"Caja",'03_Conciliacion'!$N$5:$N$13)</f>
        <v/>
      </c>
    </row>
    <row r="15">
      <c r="A15" s="18" t="inlineStr">
        <is>
          <t>Composición: bancos (incluye sobregiros)</t>
        </is>
      </c>
      <c r="B15" s="20">
        <f>SUMIF('03_Conciliacion'!$C$5:$C$13,"Banco",'03_Conciliacion'!$N$5:$N$13)</f>
        <v/>
      </c>
    </row>
    <row r="16">
      <c r="A16" s="19" t="inlineStr">
        <is>
          <t>Composición: equivalentes de efectivo</t>
        </is>
      </c>
      <c r="B16" s="21">
        <f>SUMIF('03_Conciliacion'!$C$5:$C$13,"Inversión",'03_Conciliacion'!$N$5:$N$13)</f>
        <v/>
      </c>
    </row>
    <row r="17">
      <c r="A17" s="18" t="inlineStr">
        <is>
          <t>Diferencias de conciliación no explicadas (absolutas)</t>
        </is>
      </c>
      <c r="B17" s="20">
        <f>SUMIF('03_Conciliacion'!$L$5:$L$13,"&gt;0")-SUMIF('03_Conciliacion'!$L$5:$L$13,"&lt;0")</f>
        <v/>
      </c>
    </row>
    <row r="18">
      <c r="A18" s="19" t="inlineStr">
        <is>
          <t>Diferencias de confirmación (absolutas)</t>
        </is>
      </c>
      <c r="B18" s="21">
        <f>SUMIF('06_Confirmaciones'!$E$5:$E$11,"&gt;0")-SUMIF('06_Confirmaciones'!$E$5:$E$11,"&lt;0")</f>
        <v/>
      </c>
    </row>
    <row r="19">
      <c r="A19" s="18" t="inlineStr">
        <is>
          <t>Partidas conciliatorias antiguas</t>
        </is>
      </c>
      <c r="B19" s="20">
        <f>SUMIF('04_Partidas'!$J$5:$J$13,"Sí",'04_Partidas'!$F$5:$F$13)</f>
        <v/>
      </c>
    </row>
    <row r="20">
      <c r="A20" s="19" t="inlineStr">
        <is>
          <t>Partidas no depuradas después del corte</t>
        </is>
      </c>
      <c r="B20" s="21">
        <f>SUMIF('04_Partidas'!$K$5:$K$13,"No",'04_Partidas'!$F$5:$F$13)</f>
        <v/>
      </c>
    </row>
    <row r="22">
      <c r="A22" s="22" t="inlineStr">
        <is>
          <t>ⓘ  Cómo se calcula esta hoja</t>
        </is>
      </c>
    </row>
    <row r="23">
      <c r="A23" s="23" t="inlineStr">
        <is>
          <t>Columna</t>
        </is>
      </c>
      <c r="B23" s="23" t="inlineStr">
        <is>
          <t>Fórmula (Excel)</t>
        </is>
      </c>
      <c r="C23" s="23" t="inlineStr">
        <is>
          <t>Cómo se calcula (sencillo)</t>
        </is>
      </c>
      <c r="D23" s="23" t="inlineStr">
        <is>
          <t>Ejemplo con números reales</t>
        </is>
      </c>
      <c r="E23" s="23" t="inlineStr">
        <is>
          <t>De dónde viene</t>
        </is>
      </c>
      <c r="F23" s="23" t="inlineStr">
        <is>
          <t>Norma</t>
        </is>
      </c>
    </row>
    <row r="24">
      <c r="A24" s="24" t="inlineStr">
        <is>
          <t>Importe</t>
        </is>
      </c>
      <c r="B24" s="25" t="inlineStr">
        <is>
          <t>'=SUM('03_Conciliacion'!$K$5:$K$13)</t>
        </is>
      </c>
      <c r="C24" s="24" t="inlineStr">
        <is>
          <t>Cada concepto tiene su cálculo: libros y notas bancarias se suman de la hoja 03 (Conciliación); las reclasificaciones, de las hojas 08 y 09; el auditado es libros + notas − reclasificaciones y el ajuste, auditado − libros; la composición suma el efectivo auditado por tipo de cuenta; las diferencias y partidas salen de las hojas 03, 04 y 06.</t>
        </is>
      </c>
      <c r="D24" s="24" t="inlineStr">
        <is>
          <t>Fila 1: SUM([«Saldo según libros» de «Conciliación bancaria por cuenta», 9 filas]) → 274.630,50</t>
        </is>
      </c>
      <c r="E24" s="24" t="inlineStr">
        <is>
          <t>hoja «Conciliación bancaria por cuenta»</t>
        </is>
      </c>
      <c r="F24" s="24" t="inlineStr">
        <is>
          <t>—</t>
        </is>
      </c>
    </row>
  </sheetData>
  <mergeCells count="3">
    <mergeCell ref="A2:F2"/>
    <mergeCell ref="A22:F2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  <col width="12" customWidth="1" min="4" max="4"/>
  </cols>
  <sheetData>
    <row r="1">
      <c r="A1" s="3" t="inlineStr">
        <is>
          <t>Asientos propuestos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Efectivo y equivalentes de efectivo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Asiento</t>
        </is>
      </c>
      <c r="B4" s="17" t="inlineStr">
        <is>
          <t>Cuenta</t>
        </is>
      </c>
      <c r="C4" s="17" t="inlineStr">
        <is>
          <t>Debe</t>
        </is>
      </c>
      <c r="D4" s="17" t="inlineStr">
        <is>
          <t>Haber</t>
        </is>
      </c>
    </row>
    <row r="5">
      <c r="A5" s="18" t="inlineStr">
        <is>
          <t>1 · Notas de crédito del banco no registradas</t>
        </is>
      </c>
      <c r="B5" s="18" t="inlineStr">
        <is>
          <t>Bancos</t>
        </is>
      </c>
      <c r="C5" s="20">
        <f>'10_Efectivo_auditado'!$B$6</f>
        <v/>
      </c>
      <c r="D5" s="20" t="n"/>
    </row>
    <row r="6">
      <c r="A6" s="19" t="inlineStr"/>
      <c r="B6" s="19" t="inlineStr">
        <is>
          <t>Otros ingresos (identificar la cuenta con el soporte)</t>
        </is>
      </c>
      <c r="C6" s="21" t="n"/>
      <c r="D6" s="21">
        <f>'10_Efectivo_auditado'!$B$6</f>
        <v/>
      </c>
    </row>
    <row r="7">
      <c r="A7" s="18" t="inlineStr">
        <is>
          <t>2 · Notas de débito del banco no registradas</t>
        </is>
      </c>
      <c r="B7" s="18" t="inlineStr">
        <is>
          <t>Gastos bancarios (identificar la cuenta con el soporte)</t>
        </is>
      </c>
      <c r="C7" s="20">
        <f>'10_Efectivo_auditado'!$B$7</f>
        <v/>
      </c>
      <c r="D7" s="20" t="n"/>
    </row>
    <row r="8">
      <c r="A8" s="19" t="inlineStr"/>
      <c r="B8" s="19" t="inlineStr">
        <is>
          <t>Bancos</t>
        </is>
      </c>
      <c r="C8" s="21" t="n"/>
      <c r="D8" s="21">
        <f>'10_Efectivo_auditado'!$B$7</f>
        <v/>
      </c>
    </row>
    <row r="9">
      <c r="A9" s="18" t="inlineStr">
        <is>
          <t>3 · Reclasificación del efectivo restringido a no corriente</t>
        </is>
      </c>
      <c r="B9" s="18" t="inlineStr">
        <is>
          <t>Efectivo restringido — activo no corriente</t>
        </is>
      </c>
      <c r="C9" s="20">
        <f>'10_Efectivo_auditado'!$B$10</f>
        <v/>
      </c>
      <c r="D9" s="20" t="n"/>
    </row>
    <row r="10">
      <c r="A10" s="19" t="inlineStr"/>
      <c r="B10" s="19" t="inlineStr">
        <is>
          <t>Efectivo y equivalentes de efectivo</t>
        </is>
      </c>
      <c r="C10" s="21" t="n"/>
      <c r="D10" s="21">
        <f>'10_Efectivo_auditado'!$B$9</f>
        <v/>
      </c>
    </row>
    <row r="11">
      <c r="A11" s="18" t="inlineStr">
        <is>
          <t>4 · Reclasificación de inversiones que no son equivalentes</t>
        </is>
      </c>
      <c r="B11" s="18" t="inlineStr">
        <is>
          <t>Inversiones a plazo (activos financieros a costo amortizado)</t>
        </is>
      </c>
      <c r="C11" s="20">
        <f>'10_Efectivo_auditado'!$B$11</f>
        <v/>
      </c>
      <c r="D11" s="20" t="n"/>
    </row>
    <row r="12">
      <c r="A12" s="19" t="inlineStr"/>
      <c r="B12" s="19" t="inlineStr">
        <is>
          <t>Efectivo y equivalentes de efectivo</t>
        </is>
      </c>
      <c r="C12" s="21" t="n"/>
      <c r="D12" s="21">
        <f>'10_Efectivo_auditado'!$B$11</f>
        <v/>
      </c>
    </row>
    <row r="14">
      <c r="A14" s="22" t="inlineStr">
        <is>
          <t>ⓘ  Cómo se calcula esta hoja</t>
        </is>
      </c>
    </row>
    <row r="15">
      <c r="A15" s="23" t="inlineStr">
        <is>
          <t>Columna</t>
        </is>
      </c>
      <c r="B15" s="23" t="inlineStr">
        <is>
          <t>Fórmula (Excel)</t>
        </is>
      </c>
      <c r="C15" s="23" t="inlineStr">
        <is>
          <t>Cómo se calcula (sencillo)</t>
        </is>
      </c>
      <c r="D15" s="23" t="inlineStr">
        <is>
          <t>Ejemplo con números reales</t>
        </is>
      </c>
      <c r="E15" s="23" t="inlineStr">
        <is>
          <t>De dónde viene</t>
        </is>
      </c>
      <c r="F15" s="23" t="inlineStr">
        <is>
          <t>Norma</t>
        </is>
      </c>
    </row>
    <row r="16">
      <c r="A16" s="24" t="inlineStr">
        <is>
          <t>Debe</t>
        </is>
      </c>
      <c r="B16" s="25" t="inlineStr">
        <is>
          <t>'='10_Efectivo_auditado'!$B$6</t>
        </is>
      </c>
      <c r="C16" s="24" t="inlineStr">
        <is>
          <t>Toma cada importe de la hoja 10 (Efectivo auditado y ajuste): notas de crédito y de débito no registradas y las reclasificaciones por restricción y por inversiones que no son equivalentes.</t>
        </is>
      </c>
      <c r="D16" s="24" t="inlineStr">
        <is>
          <t>Fila 1: 300,00 → 300,00</t>
        </is>
      </c>
      <c r="E16" s="24" t="inlineStr">
        <is>
          <t>hoja «Efectivo auditado y ajuste»</t>
        </is>
      </c>
      <c r="F16" s="24" t="inlineStr">
        <is>
          <t>—</t>
        </is>
      </c>
    </row>
    <row r="17">
      <c r="A17" s="24" t="inlineStr">
        <is>
          <t>Haber</t>
        </is>
      </c>
      <c r="B17" s="25" t="inlineStr">
        <is>
          <t>'='10_Efectivo_auditado'!$B$6</t>
        </is>
      </c>
      <c r="C17" s="24" t="inlineStr">
        <is>
          <t>Lleva a la contrapartida el mismo importe del asiento, tomado de la hoja 10 (Efectivo auditado y ajuste), para que debe y haber cuadren.</t>
        </is>
      </c>
      <c r="D17" s="24" t="inlineStr">
        <is>
          <t>Fila 2: 300,00 → 300,00</t>
        </is>
      </c>
      <c r="E17" s="24" t="inlineStr">
        <is>
          <t>hoja «Efectivo auditado y ajuste»</t>
        </is>
      </c>
      <c r="F17" s="24" t="inlineStr">
        <is>
          <t>—</t>
        </is>
      </c>
    </row>
  </sheetData>
  <mergeCells count="3">
    <mergeCell ref="A2:F2"/>
    <mergeCell ref="A14:F14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12" customWidth="1" min="3" max="3"/>
  </cols>
  <sheetData>
    <row r="1">
      <c r="A1" s="3" t="inlineStr">
        <is>
          <t>Problemas encontrados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Efectivo y equivalentes de efectivo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Código</t>
        </is>
      </c>
      <c r="B4" s="17" t="inlineStr">
        <is>
          <t>Descripción</t>
        </is>
      </c>
      <c r="C4" s="17" t="inlineStr">
        <is>
          <t>Importe</t>
        </is>
      </c>
    </row>
    <row r="5">
      <c r="A5" s="18" t="inlineStr">
        <is>
          <t>DIFERENCIA_NO_EXPLICADA</t>
        </is>
      </c>
      <c r="B5" s="18" t="inlineStr">
        <is>
          <t>1.1.02.02 Banco Guayaquil Aho. ***7788: los libros (47.700,00) difieren en 550,00 del saldo que explica la conciliación (47.150,00). Investigue y evalúe como incorrección (NIA 450).</t>
        </is>
      </c>
      <c r="C5" s="20" t="n">
        <v>550</v>
      </c>
    </row>
    <row r="6">
      <c r="A6" s="19" t="inlineStr">
        <is>
          <t>RESTRINGIDO_REVELAR</t>
        </is>
      </c>
      <c r="B6" s="19" t="inlineStr">
        <is>
          <t>1.1.02.02 Banco Guayaquil Aho. ***7788: 10.000,00 restringidos (Garantía de préstamo (pignoración)). La restricción no los saca del efectivo y equivalentes, pero debe revelarse el importe no disponible junto con un comentario de la gerencia (NIC 7.48).</t>
        </is>
      </c>
      <c r="C6" s="21" t="n">
        <v>10000</v>
      </c>
    </row>
    <row r="7">
      <c r="A7" s="18" t="inlineStr">
        <is>
          <t>RESTRINGIDO_COMO_DISPONIBLE</t>
        </is>
      </c>
      <c r="B7" s="18" t="inlineStr">
        <is>
          <t>1.1.02.02 Banco Guayaquil Aho. ***7788: 10.000,00 restringidos por al menos 12 meses (hasta el 2027-06-30) presentados como efectivo disponible. Reclasificar a no corriente y revelar (NIC 7.48 y NIC 1.66 d)).</t>
        </is>
      </c>
      <c r="C7" s="20" t="n">
        <v>10000</v>
      </c>
    </row>
    <row r="8">
      <c r="A8" s="19" t="inlineStr">
        <is>
          <t>CONFIRMACION_NO_COINCIDE</t>
        </is>
      </c>
      <c r="B8" s="19" t="inlineStr">
        <is>
          <t>1.1.02.03 Produbanco Cte. ***3390: el banco confirma 21.500,00 y el estado bancario muestra 22.000,00. Obtenga explicación del banco y del cliente (NIA 505 párr. 14).</t>
        </is>
      </c>
      <c r="C8" s="21" t="n">
        <v>-500</v>
      </c>
    </row>
    <row r="9">
      <c r="A9" s="18" t="inlineStr">
        <is>
          <t>SIN_CONFIRMACION</t>
        </is>
      </c>
      <c r="B9" s="18" t="inlineStr">
        <is>
          <t>1.1.02.04 Banco Internacional Cte. ***1102: sin respuesta del banco; aplique procedimientos alternativos (NIA 505).</t>
        </is>
      </c>
      <c r="C9" s="20" t="n">
        <v>1650</v>
      </c>
    </row>
    <row r="10">
      <c r="A10" s="19" t="inlineStr">
        <is>
          <t>RESTRINGIDO_REVELAR</t>
        </is>
      </c>
      <c r="B10" s="19" t="inlineStr">
        <is>
          <t>1.1.02.04 Banco Internacional Cte. ***1102: 1.650,00 restringidos (Embargo judicial). La restricción no los saca del efectivo y equivalentes, pero debe revelarse el importe no disponible junto con un comentario de la gerencia (NIC 7.48).</t>
        </is>
      </c>
      <c r="C10" s="21" t="n">
        <v>1650</v>
      </c>
    </row>
    <row r="11">
      <c r="A11" s="18" t="inlineStr">
        <is>
          <t>RESTRICCION_SIN_FECHA</t>
        </is>
      </c>
      <c r="B11" s="18" t="inlineStr">
        <is>
          <t>1.1.02.04 Banco Internacional Cte. ***1102: restricción sin fecha de fin; indique hasta cuándo dura para decidir si es corriente o no corriente (NIC 7.48 y NIC 1.66 d)). Mientras tanto no se reclasifica nada.</t>
        </is>
      </c>
      <c r="C11" s="20" t="n">
        <v>1650</v>
      </c>
    </row>
    <row r="12">
      <c r="A12" s="19" t="inlineStr">
        <is>
          <t>SALDO_ACREEDOR</t>
        </is>
      </c>
      <c r="B12" s="19" t="inlineStr">
        <is>
          <t>1.1.02.05 Banco Bolivariano Cte. ***5566: saldo acreedor (sobregiro). Solo integra el efectivo si es exigible a la vista y parte integrante de la gestión del efectivo (NIC 7.8); si no, presentarlo como pasivo financiero.</t>
        </is>
      </c>
      <c r="C12" s="21" t="n">
        <v>-3200</v>
      </c>
    </row>
    <row r="13">
      <c r="A13" s="18" t="inlineStr">
        <is>
          <t>EQUIVALENTE_PRESUNCION</t>
        </is>
      </c>
      <c r="B13" s="18" t="inlineStr">
        <is>
          <t>1.1.03.01 Póliza de acumulación Pichincha 60 días: vence dentro de los 3 meses desde la adquisición, lo que es solo una presunción. La definición exige además que sea de gran liquidez, fácilmente convertible en importes determinados de efectivo y sujeto a un riesgo poco significativo de cambios de valor (NIC 7.6–7.7): documéntelo.</t>
        </is>
      </c>
      <c r="C13" s="20" t="n">
        <v>50000</v>
      </c>
    </row>
    <row r="14">
      <c r="A14" s="19" t="inlineStr">
        <is>
          <t>NO_ES_EQUIVALENTE</t>
        </is>
      </c>
      <c r="B14" s="19" t="inlineStr">
        <is>
          <t>1.1.03.02 Certificado de depósito Produbanco 180 días: vence el 2026-03-30, después de los 3 meses desde la adquisición (hasta el 2026-01-01); no es equivalente de efectivo (NIC 7.6–7.7). Reclasificar a inversiones.</t>
        </is>
      </c>
      <c r="C14" s="21" t="n">
        <v>30000</v>
      </c>
    </row>
    <row r="15">
      <c r="A15" s="18" t="inlineStr">
        <is>
          <t>NOTAS_NO_REGISTRADAS</t>
        </is>
      </c>
      <c r="B15" s="18" t="inlineStr">
        <is>
          <t>Notas bancarias no registradas en libros: crédito 300,00 y débito 120,00. Ajustar los libros.</t>
        </is>
      </c>
      <c r="C15" s="20" t="n">
        <v>180</v>
      </c>
    </row>
    <row r="16">
      <c r="A16" s="19" t="inlineStr">
        <is>
          <t>PARTIDA_ANTIGUA</t>
        </is>
      </c>
      <c r="B16" s="19" t="inlineStr">
        <is>
          <t>P-03 (Cheque pendiente, cuenta 1.1.02.01): 138 días al corte (más de 90). Evalúe su reverso o ajuste.</t>
        </is>
      </c>
      <c r="C16" s="21" t="n">
        <v>1850</v>
      </c>
    </row>
    <row r="17">
      <c r="A17" s="18" t="inlineStr">
        <is>
          <t>PARTIDA_NO_DEPURADA</t>
        </is>
      </c>
      <c r="B17" s="18" t="inlineStr">
        <is>
          <t>P-03 (Cheque pendiente, cuenta 1.1.02.01): sin liquidación posterior al corte; obtenga soporte de su existencia.</t>
        </is>
      </c>
      <c r="C17" s="20" t="n">
        <v>1850</v>
      </c>
    </row>
    <row r="18">
      <c r="A18" s="19" t="inlineStr">
        <is>
          <t>CORTE_DEPOSITO_TARDIO</t>
        </is>
      </c>
      <c r="B18" s="19" t="inlineStr">
        <is>
          <t>P-06 (Depósito en tránsito, cuenta 1.1.02.02): el banco lo acreditó 12 días después del corte (más de 5). Verifique que el ingreso corresponde al ejercicio (NIA 240 párr. 31 y Anexo 2).</t>
        </is>
      </c>
      <c r="C18" s="21" t="n">
        <v>2100</v>
      </c>
    </row>
    <row r="19">
      <c r="A19" s="18" t="inlineStr">
        <is>
          <t>CORTE_POSTERIOR</t>
        </is>
      </c>
      <c r="B19" s="18" t="inlineStr">
        <is>
          <t>P-08 (Cheque pendiente, cuenta 1.1.02.02): originada el 2026-01-02, después del corte; no debe conciliar el saldo al cierre.</t>
        </is>
      </c>
      <c r="C19" s="20" t="n">
        <v>550</v>
      </c>
    </row>
    <row r="20">
      <c r="A20" s="19" t="inlineStr">
        <is>
          <t>PARTIDA_ANTIGUA</t>
        </is>
      </c>
      <c r="B20" s="19" t="inlineStr">
        <is>
          <t>P-09 (Depósito en tránsito, cuenta 1.1.02.04): 112 días al corte (más de 90). Evalúe su reverso o ajuste.</t>
        </is>
      </c>
      <c r="C20" s="21" t="n">
        <v>450</v>
      </c>
    </row>
    <row r="21">
      <c r="A21" s="18" t="inlineStr">
        <is>
          <t>PARTIDA_NO_DEPURADA</t>
        </is>
      </c>
      <c r="B21" s="18" t="inlineStr">
        <is>
          <t>P-09 (Depósito en tránsito, cuenta 1.1.02.04): sin liquidación posterior al corte; obtenga soporte de su existencia.</t>
        </is>
      </c>
      <c r="C21" s="20" t="n">
        <v>450</v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>
      <c r="A1" s="3" t="inlineStr">
        <is>
          <t>Conclusión</t>
        </is>
      </c>
      <c r="H1" s="14" t="inlineStr">
        <is>
          <t>⟵ Inicio</t>
        </is>
      </c>
      <c r="I1" s="14" t="inlineStr">
        <is>
          <t>◀ Anterior</t>
        </is>
      </c>
      <c r="J1" s="14" t="inlineStr">
        <is>
          <t>Siguiente ▶</t>
        </is>
      </c>
    </row>
    <row r="2">
      <c r="A2" s="15" t="inlineStr">
        <is>
          <t>Efectivo y equivalentes de efectivo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Concepto</t>
        </is>
      </c>
      <c r="B4" s="17" t="inlineStr">
        <is>
          <t>Detalle</t>
        </is>
      </c>
    </row>
    <row r="5">
      <c r="A5" s="18" t="inlineStr">
        <is>
          <t>Conciliación con el mayor</t>
        </is>
      </c>
      <c r="B5" s="18" t="inlineStr">
        <is>
          <t>Población None · mayor None · diferencia None</t>
        </is>
      </c>
    </row>
    <row r="6">
      <c r="A6" s="19" t="inlineStr">
        <is>
          <t>Evaluación de excepciones</t>
        </is>
      </c>
      <c r="B6" s="19" t="inlineStr"/>
    </row>
    <row r="7">
      <c r="A7" s="18" t="inlineStr">
        <is>
          <t>Análisis</t>
        </is>
      </c>
      <c r="B7" s="18" t="inlineStr"/>
    </row>
    <row r="8">
      <c r="A8" s="19" t="inlineStr">
        <is>
          <t>Conclusión</t>
        </is>
      </c>
      <c r="B8" s="19" t="inlineStr"/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  <hyperlink xmlns:r="http://schemas.openxmlformats.org/officeDocument/2006/relationships" ref="J1" r:id="rId3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2" customWidth="1" min="5" max="5"/>
    <col width="12" customWidth="1" min="6" max="6"/>
  </cols>
  <sheetData>
    <row r="1">
      <c r="A1" s="3" t="inlineStr">
        <is>
          <t>Control de revisión</t>
        </is>
      </c>
      <c r="H1" s="14" t="inlineStr">
        <is>
          <t>⟵ Inicio</t>
        </is>
      </c>
      <c r="I1" s="14" t="inlineStr">
        <is>
          <t>◀ Anterior</t>
        </is>
      </c>
    </row>
    <row r="2">
      <c r="A2" s="15" t="inlineStr">
        <is>
          <t>Efectivo y equivalentes de efectivo · Cliente de muestra S.A. · corte 2025-12-31</t>
        </is>
      </c>
      <c r="B2" s="16" t="n"/>
      <c r="C2" s="16" t="n"/>
      <c r="D2" s="16" t="n"/>
      <c r="E2" s="16" t="n"/>
      <c r="F2" s="16" t="n"/>
    </row>
    <row r="4" ht="30" customHeight="1">
      <c r="A4" s="17" t="inlineStr">
        <is>
          <t>Fecha</t>
        </is>
      </c>
      <c r="B4" s="17" t="inlineStr">
        <is>
          <t>Acción</t>
        </is>
      </c>
      <c r="C4" s="17" t="inlineStr">
        <is>
          <t>Estado anterior</t>
        </is>
      </c>
      <c r="D4" s="17" t="inlineStr">
        <is>
          <t>Estado nuevo</t>
        </is>
      </c>
      <c r="E4" s="17" t="inlineStr">
        <is>
          <t>Actor</t>
        </is>
      </c>
      <c r="F4" s="17" t="inlineStr">
        <is>
          <t>Comentario</t>
        </is>
      </c>
    </row>
  </sheetData>
  <mergeCells count="2">
    <mergeCell ref="A2:F2"/>
    <mergeCell ref="A1:F1"/>
  </mergeCells>
  <hyperlinks>
    <hyperlink xmlns:r="http://schemas.openxmlformats.org/officeDocument/2006/relationships" ref="H1" r:id="rId1"/>
    <hyperlink xmlns:r="http://schemas.openxmlformats.org/officeDocument/2006/relationships" ref="I1" r:id="rId2"/>
  </hyperlinks>
  <pageMargins left="0.75" right="0.75" top="1" bottom="1" header="0.5" footer="0.5"/>
  <pageSetup orientation="landscape" fitToHeight="0" fitToWidth="1"/>
  <headerFooter>
    <oddHeader/>
    <oddFooter>&amp;LAuditConsulting Auditores Cía. Ltda.&amp;C&amp;RPágina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2026-09-24T04:19:16Z</dcterms:created>
  <dcterms:modified xmlns:dcterms="http://purl.org/dc/terms/" xmlns:xsi="http://www.w3.org/2001/XMLSchema-instance" xsi:type="dcterms:W3CDTF">2026-09-24T04:19:16Z</dcterms:modified>
</cp:coreProperties>
</file>